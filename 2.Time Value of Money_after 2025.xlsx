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ables/table2.xml" ContentType="application/vnd.openxmlformats-officedocument.spreadsheetml.table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1.xml" ContentType="application/vnd.openxmlformats-officedocument.spreadsheetml.comments+xml"/>
  <Override PartName="/xl/drawings/drawing5.xml" ContentType="application/vnd.openxmlformats-officedocument.drawing+xml"/>
  <Override PartName="/xl/ctrlProps/ctrlProp1.xml" ContentType="application/vnd.ms-excel.controlpropertie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kema-my.sharepoint.com/personal/sabrina_chikh_skema_edu/Documents/dossiers cours/Excel financial modeling 2025/Pour K2, ne pas modifier/"/>
    </mc:Choice>
  </mc:AlternateContent>
  <xr:revisionPtr revIDLastSave="918" documentId="13_ncr:1_{3D65C074-3853-4D8A-8896-F99F61A68CC7}" xr6:coauthVersionLast="47" xr6:coauthVersionMax="47" xr10:uidLastSave="{5751A12D-C135-4DDB-9007-1FA0ED6A8E63}"/>
  <bookViews>
    <workbookView xWindow="-110" yWindow="-110" windowWidth="19420" windowHeight="11500" xr2:uid="{00000000-000D-0000-FFFF-FFFF00000000}"/>
  </bookViews>
  <sheets>
    <sheet name="SUMMARY" sheetId="26" r:id="rId1"/>
    <sheet name="RATES" sheetId="1" r:id="rId2"/>
    <sheet name="SINGLE CF" sheetId="2" r:id="rId3"/>
    <sheet name="ANNUITY " sheetId="15" r:id="rId4"/>
    <sheet name="MODEL FOR ANNUITY " sheetId="4" r:id="rId5"/>
    <sheet name="PMT TIMING" sheetId="20" r:id="rId6"/>
    <sheet name="NPV" sheetId="17" r:id="rId7"/>
    <sheet name="NPV-IRR" sheetId="21" r:id="rId8"/>
    <sheet name="XNPV-XIRR" sheetId="24" r:id="rId9"/>
    <sheet name="CUMULATIVE FACTOR " sheetId="18" r:id="rId10"/>
    <sheet name="LOAN SCHEDULE" sheetId="25" r:id="rId11"/>
    <sheet name="LOAN SENSITIVITY ANALYSIS" sheetId="19" r:id="rId12"/>
    <sheet name="LEASE vs BUY " sheetId="28" r:id="rId13"/>
    <sheet name="LEASE Vs BUY with help" sheetId="10" r:id="rId14"/>
    <sheet name="TV" sheetId="29" r:id="rId15"/>
    <sheet name="TV scenario" sheetId="30" r:id="rId16"/>
    <sheet name="NPV-WACC" sheetId="31" r:id="rId17"/>
  </sheets>
  <externalReferences>
    <externalReference r:id="rId18"/>
  </externalReferences>
  <definedNames>
    <definedName name="CATEGORY">'[1]INDIRECT '!$B$1:$C$1</definedName>
    <definedName name="CATEGORY_SOUTH">#REF!</definedName>
    <definedName name="Effectif">'[1]DROP DOWN LIST'!#REF!</definedName>
    <definedName name="ENTREPRISE">'[1]DROP DOWN LIST'!$A$2:$A$25</definedName>
    <definedName name="Forme_juridique">'[1]DROP DOWN LIST'!#REF!</definedName>
    <definedName name="Marché">'[1]DROP DOWN LIST'!#REF!</definedName>
    <definedName name="MONTH_S">#REF!</definedName>
    <definedName name="MONTH_SOUTH">#REF!</definedName>
    <definedName name="MONTH2">'[1]INDIRECT '!$A$2:$A$13</definedName>
    <definedName name="Résultat_prévisionnel">'[1]DROP DOWN LIST'!#REF!</definedName>
    <definedName name="SALES_PRODUCT_1_S">#REF!</definedName>
    <definedName name="SALES_PRODUCT_2_S">#REF!</definedName>
    <definedName name="solver_adj" localSheetId="9" hidden="1">'CUMULATIVE FACTOR '!$E$5</definedName>
    <definedName name="solver_cvg" localSheetId="9" hidden="1">0.0001</definedName>
    <definedName name="solver_drv" localSheetId="9" hidden="1">1</definedName>
    <definedName name="solver_eng" localSheetId="9" hidden="1">1</definedName>
    <definedName name="solver_est" localSheetId="9" hidden="1">1</definedName>
    <definedName name="solver_itr" localSheetId="9" hidden="1">2147483647</definedName>
    <definedName name="solver_lhs1" localSheetId="9" hidden="1">'CUMULATIVE FACTOR '!$E$5</definedName>
    <definedName name="solver_mip" localSheetId="9" hidden="1">2147483647</definedName>
    <definedName name="solver_mni" localSheetId="9" hidden="1">30</definedName>
    <definedName name="solver_mrt" localSheetId="9" hidden="1">0.075</definedName>
    <definedName name="solver_msl" localSheetId="9" hidden="1">2</definedName>
    <definedName name="solver_neg" localSheetId="9" hidden="1">1</definedName>
    <definedName name="solver_nod" localSheetId="9" hidden="1">2147483647</definedName>
    <definedName name="solver_num" localSheetId="9" hidden="1">0</definedName>
    <definedName name="solver_nwt" localSheetId="9" hidden="1">1</definedName>
    <definedName name="solver_opt" localSheetId="9" hidden="1">'CUMULATIVE FACTOR '!$E$11</definedName>
    <definedName name="solver_pre" localSheetId="9" hidden="1">0.000001</definedName>
    <definedName name="solver_rbv" localSheetId="9" hidden="1">1</definedName>
    <definedName name="solver_rel1" localSheetId="9" hidden="1">2</definedName>
    <definedName name="solver_rhs1" localSheetId="9" hidden="1">'CUMULATIVE FACTOR '!$F$5</definedName>
    <definedName name="solver_rlx" localSheetId="9" hidden="1">2</definedName>
    <definedName name="solver_rsd" localSheetId="9" hidden="1">0</definedName>
    <definedName name="solver_scl" localSheetId="9" hidden="1">1</definedName>
    <definedName name="solver_sho" localSheetId="9" hidden="1">2</definedName>
    <definedName name="solver_ssz" localSheetId="9" hidden="1">100</definedName>
    <definedName name="solver_tim" localSheetId="9" hidden="1">2147483647</definedName>
    <definedName name="solver_tol" localSheetId="9" hidden="1">0.01</definedName>
    <definedName name="solver_typ" localSheetId="9" hidden="1">3</definedName>
    <definedName name="solver_val" localSheetId="9" hidden="1">0</definedName>
    <definedName name="solver_ver" localSheetId="9" hidden="1">3</definedName>
    <definedName name="TYPE">'[1]DROP DOWN LIST'!$B$1:$C$1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9" i="24" l="1"/>
  <c r="F6" i="21"/>
  <c r="F4" i="21"/>
  <c r="B11" i="2"/>
  <c r="B7" i="31" l="1"/>
  <c r="B10" i="10"/>
  <c r="C5" i="20"/>
  <c r="G9" i="2"/>
  <c r="L10" i="24"/>
  <c r="I20" i="24" s="1"/>
  <c r="D5" i="20"/>
  <c r="F8" i="18"/>
  <c r="B13" i="15"/>
  <c r="C9" i="4" l="1"/>
  <c r="C10" i="4" s="1"/>
  <c r="F10" i="15"/>
  <c r="E10" i="15"/>
  <c r="D10" i="15"/>
  <c r="D11" i="15"/>
  <c r="F8" i="21"/>
  <c r="C12" i="4" l="1"/>
  <c r="B10" i="31"/>
  <c r="C10" i="31" s="1"/>
  <c r="G12" i="30"/>
  <c r="G13" i="30" s="1"/>
  <c r="F13" i="30"/>
  <c r="E13" i="30"/>
  <c r="D13" i="30"/>
  <c r="C13" i="30"/>
  <c r="B10" i="30"/>
  <c r="C10" i="30" s="1"/>
  <c r="B7" i="29"/>
  <c r="C7" i="29" s="1"/>
  <c r="D7" i="29" s="1"/>
  <c r="E7" i="29" s="1"/>
  <c r="F7" i="29" s="1"/>
  <c r="G7" i="29" s="1"/>
  <c r="H7" i="29" s="1"/>
  <c r="D10" i="31" l="1"/>
  <c r="E10" i="31" s="1"/>
  <c r="F10" i="31" s="1"/>
  <c r="G10" i="31" s="1"/>
  <c r="D10" i="30"/>
  <c r="E10" i="30" s="1"/>
  <c r="F10" i="30" s="1"/>
  <c r="G10" i="30" s="1"/>
  <c r="H10" i="30" s="1"/>
  <c r="C10" i="29"/>
  <c r="B13" i="31" l="1"/>
  <c r="B15" i="30"/>
  <c r="D10" i="29"/>
  <c r="E10" i="29" l="1"/>
  <c r="F10" i="29" l="1"/>
  <c r="G9" i="29" l="1"/>
  <c r="G10" i="29" l="1"/>
  <c r="B12" i="29" s="1"/>
  <c r="C8" i="20" l="1"/>
  <c r="C17" i="20" s="1"/>
  <c r="B5" i="20"/>
  <c r="B17" i="20" s="1"/>
  <c r="B8" i="20"/>
  <c r="B24" i="20" l="1"/>
  <c r="B11" i="20"/>
  <c r="B6" i="20"/>
  <c r="B25" i="20"/>
  <c r="C25" i="20"/>
  <c r="C24" i="20"/>
  <c r="C11" i="20"/>
  <c r="C12" i="20" s="1"/>
  <c r="C6" i="20"/>
  <c r="B13" i="20"/>
  <c r="B20" i="20" s="1"/>
  <c r="B12" i="20"/>
  <c r="B18" i="20"/>
  <c r="C18" i="20"/>
  <c r="C13" i="20"/>
  <c r="C20" i="20" s="1"/>
  <c r="F7" i="18" l="1"/>
  <c r="D6" i="18" l="1"/>
  <c r="D7" i="18" s="1"/>
  <c r="D8" i="18" s="1"/>
  <c r="E8" i="18" s="1"/>
  <c r="E7" i="18" l="1"/>
  <c r="B20" i="15"/>
  <c r="D18" i="15"/>
  <c r="E18" i="15"/>
  <c r="F18" i="15"/>
  <c r="G18" i="15"/>
  <c r="C18" i="15"/>
  <c r="D17" i="15"/>
  <c r="E17" i="15"/>
  <c r="F17" i="15"/>
  <c r="G17" i="15"/>
  <c r="C17" i="15"/>
  <c r="D15" i="24"/>
  <c r="D12" i="24"/>
  <c r="I18" i="24"/>
  <c r="E12" i="24" l="1"/>
  <c r="F12" i="24" s="1"/>
  <c r="G12" i="24" s="1"/>
  <c r="H12" i="24" s="1"/>
  <c r="I12" i="24" s="1"/>
  <c r="E15" i="24"/>
  <c r="L13" i="24" l="1"/>
  <c r="L12" i="24"/>
  <c r="D9" i="18"/>
  <c r="D10" i="18" s="1"/>
  <c r="F15" i="24"/>
  <c r="B10" i="1"/>
  <c r="C10" i="1" s="1"/>
  <c r="E6" i="18"/>
  <c r="O11" i="2"/>
  <c r="B25" i="10"/>
  <c r="B6" i="19"/>
  <c r="B11" i="19" s="1"/>
  <c r="F6" i="18"/>
  <c r="B17" i="4"/>
  <c r="B21" i="10"/>
  <c r="B22" i="10" s="1"/>
  <c r="C25" i="10"/>
  <c r="B14" i="10"/>
  <c r="B16" i="10" s="1"/>
  <c r="C14" i="10"/>
  <c r="C16" i="10" s="1"/>
  <c r="D14" i="10"/>
  <c r="D16" i="10" s="1"/>
  <c r="E14" i="10"/>
  <c r="E16" i="10" s="1"/>
  <c r="F14" i="10"/>
  <c r="F15" i="10"/>
  <c r="B10" i="19"/>
  <c r="C10" i="25"/>
  <c r="C13" i="25" s="1"/>
  <c r="F10" i="25"/>
  <c r="I18" i="25" s="1"/>
  <c r="I10" i="25"/>
  <c r="I13" i="25" s="1"/>
  <c r="L10" i="25"/>
  <c r="L13" i="25" s="1"/>
  <c r="O10" i="25"/>
  <c r="O13" i="25" s="1"/>
  <c r="B20" i="17"/>
  <c r="I14" i="17"/>
  <c r="L20" i="17" s="1"/>
  <c r="B14" i="4"/>
  <c r="B25" i="4" s="1"/>
  <c r="C10" i="15"/>
  <c r="G10" i="15"/>
  <c r="J9" i="2"/>
  <c r="O10" i="2" s="1"/>
  <c r="B10" i="2"/>
  <c r="B9" i="1"/>
  <c r="C9" i="1" s="1"/>
  <c r="D4" i="1"/>
  <c r="E4" i="1" s="1"/>
  <c r="F4" i="1" s="1"/>
  <c r="G4" i="1" s="1"/>
  <c r="F5" i="18"/>
  <c r="F9" i="18"/>
  <c r="F10" i="18"/>
  <c r="D25" i="10"/>
  <c r="E25" i="10"/>
  <c r="F25" i="10"/>
  <c r="B16" i="17"/>
  <c r="C16" i="17"/>
  <c r="D16" i="17"/>
  <c r="E16" i="17"/>
  <c r="F16" i="17"/>
  <c r="G16" i="17"/>
  <c r="H18" i="15"/>
  <c r="C11" i="15"/>
  <c r="E11" i="15"/>
  <c r="F11" i="15"/>
  <c r="G11" i="15"/>
  <c r="B10" i="15" l="1"/>
  <c r="B28" i="4"/>
  <c r="C22" i="10"/>
  <c r="B23" i="10"/>
  <c r="B24" i="10" s="1"/>
  <c r="C21" i="10" s="1"/>
  <c r="C23" i="10" s="1"/>
  <c r="C26" i="10" s="1"/>
  <c r="E22" i="10"/>
  <c r="F22" i="10"/>
  <c r="E19" i="25"/>
  <c r="F13" i="25"/>
  <c r="D19" i="25" s="1"/>
  <c r="M20" i="17"/>
  <c r="B22" i="4"/>
  <c r="D22" i="10"/>
  <c r="B17" i="17"/>
  <c r="J20" i="17"/>
  <c r="AA11" i="19"/>
  <c r="N11" i="19"/>
  <c r="J11" i="19"/>
  <c r="L11" i="19"/>
  <c r="P11" i="19"/>
  <c r="H11" i="19"/>
  <c r="R11" i="19"/>
  <c r="AB11" i="19"/>
  <c r="AD11" i="19"/>
  <c r="Q11" i="19"/>
  <c r="K11" i="19"/>
  <c r="B11" i="15"/>
  <c r="G15" i="24"/>
  <c r="F16" i="10"/>
  <c r="B17" i="10" s="1"/>
  <c r="F11" i="18"/>
  <c r="F13" i="18" s="1"/>
  <c r="D9" i="4"/>
  <c r="D10" i="4" s="1"/>
  <c r="B19" i="4"/>
  <c r="M11" i="19"/>
  <c r="S11" i="19"/>
  <c r="AE11" i="19"/>
  <c r="E11" i="19"/>
  <c r="O11" i="19"/>
  <c r="G11" i="19"/>
  <c r="B15" i="19"/>
  <c r="T11" i="19"/>
  <c r="I11" i="19"/>
  <c r="Z11" i="19"/>
  <c r="Y11" i="19"/>
  <c r="N20" i="17"/>
  <c r="H17" i="15"/>
  <c r="K20" i="17"/>
  <c r="J24" i="17"/>
  <c r="D2" i="17" s="1"/>
  <c r="O20" i="17"/>
  <c r="D11" i="19"/>
  <c r="X11" i="19"/>
  <c r="W11" i="19"/>
  <c r="C11" i="19"/>
  <c r="B12" i="19"/>
  <c r="B13" i="19" s="1"/>
  <c r="C10" i="19" s="1"/>
  <c r="AC11" i="19"/>
  <c r="U11" i="19"/>
  <c r="V11" i="19"/>
  <c r="F11" i="19"/>
  <c r="B26" i="10" l="1"/>
  <c r="B27" i="10" s="1"/>
  <c r="C27" i="10"/>
  <c r="J21" i="17"/>
  <c r="H15" i="24"/>
  <c r="C24" i="10"/>
  <c r="D21" i="10" s="1"/>
  <c r="D23" i="10" s="1"/>
  <c r="E9" i="4"/>
  <c r="D12" i="4"/>
  <c r="C12" i="19"/>
  <c r="C13" i="19" s="1"/>
  <c r="D10" i="19" s="1"/>
  <c r="F19" i="25"/>
  <c r="G19" i="25" s="1"/>
  <c r="E20" i="25" s="1"/>
  <c r="D21" i="25"/>
  <c r="D30" i="25"/>
  <c r="D37" i="25"/>
  <c r="D46" i="25"/>
  <c r="D53" i="25"/>
  <c r="D62" i="25"/>
  <c r="D69" i="25"/>
  <c r="D78" i="25"/>
  <c r="D26" i="25"/>
  <c r="D33" i="25"/>
  <c r="D42" i="25"/>
  <c r="D49" i="25"/>
  <c r="D58" i="25"/>
  <c r="D65" i="25"/>
  <c r="D74" i="25"/>
  <c r="D81" i="25"/>
  <c r="D90" i="25"/>
  <c r="D97" i="25"/>
  <c r="D106" i="25"/>
  <c r="D113" i="25"/>
  <c r="D122" i="25"/>
  <c r="D129" i="25"/>
  <c r="D138" i="25"/>
  <c r="D145" i="25"/>
  <c r="D20" i="25"/>
  <c r="D24" i="25"/>
  <c r="D27" i="25"/>
  <c r="D36" i="25"/>
  <c r="D39" i="25"/>
  <c r="D48" i="25"/>
  <c r="D79" i="25"/>
  <c r="D103" i="25"/>
  <c r="D108" i="25"/>
  <c r="D111" i="25"/>
  <c r="D116" i="25"/>
  <c r="D137" i="25"/>
  <c r="D142" i="25"/>
  <c r="D150" i="25"/>
  <c r="D56" i="25"/>
  <c r="D86" i="25"/>
  <c r="D99" i="25"/>
  <c r="D107" i="25"/>
  <c r="D133" i="25"/>
  <c r="D141" i="25"/>
  <c r="D32" i="25"/>
  <c r="D61" i="25"/>
  <c r="D67" i="25"/>
  <c r="D70" i="25"/>
  <c r="D73" i="25"/>
  <c r="D76" i="25"/>
  <c r="D82" i="25"/>
  <c r="D85" i="25"/>
  <c r="D93" i="25"/>
  <c r="D98" i="25"/>
  <c r="D119" i="25"/>
  <c r="D124" i="25"/>
  <c r="D127" i="25"/>
  <c r="D132" i="25"/>
  <c r="D47" i="25"/>
  <c r="D71" i="25"/>
  <c r="D80" i="25"/>
  <c r="D112" i="25"/>
  <c r="D146" i="25"/>
  <c r="D31" i="25"/>
  <c r="D40" i="25"/>
  <c r="D43" i="25"/>
  <c r="D52" i="25"/>
  <c r="D55" i="25"/>
  <c r="D64" i="25"/>
  <c r="D88" i="25"/>
  <c r="D101" i="25"/>
  <c r="D109" i="25"/>
  <c r="D114" i="25"/>
  <c r="D135" i="25"/>
  <c r="D140" i="25"/>
  <c r="D143" i="25"/>
  <c r="D148" i="25"/>
  <c r="D120" i="25"/>
  <c r="D22" i="25"/>
  <c r="D25" i="25"/>
  <c r="D28" i="25"/>
  <c r="D34" i="25"/>
  <c r="D77" i="25"/>
  <c r="D83" i="25"/>
  <c r="D91" i="25"/>
  <c r="D96" i="25"/>
  <c r="D104" i="25"/>
  <c r="D117" i="25"/>
  <c r="D125" i="25"/>
  <c r="D130" i="25"/>
  <c r="D59" i="25"/>
  <c r="D68" i="25"/>
  <c r="D23" i="25"/>
  <c r="D29" i="25"/>
  <c r="D35" i="25"/>
  <c r="D38" i="25"/>
  <c r="D41" i="25"/>
  <c r="D44" i="25"/>
  <c r="D50" i="25"/>
  <c r="D89" i="25"/>
  <c r="D94" i="25"/>
  <c r="D102" i="25"/>
  <c r="D115" i="25"/>
  <c r="D123" i="25"/>
  <c r="D128" i="25"/>
  <c r="D136" i="25"/>
  <c r="D149" i="25"/>
  <c r="D45" i="25"/>
  <c r="D57" i="25"/>
  <c r="D92" i="25"/>
  <c r="D134" i="25"/>
  <c r="D87" i="25"/>
  <c r="D110" i="25"/>
  <c r="D131" i="25"/>
  <c r="D54" i="25"/>
  <c r="D100" i="25"/>
  <c r="D121" i="25"/>
  <c r="D144" i="25"/>
  <c r="D72" i="25"/>
  <c r="D84" i="25"/>
  <c r="D105" i="25"/>
  <c r="D60" i="25"/>
  <c r="D95" i="25"/>
  <c r="D126" i="25"/>
  <c r="D147" i="25"/>
  <c r="D51" i="25"/>
  <c r="D63" i="25"/>
  <c r="D75" i="25"/>
  <c r="D118" i="25"/>
  <c r="D139" i="25"/>
  <c r="D66" i="25"/>
  <c r="E9" i="18"/>
  <c r="I15" i="24" l="1"/>
  <c r="L15" i="24" s="1"/>
  <c r="E10" i="4"/>
  <c r="E12" i="4" s="1"/>
  <c r="F9" i="4"/>
  <c r="D12" i="19"/>
  <c r="D13" i="19" s="1"/>
  <c r="E10" i="19" s="1"/>
  <c r="D26" i="10"/>
  <c r="D27" i="10" s="1"/>
  <c r="D24" i="10"/>
  <c r="E21" i="10" s="1"/>
  <c r="E10" i="18"/>
  <c r="E11" i="18" s="1"/>
  <c r="F20" i="25"/>
  <c r="G20" i="25" s="1"/>
  <c r="L16" i="24" l="1"/>
  <c r="E13" i="18"/>
  <c r="F10" i="4"/>
  <c r="F12" i="4" s="1"/>
  <c r="G9" i="4"/>
  <c r="E21" i="25"/>
  <c r="F21" i="25" s="1"/>
  <c r="G21" i="25" s="1"/>
  <c r="E12" i="19"/>
  <c r="E13" i="19" s="1"/>
  <c r="F10" i="19" s="1"/>
  <c r="E23" i="10"/>
  <c r="H9" i="4" l="1"/>
  <c r="G10" i="4"/>
  <c r="G12" i="4" s="1"/>
  <c r="F12" i="19"/>
  <c r="F13" i="19" s="1"/>
  <c r="G10" i="19" s="1"/>
  <c r="E22" i="25"/>
  <c r="F22" i="25" s="1"/>
  <c r="G22" i="25" s="1"/>
  <c r="E24" i="10"/>
  <c r="F21" i="10" s="1"/>
  <c r="F23" i="10" s="1"/>
  <c r="E26" i="10"/>
  <c r="E27" i="10" s="1"/>
  <c r="I9" i="4" l="1"/>
  <c r="H10" i="4"/>
  <c r="H12" i="4" s="1"/>
  <c r="E23" i="25"/>
  <c r="F23" i="25" s="1"/>
  <c r="G23" i="25" s="1"/>
  <c r="G12" i="19"/>
  <c r="G13" i="19" s="1"/>
  <c r="H10" i="19" s="1"/>
  <c r="F24" i="10"/>
  <c r="F26" i="10"/>
  <c r="F27" i="10" s="1"/>
  <c r="B28" i="10" l="1"/>
  <c r="B30" i="10" s="1"/>
  <c r="I10" i="4"/>
  <c r="I12" i="4" s="1"/>
  <c r="J9" i="4"/>
  <c r="H12" i="19"/>
  <c r="H13" i="19" s="1"/>
  <c r="I10" i="19" s="1"/>
  <c r="E24" i="25"/>
  <c r="F24" i="25" s="1"/>
  <c r="G24" i="25" s="1"/>
  <c r="J10" i="4" l="1"/>
  <c r="J12" i="4" s="1"/>
  <c r="K9" i="4"/>
  <c r="E25" i="25"/>
  <c r="F25" i="25" s="1"/>
  <c r="G25" i="25" s="1"/>
  <c r="I12" i="19"/>
  <c r="I13" i="19" s="1"/>
  <c r="J10" i="19" s="1"/>
  <c r="K10" i="4" l="1"/>
  <c r="K12" i="4" s="1"/>
  <c r="B12" i="4" s="1"/>
  <c r="L9" i="4"/>
  <c r="M9" i="4" s="1"/>
  <c r="N9" i="4" s="1"/>
  <c r="J12" i="19"/>
  <c r="J13" i="19" s="1"/>
  <c r="K10" i="19" s="1"/>
  <c r="E26" i="25"/>
  <c r="F26" i="25" s="1"/>
  <c r="G26" i="25" s="1"/>
  <c r="E27" i="25" l="1"/>
  <c r="F27" i="25" s="1"/>
  <c r="G27" i="25" s="1"/>
  <c r="K12" i="19"/>
  <c r="K13" i="19" s="1"/>
  <c r="L10" i="19" s="1"/>
  <c r="L12" i="19" l="1"/>
  <c r="L13" i="19" s="1"/>
  <c r="M10" i="19" s="1"/>
  <c r="E28" i="25"/>
  <c r="F28" i="25" s="1"/>
  <c r="G28" i="25" s="1"/>
  <c r="E29" i="25" l="1"/>
  <c r="F29" i="25" s="1"/>
  <c r="G29" i="25" s="1"/>
  <c r="M12" i="19"/>
  <c r="M13" i="19" s="1"/>
  <c r="N10" i="19" s="1"/>
  <c r="N12" i="19" l="1"/>
  <c r="N13" i="19" s="1"/>
  <c r="O10" i="19" s="1"/>
  <c r="E30" i="25"/>
  <c r="F30" i="25" s="1"/>
  <c r="G30" i="25" s="1"/>
  <c r="E31" i="25" l="1"/>
  <c r="F31" i="25" s="1"/>
  <c r="G31" i="25" s="1"/>
  <c r="O12" i="19"/>
  <c r="O13" i="19" s="1"/>
  <c r="P10" i="19" s="1"/>
  <c r="P12" i="19" l="1"/>
  <c r="P13" i="19" s="1"/>
  <c r="Q10" i="19" s="1"/>
  <c r="E32" i="25"/>
  <c r="F32" i="25" s="1"/>
  <c r="G32" i="25" s="1"/>
  <c r="Q12" i="19" l="1"/>
  <c r="Q13" i="19" s="1"/>
  <c r="R10" i="19" s="1"/>
  <c r="E33" i="25"/>
  <c r="F33" i="25" s="1"/>
  <c r="G33" i="25" s="1"/>
  <c r="R12" i="19" l="1"/>
  <c r="R13" i="19" s="1"/>
  <c r="S10" i="19" s="1"/>
  <c r="E34" i="25"/>
  <c r="F34" i="25" s="1"/>
  <c r="G34" i="25" s="1"/>
  <c r="E35" i="25" l="1"/>
  <c r="F35" i="25" s="1"/>
  <c r="G35" i="25" s="1"/>
  <c r="S12" i="19"/>
  <c r="S13" i="19" s="1"/>
  <c r="T10" i="19" s="1"/>
  <c r="T12" i="19" l="1"/>
  <c r="T13" i="19" s="1"/>
  <c r="U10" i="19" s="1"/>
  <c r="E36" i="25"/>
  <c r="F36" i="25" s="1"/>
  <c r="G36" i="25" s="1"/>
  <c r="E37" i="25" l="1"/>
  <c r="F37" i="25" s="1"/>
  <c r="G37" i="25" s="1"/>
  <c r="U12" i="19"/>
  <c r="U13" i="19" s="1"/>
  <c r="V10" i="19" s="1"/>
  <c r="V12" i="19" l="1"/>
  <c r="V13" i="19" s="1"/>
  <c r="W10" i="19" s="1"/>
  <c r="E38" i="25"/>
  <c r="F38" i="25" s="1"/>
  <c r="G38" i="25" s="1"/>
  <c r="E39" i="25" l="1"/>
  <c r="F39" i="25" s="1"/>
  <c r="G39" i="25" s="1"/>
  <c r="W12" i="19"/>
  <c r="W13" i="19" s="1"/>
  <c r="X10" i="19" s="1"/>
  <c r="E40" i="25" l="1"/>
  <c r="F40" i="25" s="1"/>
  <c r="G40" i="25" s="1"/>
  <c r="X12" i="19"/>
  <c r="X13" i="19" s="1"/>
  <c r="Y10" i="19" s="1"/>
  <c r="Y12" i="19" l="1"/>
  <c r="Y13" i="19" s="1"/>
  <c r="Z10" i="19" s="1"/>
  <c r="E41" i="25"/>
  <c r="F41" i="25" s="1"/>
  <c r="G41" i="25" s="1"/>
  <c r="E42" i="25" l="1"/>
  <c r="F42" i="25" s="1"/>
  <c r="G42" i="25" s="1"/>
  <c r="Z12" i="19"/>
  <c r="Z13" i="19" s="1"/>
  <c r="AA10" i="19" s="1"/>
  <c r="AA12" i="19" l="1"/>
  <c r="AA13" i="19" s="1"/>
  <c r="AB10" i="19" s="1"/>
  <c r="E43" i="25"/>
  <c r="F43" i="25" s="1"/>
  <c r="G43" i="25" s="1"/>
  <c r="E44" i="25" l="1"/>
  <c r="F44" i="25" s="1"/>
  <c r="G44" i="25" s="1"/>
  <c r="AB12" i="19"/>
  <c r="AB13" i="19" s="1"/>
  <c r="AC10" i="19" s="1"/>
  <c r="E45" i="25" l="1"/>
  <c r="F45" i="25" s="1"/>
  <c r="G45" i="25" s="1"/>
  <c r="AC12" i="19"/>
  <c r="AC13" i="19" s="1"/>
  <c r="AD10" i="19" s="1"/>
  <c r="AD12" i="19" l="1"/>
  <c r="AD13" i="19" s="1"/>
  <c r="AE10" i="19" s="1"/>
  <c r="AE12" i="19" s="1"/>
  <c r="AE13" i="19" s="1"/>
  <c r="E46" i="25"/>
  <c r="F46" i="25" s="1"/>
  <c r="G46" i="25" s="1"/>
  <c r="E47" i="25" l="1"/>
  <c r="F47" i="25" s="1"/>
  <c r="G47" i="25" s="1"/>
  <c r="E48" i="25" l="1"/>
  <c r="F48" i="25" s="1"/>
  <c r="G48" i="25" s="1"/>
  <c r="E49" i="25" l="1"/>
  <c r="F49" i="25" s="1"/>
  <c r="G49" i="25" s="1"/>
  <c r="E50" i="25" l="1"/>
  <c r="F50" i="25" s="1"/>
  <c r="G50" i="25" s="1"/>
  <c r="E51" i="25" l="1"/>
  <c r="F51" i="25" s="1"/>
  <c r="G51" i="25" s="1"/>
  <c r="E52" i="25" l="1"/>
  <c r="F52" i="25" s="1"/>
  <c r="G52" i="25" s="1"/>
  <c r="E53" i="25" l="1"/>
  <c r="F53" i="25" s="1"/>
  <c r="G53" i="25" s="1"/>
  <c r="E54" i="25" l="1"/>
  <c r="F54" i="25" s="1"/>
  <c r="G54" i="25" s="1"/>
  <c r="E55" i="25" l="1"/>
  <c r="F55" i="25" s="1"/>
  <c r="G55" i="25" s="1"/>
  <c r="E56" i="25" l="1"/>
  <c r="F56" i="25" s="1"/>
  <c r="G56" i="25" s="1"/>
  <c r="E57" i="25" l="1"/>
  <c r="F57" i="25" s="1"/>
  <c r="G57" i="25" s="1"/>
  <c r="E58" i="25" l="1"/>
  <c r="F58" i="25" s="1"/>
  <c r="G58" i="25" s="1"/>
  <c r="E59" i="25" l="1"/>
  <c r="F59" i="25" s="1"/>
  <c r="G59" i="25" s="1"/>
  <c r="E60" i="25" l="1"/>
  <c r="F60" i="25" s="1"/>
  <c r="G60" i="25" s="1"/>
  <c r="E61" i="25" l="1"/>
  <c r="F61" i="25" s="1"/>
  <c r="G61" i="25" s="1"/>
  <c r="E62" i="25" l="1"/>
  <c r="F62" i="25" s="1"/>
  <c r="G62" i="25" s="1"/>
  <c r="E63" i="25" l="1"/>
  <c r="F63" i="25" s="1"/>
  <c r="G63" i="25" s="1"/>
  <c r="E64" i="25" l="1"/>
  <c r="F64" i="25" s="1"/>
  <c r="G64" i="25" s="1"/>
  <c r="E65" i="25" l="1"/>
  <c r="F65" i="25" s="1"/>
  <c r="G65" i="25"/>
  <c r="E66" i="25" l="1"/>
  <c r="F66" i="25" s="1"/>
  <c r="G66" i="25" s="1"/>
  <c r="E67" i="25" l="1"/>
  <c r="F67" i="25" s="1"/>
  <c r="G67" i="25" s="1"/>
  <c r="E68" i="25" l="1"/>
  <c r="F68" i="25" s="1"/>
  <c r="G68" i="25" s="1"/>
  <c r="E69" i="25" l="1"/>
  <c r="F69" i="25" s="1"/>
  <c r="G69" i="25" s="1"/>
  <c r="E70" i="25" l="1"/>
  <c r="F70" i="25" s="1"/>
  <c r="G70" i="25" s="1"/>
  <c r="E71" i="25" l="1"/>
  <c r="F71" i="25" s="1"/>
  <c r="G71" i="25" s="1"/>
  <c r="E72" i="25" l="1"/>
  <c r="F72" i="25" s="1"/>
  <c r="G72" i="25" s="1"/>
  <c r="E73" i="25" l="1"/>
  <c r="F73" i="25" s="1"/>
  <c r="G73" i="25" s="1"/>
  <c r="E74" i="25" l="1"/>
  <c r="F74" i="25" s="1"/>
  <c r="G74" i="25" s="1"/>
  <c r="E75" i="25" l="1"/>
  <c r="F75" i="25" s="1"/>
  <c r="G75" i="25" s="1"/>
  <c r="E76" i="25" l="1"/>
  <c r="F76" i="25" s="1"/>
  <c r="G76" i="25" s="1"/>
  <c r="E77" i="25" l="1"/>
  <c r="F77" i="25" s="1"/>
  <c r="G77" i="25" s="1"/>
  <c r="E78" i="25" l="1"/>
  <c r="F78" i="25" s="1"/>
  <c r="G78" i="25" s="1"/>
  <c r="E79" i="25" l="1"/>
  <c r="F79" i="25" s="1"/>
  <c r="G79" i="25" s="1"/>
  <c r="E80" i="25" l="1"/>
  <c r="F80" i="25" s="1"/>
  <c r="G80" i="25" s="1"/>
  <c r="E81" i="25" l="1"/>
  <c r="F81" i="25" s="1"/>
  <c r="G81" i="25" s="1"/>
  <c r="E82" i="25" l="1"/>
  <c r="F82" i="25" s="1"/>
  <c r="G82" i="25" s="1"/>
  <c r="E83" i="25" l="1"/>
  <c r="F83" i="25" s="1"/>
  <c r="G83" i="25" s="1"/>
  <c r="E84" i="25" l="1"/>
  <c r="F84" i="25" s="1"/>
  <c r="G84" i="25" s="1"/>
  <c r="E85" i="25" l="1"/>
  <c r="F85" i="25" s="1"/>
  <c r="G85" i="25" s="1"/>
  <c r="E86" i="25" l="1"/>
  <c r="F86" i="25" s="1"/>
  <c r="G86" i="25" s="1"/>
  <c r="E87" i="25" l="1"/>
  <c r="F87" i="25" s="1"/>
  <c r="G87" i="25" s="1"/>
  <c r="E88" i="25" l="1"/>
  <c r="F88" i="25" s="1"/>
  <c r="G88" i="25" s="1"/>
  <c r="E89" i="25" l="1"/>
  <c r="F89" i="25" s="1"/>
  <c r="G89" i="25" s="1"/>
  <c r="E90" i="25" l="1"/>
  <c r="F90" i="25" s="1"/>
  <c r="G90" i="25" s="1"/>
  <c r="E91" i="25" l="1"/>
  <c r="F91" i="25" s="1"/>
  <c r="G91" i="25" s="1"/>
  <c r="E92" i="25" l="1"/>
  <c r="F92" i="25" s="1"/>
  <c r="G92" i="25" s="1"/>
  <c r="E93" i="25" l="1"/>
  <c r="F93" i="25" s="1"/>
  <c r="G93" i="25" s="1"/>
  <c r="E94" i="25" l="1"/>
  <c r="F94" i="25" s="1"/>
  <c r="G94" i="25" s="1"/>
  <c r="E95" i="25" l="1"/>
  <c r="F95" i="25" s="1"/>
  <c r="G95" i="25" s="1"/>
  <c r="E96" i="25" l="1"/>
  <c r="F96" i="25" s="1"/>
  <c r="G96" i="25" s="1"/>
  <c r="E97" i="25" l="1"/>
  <c r="F97" i="25" s="1"/>
  <c r="G97" i="25" s="1"/>
  <c r="E98" i="25" l="1"/>
  <c r="F98" i="25" s="1"/>
  <c r="G98" i="25" s="1"/>
  <c r="E99" i="25" l="1"/>
  <c r="F99" i="25" s="1"/>
  <c r="G99" i="25" s="1"/>
  <c r="E100" i="25" l="1"/>
  <c r="F100" i="25" s="1"/>
  <c r="G100" i="25" s="1"/>
  <c r="E101" i="25" l="1"/>
  <c r="F101" i="25" s="1"/>
  <c r="G101" i="25" s="1"/>
  <c r="E102" i="25" l="1"/>
  <c r="F102" i="25" s="1"/>
  <c r="G102" i="25" s="1"/>
  <c r="E103" i="25" l="1"/>
  <c r="F103" i="25" s="1"/>
  <c r="G103" i="25" s="1"/>
  <c r="E104" i="25" l="1"/>
  <c r="F104" i="25" s="1"/>
  <c r="G104" i="25" s="1"/>
  <c r="E105" i="25" l="1"/>
  <c r="F105" i="25" s="1"/>
  <c r="G105" i="25" s="1"/>
  <c r="E106" i="25" l="1"/>
  <c r="F106" i="25" s="1"/>
  <c r="G106" i="25" s="1"/>
  <c r="E107" i="25" l="1"/>
  <c r="F107" i="25" s="1"/>
  <c r="G107" i="25" s="1"/>
  <c r="E108" i="25" l="1"/>
  <c r="F108" i="25" s="1"/>
  <c r="G108" i="25" s="1"/>
  <c r="E109" i="25" l="1"/>
  <c r="F109" i="25" s="1"/>
  <c r="G109" i="25" s="1"/>
  <c r="E110" i="25" l="1"/>
  <c r="F110" i="25" s="1"/>
  <c r="G110" i="25" s="1"/>
  <c r="E111" i="25" l="1"/>
  <c r="F111" i="25" s="1"/>
  <c r="G111" i="25" s="1"/>
  <c r="E112" i="25" l="1"/>
  <c r="F112" i="25" s="1"/>
  <c r="G112" i="25" s="1"/>
  <c r="E113" i="25" l="1"/>
  <c r="F113" i="25" s="1"/>
  <c r="G113" i="25" s="1"/>
  <c r="E114" i="25" l="1"/>
  <c r="F114" i="25" s="1"/>
  <c r="G114" i="25" s="1"/>
  <c r="E115" i="25" l="1"/>
  <c r="F115" i="25" s="1"/>
  <c r="G115" i="25" s="1"/>
  <c r="E116" i="25" l="1"/>
  <c r="F116" i="25" s="1"/>
  <c r="G116" i="25" s="1"/>
  <c r="E117" i="25" l="1"/>
  <c r="F117" i="25" s="1"/>
  <c r="G117" i="25" s="1"/>
  <c r="E118" i="25" l="1"/>
  <c r="F118" i="25" s="1"/>
  <c r="G118" i="25" s="1"/>
  <c r="E119" i="25" l="1"/>
  <c r="F119" i="25" s="1"/>
  <c r="G119" i="25" s="1"/>
  <c r="E120" i="25" l="1"/>
  <c r="F120" i="25" s="1"/>
  <c r="G120" i="25" s="1"/>
  <c r="E121" i="25" l="1"/>
  <c r="F121" i="25" s="1"/>
  <c r="G121" i="25" s="1"/>
  <c r="E122" i="25" l="1"/>
  <c r="F122" i="25" s="1"/>
  <c r="G122" i="25" s="1"/>
  <c r="E123" i="25" l="1"/>
  <c r="F123" i="25" s="1"/>
  <c r="G123" i="25" s="1"/>
  <c r="E124" i="25" l="1"/>
  <c r="F124" i="25" s="1"/>
  <c r="G124" i="25" s="1"/>
  <c r="E125" i="25" l="1"/>
  <c r="F125" i="25" s="1"/>
  <c r="G125" i="25" s="1"/>
  <c r="E126" i="25" l="1"/>
  <c r="F126" i="25" s="1"/>
  <c r="G126" i="25" s="1"/>
  <c r="E127" i="25" l="1"/>
  <c r="F127" i="25" s="1"/>
  <c r="G127" i="25" s="1"/>
  <c r="E128" i="25" l="1"/>
  <c r="F128" i="25" s="1"/>
  <c r="G128" i="25" s="1"/>
  <c r="E129" i="25" l="1"/>
  <c r="F129" i="25" s="1"/>
  <c r="G129" i="25" s="1"/>
  <c r="E130" i="25" l="1"/>
  <c r="F130" i="25" s="1"/>
  <c r="G130" i="25" s="1"/>
  <c r="E131" i="25" l="1"/>
  <c r="F131" i="25" s="1"/>
  <c r="G131" i="25" s="1"/>
  <c r="E132" i="25" l="1"/>
  <c r="F132" i="25" s="1"/>
  <c r="G132" i="25" s="1"/>
  <c r="E133" i="25" l="1"/>
  <c r="F133" i="25" s="1"/>
  <c r="G133" i="25" s="1"/>
  <c r="E134" i="25" l="1"/>
  <c r="F134" i="25" s="1"/>
  <c r="G134" i="25" s="1"/>
  <c r="E135" i="25" l="1"/>
  <c r="F135" i="25" s="1"/>
  <c r="G135" i="25" s="1"/>
  <c r="E136" i="25" l="1"/>
  <c r="F136" i="25" s="1"/>
  <c r="G136" i="25" s="1"/>
  <c r="E137" i="25" l="1"/>
  <c r="F137" i="25" s="1"/>
  <c r="G137" i="25" s="1"/>
  <c r="E138" i="25" l="1"/>
  <c r="F138" i="25" s="1"/>
  <c r="G138" i="25" s="1"/>
  <c r="E139" i="25" l="1"/>
  <c r="F139" i="25" s="1"/>
  <c r="G139" i="25" s="1"/>
  <c r="E140" i="25" l="1"/>
  <c r="F140" i="25" s="1"/>
  <c r="G140" i="25" s="1"/>
  <c r="E141" i="25" l="1"/>
  <c r="F141" i="25" s="1"/>
  <c r="G141" i="25" s="1"/>
  <c r="E142" i="25" l="1"/>
  <c r="F142" i="25" s="1"/>
  <c r="G142" i="25" s="1"/>
  <c r="E143" i="25" l="1"/>
  <c r="F143" i="25" s="1"/>
  <c r="G143" i="25" s="1"/>
  <c r="E144" i="25" l="1"/>
  <c r="F144" i="25" s="1"/>
  <c r="G144" i="25" s="1"/>
  <c r="E145" i="25" l="1"/>
  <c r="F145" i="25" s="1"/>
  <c r="G145" i="25" s="1"/>
  <c r="E146" i="25" l="1"/>
  <c r="F146" i="25" s="1"/>
  <c r="G146" i="25" s="1"/>
  <c r="E147" i="25" l="1"/>
  <c r="F147" i="25" s="1"/>
  <c r="G147" i="25" s="1"/>
  <c r="E148" i="25" l="1"/>
  <c r="F148" i="25" s="1"/>
  <c r="G148" i="25" s="1"/>
  <c r="E149" i="25" l="1"/>
  <c r="F149" i="25" s="1"/>
  <c r="G149" i="25" s="1"/>
  <c r="E150" i="25" l="1"/>
  <c r="F150" i="25" s="1"/>
  <c r="G150" i="2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CHIKH Sabrina</author>
    <author>Sabrina</author>
  </authors>
  <commentList>
    <comment ref="D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Forecast in Excel share price for years 1,2,3 &amp; 4 according to forecasted fluctuations. Acquisition value in year 0 is 200$</t>
        </r>
      </text>
    </comment>
    <comment ref="B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Compute global rate over the period</t>
        </r>
      </text>
    </comment>
    <comment ref="C9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Sabrina:</t>
        </r>
        <r>
          <rPr>
            <sz val="9"/>
            <color indexed="81"/>
            <rFont val="Tahoma"/>
            <family val="2"/>
          </rPr>
          <t xml:space="preserve">
Check</t>
        </r>
      </text>
    </comment>
    <comment ref="B1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Compute average rate over the period</t>
        </r>
      </text>
    </comment>
    <comment ref="C10" authorId="1" shapeId="0" xr:uid="{00000000-0006-0000-0100-000005000000}">
      <text>
        <r>
          <rPr>
            <b/>
            <sz val="9"/>
            <color indexed="81"/>
            <rFont val="Tahoma"/>
            <family val="2"/>
          </rPr>
          <t>Sabrina:</t>
        </r>
        <r>
          <rPr>
            <sz val="9"/>
            <color indexed="81"/>
            <rFont val="Tahoma"/>
            <family val="2"/>
          </rPr>
          <t xml:space="preserve">
Check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CHIKH Sabrina</author>
    <author>Sabrina</author>
  </authors>
  <commentList>
    <comment ref="B10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Using PV, calculate the present value of this single CF.</t>
        </r>
      </text>
    </comment>
    <comment ref="O10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Using FV, calculate the FV of the CF. </t>
        </r>
      </text>
    </comment>
    <comment ref="B1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Using calculations, calculate the present value of this single CF.</t>
        </r>
      </text>
    </comment>
    <comment ref="O11" authorId="1" shapeId="0" xr:uid="{00000000-0006-0000-0200-000004000000}">
      <text>
        <r>
          <rPr>
            <b/>
            <sz val="9"/>
            <color indexed="81"/>
            <rFont val="Tahoma"/>
            <family val="2"/>
          </rPr>
          <t>Sabrina:</t>
        </r>
        <r>
          <rPr>
            <sz val="9"/>
            <color indexed="81"/>
            <rFont val="Tahoma"/>
            <family val="2"/>
          </rPr>
          <t xml:space="preserve">
Using calculation, find the FV of the CF.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CHIKH Sabrina</author>
  </authors>
  <commentList>
    <comment ref="B10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Sum the discounted CF</t>
        </r>
      </text>
    </comment>
    <comment ref="C1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Using PV, calculate the PV of the CF</t>
        </r>
      </text>
    </comment>
    <comment ref="B1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Sum the dicounted CF</t>
        </r>
      </text>
    </comment>
    <comment ref="C1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Using calculation, find th PV of the CF. </t>
        </r>
      </text>
    </comment>
    <comment ref="B13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Using PV, calulate the PV of all the CF. </t>
        </r>
      </text>
    </comment>
    <comment ref="C17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Using FV, calculate the FV of the CF</t>
        </r>
      </text>
    </comment>
    <comment ref="H17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Sum the compounded CF</t>
        </r>
      </text>
    </comment>
    <comment ref="C18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Using calculation, find the FV of the CF. </t>
        </r>
      </text>
    </comment>
    <comment ref="H18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Sum the compounded CF</t>
        </r>
      </text>
    </comment>
    <comment ref="B20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Using FV, calulate the FV of all the CF.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CHIKH Sabrina</author>
  </authors>
  <commentList>
    <comment ref="C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Type a formula that prepare this row with the duration
=IF(B5&gt;0;…) works as well</t>
        </r>
      </text>
    </comment>
    <comment ref="C10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Type a formula that prepare this row with the payments </t>
        </r>
      </text>
    </comment>
    <comment ref="B12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Sum the compounded CF</t>
        </r>
      </text>
    </comment>
    <comment ref="C12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Using PV, calculate the PV of the CF</t>
        </r>
      </text>
    </comment>
    <comment ref="B14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Using PV, calculate the PV of all the CF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CHIKH Sabrina</author>
  </authors>
  <commentList>
    <comment ref="B3" authorId="0" shapeId="0" xr:uid="{43B3FF49-BA8F-4C2B-8CA7-A1AED6387651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Annual Proportional Rate</t>
        </r>
      </text>
    </comment>
    <comment ref="C3" authorId="0" shapeId="0" xr:uid="{F20B7D63-2262-411D-A26F-41E9B24CB2A4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Effective Annual Rate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CHIKH Sabrina</author>
  </authors>
  <commentList>
    <comment ref="D2" authorId="0" shapeId="0" xr:uid="{CBE068F2-A0CD-4981-A0B6-B4A3DF1E7C99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You will make display the selected project</t>
        </r>
      </text>
    </comment>
    <comment ref="I14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Calculate the nominal rate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CHIKH Sabrina</author>
  </authors>
  <commentList>
    <comment ref="F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Using NPV, calculate the NPV 
</t>
        </r>
      </text>
    </comment>
    <comment ref="F6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Using IRR, calculate the IRR of the project. </t>
        </r>
      </text>
    </comment>
    <comment ref="F8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 xml:space="preserve">CHIKH Sabrina
According to the results, display an automatic decision for this investment project.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CHIKH Sabrina</author>
  </authors>
  <commentList>
    <comment ref="K9" authorId="0" shapeId="0" xr:uid="{71E8DAE1-99A3-49C0-987B-50FE431BD9DA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compute the NPV by using the 0,1,2,3,4,5 timeline</t>
        </r>
      </text>
    </comment>
    <comment ref="B12" authorId="0" shapeId="0" xr:uid="{C9284C1A-E76D-4347-8737-794D0240BA11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Generate a time line which starts to the today date with a step of one year</t>
        </r>
      </text>
    </comment>
    <comment ref="I18" authorId="0" shapeId="0" xr:uid="{0ABCD9F8-1534-4152-947E-97B958A21D29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Display an automatic decision "Invest" / "Do not invest"</t>
        </r>
      </text>
    </comment>
    <comment ref="I20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Using a formula, display if there is a conflict between the NPV and the IRR criteria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CHIKH Sabrina</author>
  </authors>
  <commentList>
    <comment ref="D4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Cumulative factor = (1+previous cumulative rate)*(1+current rate)-1</t>
        </r>
      </text>
    </comment>
    <comment ref="E4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Each CF has to be divided by (1+cumulative factor)</t>
        </r>
      </text>
    </comment>
    <comment ref="F13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 xml:space="preserve">CHIKH Sabrina
According to the results, display an automatic decision for this investment project. 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Sabrina</author>
    <author>CHIKH Sabrina</author>
  </authors>
  <commentList>
    <comment ref="B6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Sabrina:</t>
        </r>
        <r>
          <rPr>
            <sz val="9"/>
            <color indexed="81"/>
            <rFont val="Tahoma"/>
            <family val="2"/>
          </rPr>
          <t xml:space="preserve">
Using VPM, calculate the payment (negative as it is reimbursment)</t>
        </r>
      </text>
    </comment>
    <comment ref="A15" authorId="1" shapeId="0" xr:uid="{00000000-0006-0000-0B00-000002000000}">
      <text>
        <r>
          <rPr>
            <b/>
            <sz val="9"/>
            <color indexed="81"/>
            <rFont val="Tahoma"/>
            <family val="2"/>
          </rPr>
          <t>CHIKH Sabrina
Display the payment values related to the rates [7%:10] for the period [10;20]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CHIKH Sabrina</author>
  </authors>
  <commentList>
    <comment ref="A9" authorId="0" shapeId="0" xr:uid="{42613D8A-3D8F-40BD-AD63-75E68C145739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The TV is the value of the futur CF after period 5, expressed in period 5. TV = CF6 / 1+7%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CHIKH Sabrina</author>
  </authors>
  <commentList>
    <comment ref="A12" authorId="0" shapeId="0" xr:uid="{83B86E0C-4BB1-45DB-A05A-305031DA81BC}">
      <text>
        <r>
          <rPr>
            <b/>
            <sz val="9"/>
            <color indexed="81"/>
            <rFont val="Tahoma"/>
            <family val="2"/>
          </rPr>
          <t>CHIKH Sabrina:</t>
        </r>
        <r>
          <rPr>
            <sz val="9"/>
            <color indexed="81"/>
            <rFont val="Tahoma"/>
            <family val="2"/>
          </rPr>
          <t xml:space="preserve">
The TV is the value of the futur CF after period 5, expressed in period 5. TV = CF6 / 1+7%</t>
        </r>
      </text>
    </comment>
  </commentList>
</comments>
</file>

<file path=xl/sharedStrings.xml><?xml version="1.0" encoding="utf-8"?>
<sst xmlns="http://schemas.openxmlformats.org/spreadsheetml/2006/main" count="309" uniqueCount="187">
  <si>
    <t>YEAR</t>
  </si>
  <si>
    <t>FLUCTUATION</t>
  </si>
  <si>
    <t>1</t>
  </si>
  <si>
    <t>2</t>
  </si>
  <si>
    <t>3</t>
  </si>
  <si>
    <t>4</t>
  </si>
  <si>
    <t>VALUE AT YEAR END</t>
  </si>
  <si>
    <t>GLOBAL EVOLUTION RATE</t>
  </si>
  <si>
    <t>AVERAGE EVOLUTION RATE</t>
  </si>
  <si>
    <t>PERIOD</t>
  </si>
  <si>
    <t>CASH FLOWS</t>
  </si>
  <si>
    <t>FV</t>
  </si>
  <si>
    <t>1/ TIME LINE</t>
  </si>
  <si>
    <t>2/ EXCEL FORMULA</t>
  </si>
  <si>
    <t>TOTAL</t>
  </si>
  <si>
    <t>PV FORMULA</t>
  </si>
  <si>
    <t>NPV</t>
  </si>
  <si>
    <t>PAYMENT</t>
  </si>
  <si>
    <t>PV EXCEL</t>
  </si>
  <si>
    <t>FV EXCEL</t>
  </si>
  <si>
    <t>BEGINNING BALANCE</t>
  </si>
  <si>
    <t>PRINCIPAL COMPONENT</t>
  </si>
  <si>
    <t>INTERETS COMPONENT</t>
  </si>
  <si>
    <t>1/ ANNUITY CALCULATION</t>
  </si>
  <si>
    <t>2/ TIME LINE</t>
  </si>
  <si>
    <t>Rate</t>
  </si>
  <si>
    <t>Period</t>
  </si>
  <si>
    <t>Payment</t>
  </si>
  <si>
    <t>0</t>
  </si>
  <si>
    <t xml:space="preserve">Residual cost </t>
  </si>
  <si>
    <t>Corporate tax rate</t>
  </si>
  <si>
    <t>RESIDUAL COST</t>
  </si>
  <si>
    <t>Discount rate</t>
  </si>
  <si>
    <t>DEPRECIATION</t>
  </si>
  <si>
    <t>TAX SHIELDS</t>
  </si>
  <si>
    <t>Duration</t>
  </si>
  <si>
    <t>Cash Flows</t>
  </si>
  <si>
    <t>Discount Rate / Period</t>
  </si>
  <si>
    <t>Number of Periods</t>
  </si>
  <si>
    <t>Present Value</t>
  </si>
  <si>
    <t>Inputs</t>
  </si>
  <si>
    <t>Payment using the PMT Function</t>
  </si>
  <si>
    <t>Num of Periods using the NPER Function</t>
  </si>
  <si>
    <t>RATES</t>
  </si>
  <si>
    <t>Future value</t>
  </si>
  <si>
    <t>Discount Rate</t>
  </si>
  <si>
    <t>Present value</t>
  </si>
  <si>
    <t>CASH FLOWS PV (EXCEL)</t>
  </si>
  <si>
    <t>CASH FLOWS FV (EXCEL)</t>
  </si>
  <si>
    <t xml:space="preserve"> </t>
  </si>
  <si>
    <t>CASH FLOWS PV (FORMULA)</t>
  </si>
  <si>
    <t>CASH FLOWS FV (FORMULA)</t>
  </si>
  <si>
    <t>Future Value</t>
  </si>
  <si>
    <t>CF0</t>
  </si>
  <si>
    <t>CF1</t>
  </si>
  <si>
    <t>CF2</t>
  </si>
  <si>
    <t>CF3</t>
  </si>
  <si>
    <t>CF4</t>
  </si>
  <si>
    <t>CF5</t>
  </si>
  <si>
    <t>Real Discount Rate</t>
  </si>
  <si>
    <t>Inflation rate</t>
  </si>
  <si>
    <t>1/ NOMINAL RATE CALCULATION</t>
  </si>
  <si>
    <t>3/ EXCEL FORMULA</t>
  </si>
  <si>
    <t>Interest rate</t>
  </si>
  <si>
    <t>Loan Present Value</t>
  </si>
  <si>
    <t>1/ AFTER TAX COST OF DEBT</t>
  </si>
  <si>
    <t>AFTER TAX COST OF DEBT</t>
  </si>
  <si>
    <t>3/BUY OPTION</t>
  </si>
  <si>
    <t>NET CF</t>
  </si>
  <si>
    <t xml:space="preserve">Link between the PV and FV </t>
  </si>
  <si>
    <t>DISCOUNTED CF</t>
  </si>
  <si>
    <t>CF</t>
  </si>
  <si>
    <t xml:space="preserve">NPV </t>
  </si>
  <si>
    <t>TIME</t>
  </si>
  <si>
    <t>PV</t>
  </si>
  <si>
    <t>Regular Deposit</t>
  </si>
  <si>
    <t xml:space="preserve">Cash flow </t>
  </si>
  <si>
    <t>IRR</t>
  </si>
  <si>
    <t>Investment</t>
  </si>
  <si>
    <t>Amount</t>
  </si>
  <si>
    <t>Type</t>
  </si>
  <si>
    <t>Year</t>
  </si>
  <si>
    <t>Present Value of each CF</t>
  </si>
  <si>
    <t>Discount Rate / Per using the RATE Function</t>
  </si>
  <si>
    <t>Decision</t>
  </si>
  <si>
    <t>PROJECT A</t>
  </si>
  <si>
    <t>PROJECT B</t>
  </si>
  <si>
    <t>INVESTMENT DECISION</t>
  </si>
  <si>
    <t>INTERESTS COMPONENT</t>
  </si>
  <si>
    <t>COST</t>
  </si>
  <si>
    <t>Conflict ?</t>
  </si>
  <si>
    <t>Cash flow</t>
  </si>
  <si>
    <t>interest rate:</t>
  </si>
  <si>
    <t>Residual Debt</t>
  </si>
  <si>
    <t>Principal</t>
  </si>
  <si>
    <t>Interest</t>
  </si>
  <si>
    <t>Monthly payment ($)</t>
  </si>
  <si>
    <t>Loan Amount ($)</t>
  </si>
  <si>
    <t>Interest rate (monthly)</t>
  </si>
  <si>
    <t>Interest rate (annual)</t>
  </si>
  <si>
    <t>Number of periods</t>
  </si>
  <si>
    <t>Rates</t>
  </si>
  <si>
    <t>Single cash flow</t>
  </si>
  <si>
    <t>Annuity</t>
  </si>
  <si>
    <t xml:space="preserve">Model for annuity </t>
  </si>
  <si>
    <t>Loan schedule</t>
  </si>
  <si>
    <t>Loan sensitivity analysis</t>
  </si>
  <si>
    <t>SUMMARY</t>
  </si>
  <si>
    <t>Cash flows</t>
  </si>
  <si>
    <t>Annuities</t>
  </si>
  <si>
    <t>NPV - IRR</t>
  </si>
  <si>
    <t xml:space="preserve">Loan </t>
  </si>
  <si>
    <t>AFTER TAX COST</t>
  </si>
  <si>
    <t xml:space="preserve">4/DECISION </t>
  </si>
  <si>
    <t>Try to solve this problem by yourself. If you really feel that you need help, click here:</t>
  </si>
  <si>
    <t>Help!!!</t>
  </si>
  <si>
    <t>A friend of yours desperately needs a mortgage loan. He has already talked to several banks, but he has not received information about the monthly payment he will have to pay/</t>
  </si>
  <si>
    <t xml:space="preserve">Help him to evaluate which bank offers the lowes monthly payment and create a debt schedule. </t>
  </si>
  <si>
    <t>Cumulative factor</t>
  </si>
  <si>
    <t>Discouted CF by using the cumulative factor</t>
  </si>
  <si>
    <t>Cumulative discount factor</t>
  </si>
  <si>
    <t>Variable rates</t>
  </si>
  <si>
    <t>Discounted CF by using the current rates</t>
  </si>
  <si>
    <t>Calculate the amount of the credit that has been paid in period 10</t>
  </si>
  <si>
    <t>PV TOTAL COST</t>
  </si>
  <si>
    <t>Financial decisions</t>
  </si>
  <si>
    <t>WRONG APPROACH</t>
  </si>
  <si>
    <t>CORRECT APPROACH</t>
  </si>
  <si>
    <t>2/ LEASE AND BUY OPTION</t>
  </si>
  <si>
    <t>XIRR</t>
  </si>
  <si>
    <t xml:space="preserve">Constant periods </t>
  </si>
  <si>
    <t xml:space="preserve">Variable periods </t>
  </si>
  <si>
    <t>XNPV</t>
  </si>
  <si>
    <t>PV FUNCTION</t>
  </si>
  <si>
    <t>FV FUNCTION</t>
  </si>
  <si>
    <t xml:space="preserve">You will prepare a dynamic timeline according to the value entered in the duration cell. </t>
  </si>
  <si>
    <t>You will complete all the requested calculation by using the corresponding functions.</t>
  </si>
  <si>
    <t>Time line with numbers</t>
  </si>
  <si>
    <t>Time line with dates</t>
  </si>
  <si>
    <t>Complete the NPV and IRR for each of these timelines.</t>
  </si>
  <si>
    <t>Display the investment decision and if there is a conflict between the NPV and the IRR criteria.</t>
  </si>
  <si>
    <t>In this exercise, you can notice that the discount rate is not constant. Compute the NPV by taking into account this fact.</t>
  </si>
  <si>
    <t>PV calculated from the FV</t>
  </si>
  <si>
    <t>PV calculated from the PMT</t>
  </si>
  <si>
    <t>APR</t>
  </si>
  <si>
    <t xml:space="preserve">EAR </t>
  </si>
  <si>
    <t>EAR calculated "manually"</t>
  </si>
  <si>
    <t xml:space="preserve">Monthly rate </t>
  </si>
  <si>
    <t>Annual rate</t>
  </si>
  <si>
    <t>Duration in years</t>
  </si>
  <si>
    <t>Duration in months</t>
  </si>
  <si>
    <t>Relation between 1st PMT in P0 and in P1</t>
  </si>
  <si>
    <t>Equivalent annual rate to the monthly rate</t>
  </si>
  <si>
    <t>2/SENSIVITY ANALYSIS</t>
  </si>
  <si>
    <t>PMT CALCULATION</t>
  </si>
  <si>
    <t xml:space="preserve">Lease vs Buy </t>
  </si>
  <si>
    <t>Lease vs Buy  with help</t>
  </si>
  <si>
    <t>XNPV - XIRR</t>
  </si>
  <si>
    <t>Payment timing</t>
  </si>
  <si>
    <r>
      <rPr>
        <u/>
        <sz val="11"/>
        <color rgb="FFFF0000"/>
        <rFont val="Calibri"/>
        <family val="2"/>
        <scheme val="minor"/>
      </rPr>
      <t>Scénario 2</t>
    </r>
    <r>
      <rPr>
        <sz val="11"/>
        <color rgb="FFFF0000"/>
        <rFont val="Calibri"/>
        <family val="2"/>
        <scheme val="minor"/>
      </rPr>
      <t xml:space="preserve">: Regular  deposits of 100€ at the </t>
    </r>
    <r>
      <rPr>
        <b/>
        <sz val="11"/>
        <color rgb="FFFF0000"/>
        <rFont val="Calibri"/>
        <family val="2"/>
        <scheme val="minor"/>
      </rPr>
      <t>beginning</t>
    </r>
    <r>
      <rPr>
        <sz val="11"/>
        <color rgb="FFFF0000"/>
        <rFont val="Calibri"/>
        <family val="2"/>
        <scheme val="minor"/>
      </rPr>
      <t xml:space="preserve"> of each month for 20 years with annual interest rate of 12%?</t>
    </r>
  </si>
  <si>
    <r>
      <rPr>
        <u/>
        <sz val="11"/>
        <color rgb="FFFF0000"/>
        <rFont val="Calibri"/>
        <family val="2"/>
        <scheme val="minor"/>
      </rPr>
      <t>Scénario 1</t>
    </r>
    <r>
      <rPr>
        <sz val="11"/>
        <color rgb="FFFF0000"/>
        <rFont val="Calibri"/>
        <family val="2"/>
        <scheme val="minor"/>
      </rPr>
      <t>: Regular monthly deposits of 100€  for 20 years with annual interest rate of 12%?</t>
    </r>
  </si>
  <si>
    <r>
      <rPr>
        <u/>
        <sz val="11"/>
        <color rgb="FFFF0000"/>
        <rFont val="Calibri"/>
        <family val="2"/>
        <scheme val="minor"/>
      </rPr>
      <t>Scénario 3</t>
    </r>
    <r>
      <rPr>
        <sz val="11"/>
        <color rgb="FFFF0000"/>
        <rFont val="Calibri"/>
        <family val="2"/>
        <scheme val="minor"/>
      </rPr>
      <t>: Regular monthly deposits of 100€  for 20 years in an account with 20 000 €,  at the annual interest rate of 12%?</t>
    </r>
  </si>
  <si>
    <t>First Stage: Finite Horizon</t>
  </si>
  <si>
    <t>2nd stage: Infinite Horizon</t>
  </si>
  <si>
    <t>Terminal value</t>
  </si>
  <si>
    <t>Cash flows in M€</t>
  </si>
  <si>
    <t>Time</t>
  </si>
  <si>
    <t>Company value</t>
  </si>
  <si>
    <t>∞</t>
  </si>
  <si>
    <t>Calculate the company value according to this set of cash flows.</t>
  </si>
  <si>
    <t xml:space="preserve">Growth rate g </t>
  </si>
  <si>
    <t xml:space="preserve">CF + TV </t>
  </si>
  <si>
    <t>TERMINAL VALUE</t>
  </si>
  <si>
    <t>Optimistic case</t>
  </si>
  <si>
    <t>Realistic case</t>
  </si>
  <si>
    <t xml:space="preserve">Pessimistic case </t>
  </si>
  <si>
    <t>Growth rate of CF</t>
  </si>
  <si>
    <t>Calculate the company value according to this set of cash flows according to the selected state of the world</t>
  </si>
  <si>
    <t>Terminal Value with scenario</t>
  </si>
  <si>
    <t>Debt amount</t>
  </si>
  <si>
    <t xml:space="preserve">Equity </t>
  </si>
  <si>
    <t>Cost of debt</t>
  </si>
  <si>
    <t xml:space="preserve">Cost of equity </t>
  </si>
  <si>
    <t>Taxe rate</t>
  </si>
  <si>
    <t>Discount rate = WACC</t>
  </si>
  <si>
    <t>NPV with cost of capital</t>
  </si>
  <si>
    <t xml:space="preserve">Calculate the company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</si>
</sst>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-[$$-409]* #,##0.00_ ;_-[$$-409]* \-#,##0.00\ ;_-[$$-409]* &quot;-&quot;??_ ;_-@_ "/>
    <numFmt numFmtId="166" formatCode="0.00_ ;[Red]\-0.00\ "/>
    <numFmt numFmtId="167" formatCode="&quot;$&quot;#,##0.00_);\(&quot;$&quot;#,##0.00\)"/>
    <numFmt numFmtId="168" formatCode="&quot;$&quot;#,##0_);\(&quot;$&quot;#,##0\)"/>
    <numFmt numFmtId="169" formatCode="0.0%"/>
    <numFmt numFmtId="170" formatCode="&quot;$&quot;#,##0_);[Red]\(&quot;$&quot;#,##0\)"/>
    <numFmt numFmtId="171" formatCode="_(&quot;$&quot;* #,##0.00_);_(&quot;$&quot;* \(#,##0.00\);_(&quot;$&quot;* &quot;-&quot;??_);_(@_)"/>
    <numFmt numFmtId="172" formatCode="_-[$$-409]* #,##0_ ;_-[$$-409]* \-#,##0\ ;_-[$$-409]* &quot;-&quot;??_ ;_-@_ "/>
    <numFmt numFmtId="173" formatCode="#,##0_ ;\-#,##0\ "/>
    <numFmt numFmtId="174" formatCode="[$$-409]#,##0.00;[Red][$$-409]#,##0.00"/>
    <numFmt numFmtId="175" formatCode="[$$-409]#,##0.00"/>
    <numFmt numFmtId="176" formatCode="_(* #,##0.00_);_(* \(#,##0.00\);_(* &quot;-&quot;??_);_(@_)"/>
    <numFmt numFmtId="177" formatCode="_(* #,##0.0_);_(* \(#,##0.0\);_(* &quot;-&quot;??_);_(@_)"/>
    <numFmt numFmtId="178" formatCode="_(* #,##0_);_(* \(#,##0\);_(* &quot;-&quot;??_);_(@_)"/>
  </numFmts>
  <fonts count="5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Aharoni"/>
      <charset val="177"/>
    </font>
    <font>
      <sz val="12"/>
      <color theme="1"/>
      <name val="Aharoni"/>
      <charset val="177"/>
    </font>
    <font>
      <sz val="16"/>
      <color theme="1"/>
      <name val="Aharoni"/>
      <charset val="177"/>
    </font>
    <font>
      <b/>
      <sz val="12"/>
      <color rgb="FFFF0000"/>
      <name val="Calibri"/>
      <family val="2"/>
      <scheme val="minor"/>
    </font>
    <font>
      <b/>
      <sz val="12"/>
      <color theme="1"/>
      <name val="Abadi"/>
      <family val="2"/>
    </font>
    <font>
      <sz val="12"/>
      <color theme="1"/>
      <name val="Abadi"/>
      <family val="2"/>
    </font>
    <font>
      <b/>
      <sz val="10"/>
      <name val="Abadi"/>
      <family val="2"/>
    </font>
    <font>
      <b/>
      <sz val="12"/>
      <color rgb="FFFF0000"/>
      <name val="Abadi"/>
      <family val="2"/>
    </font>
    <font>
      <sz val="10"/>
      <name val="Abadi"/>
      <family val="2"/>
    </font>
    <font>
      <b/>
      <sz val="10"/>
      <color rgb="FFFF0000"/>
      <name val="Abadi"/>
      <family val="2"/>
    </font>
    <font>
      <sz val="12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00206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b/>
      <i/>
      <sz val="9"/>
      <color rgb="FF002060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color theme="4" tint="-0.249977111117893"/>
      <name val="Arial"/>
      <family val="2"/>
    </font>
    <font>
      <b/>
      <u/>
      <sz val="9"/>
      <color rgb="FF002060"/>
      <name val="Arial"/>
      <family val="2"/>
    </font>
    <font>
      <sz val="9"/>
      <name val="Arial"/>
      <family val="2"/>
    </font>
    <font>
      <u/>
      <sz val="12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9"/>
      <color theme="3"/>
      <name val="Arial"/>
      <family val="2"/>
    </font>
    <font>
      <b/>
      <sz val="12"/>
      <color rgb="FF00B050"/>
      <name val="Abadi Extra Light"/>
      <family val="2"/>
    </font>
    <font>
      <b/>
      <sz val="12"/>
      <color rgb="FFFF0000"/>
      <name val="Abadi Extra Light"/>
      <family val="2"/>
    </font>
    <font>
      <b/>
      <sz val="9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u/>
      <sz val="11"/>
      <color rgb="FFFF0000"/>
      <name val="Calibri"/>
      <family val="2"/>
      <scheme val="minor"/>
    </font>
    <font>
      <i/>
      <sz val="11"/>
      <color theme="3"/>
      <name val="Calibri"/>
      <family val="2"/>
      <scheme val="minor"/>
    </font>
    <font>
      <sz val="36"/>
      <color theme="1"/>
      <name val="Aptos SemiBold"/>
      <family val="2"/>
    </font>
  </fonts>
  <fills count="2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ACEED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16"/>
      </left>
      <right style="medium">
        <color indexed="64"/>
      </right>
      <top style="thin">
        <color indexed="16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16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5">
    <xf numFmtId="0" fontId="0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1" fillId="0" borderId="0"/>
    <xf numFmtId="171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4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7" fillId="0" borderId="0" applyNumberFormat="0" applyFill="0" applyBorder="0" applyAlignment="0" applyProtection="0"/>
  </cellStyleXfs>
  <cellXfs count="300">
    <xf numFmtId="0" fontId="0" fillId="0" borderId="0" xfId="0"/>
    <xf numFmtId="9" fontId="0" fillId="0" borderId="0" xfId="0" applyNumberFormat="1"/>
    <xf numFmtId="10" fontId="0" fillId="0" borderId="0" xfId="0" applyNumberFormat="1"/>
    <xf numFmtId="8" fontId="0" fillId="0" borderId="0" xfId="0" applyNumberForma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165" fontId="0" fillId="0" borderId="0" xfId="0" applyNumberFormat="1"/>
    <xf numFmtId="0" fontId="0" fillId="0" borderId="1" xfId="0" applyBorder="1" applyAlignment="1">
      <alignment horizontal="right"/>
    </xf>
    <xf numFmtId="166" fontId="0" fillId="0" borderId="0" xfId="0" applyNumberFormat="1"/>
    <xf numFmtId="0" fontId="10" fillId="0" borderId="0" xfId="0" applyFont="1"/>
    <xf numFmtId="165" fontId="10" fillId="0" borderId="0" xfId="0" applyNumberFormat="1" applyFont="1"/>
    <xf numFmtId="2" fontId="0" fillId="0" borderId="1" xfId="0" applyNumberFormat="1" applyBorder="1"/>
    <xf numFmtId="0" fontId="0" fillId="4" borderId="0" xfId="0" applyFill="1"/>
    <xf numFmtId="174" fontId="0" fillId="0" borderId="1" xfId="0" applyNumberFormat="1" applyBorder="1"/>
    <xf numFmtId="175" fontId="0" fillId="0" borderId="1" xfId="0" applyNumberFormat="1" applyBorder="1"/>
    <xf numFmtId="165" fontId="0" fillId="0" borderId="3" xfId="0" applyNumberFormat="1" applyBorder="1"/>
    <xf numFmtId="165" fontId="10" fillId="5" borderId="3" xfId="0" applyNumberFormat="1" applyFont="1" applyFill="1" applyBorder="1"/>
    <xf numFmtId="2" fontId="10" fillId="5" borderId="3" xfId="0" applyNumberFormat="1" applyFont="1" applyFill="1" applyBorder="1"/>
    <xf numFmtId="0" fontId="0" fillId="4" borderId="3" xfId="0" applyFill="1" applyBorder="1"/>
    <xf numFmtId="0" fontId="5" fillId="0" borderId="0" xfId="6"/>
    <xf numFmtId="0" fontId="5" fillId="0" borderId="0" xfId="6" applyAlignment="1">
      <alignment horizontal="center"/>
    </xf>
    <xf numFmtId="8" fontId="5" fillId="0" borderId="0" xfId="6" applyNumberFormat="1" applyAlignment="1">
      <alignment horizont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/>
    </xf>
    <xf numFmtId="0" fontId="15" fillId="0" borderId="4" xfId="0" applyFont="1" applyBorder="1"/>
    <xf numFmtId="0" fontId="15" fillId="0" borderId="7" xfId="0" applyFont="1" applyBorder="1"/>
    <xf numFmtId="0" fontId="15" fillId="0" borderId="9" xfId="0" applyFont="1" applyBorder="1"/>
    <xf numFmtId="0" fontId="15" fillId="0" borderId="10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10" fontId="16" fillId="3" borderId="5" xfId="0" applyNumberFormat="1" applyFont="1" applyFill="1" applyBorder="1"/>
    <xf numFmtId="0" fontId="16" fillId="6" borderId="6" xfId="0" applyFont="1" applyFill="1" applyBorder="1" applyAlignment="1">
      <alignment horizontal="center"/>
    </xf>
    <xf numFmtId="10" fontId="16" fillId="3" borderId="10" xfId="0" applyNumberFormat="1" applyFont="1" applyFill="1" applyBorder="1"/>
    <xf numFmtId="0" fontId="16" fillId="6" borderId="11" xfId="2" applyNumberFormat="1" applyFont="1" applyFill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0" xfId="0" applyFont="1" applyAlignment="1">
      <alignment horizontal="center"/>
    </xf>
    <xf numFmtId="9" fontId="16" fillId="0" borderId="0" xfId="0" applyNumberFormat="1" applyFont="1" applyAlignment="1">
      <alignment horizontal="center"/>
    </xf>
    <xf numFmtId="9" fontId="16" fillId="0" borderId="8" xfId="0" applyNumberFormat="1" applyFont="1" applyBorder="1" applyAlignment="1">
      <alignment horizontal="center"/>
    </xf>
    <xf numFmtId="165" fontId="16" fillId="2" borderId="0" xfId="0" applyNumberFormat="1" applyFont="1" applyFill="1" applyAlignment="1">
      <alignment horizontal="center"/>
    </xf>
    <xf numFmtId="165" fontId="16" fillId="3" borderId="0" xfId="0" applyNumberFormat="1" applyFont="1" applyFill="1" applyAlignment="1">
      <alignment horizontal="center"/>
    </xf>
    <xf numFmtId="165" fontId="0" fillId="6" borderId="1" xfId="0" applyNumberFormat="1" applyFill="1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44" fontId="18" fillId="0" borderId="0" xfId="1" applyFont="1"/>
    <xf numFmtId="0" fontId="20" fillId="0" borderId="0" xfId="0" applyFont="1"/>
    <xf numFmtId="167" fontId="19" fillId="0" borderId="0" xfId="1" applyNumberFormat="1" applyFont="1" applyBorder="1"/>
    <xf numFmtId="0" fontId="20" fillId="7" borderId="0" xfId="0" applyFont="1" applyFill="1"/>
    <xf numFmtId="37" fontId="19" fillId="7" borderId="0" xfId="1" applyNumberFormat="1" applyFont="1" applyFill="1" applyBorder="1"/>
    <xf numFmtId="37" fontId="18" fillId="7" borderId="0" xfId="1" applyNumberFormat="1" applyFont="1" applyFill="1" applyBorder="1" applyAlignment="1">
      <alignment horizontal="center"/>
    </xf>
    <xf numFmtId="0" fontId="18" fillId="6" borderId="0" xfId="0" applyFont="1" applyFill="1"/>
    <xf numFmtId="167" fontId="19" fillId="6" borderId="0" xfId="0" applyNumberFormat="1" applyFont="1" applyFill="1"/>
    <xf numFmtId="167" fontId="18" fillId="6" borderId="0" xfId="0" applyNumberFormat="1" applyFont="1" applyFill="1" applyAlignment="1">
      <alignment horizontal="center"/>
    </xf>
    <xf numFmtId="167" fontId="19" fillId="0" borderId="0" xfId="0" applyNumberFormat="1" applyFont="1" applyAlignment="1">
      <alignment horizontal="center"/>
    </xf>
    <xf numFmtId="167" fontId="19" fillId="0" borderId="0" xfId="0" applyNumberFormat="1" applyFont="1"/>
    <xf numFmtId="167" fontId="19" fillId="8" borderId="0" xfId="0" applyNumberFormat="1" applyFont="1" applyFill="1" applyAlignment="1">
      <alignment horizontal="center"/>
    </xf>
    <xf numFmtId="0" fontId="21" fillId="0" borderId="0" xfId="0" applyFont="1"/>
    <xf numFmtId="0" fontId="18" fillId="0" borderId="0" xfId="0" applyFont="1" applyAlignment="1">
      <alignment horizontal="center"/>
    </xf>
    <xf numFmtId="167" fontId="18" fillId="0" borderId="0" xfId="0" applyNumberFormat="1" applyFont="1" applyAlignment="1">
      <alignment horizontal="center"/>
    </xf>
    <xf numFmtId="168" fontId="19" fillId="0" borderId="0" xfId="0" applyNumberFormat="1" applyFont="1"/>
    <xf numFmtId="0" fontId="18" fillId="0" borderId="13" xfId="0" applyFont="1" applyBorder="1"/>
    <xf numFmtId="0" fontId="23" fillId="0" borderId="4" xfId="0" applyFont="1" applyBorder="1"/>
    <xf numFmtId="167" fontId="19" fillId="0" borderId="6" xfId="1" applyNumberFormat="1" applyFont="1" applyBorder="1"/>
    <xf numFmtId="0" fontId="19" fillId="0" borderId="9" xfId="0" applyFont="1" applyBorder="1"/>
    <xf numFmtId="0" fontId="22" fillId="0" borderId="9" xfId="0" applyFont="1" applyBorder="1"/>
    <xf numFmtId="170" fontId="19" fillId="0" borderId="0" xfId="0" applyNumberFormat="1" applyFont="1"/>
    <xf numFmtId="0" fontId="13" fillId="9" borderId="13" xfId="6" applyFont="1" applyFill="1" applyBorder="1"/>
    <xf numFmtId="0" fontId="13" fillId="9" borderId="15" xfId="6" applyFont="1" applyFill="1" applyBorder="1"/>
    <xf numFmtId="166" fontId="0" fillId="0" borderId="3" xfId="0" applyNumberFormat="1" applyBorder="1"/>
    <xf numFmtId="0" fontId="0" fillId="0" borderId="3" xfId="0" applyBorder="1"/>
    <xf numFmtId="0" fontId="25" fillId="4" borderId="0" xfId="9" applyFont="1" applyFill="1"/>
    <xf numFmtId="14" fontId="25" fillId="4" borderId="0" xfId="9" applyNumberFormat="1" applyFont="1" applyFill="1"/>
    <xf numFmtId="0" fontId="25" fillId="9" borderId="0" xfId="9" applyFont="1" applyFill="1"/>
    <xf numFmtId="0" fontId="25" fillId="4" borderId="0" xfId="9" applyFont="1" applyFill="1" applyAlignment="1">
      <alignment horizontal="right"/>
    </xf>
    <xf numFmtId="1" fontId="3" fillId="4" borderId="0" xfId="9" applyNumberFormat="1" applyFill="1"/>
    <xf numFmtId="1" fontId="25" fillId="4" borderId="0" xfId="9" applyNumberFormat="1" applyFont="1" applyFill="1"/>
    <xf numFmtId="0" fontId="28" fillId="4" borderId="0" xfId="9" applyFont="1" applyFill="1" applyAlignment="1">
      <alignment horizontal="right"/>
    </xf>
    <xf numFmtId="0" fontId="25" fillId="4" borderId="0" xfId="9" applyFont="1" applyFill="1" applyAlignment="1">
      <alignment horizontal="left"/>
    </xf>
    <xf numFmtId="0" fontId="31" fillId="4" borderId="0" xfId="9" applyFont="1" applyFill="1"/>
    <xf numFmtId="0" fontId="33" fillId="4" borderId="0" xfId="9" applyFont="1" applyFill="1"/>
    <xf numFmtId="10" fontId="34" fillId="10" borderId="3" xfId="10" applyNumberFormat="1" applyFont="1" applyFill="1" applyBorder="1" applyAlignment="1">
      <alignment horizontal="center"/>
    </xf>
    <xf numFmtId="0" fontId="25" fillId="4" borderId="0" xfId="11" applyFont="1" applyFill="1"/>
    <xf numFmtId="14" fontId="25" fillId="4" borderId="0" xfId="11" applyNumberFormat="1" applyFont="1" applyFill="1"/>
    <xf numFmtId="0" fontId="25" fillId="4" borderId="0" xfId="11" applyFont="1" applyFill="1" applyAlignment="1">
      <alignment horizontal="center"/>
    </xf>
    <xf numFmtId="14" fontId="25" fillId="4" borderId="0" xfId="11" applyNumberFormat="1" applyFont="1" applyFill="1" applyAlignment="1">
      <alignment horizontal="center"/>
    </xf>
    <xf numFmtId="0" fontId="31" fillId="4" borderId="0" xfId="11" applyFont="1" applyFill="1"/>
    <xf numFmtId="0" fontId="32" fillId="4" borderId="0" xfId="11" applyFont="1" applyFill="1"/>
    <xf numFmtId="176" fontId="25" fillId="4" borderId="0" xfId="11" applyNumberFormat="1" applyFont="1" applyFill="1"/>
    <xf numFmtId="177" fontId="25" fillId="4" borderId="0" xfId="11" applyNumberFormat="1" applyFont="1" applyFill="1"/>
    <xf numFmtId="1" fontId="28" fillId="4" borderId="18" xfId="11" applyNumberFormat="1" applyFont="1" applyFill="1" applyBorder="1" applyAlignment="1">
      <alignment horizontal="right"/>
    </xf>
    <xf numFmtId="1" fontId="28" fillId="4" borderId="18" xfId="11" applyNumberFormat="1" applyFont="1" applyFill="1" applyBorder="1" applyAlignment="1">
      <alignment horizontal="left"/>
    </xf>
    <xf numFmtId="0" fontId="33" fillId="4" borderId="0" xfId="11" applyFont="1" applyFill="1"/>
    <xf numFmtId="0" fontId="35" fillId="4" borderId="0" xfId="11" applyFont="1" applyFill="1"/>
    <xf numFmtId="1" fontId="25" fillId="4" borderId="0" xfId="11" applyNumberFormat="1" applyFont="1" applyFill="1"/>
    <xf numFmtId="1" fontId="25" fillId="4" borderId="0" xfId="11" applyNumberFormat="1" applyFont="1" applyFill="1" applyAlignment="1">
      <alignment horizontal="right"/>
    </xf>
    <xf numFmtId="0" fontId="25" fillId="4" borderId="0" xfId="11" applyFont="1" applyFill="1" applyAlignment="1">
      <alignment horizontal="right"/>
    </xf>
    <xf numFmtId="0" fontId="25" fillId="4" borderId="0" xfId="11" applyFont="1" applyFill="1" applyAlignment="1">
      <alignment horizontal="left"/>
    </xf>
    <xf numFmtId="0" fontId="27" fillId="4" borderId="0" xfId="11" applyFont="1" applyFill="1"/>
    <xf numFmtId="0" fontId="33" fillId="4" borderId="0" xfId="11" applyFont="1" applyFill="1" applyAlignment="1">
      <alignment horizontal="left"/>
    </xf>
    <xf numFmtId="0" fontId="33" fillId="4" borderId="0" xfId="11" applyFont="1" applyFill="1" applyAlignment="1">
      <alignment horizontal="right"/>
    </xf>
    <xf numFmtId="178" fontId="36" fillId="4" borderId="0" xfId="12" applyNumberFormat="1" applyFont="1" applyFill="1"/>
    <xf numFmtId="10" fontId="36" fillId="4" borderId="0" xfId="13" applyNumberFormat="1" applyFont="1" applyFill="1"/>
    <xf numFmtId="0" fontId="37" fillId="0" borderId="0" xfId="14"/>
    <xf numFmtId="0" fontId="40" fillId="4" borderId="0" xfId="0" applyFont="1" applyFill="1" applyAlignment="1">
      <alignment horizontal="center" vertical="center"/>
    </xf>
    <xf numFmtId="0" fontId="38" fillId="4" borderId="0" xfId="0" applyFont="1" applyFill="1" applyAlignment="1">
      <alignment horizontal="right"/>
    </xf>
    <xf numFmtId="0" fontId="39" fillId="4" borderId="6" xfId="14" applyFont="1" applyFill="1" applyBorder="1" applyAlignment="1">
      <alignment horizontal="right"/>
    </xf>
    <xf numFmtId="0" fontId="39" fillId="4" borderId="11" xfId="14" applyFont="1" applyFill="1" applyBorder="1" applyAlignment="1">
      <alignment horizontal="right"/>
    </xf>
    <xf numFmtId="0" fontId="39" fillId="4" borderId="8" xfId="14" applyFont="1" applyFill="1" applyBorder="1" applyAlignment="1">
      <alignment horizontal="right"/>
    </xf>
    <xf numFmtId="0" fontId="41" fillId="0" borderId="0" xfId="14" applyFont="1"/>
    <xf numFmtId="3" fontId="0" fillId="0" borderId="3" xfId="0" applyNumberFormat="1" applyBorder="1"/>
    <xf numFmtId="0" fontId="10" fillId="8" borderId="3" xfId="0" applyFont="1" applyFill="1" applyBorder="1"/>
    <xf numFmtId="9" fontId="10" fillId="8" borderId="3" xfId="2" applyFont="1" applyFill="1" applyBorder="1"/>
    <xf numFmtId="0" fontId="13" fillId="9" borderId="17" xfId="6" applyFont="1" applyFill="1" applyBorder="1"/>
    <xf numFmtId="0" fontId="13" fillId="9" borderId="15" xfId="6" applyFont="1" applyFill="1" applyBorder="1" applyAlignment="1">
      <alignment horizontal="right"/>
    </xf>
    <xf numFmtId="0" fontId="10" fillId="0" borderId="3" xfId="0" applyFont="1" applyBorder="1" applyAlignment="1">
      <alignment wrapText="1"/>
    </xf>
    <xf numFmtId="0" fontId="37" fillId="0" borderId="0" xfId="14" applyAlignment="1">
      <alignment wrapText="1"/>
    </xf>
    <xf numFmtId="0" fontId="0" fillId="0" borderId="0" xfId="0" applyAlignment="1">
      <alignment wrapText="1"/>
    </xf>
    <xf numFmtId="0" fontId="42" fillId="0" borderId="0" xfId="0" applyFont="1"/>
    <xf numFmtId="0" fontId="37" fillId="4" borderId="11" xfId="14" applyFill="1" applyBorder="1" applyAlignment="1">
      <alignment horizontal="right"/>
    </xf>
    <xf numFmtId="8" fontId="25" fillId="4" borderId="0" xfId="11" applyNumberFormat="1" applyFont="1" applyFill="1"/>
    <xf numFmtId="9" fontId="0" fillId="12" borderId="3" xfId="0" applyNumberFormat="1" applyFill="1" applyBorder="1"/>
    <xf numFmtId="165" fontId="0" fillId="12" borderId="3" xfId="0" applyNumberFormat="1" applyFill="1" applyBorder="1"/>
    <xf numFmtId="2" fontId="0" fillId="12" borderId="3" xfId="0" applyNumberFormat="1" applyFill="1" applyBorder="1"/>
    <xf numFmtId="165" fontId="43" fillId="0" borderId="3" xfId="0" applyNumberFormat="1" applyFont="1" applyBorder="1"/>
    <xf numFmtId="2" fontId="43" fillId="0" borderId="3" xfId="0" applyNumberFormat="1" applyFont="1" applyBorder="1"/>
    <xf numFmtId="165" fontId="0" fillId="11" borderId="3" xfId="0" applyNumberFormat="1" applyFill="1" applyBorder="1"/>
    <xf numFmtId="10" fontId="0" fillId="4" borderId="3" xfId="0" applyNumberFormat="1" applyFill="1" applyBorder="1"/>
    <xf numFmtId="0" fontId="0" fillId="11" borderId="0" xfId="0" applyFill="1"/>
    <xf numFmtId="165" fontId="0" fillId="11" borderId="0" xfId="0" applyNumberFormat="1" applyFill="1"/>
    <xf numFmtId="10" fontId="0" fillId="11" borderId="0" xfId="0" applyNumberFormat="1" applyFill="1"/>
    <xf numFmtId="165" fontId="0" fillId="12" borderId="0" xfId="1" applyNumberFormat="1" applyFont="1" applyFill="1" applyBorder="1" applyAlignment="1">
      <alignment wrapText="1"/>
    </xf>
    <xf numFmtId="172" fontId="0" fillId="12" borderId="1" xfId="0" applyNumberFormat="1" applyFill="1" applyBorder="1"/>
    <xf numFmtId="166" fontId="0" fillId="11" borderId="0" xfId="0" applyNumberFormat="1" applyFill="1"/>
    <xf numFmtId="165" fontId="0" fillId="11" borderId="0" xfId="1" applyNumberFormat="1" applyFont="1" applyFill="1"/>
    <xf numFmtId="10" fontId="10" fillId="12" borderId="0" xfId="0" applyNumberFormat="1" applyFont="1" applyFill="1"/>
    <xf numFmtId="165" fontId="0" fillId="12" borderId="0" xfId="0" applyNumberFormat="1" applyFill="1"/>
    <xf numFmtId="165" fontId="10" fillId="13" borderId="21" xfId="0" applyNumberFormat="1" applyFont="1" applyFill="1" applyBorder="1"/>
    <xf numFmtId="165" fontId="0" fillId="12" borderId="20" xfId="0" applyNumberFormat="1" applyFill="1" applyBorder="1"/>
    <xf numFmtId="165" fontId="0" fillId="12" borderId="10" xfId="0" applyNumberFormat="1" applyFill="1" applyBorder="1"/>
    <xf numFmtId="165" fontId="10" fillId="13" borderId="22" xfId="0" applyNumberFormat="1" applyFont="1" applyFill="1" applyBorder="1"/>
    <xf numFmtId="165" fontId="0" fillId="12" borderId="17" xfId="0" applyNumberFormat="1" applyFill="1" applyBorder="1"/>
    <xf numFmtId="0" fontId="0" fillId="0" borderId="10" xfId="0" applyBorder="1"/>
    <xf numFmtId="166" fontId="0" fillId="0" borderId="17" xfId="0" applyNumberFormat="1" applyBorder="1"/>
    <xf numFmtId="0" fontId="0" fillId="0" borderId="17" xfId="0" applyBorder="1"/>
    <xf numFmtId="166" fontId="0" fillId="0" borderId="19" xfId="0" applyNumberFormat="1" applyBorder="1"/>
    <xf numFmtId="166" fontId="44" fillId="9" borderId="0" xfId="0" applyNumberFormat="1" applyFont="1" applyFill="1"/>
    <xf numFmtId="0" fontId="45" fillId="9" borderId="13" xfId="0" applyFont="1" applyFill="1" applyBorder="1"/>
    <xf numFmtId="0" fontId="46" fillId="9" borderId="15" xfId="0" applyFont="1" applyFill="1" applyBorder="1"/>
    <xf numFmtId="0" fontId="47" fillId="0" borderId="0" xfId="6" applyFont="1"/>
    <xf numFmtId="0" fontId="12" fillId="0" borderId="13" xfId="6" applyFont="1" applyBorder="1"/>
    <xf numFmtId="9" fontId="12" fillId="0" borderId="15" xfId="6" applyNumberFormat="1" applyFont="1" applyBorder="1"/>
    <xf numFmtId="0" fontId="0" fillId="14" borderId="0" xfId="0" applyFill="1"/>
    <xf numFmtId="165" fontId="0" fillId="14" borderId="0" xfId="0" applyNumberFormat="1" applyFill="1"/>
    <xf numFmtId="9" fontId="0" fillId="14" borderId="0" xfId="0" applyNumberFormat="1" applyFill="1"/>
    <xf numFmtId="10" fontId="0" fillId="14" borderId="0" xfId="0" applyNumberFormat="1" applyFill="1"/>
    <xf numFmtId="165" fontId="0" fillId="12" borderId="1" xfId="0" applyNumberFormat="1" applyFill="1" applyBorder="1"/>
    <xf numFmtId="165" fontId="10" fillId="12" borderId="1" xfId="0" applyNumberFormat="1" applyFont="1" applyFill="1" applyBorder="1"/>
    <xf numFmtId="165" fontId="10" fillId="12" borderId="0" xfId="0" applyNumberFormat="1" applyFont="1" applyFill="1"/>
    <xf numFmtId="10" fontId="0" fillId="12" borderId="0" xfId="0" applyNumberFormat="1" applyFill="1"/>
    <xf numFmtId="167" fontId="19" fillId="12" borderId="2" xfId="0" applyNumberFormat="1" applyFont="1" applyFill="1" applyBorder="1"/>
    <xf numFmtId="167" fontId="18" fillId="12" borderId="2" xfId="0" applyNumberFormat="1" applyFont="1" applyFill="1" applyBorder="1"/>
    <xf numFmtId="167" fontId="19" fillId="12" borderId="14" xfId="0" applyNumberFormat="1" applyFont="1" applyFill="1" applyBorder="1"/>
    <xf numFmtId="167" fontId="19" fillId="12" borderId="12" xfId="0" applyNumberFormat="1" applyFont="1" applyFill="1" applyBorder="1"/>
    <xf numFmtId="169" fontId="19" fillId="12" borderId="12" xfId="2" applyNumberFormat="1" applyFont="1" applyFill="1" applyBorder="1"/>
    <xf numFmtId="1" fontId="19" fillId="12" borderId="12" xfId="0" applyNumberFormat="1" applyFont="1" applyFill="1" applyBorder="1"/>
    <xf numFmtId="0" fontId="19" fillId="11" borderId="23" xfId="0" applyFont="1" applyFill="1" applyBorder="1"/>
    <xf numFmtId="0" fontId="19" fillId="11" borderId="24" xfId="0" applyFont="1" applyFill="1" applyBorder="1"/>
    <xf numFmtId="0" fontId="19" fillId="11" borderId="22" xfId="0" applyFont="1" applyFill="1" applyBorder="1"/>
    <xf numFmtId="9" fontId="0" fillId="11" borderId="0" xfId="0" applyNumberFormat="1" applyFill="1"/>
    <xf numFmtId="165" fontId="0" fillId="11" borderId="1" xfId="0" applyNumberFormat="1" applyFill="1" applyBorder="1"/>
    <xf numFmtId="0" fontId="0" fillId="15" borderId="0" xfId="0" applyFill="1"/>
    <xf numFmtId="165" fontId="0" fillId="15" borderId="0" xfId="0" applyNumberFormat="1" applyFill="1"/>
    <xf numFmtId="9" fontId="0" fillId="15" borderId="0" xfId="0" applyNumberFormat="1" applyFill="1"/>
    <xf numFmtId="165" fontId="0" fillId="15" borderId="1" xfId="0" applyNumberFormat="1" applyFill="1" applyBorder="1"/>
    <xf numFmtId="169" fontId="0" fillId="11" borderId="3" xfId="0" applyNumberFormat="1" applyFill="1" applyBorder="1"/>
    <xf numFmtId="0" fontId="30" fillId="4" borderId="0" xfId="9" applyFont="1" applyFill="1" applyAlignment="1">
      <alignment horizontal="left"/>
    </xf>
    <xf numFmtId="0" fontId="29" fillId="4" borderId="0" xfId="9" applyFont="1" applyFill="1" applyAlignment="1">
      <alignment horizontal="right"/>
    </xf>
    <xf numFmtId="0" fontId="28" fillId="10" borderId="13" xfId="9" applyFont="1" applyFill="1" applyBorder="1" applyAlignment="1">
      <alignment horizontal="left"/>
    </xf>
    <xf numFmtId="0" fontId="28" fillId="10" borderId="17" xfId="9" applyFont="1" applyFill="1" applyBorder="1" applyAlignment="1">
      <alignment horizontal="right"/>
    </xf>
    <xf numFmtId="1" fontId="12" fillId="10" borderId="17" xfId="9" applyNumberFormat="1" applyFont="1" applyFill="1" applyBorder="1"/>
    <xf numFmtId="1" fontId="28" fillId="10" borderId="17" xfId="9" applyNumberFormat="1" applyFont="1" applyFill="1" applyBorder="1"/>
    <xf numFmtId="1" fontId="28" fillId="10" borderId="15" xfId="9" applyNumberFormat="1" applyFont="1" applyFill="1" applyBorder="1"/>
    <xf numFmtId="0" fontId="25" fillId="4" borderId="13" xfId="9" applyFont="1" applyFill="1" applyBorder="1" applyAlignment="1">
      <alignment horizontal="right"/>
    </xf>
    <xf numFmtId="1" fontId="26" fillId="16" borderId="15" xfId="2" applyNumberFormat="1" applyFont="1" applyFill="1" applyBorder="1"/>
    <xf numFmtId="10" fontId="26" fillId="16" borderId="15" xfId="10" applyNumberFormat="1" applyFont="1" applyFill="1" applyBorder="1"/>
    <xf numFmtId="10" fontId="26" fillId="4" borderId="0" xfId="10" applyNumberFormat="1" applyFont="1" applyFill="1" applyBorder="1"/>
    <xf numFmtId="0" fontId="30" fillId="16" borderId="4" xfId="9" applyFont="1" applyFill="1" applyBorder="1" applyAlignment="1">
      <alignment horizontal="left"/>
    </xf>
    <xf numFmtId="0" fontId="30" fillId="16" borderId="5" xfId="9" applyFont="1" applyFill="1" applyBorder="1" applyAlignment="1">
      <alignment horizontal="left"/>
    </xf>
    <xf numFmtId="0" fontId="29" fillId="16" borderId="5" xfId="9" applyFont="1" applyFill="1" applyBorder="1" applyAlignment="1">
      <alignment horizontal="right"/>
    </xf>
    <xf numFmtId="0" fontId="29" fillId="16" borderId="6" xfId="9" applyFont="1" applyFill="1" applyBorder="1" applyAlignment="1">
      <alignment horizontal="right"/>
    </xf>
    <xf numFmtId="0" fontId="28" fillId="16" borderId="10" xfId="9" applyFont="1" applyFill="1" applyBorder="1" applyAlignment="1">
      <alignment horizontal="right"/>
    </xf>
    <xf numFmtId="1" fontId="3" fillId="16" borderId="10" xfId="9" applyNumberFormat="1" applyFill="1" applyBorder="1"/>
    <xf numFmtId="1" fontId="25" fillId="16" borderId="10" xfId="9" applyNumberFormat="1" applyFont="1" applyFill="1" applyBorder="1"/>
    <xf numFmtId="1" fontId="25" fillId="16" borderId="11" xfId="9" applyNumberFormat="1" applyFont="1" applyFill="1" applyBorder="1"/>
    <xf numFmtId="0" fontId="30" fillId="16" borderId="9" xfId="9" applyFont="1" applyFill="1" applyBorder="1"/>
    <xf numFmtId="0" fontId="30" fillId="17" borderId="4" xfId="9" applyFont="1" applyFill="1" applyBorder="1"/>
    <xf numFmtId="0" fontId="25" fillId="17" borderId="5" xfId="9" applyFont="1" applyFill="1" applyBorder="1"/>
    <xf numFmtId="14" fontId="48" fillId="17" borderId="5" xfId="9" applyNumberFormat="1" applyFont="1" applyFill="1" applyBorder="1"/>
    <xf numFmtId="14" fontId="48" fillId="17" borderId="6" xfId="9" applyNumberFormat="1" applyFont="1" applyFill="1" applyBorder="1"/>
    <xf numFmtId="0" fontId="25" fillId="4" borderId="11" xfId="9" applyFont="1" applyFill="1" applyBorder="1"/>
    <xf numFmtId="0" fontId="25" fillId="17" borderId="10" xfId="9" applyFont="1" applyFill="1" applyBorder="1"/>
    <xf numFmtId="0" fontId="27" fillId="17" borderId="10" xfId="9" applyFont="1" applyFill="1" applyBorder="1"/>
    <xf numFmtId="0" fontId="25" fillId="17" borderId="11" xfId="9" applyFont="1" applyFill="1" applyBorder="1"/>
    <xf numFmtId="0" fontId="30" fillId="17" borderId="9" xfId="9" applyFont="1" applyFill="1" applyBorder="1"/>
    <xf numFmtId="0" fontId="25" fillId="4" borderId="4" xfId="9" applyFont="1" applyFill="1" applyBorder="1" applyAlignment="1">
      <alignment horizontal="right"/>
    </xf>
    <xf numFmtId="1" fontId="26" fillId="17" borderId="6" xfId="2" applyNumberFormat="1" applyFont="1" applyFill="1" applyBorder="1"/>
    <xf numFmtId="0" fontId="30" fillId="18" borderId="4" xfId="9" applyFont="1" applyFill="1" applyBorder="1"/>
    <xf numFmtId="0" fontId="25" fillId="18" borderId="5" xfId="9" applyFont="1" applyFill="1" applyBorder="1"/>
    <xf numFmtId="14" fontId="48" fillId="18" borderId="5" xfId="9" applyNumberFormat="1" applyFont="1" applyFill="1" applyBorder="1"/>
    <xf numFmtId="14" fontId="48" fillId="18" borderId="6" xfId="9" applyNumberFormat="1" applyFont="1" applyFill="1" applyBorder="1"/>
    <xf numFmtId="0" fontId="30" fillId="18" borderId="9" xfId="9" applyFont="1" applyFill="1" applyBorder="1"/>
    <xf numFmtId="0" fontId="25" fillId="18" borderId="10" xfId="9" applyFont="1" applyFill="1" applyBorder="1"/>
    <xf numFmtId="0" fontId="25" fillId="18" borderId="11" xfId="9" applyFont="1" applyFill="1" applyBorder="1"/>
    <xf numFmtId="1" fontId="26" fillId="18" borderId="6" xfId="2" applyNumberFormat="1" applyFont="1" applyFill="1" applyBorder="1"/>
    <xf numFmtId="10" fontId="26" fillId="17" borderId="15" xfId="10" applyNumberFormat="1" applyFont="1" applyFill="1" applyBorder="1"/>
    <xf numFmtId="10" fontId="26" fillId="18" borderId="15" xfId="10" applyNumberFormat="1" applyFont="1" applyFill="1" applyBorder="1"/>
    <xf numFmtId="0" fontId="25" fillId="10" borderId="0" xfId="9" applyFont="1" applyFill="1"/>
    <xf numFmtId="0" fontId="12" fillId="19" borderId="0" xfId="6" applyFont="1" applyFill="1"/>
    <xf numFmtId="8" fontId="12" fillId="19" borderId="0" xfId="6" applyNumberFormat="1" applyFont="1" applyFill="1"/>
    <xf numFmtId="9" fontId="12" fillId="19" borderId="0" xfId="6" applyNumberFormat="1" applyFont="1" applyFill="1"/>
    <xf numFmtId="0" fontId="10" fillId="0" borderId="16" xfId="0" applyFont="1" applyBorder="1" applyAlignment="1">
      <alignment wrapText="1"/>
    </xf>
    <xf numFmtId="0" fontId="49" fillId="0" borderId="21" xfId="0" applyFont="1" applyBorder="1"/>
    <xf numFmtId="2" fontId="50" fillId="0" borderId="21" xfId="0" applyNumberFormat="1" applyFont="1" applyBorder="1"/>
    <xf numFmtId="177" fontId="28" fillId="19" borderId="21" xfId="12" applyNumberFormat="1" applyFont="1" applyFill="1" applyBorder="1" applyAlignment="1">
      <alignment horizontal="right"/>
    </xf>
    <xf numFmtId="0" fontId="51" fillId="4" borderId="4" xfId="11" applyFont="1" applyFill="1" applyBorder="1"/>
    <xf numFmtId="0" fontId="25" fillId="4" borderId="5" xfId="11" applyFont="1" applyFill="1" applyBorder="1"/>
    <xf numFmtId="0" fontId="25" fillId="4" borderId="6" xfId="11" applyFont="1" applyFill="1" applyBorder="1"/>
    <xf numFmtId="0" fontId="51" fillId="4" borderId="9" xfId="11" applyFont="1" applyFill="1" applyBorder="1"/>
    <xf numFmtId="0" fontId="25" fillId="4" borderId="10" xfId="11" applyFont="1" applyFill="1" applyBorder="1"/>
    <xf numFmtId="0" fontId="25" fillId="4" borderId="11" xfId="11" applyFont="1" applyFill="1" applyBorder="1"/>
    <xf numFmtId="0" fontId="51" fillId="4" borderId="13" xfId="11" applyFont="1" applyFill="1" applyBorder="1"/>
    <xf numFmtId="0" fontId="25" fillId="4" borderId="17" xfId="11" applyFont="1" applyFill="1" applyBorder="1"/>
    <xf numFmtId="0" fontId="25" fillId="4" borderId="15" xfId="11" applyFont="1" applyFill="1" applyBorder="1"/>
    <xf numFmtId="0" fontId="17" fillId="0" borderId="13" xfId="0" applyFont="1" applyBorder="1"/>
    <xf numFmtId="0" fontId="0" fillId="0" borderId="15" xfId="0" applyBorder="1"/>
    <xf numFmtId="0" fontId="31" fillId="4" borderId="10" xfId="9" applyFont="1" applyFill="1" applyBorder="1"/>
    <xf numFmtId="0" fontId="52" fillId="4" borderId="4" xfId="9" applyFont="1" applyFill="1" applyBorder="1"/>
    <xf numFmtId="0" fontId="53" fillId="4" borderId="5" xfId="9" applyFont="1" applyFill="1" applyBorder="1"/>
    <xf numFmtId="0" fontId="53" fillId="4" borderId="6" xfId="9" applyFont="1" applyFill="1" applyBorder="1"/>
    <xf numFmtId="0" fontId="53" fillId="4" borderId="0" xfId="9" applyFont="1" applyFill="1"/>
    <xf numFmtId="0" fontId="52" fillId="4" borderId="9" xfId="9" applyFont="1" applyFill="1" applyBorder="1"/>
    <xf numFmtId="0" fontId="21" fillId="0" borderId="4" xfId="0" applyFont="1" applyBorder="1"/>
    <xf numFmtId="0" fontId="19" fillId="0" borderId="5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21" fillId="0" borderId="9" xfId="0" applyFont="1" applyBorder="1"/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6" fontId="5" fillId="0" borderId="0" xfId="6" applyNumberFormat="1"/>
    <xf numFmtId="9" fontId="5" fillId="0" borderId="0" xfId="6" applyNumberFormat="1"/>
    <xf numFmtId="10" fontId="5" fillId="0" borderId="0" xfId="6" applyNumberFormat="1"/>
    <xf numFmtId="0" fontId="37" fillId="4" borderId="8" xfId="14" applyFill="1" applyBorder="1" applyAlignment="1">
      <alignment horizontal="right"/>
    </xf>
    <xf numFmtId="0" fontId="1" fillId="6" borderId="3" xfId="6" applyFont="1" applyFill="1" applyBorder="1"/>
    <xf numFmtId="9" fontId="1" fillId="6" borderId="3" xfId="6" applyNumberFormat="1" applyFont="1" applyFill="1" applyBorder="1"/>
    <xf numFmtId="0" fontId="1" fillId="20" borderId="3" xfId="6" applyFont="1" applyFill="1" applyBorder="1"/>
    <xf numFmtId="10" fontId="1" fillId="20" borderId="3" xfId="6" applyNumberFormat="1" applyFont="1" applyFill="1" applyBorder="1"/>
    <xf numFmtId="10" fontId="1" fillId="20" borderId="3" xfId="2" applyNumberFormat="1" applyFont="1" applyFill="1" applyBorder="1"/>
    <xf numFmtId="0" fontId="5" fillId="6" borderId="3" xfId="6" applyFill="1" applyBorder="1"/>
    <xf numFmtId="0" fontId="1" fillId="12" borderId="3" xfId="6" applyFont="1" applyFill="1" applyBorder="1"/>
    <xf numFmtId="0" fontId="5" fillId="12" borderId="3" xfId="6" applyFill="1" applyBorder="1"/>
    <xf numFmtId="0" fontId="12" fillId="12" borderId="3" xfId="6" applyFont="1" applyFill="1" applyBorder="1"/>
    <xf numFmtId="6" fontId="5" fillId="12" borderId="3" xfId="6" applyNumberFormat="1" applyFill="1" applyBorder="1"/>
    <xf numFmtId="6" fontId="5" fillId="16" borderId="3" xfId="6" applyNumberFormat="1" applyFill="1" applyBorder="1"/>
    <xf numFmtId="6" fontId="5" fillId="16" borderId="25" xfId="6" applyNumberFormat="1" applyFill="1" applyBorder="1"/>
    <xf numFmtId="0" fontId="12" fillId="16" borderId="21" xfId="6" applyFont="1" applyFill="1" applyBorder="1"/>
    <xf numFmtId="0" fontId="12" fillId="0" borderId="3" xfId="6" applyFont="1" applyBorder="1"/>
    <xf numFmtId="0" fontId="0" fillId="0" borderId="26" xfId="0" applyBorder="1"/>
    <xf numFmtId="165" fontId="0" fillId="13" borderId="13" xfId="0" applyNumberFormat="1" applyFill="1" applyBorder="1"/>
    <xf numFmtId="0" fontId="0" fillId="0" borderId="28" xfId="0" applyBorder="1"/>
    <xf numFmtId="165" fontId="0" fillId="13" borderId="21" xfId="0" applyNumberFormat="1" applyFill="1" applyBorder="1"/>
    <xf numFmtId="0" fontId="10" fillId="0" borderId="13" xfId="0" applyFont="1" applyBorder="1"/>
    <xf numFmtId="165" fontId="10" fillId="23" borderId="21" xfId="0" applyNumberFormat="1" applyFont="1" applyFill="1" applyBorder="1"/>
    <xf numFmtId="0" fontId="0" fillId="0" borderId="13" xfId="0" applyBorder="1"/>
    <xf numFmtId="0" fontId="9" fillId="22" borderId="23" xfId="0" applyFont="1" applyFill="1" applyBorder="1"/>
    <xf numFmtId="173" fontId="0" fillId="12" borderId="11" xfId="0" applyNumberFormat="1" applyFill="1" applyBorder="1"/>
    <xf numFmtId="0" fontId="0" fillId="12" borderId="3" xfId="0" applyFill="1" applyBorder="1"/>
    <xf numFmtId="0" fontId="10" fillId="10" borderId="27" xfId="0" applyFont="1" applyFill="1" applyBorder="1"/>
    <xf numFmtId="165" fontId="0" fillId="10" borderId="23" xfId="0" applyNumberFormat="1" applyFill="1" applyBorder="1"/>
    <xf numFmtId="14" fontId="55" fillId="0" borderId="21" xfId="0" applyNumberFormat="1" applyFont="1" applyBorder="1"/>
    <xf numFmtId="0" fontId="56" fillId="0" borderId="0" xfId="0" applyFont="1" applyAlignment="1">
      <alignment horizontal="right"/>
    </xf>
    <xf numFmtId="0" fontId="37" fillId="4" borderId="6" xfId="14" applyFill="1" applyBorder="1" applyAlignment="1">
      <alignment horizontal="right"/>
    </xf>
    <xf numFmtId="0" fontId="10" fillId="10" borderId="3" xfId="0" applyFont="1" applyFill="1" applyBorder="1"/>
    <xf numFmtId="10" fontId="10" fillId="10" borderId="3" xfId="0" applyNumberFormat="1" applyFont="1" applyFill="1" applyBorder="1"/>
    <xf numFmtId="0" fontId="9" fillId="21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0" fillId="4" borderId="4" xfId="0" applyFont="1" applyFill="1" applyBorder="1" applyAlignment="1">
      <alignment horizontal="center" vertical="center"/>
    </xf>
    <xf numFmtId="0" fontId="40" fillId="4" borderId="7" xfId="0" applyFont="1" applyFill="1" applyBorder="1" applyAlignment="1">
      <alignment horizontal="center" vertical="center"/>
    </xf>
    <xf numFmtId="0" fontId="40" fillId="4" borderId="9" xfId="0" applyFont="1" applyFill="1" applyBorder="1" applyAlignment="1">
      <alignment horizontal="center" vertical="center"/>
    </xf>
    <xf numFmtId="0" fontId="40" fillId="9" borderId="13" xfId="0" applyFont="1" applyFill="1" applyBorder="1" applyAlignment="1">
      <alignment horizontal="center"/>
    </xf>
    <xf numFmtId="0" fontId="40" fillId="9" borderId="15" xfId="0" applyFont="1" applyFill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17" fillId="9" borderId="9" xfId="0" applyFont="1" applyFill="1" applyBorder="1" applyAlignment="1">
      <alignment horizontal="center"/>
    </xf>
    <xf numFmtId="0" fontId="17" fillId="9" borderId="10" xfId="0" applyFont="1" applyFill="1" applyBorder="1" applyAlignment="1">
      <alignment horizontal="center"/>
    </xf>
    <xf numFmtId="0" fontId="17" fillId="9" borderId="11" xfId="0" applyFont="1" applyFill="1" applyBorder="1" applyAlignment="1">
      <alignment horizontal="center"/>
    </xf>
  </cellXfs>
  <cellStyles count="15">
    <cellStyle name="Currency" xfId="1" builtinId="4"/>
    <cellStyle name="Currency 2" xfId="4" xr:uid="{00000000-0005-0000-0000-000000000000}"/>
    <cellStyle name="Hyperlink" xfId="14" builtinId="8"/>
    <cellStyle name="Milliers 2" xfId="7" xr:uid="{00000000-0005-0000-0000-000002000000}"/>
    <cellStyle name="Milliers 3" xfId="12" xr:uid="{00000000-0005-0000-0000-000003000000}"/>
    <cellStyle name="Normal" xfId="0" builtinId="0"/>
    <cellStyle name="Normal 2" xfId="3" xr:uid="{00000000-0005-0000-0000-000006000000}"/>
    <cellStyle name="Normal 3" xfId="6" xr:uid="{00000000-0005-0000-0000-000007000000}"/>
    <cellStyle name="Normal 4" xfId="8" xr:uid="{00000000-0005-0000-0000-000008000000}"/>
    <cellStyle name="Normal 5" xfId="9" xr:uid="{00000000-0005-0000-0000-000009000000}"/>
    <cellStyle name="Normal 6" xfId="11" xr:uid="{00000000-0005-0000-0000-00000A000000}"/>
    <cellStyle name="Per cent" xfId="2" builtinId="5"/>
    <cellStyle name="Percent 2" xfId="5" xr:uid="{00000000-0005-0000-0000-00000B000000}"/>
    <cellStyle name="Pourcentage 2" xfId="10" xr:uid="{00000000-0005-0000-0000-00000D000000}"/>
    <cellStyle name="Pourcentage 3" xfId="13" xr:uid="{00000000-0005-0000-0000-00000E000000}"/>
  </cellStyles>
  <dxfs count="2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  <numFmt numFmtId="13" formatCode="0%"/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haroni"/>
        <scheme val="none"/>
      </font>
    </dxf>
  </dxfs>
  <tableStyles count="0" defaultTableStyle="TableStyleMedium2" defaultPivotStyle="PivotStyleLight16"/>
  <colors>
    <mruColors>
      <color rgb="FFFFFF66"/>
      <color rgb="FFCCFFCC"/>
      <color rgb="FFFFCCCC"/>
      <color rgb="FFCCFFFF"/>
      <color rgb="FFFF99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31" fmlaLink="$E$3" fmlaRange="$B$3:$B$5" noThreeD="1" sel="1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234950</xdr:colOff>
      <xdr:row>5</xdr:row>
      <xdr:rowOff>111125</xdr:rowOff>
    </xdr:from>
    <xdr:to>
      <xdr:col>8</xdr:col>
      <xdr:colOff>517826</xdr:colOff>
      <xdr:row>11</xdr:row>
      <xdr:rowOff>28639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00" y="1311275"/>
          <a:ext cx="5870876" cy="1263714"/>
        </a:xfrm>
        <a:prstGeom prst="rect">
          <a:avLst/>
        </a:prstGeom>
      </xdr:spPr>
    </xdr:pic>
    <xdr:clientData/>
  </xdr:twoCellAnchor>
  <xdr:twoCellAnchor editAs="oneCell">
    <xdr:from>
      <xdr:col>3</xdr:col>
      <xdr:colOff>257175</xdr:colOff>
      <xdr:row>11</xdr:row>
      <xdr:rowOff>117475</xdr:rowOff>
    </xdr:from>
    <xdr:to>
      <xdr:col>8</xdr:col>
      <xdr:colOff>549577</xdr:colOff>
      <xdr:row>17</xdr:row>
      <xdr:rowOff>111185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2225" y="2663825"/>
          <a:ext cx="5880402" cy="12065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11</xdr:row>
      <xdr:rowOff>135051</xdr:rowOff>
    </xdr:from>
    <xdr:to>
      <xdr:col>5</xdr:col>
      <xdr:colOff>628650</xdr:colOff>
      <xdr:row>16</xdr:row>
      <xdr:rowOff>168336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2300401"/>
          <a:ext cx="4857750" cy="100801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11</xdr:row>
      <xdr:rowOff>96225</xdr:rowOff>
    </xdr:from>
    <xdr:to>
      <xdr:col>14</xdr:col>
      <xdr:colOff>775000</xdr:colOff>
      <xdr:row>15</xdr:row>
      <xdr:rowOff>111174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83300" y="2261575"/>
          <a:ext cx="4819950" cy="7928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2</xdr:row>
      <xdr:rowOff>0</xdr:rowOff>
    </xdr:from>
    <xdr:to>
      <xdr:col>7</xdr:col>
      <xdr:colOff>311448</xdr:colOff>
      <xdr:row>19</xdr:row>
      <xdr:rowOff>70026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" y="393700"/>
          <a:ext cx="5797848" cy="34164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114300</xdr:colOff>
      <xdr:row>0</xdr:row>
      <xdr:rowOff>127000</xdr:rowOff>
    </xdr:from>
    <xdr:to>
      <xdr:col>13</xdr:col>
      <xdr:colOff>63798</xdr:colOff>
      <xdr:row>17</xdr:row>
      <xdr:rowOff>184326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77100" y="127000"/>
          <a:ext cx="5797848" cy="34164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806450</xdr:colOff>
          <xdr:row>2</xdr:row>
          <xdr:rowOff>12700</xdr:rowOff>
        </xdr:from>
        <xdr:to>
          <xdr:col>5</xdr:col>
          <xdr:colOff>660400</xdr:colOff>
          <xdr:row>3</xdr:row>
          <xdr:rowOff>133350</xdr:rowOff>
        </xdr:to>
        <xdr:sp macro="" textlink="">
          <xdr:nvSpPr>
            <xdr:cNvPr id="54274" name="Drop Down 2" hidden="1">
              <a:extLst>
                <a:ext uri="{63B3BB69-23CF-44E3-9099-C40C66FF867C}">
                  <a14:compatExt spid="_x0000_s54274"/>
                </a:ext>
                <a:ext uri="{FF2B5EF4-FFF2-40B4-BE49-F238E27FC236}">
                  <a16:creationId xmlns:a16="http://schemas.microsoft.com/office/drawing/2014/main" id="{00000000-0008-0000-0F00-000002D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Sabrina/Desktop/SKEMA%20COURSES/CFM/2014-2015/COURS%20EXCEL/Exercices%20Excel%20V5.xlsx" TargetMode="External"/><Relationship Id="rId1" Type="http://schemas.openxmlformats.org/officeDocument/2006/relationships/externalLinkPath" Target="/Users/Sabrina/Desktop/SKEMA%20COURSES/CFM/2014-2015/COURS%20EXCEL/Exercices%20Excel%20V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IRECT "/>
      <sheetName val="DROP DOWN LIST"/>
    </sheetNames>
    <sheetDataSet>
      <sheetData sheetId="0" refreshError="1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B2:G6" totalsRowShown="0" headerRowDxfId="19" dataDxfId="18" totalsRowDxfId="17">
  <autoFilter ref="B2:G6" xr:uid="{00000000-0009-0000-0100-000001000000}"/>
  <tableColumns count="6">
    <tableColumn id="1" xr3:uid="{00000000-0010-0000-0000-000001000000}" name="YEAR" dataDxfId="16" totalsRowDxfId="15"/>
    <tableColumn id="6" xr3:uid="{00000000-0010-0000-0000-000006000000}" name="0" dataDxfId="14" totalsRowDxfId="13"/>
    <tableColumn id="2" xr3:uid="{00000000-0010-0000-0000-000002000000}" name="1" dataDxfId="12" totalsRowDxfId="11"/>
    <tableColumn id="3" xr3:uid="{00000000-0010-0000-0000-000003000000}" name="2" dataDxfId="10" totalsRowDxfId="9"/>
    <tableColumn id="4" xr3:uid="{00000000-0010-0000-0000-000004000000}" name="3" dataDxfId="8" totalsRowDxfId="7"/>
    <tableColumn id="5" xr3:uid="{00000000-0010-0000-0000-000005000000}" name="4" dataDxfId="6" totalsRow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7" displayName="Tableau7" ref="A2:C8" totalsRowShown="0" headerRowDxfId="4" dataDxfId="3">
  <autoFilter ref="A2:C8" xr:uid="{00000000-0009-0000-0100-000002000000}"/>
  <tableColumns count="3">
    <tableColumn id="1" xr3:uid="{00000000-0010-0000-0100-000001000000}" name="Year" dataDxfId="2"/>
    <tableColumn id="2" xr3:uid="{00000000-0010-0000-0100-000002000000}" name="Type" dataDxfId="1"/>
    <tableColumn id="3" xr3:uid="{00000000-0010-0000-0100-000003000000}" name="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5.xml"/><Relationship Id="rId4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3">
    <tabColor theme="1"/>
  </sheetPr>
  <dimension ref="A1:B18"/>
  <sheetViews>
    <sheetView tabSelected="1" workbookViewId="0">
      <selection sqref="A1:B1"/>
    </sheetView>
  </sheetViews>
  <sheetFormatPr defaultColWidth="10.58203125" defaultRowHeight="21"/>
  <cols>
    <col min="1" max="1" width="22.08203125" style="107" customWidth="1"/>
    <col min="2" max="2" width="54.58203125" style="108" customWidth="1"/>
    <col min="3" max="16384" width="10.58203125" style="13"/>
  </cols>
  <sheetData>
    <row r="1" spans="1:2" ht="18" customHeight="1" thickBot="1">
      <c r="A1" s="292" t="s">
        <v>107</v>
      </c>
      <c r="B1" s="293"/>
    </row>
    <row r="2" spans="1:2" ht="21.5" thickBot="1"/>
    <row r="3" spans="1:2" ht="18.5">
      <c r="A3" s="289" t="s">
        <v>108</v>
      </c>
      <c r="B3" s="109" t="s">
        <v>101</v>
      </c>
    </row>
    <row r="4" spans="1:2" ht="19" thickBot="1">
      <c r="A4" s="291"/>
      <c r="B4" s="110" t="s">
        <v>102</v>
      </c>
    </row>
    <row r="5" spans="1:2" ht="18.5">
      <c r="A5" s="290" t="s">
        <v>109</v>
      </c>
      <c r="B5" s="111" t="s">
        <v>103</v>
      </c>
    </row>
    <row r="6" spans="1:2" ht="18.5" customHeight="1">
      <c r="A6" s="290"/>
      <c r="B6" s="111" t="s">
        <v>104</v>
      </c>
    </row>
    <row r="7" spans="1:2" ht="16" customHeight="1" thickBot="1">
      <c r="A7" s="291"/>
      <c r="B7" s="122" t="s">
        <v>158</v>
      </c>
    </row>
    <row r="8" spans="1:2" ht="15.5" customHeight="1">
      <c r="A8" s="290" t="s">
        <v>110</v>
      </c>
      <c r="B8" s="254" t="s">
        <v>16</v>
      </c>
    </row>
    <row r="9" spans="1:2" ht="15.5" customHeight="1">
      <c r="A9" s="290"/>
      <c r="B9" s="254" t="s">
        <v>110</v>
      </c>
    </row>
    <row r="10" spans="1:2" ht="15.5" customHeight="1">
      <c r="A10" s="290"/>
      <c r="B10" s="254" t="s">
        <v>157</v>
      </c>
    </row>
    <row r="11" spans="1:2" ht="19" customHeight="1" thickBot="1">
      <c r="A11" s="291"/>
      <c r="B11" s="110" t="s">
        <v>120</v>
      </c>
    </row>
    <row r="12" spans="1:2" ht="18.5" customHeight="1">
      <c r="A12" s="289" t="s">
        <v>111</v>
      </c>
      <c r="B12" s="109" t="s">
        <v>105</v>
      </c>
    </row>
    <row r="13" spans="1:2" ht="19" customHeight="1" thickBot="1">
      <c r="A13" s="290"/>
      <c r="B13" s="111" t="s">
        <v>106</v>
      </c>
    </row>
    <row r="14" spans="1:2" ht="15.5" customHeight="1">
      <c r="A14" s="289" t="s">
        <v>125</v>
      </c>
      <c r="B14" s="283" t="s">
        <v>155</v>
      </c>
    </row>
    <row r="15" spans="1:2" ht="15.5" customHeight="1">
      <c r="A15" s="290"/>
      <c r="B15" s="254" t="s">
        <v>156</v>
      </c>
    </row>
    <row r="16" spans="1:2" ht="16" customHeight="1">
      <c r="A16" s="290"/>
      <c r="B16" s="254" t="s">
        <v>172</v>
      </c>
    </row>
    <row r="17" spans="1:2" ht="16" customHeight="1">
      <c r="A17" s="290"/>
      <c r="B17" s="254" t="s">
        <v>178</v>
      </c>
    </row>
    <row r="18" spans="1:2" ht="16" customHeight="1" thickBot="1">
      <c r="A18" s="291"/>
      <c r="B18" s="122" t="s">
        <v>185</v>
      </c>
    </row>
  </sheetData>
  <mergeCells count="6">
    <mergeCell ref="A14:A18"/>
    <mergeCell ref="A1:B1"/>
    <mergeCell ref="A3:A4"/>
    <mergeCell ref="A5:A7"/>
    <mergeCell ref="A8:A11"/>
    <mergeCell ref="A12:A13"/>
  </mergeCells>
  <hyperlinks>
    <hyperlink ref="B3" location="RATES!A1" display="Rates" xr:uid="{C942095B-8541-4F92-98BB-FB3F3B7D8CC7}"/>
    <hyperlink ref="B4" location="'SINGLE CF'!A1" display="Single cash flow" xr:uid="{834FC831-6EDF-4651-A50C-C4E335F5AFCD}"/>
    <hyperlink ref="B5" location="'ANNUITY '!A1" display="Annuity" xr:uid="{C7F94728-DF4E-486B-BBDA-AE55AB2E491A}"/>
    <hyperlink ref="B7" location="'PMT TIMING'!A1" display="Payment timing" xr:uid="{EF616B77-D538-4D4F-8637-1710AA178FEE}"/>
    <hyperlink ref="B8" location="NPV!A1" display="NPV" xr:uid="{7AE02C0D-9553-4399-8F35-4E0FFC1627D2}"/>
    <hyperlink ref="B10" location="'XNPV-XIRR'!A1" display="XNPV - XIRR" xr:uid="{8E6F1CDD-52F9-4CE1-9C67-2B520A06194A}"/>
    <hyperlink ref="B11" location="'CUMULATIVE FACTOR '!A1" display="Cumulative discount factor" xr:uid="{B61E07CB-3AD2-463E-A096-5D3B9114E64E}"/>
    <hyperlink ref="B12" location="'LOAN SCHEDULE'!A1" display="Loan schedule" xr:uid="{38DA2C38-8982-4A10-AFA1-BFBE0B4795CB}"/>
    <hyperlink ref="B13" location="'LOAN SENSITIVITY ANALYSIS'!A1" display="Loan sensitivity analysis" xr:uid="{5B0EB981-CF88-4F10-889F-EBFC7492EEFF}"/>
    <hyperlink ref="B15" location="'LEASE Vs BUY with help'!A1" display="Lease vs Buy  with help" xr:uid="{E16902F7-5B9D-499F-80DE-2280E9E0474B}"/>
    <hyperlink ref="B14" location="'LEASE vs BUY '!A1" display="Lease vs Buy " xr:uid="{D1411105-60EA-4FC2-A101-6133F84B9D9B}"/>
    <hyperlink ref="B6" location="'MODEL FOR ANNUITY '!A1" display="Model for annuity " xr:uid="{A63DA0D1-A1ED-44C1-B8A4-1C95F246D384}"/>
    <hyperlink ref="B9" location="'NPV-IRR'!A1" display="NPV - IRR" xr:uid="{C5BE3A3D-D1E2-4208-8FD9-9292161A54D9}"/>
    <hyperlink ref="B16" location="TV!A1" display="TV" xr:uid="{EF6FB651-EA40-4469-8570-A009BC44BD93}"/>
    <hyperlink ref="B17" location="'TV scenario'!A1" display="Terminal Value with scenario" xr:uid="{DE3E6B34-4C38-4937-8229-0D4357EE2777}"/>
    <hyperlink ref="B18" location="'NPV-WACC'!A1" display="NPV with cost of capital" xr:uid="{4950664F-3F39-4CD4-AFAC-ED4F01E2D64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/>
  <dimension ref="A1:G18"/>
  <sheetViews>
    <sheetView showGridLines="0" workbookViewId="0">
      <selection activeCell="B10" sqref="B10"/>
    </sheetView>
  </sheetViews>
  <sheetFormatPr defaultColWidth="10.58203125" defaultRowHeight="15.5"/>
  <cols>
    <col min="1" max="1" width="27.83203125" style="24" customWidth="1"/>
    <col min="2" max="2" width="21.08203125" style="24" bestFit="1" customWidth="1"/>
    <col min="3" max="3" width="14.5" style="25" customWidth="1"/>
    <col min="4" max="7" width="15.58203125" style="25" customWidth="1"/>
    <col min="8" max="16384" width="10.58203125" style="24"/>
  </cols>
  <sheetData>
    <row r="1" spans="1:7" ht="16" thickBot="1">
      <c r="A1" s="23" t="s">
        <v>43</v>
      </c>
    </row>
    <row r="2" spans="1:7" ht="20.5">
      <c r="B2" s="27" t="s">
        <v>0</v>
      </c>
      <c r="C2" s="36" t="s">
        <v>28</v>
      </c>
      <c r="D2" s="36" t="s">
        <v>2</v>
      </c>
      <c r="E2" s="36" t="s">
        <v>3</v>
      </c>
      <c r="F2" s="36" t="s">
        <v>4</v>
      </c>
      <c r="G2" s="37" t="s">
        <v>5</v>
      </c>
    </row>
    <row r="3" spans="1:7" ht="20.5">
      <c r="B3" s="28" t="s">
        <v>1</v>
      </c>
      <c r="C3" s="38"/>
      <c r="D3" s="39">
        <v>0.1</v>
      </c>
      <c r="E3" s="39">
        <v>0.2</v>
      </c>
      <c r="F3" s="39">
        <v>-0.3</v>
      </c>
      <c r="G3" s="40">
        <v>0.05</v>
      </c>
    </row>
    <row r="4" spans="1:7" ht="20.5">
      <c r="B4" s="28" t="s">
        <v>6</v>
      </c>
      <c r="C4" s="41">
        <v>200</v>
      </c>
      <c r="D4" s="42">
        <f>Tableau1[[#This Row],[0]]*(1+D3)</f>
        <v>220.00000000000003</v>
      </c>
      <c r="E4" s="42">
        <f>Tableau1[[#This Row],[1]]*(1+E3)</f>
        <v>264</v>
      </c>
      <c r="F4" s="42">
        <f>Tableau1[[#This Row],[2]]*(1+F3)</f>
        <v>184.79999999999998</v>
      </c>
      <c r="G4" s="42">
        <f>Tableau1[[#This Row],[3]]*(1+G3)</f>
        <v>194.04</v>
      </c>
    </row>
    <row r="5" spans="1:7" ht="16" thickBot="1">
      <c r="B5" s="29"/>
      <c r="C5" s="30"/>
      <c r="D5" s="30"/>
      <c r="E5" s="30"/>
      <c r="F5" s="30"/>
      <c r="G5" s="31"/>
    </row>
    <row r="8" spans="1:7" ht="16" thickBot="1"/>
    <row r="9" spans="1:7" ht="20.5">
      <c r="A9" s="27" t="s">
        <v>7</v>
      </c>
      <c r="B9" s="32">
        <f>(1+$D$3)*(1+$E$3)*(1+$F$3)*(1+$G$3)-1</f>
        <v>-2.9800000000000049E-2</v>
      </c>
      <c r="C9" s="33">
        <f>+C4*(1+B9)</f>
        <v>194.04</v>
      </c>
      <c r="D9" s="26"/>
    </row>
    <row r="10" spans="1:7" ht="21" thickBot="1">
      <c r="A10" s="29" t="s">
        <v>8</v>
      </c>
      <c r="B10" s="34">
        <f>POWER((1+$D$3)*(1+$E$3)*(1+$F$3)*(1+$G$3),0.25)-1</f>
        <v>-7.5347313064703103E-3</v>
      </c>
      <c r="C10" s="35">
        <f>+C4*(1+B10)^Tableau1[[#Headers],[4]]</f>
        <v>194.03999999999996</v>
      </c>
    </row>
    <row r="14" spans="1:7">
      <c r="D14" s="24"/>
      <c r="E14" s="24"/>
      <c r="F14" s="24"/>
      <c r="G14" s="24"/>
    </row>
    <row r="15" spans="1:7">
      <c r="D15" s="24"/>
      <c r="E15" s="24"/>
      <c r="F15" s="24"/>
      <c r="G15" s="24"/>
    </row>
    <row r="16" spans="1:7">
      <c r="A16" s="106" t="s">
        <v>107</v>
      </c>
      <c r="D16" s="24"/>
      <c r="E16" s="24"/>
      <c r="F16" s="24"/>
      <c r="G16" s="24"/>
    </row>
    <row r="17" spans="4:7">
      <c r="D17" s="24"/>
      <c r="E17" s="24"/>
      <c r="F17" s="24"/>
      <c r="G17" s="24"/>
    </row>
    <row r="18" spans="4:7">
      <c r="D18" s="24"/>
      <c r="E18" s="24"/>
      <c r="F18" s="24"/>
      <c r="G18" s="24"/>
    </row>
  </sheetData>
  <hyperlinks>
    <hyperlink ref="A16" location="SUMMARY!A1" display="SUMMARY" xr:uid="{00000000-0004-0000-0100-000000000000}"/>
  </hyperlinks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2"/>
  <dimension ref="A1:O30"/>
  <sheetViews>
    <sheetView showGridLines="0" workbookViewId="0">
      <selection activeCell="B12" sqref="B12"/>
    </sheetView>
  </sheetViews>
  <sheetFormatPr defaultColWidth="10.6640625" defaultRowHeight="15.5"/>
  <cols>
    <col min="1" max="1" width="14.08203125" bestFit="1" customWidth="1"/>
    <col min="3" max="6" width="10.5" customWidth="1"/>
    <col min="7" max="7" width="10.5" style="4" customWidth="1"/>
    <col min="8" max="8" width="2.75" customWidth="1"/>
    <col min="9" max="9" width="12.08203125" bestFit="1" customWidth="1"/>
    <col min="10" max="14" width="8.08203125" customWidth="1"/>
    <col min="15" max="15" width="10.58203125" bestFit="1" customWidth="1"/>
  </cols>
  <sheetData>
    <row r="1" spans="1:15">
      <c r="A1" s="10" t="s">
        <v>40</v>
      </c>
      <c r="I1" s="10" t="s">
        <v>40</v>
      </c>
    </row>
    <row r="2" spans="1:15">
      <c r="A2" s="174" t="s">
        <v>44</v>
      </c>
      <c r="B2" s="175">
        <v>1000</v>
      </c>
      <c r="I2" s="174" t="s">
        <v>46</v>
      </c>
      <c r="J2" s="175">
        <v>747.26</v>
      </c>
    </row>
    <row r="3" spans="1:15">
      <c r="A3" s="174" t="s">
        <v>45</v>
      </c>
      <c r="B3" s="176">
        <v>0.06</v>
      </c>
      <c r="I3" s="174" t="s">
        <v>45</v>
      </c>
      <c r="J3" s="176">
        <v>0.06</v>
      </c>
    </row>
    <row r="4" spans="1:15">
      <c r="A4" s="174" t="s">
        <v>35</v>
      </c>
      <c r="B4" s="174">
        <v>5</v>
      </c>
      <c r="I4" s="174" t="s">
        <v>35</v>
      </c>
      <c r="J4" s="174">
        <v>5</v>
      </c>
    </row>
    <row r="6" spans="1:15">
      <c r="O6" s="4"/>
    </row>
    <row r="7" spans="1:15">
      <c r="O7" s="4"/>
    </row>
    <row r="8" spans="1:15">
      <c r="A8" s="5" t="s">
        <v>9</v>
      </c>
      <c r="B8" s="5">
        <v>0</v>
      </c>
      <c r="C8" s="5">
        <v>1</v>
      </c>
      <c r="D8" s="5">
        <v>2</v>
      </c>
      <c r="E8" s="5">
        <v>3</v>
      </c>
      <c r="F8" s="5">
        <v>4</v>
      </c>
      <c r="G8" s="5">
        <v>5</v>
      </c>
      <c r="I8" s="5" t="s">
        <v>9</v>
      </c>
      <c r="J8" s="5">
        <v>0</v>
      </c>
      <c r="K8" s="5">
        <v>1</v>
      </c>
      <c r="L8" s="5">
        <v>2</v>
      </c>
      <c r="M8" s="5">
        <v>3</v>
      </c>
      <c r="N8" s="5">
        <v>4</v>
      </c>
      <c r="O8" s="5">
        <v>5</v>
      </c>
    </row>
    <row r="9" spans="1:15">
      <c r="A9" s="5" t="s">
        <v>10</v>
      </c>
      <c r="B9" s="6"/>
      <c r="C9" s="6"/>
      <c r="D9" s="6"/>
      <c r="E9" s="6"/>
      <c r="F9" s="6"/>
      <c r="G9" s="177">
        <f>+B2</f>
        <v>1000</v>
      </c>
      <c r="I9" s="5" t="s">
        <v>10</v>
      </c>
      <c r="J9" s="177">
        <f>+J2</f>
        <v>747.26</v>
      </c>
      <c r="K9" s="6"/>
      <c r="L9" s="6"/>
      <c r="M9" s="6"/>
      <c r="N9" s="6"/>
      <c r="O9" s="6"/>
    </row>
    <row r="10" spans="1:15">
      <c r="A10" s="5" t="s">
        <v>15</v>
      </c>
      <c r="B10" s="159">
        <f>+G9/(1+B3)^B4</f>
        <v>747.25817286605684</v>
      </c>
      <c r="C10" s="6"/>
      <c r="D10" s="6"/>
      <c r="E10" s="6"/>
      <c r="F10" s="6"/>
      <c r="G10" s="12"/>
      <c r="I10" s="5" t="s">
        <v>11</v>
      </c>
      <c r="J10" s="15"/>
      <c r="K10" s="6"/>
      <c r="L10" s="6"/>
      <c r="M10" s="6"/>
      <c r="N10" s="6"/>
      <c r="O10" s="159">
        <f>+J9*(1+J3)^J4</f>
        <v>1000.0024451173764</v>
      </c>
    </row>
    <row r="11" spans="1:15">
      <c r="A11" s="5" t="s">
        <v>18</v>
      </c>
      <c r="B11" s="159">
        <f>+PV(B3,B4,,B2)</f>
        <v>-747.25817286605684</v>
      </c>
      <c r="C11" s="6"/>
      <c r="D11" s="6"/>
      <c r="E11" s="6"/>
      <c r="F11" s="6"/>
      <c r="G11" s="12"/>
      <c r="I11" s="5" t="s">
        <v>19</v>
      </c>
      <c r="J11" s="14"/>
      <c r="K11" s="6"/>
      <c r="L11" s="6"/>
      <c r="M11" s="6"/>
      <c r="N11" s="6"/>
      <c r="O11" s="159">
        <f>+FV(J3,J4,,J2)</f>
        <v>-1000.0024451173764</v>
      </c>
    </row>
    <row r="12" spans="1:15">
      <c r="B12" s="7"/>
      <c r="C12" s="7"/>
      <c r="D12" s="7"/>
      <c r="E12" s="7"/>
      <c r="F12" s="7"/>
      <c r="G12" s="7"/>
      <c r="J12" s="7"/>
      <c r="K12" s="7"/>
      <c r="L12" s="7"/>
      <c r="M12" s="7"/>
      <c r="N12" s="7"/>
      <c r="O12" s="7"/>
    </row>
    <row r="13" spans="1:15">
      <c r="B13" s="7"/>
      <c r="C13" s="7"/>
      <c r="D13" s="7"/>
      <c r="E13" s="7"/>
      <c r="F13" s="7"/>
      <c r="G13" s="7"/>
      <c r="J13" s="7"/>
      <c r="K13" s="7"/>
      <c r="L13" s="7"/>
      <c r="M13" s="7"/>
      <c r="N13" s="7"/>
      <c r="O13" s="7"/>
    </row>
    <row r="14" spans="1:15">
      <c r="O14" s="4"/>
    </row>
    <row r="15" spans="1:15">
      <c r="O15" s="4"/>
    </row>
    <row r="16" spans="1:15">
      <c r="A16" s="3"/>
      <c r="I16" s="3"/>
      <c r="O16" s="4"/>
    </row>
    <row r="17" spans="1:15">
      <c r="O17" s="4"/>
    </row>
    <row r="18" spans="1:15">
      <c r="O18" s="4"/>
    </row>
    <row r="19" spans="1:15">
      <c r="A19" s="106" t="s">
        <v>107</v>
      </c>
      <c r="O19" s="4"/>
    </row>
    <row r="20" spans="1:15">
      <c r="O20" s="4"/>
    </row>
    <row r="21" spans="1:15">
      <c r="O21" s="4"/>
    </row>
    <row r="22" spans="1:15">
      <c r="O22" s="4"/>
    </row>
    <row r="23" spans="1:15">
      <c r="G23"/>
      <c r="O23" s="4"/>
    </row>
    <row r="24" spans="1:15">
      <c r="G24"/>
      <c r="O24" s="4"/>
    </row>
    <row r="25" spans="1:15">
      <c r="G25"/>
      <c r="O25" s="4"/>
    </row>
    <row r="26" spans="1:15">
      <c r="G26"/>
      <c r="O26" s="4"/>
    </row>
    <row r="27" spans="1:15">
      <c r="G27"/>
      <c r="O27" s="4"/>
    </row>
    <row r="28" spans="1:15">
      <c r="G28"/>
      <c r="O28" s="4"/>
    </row>
    <row r="29" spans="1:15">
      <c r="G29"/>
      <c r="O29" s="4"/>
    </row>
    <row r="30" spans="1:15">
      <c r="G30"/>
      <c r="O30" s="4"/>
    </row>
  </sheetData>
  <hyperlinks>
    <hyperlink ref="A19" location="SUMMARY!A1" display="SUMMARY" xr:uid="{00000000-0004-0000-0200-000000000000}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10"/>
  <dimension ref="A1:M29"/>
  <sheetViews>
    <sheetView showGridLines="0" workbookViewId="0">
      <selection activeCell="B13" sqref="B13"/>
    </sheetView>
  </sheetViews>
  <sheetFormatPr defaultColWidth="10.6640625" defaultRowHeight="15.5"/>
  <cols>
    <col min="1" max="1" width="24.33203125" bestFit="1" customWidth="1"/>
    <col min="7" max="7" width="10.83203125" style="4"/>
    <col min="8" max="8" width="10.08203125" customWidth="1"/>
  </cols>
  <sheetData>
    <row r="1" spans="1:13">
      <c r="A1" s="10" t="s">
        <v>40</v>
      </c>
      <c r="E1" s="106" t="s">
        <v>107</v>
      </c>
    </row>
    <row r="2" spans="1:13">
      <c r="A2" s="131" t="s">
        <v>27</v>
      </c>
      <c r="B2" s="132">
        <v>80</v>
      </c>
    </row>
    <row r="3" spans="1:13">
      <c r="A3" s="131" t="s">
        <v>45</v>
      </c>
      <c r="B3" s="172">
        <v>0.06</v>
      </c>
    </row>
    <row r="4" spans="1:13">
      <c r="A4" s="131" t="s">
        <v>35</v>
      </c>
      <c r="B4" s="131">
        <v>5</v>
      </c>
    </row>
    <row r="5" spans="1:13">
      <c r="B5" s="1"/>
      <c r="M5" s="4"/>
    </row>
    <row r="6" spans="1:13">
      <c r="M6" s="4"/>
    </row>
    <row r="7" spans="1:13">
      <c r="A7" t="s">
        <v>12</v>
      </c>
      <c r="M7" s="4"/>
    </row>
    <row r="8" spans="1:13">
      <c r="A8" s="5" t="s">
        <v>9</v>
      </c>
      <c r="B8" s="5">
        <v>0</v>
      </c>
      <c r="C8" s="5">
        <v>1</v>
      </c>
      <c r="D8" s="5">
        <v>2</v>
      </c>
      <c r="E8" s="5">
        <v>3</v>
      </c>
      <c r="F8" s="5">
        <v>4</v>
      </c>
      <c r="G8" s="5">
        <v>5</v>
      </c>
    </row>
    <row r="9" spans="1:13">
      <c r="A9" s="5" t="s">
        <v>10</v>
      </c>
      <c r="B9" s="5"/>
      <c r="C9" s="173">
        <v>80</v>
      </c>
      <c r="D9" s="173">
        <v>80</v>
      </c>
      <c r="E9" s="173">
        <v>80</v>
      </c>
      <c r="F9" s="173">
        <v>80</v>
      </c>
      <c r="G9" s="173">
        <v>80</v>
      </c>
    </row>
    <row r="10" spans="1:13">
      <c r="A10" s="5" t="s">
        <v>47</v>
      </c>
      <c r="B10" s="160">
        <f>+SUM(C10:G10)</f>
        <v>336.98910284525709</v>
      </c>
      <c r="C10" s="43">
        <f>-PV($B$3,C8,,C9)</f>
        <v>75.471698113207538</v>
      </c>
      <c r="D10" s="43">
        <f>-PV($B$3,D8,,D9)</f>
        <v>71.199715201139185</v>
      </c>
      <c r="E10" s="43">
        <f>-PV($B$3,E8,,E9)</f>
        <v>67.169542642584133</v>
      </c>
      <c r="F10" s="43">
        <f>-PV($B$3,F8,,F9)</f>
        <v>63.367493059041635</v>
      </c>
      <c r="G10" s="43">
        <f t="shared" ref="G10" si="0">-PV($B$3,G8,,G9)</f>
        <v>59.780653829284553</v>
      </c>
    </row>
    <row r="11" spans="1:13">
      <c r="A11" s="5" t="s">
        <v>50</v>
      </c>
      <c r="B11" s="160">
        <f>+SUM(C11:G11)</f>
        <v>336.98910284525709</v>
      </c>
      <c r="C11" s="43">
        <f>+C9/(1+$B$3)^C8</f>
        <v>75.471698113207538</v>
      </c>
      <c r="D11" s="43">
        <f>+D9/(1+$B$3)^D8</f>
        <v>71.199715201139185</v>
      </c>
      <c r="E11" s="43">
        <f t="shared" ref="E11:G11" si="1">+E9/(1+$B$3)^E8</f>
        <v>67.169542642584133</v>
      </c>
      <c r="F11" s="43">
        <f t="shared" si="1"/>
        <v>63.367493059041635</v>
      </c>
      <c r="G11" s="43">
        <f t="shared" si="1"/>
        <v>59.780653829284553</v>
      </c>
    </row>
    <row r="12" spans="1:13">
      <c r="B12" s="7"/>
      <c r="C12" s="7"/>
      <c r="D12" s="7"/>
      <c r="E12" s="7"/>
      <c r="F12" s="7"/>
      <c r="G12" s="7"/>
    </row>
    <row r="13" spans="1:13">
      <c r="A13" t="s">
        <v>133</v>
      </c>
      <c r="B13" s="160">
        <f>-PV(B3,B4,B2)</f>
        <v>336.98910284525749</v>
      </c>
      <c r="C13" s="7"/>
      <c r="D13" s="7"/>
      <c r="E13" s="7"/>
      <c r="F13" s="7"/>
      <c r="G13" s="7"/>
    </row>
    <row r="14" spans="1:13">
      <c r="B14" s="3"/>
      <c r="M14" s="4"/>
    </row>
    <row r="15" spans="1:13">
      <c r="A15" s="5" t="s">
        <v>9</v>
      </c>
      <c r="B15" s="5">
        <v>0</v>
      </c>
      <c r="C15" s="5">
        <v>1</v>
      </c>
      <c r="D15" s="5">
        <v>2</v>
      </c>
      <c r="E15" s="5">
        <v>3</v>
      </c>
      <c r="F15" s="5">
        <v>4</v>
      </c>
      <c r="G15" s="5">
        <v>5</v>
      </c>
      <c r="H15" s="8" t="s">
        <v>14</v>
      </c>
      <c r="M15" s="4"/>
    </row>
    <row r="16" spans="1:13">
      <c r="A16" s="5" t="s">
        <v>10</v>
      </c>
      <c r="B16" s="6"/>
      <c r="C16" s="173">
        <v>80</v>
      </c>
      <c r="D16" s="173">
        <v>80</v>
      </c>
      <c r="E16" s="173">
        <v>80</v>
      </c>
      <c r="F16" s="173">
        <v>80</v>
      </c>
      <c r="G16" s="173">
        <v>80</v>
      </c>
      <c r="H16" s="6"/>
      <c r="M16" s="4"/>
    </row>
    <row r="17" spans="1:13">
      <c r="A17" s="5" t="s">
        <v>48</v>
      </c>
      <c r="B17" s="6" t="s">
        <v>49</v>
      </c>
      <c r="C17" s="43">
        <f>-FV($B$3,($B$4-C15),,C16)</f>
        <v>100.99815680000003</v>
      </c>
      <c r="D17" s="43">
        <f t="shared" ref="D17:G17" si="2">-FV($B$3,($B$4-D15),,D16)</f>
        <v>95.281280000000024</v>
      </c>
      <c r="E17" s="43">
        <f t="shared" si="2"/>
        <v>89.888000000000005</v>
      </c>
      <c r="F17" s="43">
        <f t="shared" si="2"/>
        <v>84.800000000000011</v>
      </c>
      <c r="G17" s="43">
        <f t="shared" si="2"/>
        <v>80</v>
      </c>
      <c r="H17" s="160">
        <f>+SUM(C17:G17)</f>
        <v>450.96743680000003</v>
      </c>
      <c r="M17" s="4"/>
    </row>
    <row r="18" spans="1:13">
      <c r="A18" s="5" t="s">
        <v>51</v>
      </c>
      <c r="B18" s="6" t="s">
        <v>49</v>
      </c>
      <c r="C18" s="43">
        <f>+C16*(1+$B$3)^($B$4-C15)</f>
        <v>100.99815680000003</v>
      </c>
      <c r="D18" s="43">
        <f t="shared" ref="D18:G18" si="3">+D16*(1+$B$3)^($B$4-D15)</f>
        <v>95.281280000000024</v>
      </c>
      <c r="E18" s="43">
        <f t="shared" si="3"/>
        <v>89.888000000000005</v>
      </c>
      <c r="F18" s="43">
        <f t="shared" si="3"/>
        <v>84.800000000000011</v>
      </c>
      <c r="G18" s="43">
        <f t="shared" si="3"/>
        <v>80</v>
      </c>
      <c r="H18" s="160">
        <f>+SUM(C18:G18)</f>
        <v>450.96743680000003</v>
      </c>
      <c r="M18" s="4"/>
    </row>
    <row r="19" spans="1:13">
      <c r="B19" s="7"/>
      <c r="C19" s="7"/>
      <c r="D19" s="7"/>
      <c r="E19" s="7"/>
      <c r="F19" s="7"/>
      <c r="G19" s="7"/>
      <c r="M19" s="4"/>
    </row>
    <row r="20" spans="1:13">
      <c r="A20" t="s">
        <v>134</v>
      </c>
      <c r="B20" s="160">
        <f>-FV(B3,B4,B2)</f>
        <v>450.96743680000066</v>
      </c>
      <c r="M20" s="4"/>
    </row>
    <row r="21" spans="1:13">
      <c r="M21" s="4"/>
    </row>
    <row r="22" spans="1:13">
      <c r="G22"/>
      <c r="M22" s="4"/>
    </row>
    <row r="23" spans="1:13">
      <c r="G23"/>
      <c r="M23" s="4"/>
    </row>
    <row r="24" spans="1:13">
      <c r="G24"/>
      <c r="M24" s="4"/>
    </row>
    <row r="25" spans="1:13">
      <c r="G25"/>
      <c r="M25" s="4"/>
    </row>
    <row r="26" spans="1:13">
      <c r="G26"/>
      <c r="M26" s="4"/>
    </row>
    <row r="27" spans="1:13">
      <c r="G27"/>
      <c r="M27" s="4"/>
    </row>
    <row r="28" spans="1:13">
      <c r="G28"/>
      <c r="M28" s="4"/>
    </row>
    <row r="29" spans="1:13">
      <c r="G29"/>
      <c r="M29" s="4"/>
    </row>
  </sheetData>
  <hyperlinks>
    <hyperlink ref="E1" location="SUMMARY!A1" display="SUMMARY" xr:uid="{00000000-0004-0000-0400-000000000000}"/>
  </hyperlink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5"/>
  <dimension ref="A1:N28"/>
  <sheetViews>
    <sheetView showGridLines="0" topLeftCell="A11" zoomScaleNormal="100" workbookViewId="0">
      <selection activeCell="B28" sqref="B28"/>
    </sheetView>
  </sheetViews>
  <sheetFormatPr defaultColWidth="10.58203125" defaultRowHeight="16.5"/>
  <cols>
    <col min="1" max="1" width="37" style="46" bestFit="1" customWidth="1"/>
    <col min="2" max="2" width="20.58203125" style="46" customWidth="1"/>
    <col min="3" max="7" width="11.9140625" style="47" bestFit="1" customWidth="1"/>
    <col min="8" max="8" width="15.5" style="47" customWidth="1"/>
    <col min="9" max="9" width="12" style="47" bestFit="1" customWidth="1"/>
    <col min="10" max="11" width="10.83203125" style="47"/>
    <col min="12" max="16384" width="10.58203125" style="46"/>
  </cols>
  <sheetData>
    <row r="1" spans="1:14">
      <c r="A1" s="106" t="s">
        <v>107</v>
      </c>
      <c r="B1" s="245" t="s">
        <v>135</v>
      </c>
      <c r="C1" s="246"/>
      <c r="D1" s="246"/>
      <c r="E1" s="246"/>
      <c r="F1" s="246"/>
      <c r="G1" s="246"/>
      <c r="H1" s="247"/>
    </row>
    <row r="2" spans="1:14" ht="17" thickBot="1">
      <c r="B2" s="248" t="s">
        <v>136</v>
      </c>
      <c r="C2" s="249"/>
      <c r="D2" s="249"/>
      <c r="E2" s="249"/>
      <c r="F2" s="249"/>
      <c r="G2" s="249"/>
      <c r="H2" s="250"/>
    </row>
    <row r="3" spans="1:14" ht="17" thickBot="1">
      <c r="A3" s="48" t="s">
        <v>40</v>
      </c>
      <c r="B3" s="60"/>
    </row>
    <row r="4" spans="1:14">
      <c r="A4" s="46" t="s">
        <v>27</v>
      </c>
      <c r="B4" s="169">
        <v>1000</v>
      </c>
    </row>
    <row r="5" spans="1:14">
      <c r="A5" s="46" t="s">
        <v>25</v>
      </c>
      <c r="B5" s="170">
        <v>0.03</v>
      </c>
    </row>
    <row r="6" spans="1:14" ht="17" thickBot="1">
      <c r="A6" s="46" t="s">
        <v>35</v>
      </c>
      <c r="B6" s="171">
        <v>4</v>
      </c>
    </row>
    <row r="8" spans="1:14">
      <c r="A8" s="49"/>
      <c r="B8" s="50"/>
    </row>
    <row r="9" spans="1:14">
      <c r="A9" s="51" t="s">
        <v>26</v>
      </c>
      <c r="B9" s="52">
        <v>0</v>
      </c>
      <c r="C9" s="53">
        <f>+IF(OR(B9=$B$6,B9=""),"",B9+1)</f>
        <v>1</v>
      </c>
      <c r="D9" s="53">
        <f>+IF(OR(C9=$B$6,C9=""),"",C9+1)</f>
        <v>2</v>
      </c>
      <c r="E9" s="53">
        <f t="shared" ref="E9:J9" si="0">+IF(OR(D9=$B$6,D9=""),"",D9+1)</f>
        <v>3</v>
      </c>
      <c r="F9" s="53">
        <f t="shared" si="0"/>
        <v>4</v>
      </c>
      <c r="G9" s="53" t="str">
        <f t="shared" si="0"/>
        <v/>
      </c>
      <c r="H9" s="53" t="str">
        <f t="shared" si="0"/>
        <v/>
      </c>
      <c r="I9" s="53" t="str">
        <f>+IF(OR(H9=$B$6,H9=""),"",H9+1)</f>
        <v/>
      </c>
      <c r="J9" s="53" t="str">
        <f t="shared" si="0"/>
        <v/>
      </c>
      <c r="K9" s="53" t="str">
        <f t="shared" ref="K9:M9" si="1">+IF(J9&gt;=$B$6,"",J9+1)</f>
        <v/>
      </c>
      <c r="L9" s="53" t="str">
        <f t="shared" si="1"/>
        <v/>
      </c>
      <c r="M9" s="53" t="str">
        <f t="shared" si="1"/>
        <v/>
      </c>
      <c r="N9" s="53" t="str">
        <f>+IF(M9&gt;=$B$6,"",M9+1)</f>
        <v/>
      </c>
    </row>
    <row r="10" spans="1:14">
      <c r="A10" s="54" t="s">
        <v>36</v>
      </c>
      <c r="B10" s="55"/>
      <c r="C10" s="56">
        <f>+IF(C9&lt;&gt;"",$B$4,"")</f>
        <v>1000</v>
      </c>
      <c r="D10" s="56">
        <f>+IF(D9&lt;&gt;"",$B$4,"")</f>
        <v>1000</v>
      </c>
      <c r="E10" s="56">
        <f t="shared" ref="E10:K10" si="2">+IF(E9&lt;&gt;"",$B$4,"")</f>
        <v>1000</v>
      </c>
      <c r="F10" s="56">
        <f t="shared" si="2"/>
        <v>1000</v>
      </c>
      <c r="G10" s="56" t="str">
        <f t="shared" si="2"/>
        <v/>
      </c>
      <c r="H10" s="56" t="str">
        <f t="shared" si="2"/>
        <v/>
      </c>
      <c r="I10" s="56" t="str">
        <f t="shared" si="2"/>
        <v/>
      </c>
      <c r="J10" s="56" t="str">
        <f t="shared" si="2"/>
        <v/>
      </c>
      <c r="K10" s="56" t="str">
        <f t="shared" si="2"/>
        <v/>
      </c>
    </row>
    <row r="11" spans="1:14">
      <c r="B11" s="58"/>
      <c r="C11" s="57"/>
      <c r="D11" s="57"/>
      <c r="E11" s="57"/>
      <c r="F11" s="57"/>
      <c r="G11" s="57"/>
      <c r="H11" s="57"/>
      <c r="I11" s="57"/>
      <c r="J11" s="57"/>
      <c r="K11" s="57"/>
    </row>
    <row r="12" spans="1:14">
      <c r="A12" s="45" t="s">
        <v>82</v>
      </c>
      <c r="B12" s="163">
        <f>+SUM(C12:K12)</f>
        <v>3717.0984028103699</v>
      </c>
      <c r="C12" s="59">
        <f>IFERROR(-PV($B$5,C9,,C10),"")</f>
        <v>970.87378640776694</v>
      </c>
      <c r="D12" s="59">
        <f t="shared" ref="D12:K12" si="3">IFERROR(-PV($B$5,D9,,D10),"")</f>
        <v>942.59590913375439</v>
      </c>
      <c r="E12" s="59">
        <f t="shared" si="3"/>
        <v>915.14165935315953</v>
      </c>
      <c r="F12" s="59">
        <f t="shared" si="3"/>
        <v>888.487047915689</v>
      </c>
      <c r="G12" s="59" t="str">
        <f t="shared" si="3"/>
        <v/>
      </c>
      <c r="H12" s="59" t="str">
        <f>IFERROR(-PV($B$5,H9,,H10),"")</f>
        <v/>
      </c>
      <c r="I12" s="59" t="str">
        <f t="shared" si="3"/>
        <v/>
      </c>
      <c r="J12" s="59" t="str">
        <f t="shared" si="3"/>
        <v/>
      </c>
      <c r="K12" s="59" t="str">
        <f t="shared" si="3"/>
        <v/>
      </c>
    </row>
    <row r="13" spans="1:14" ht="3" customHeight="1">
      <c r="C13" s="57"/>
      <c r="D13" s="57"/>
      <c r="E13" s="57"/>
      <c r="F13" s="57"/>
      <c r="G13" s="57"/>
    </row>
    <row r="14" spans="1:14" s="45" customFormat="1">
      <c r="A14" s="60" t="s">
        <v>39</v>
      </c>
      <c r="B14" s="164">
        <f>-PV(B5,B6,B4)</f>
        <v>3717.098402810368</v>
      </c>
      <c r="C14" s="61"/>
      <c r="D14" s="62"/>
      <c r="E14" s="62"/>
      <c r="F14" s="62"/>
      <c r="G14" s="62"/>
      <c r="H14" s="61"/>
      <c r="I14" s="61"/>
      <c r="J14" s="61"/>
      <c r="K14" s="61"/>
    </row>
    <row r="15" spans="1:14">
      <c r="B15" s="63"/>
    </row>
    <row r="16" spans="1:14" ht="4.5" customHeight="1">
      <c r="C16" s="57"/>
      <c r="D16" s="57"/>
      <c r="E16" s="57"/>
      <c r="F16" s="57"/>
      <c r="G16" s="57"/>
    </row>
    <row r="17" spans="1:7">
      <c r="A17" s="60" t="s">
        <v>52</v>
      </c>
      <c r="B17" s="163">
        <f>-FV(B5,B6,B4)</f>
        <v>4183.6269999999977</v>
      </c>
      <c r="D17" s="57"/>
      <c r="E17" s="57"/>
      <c r="F17" s="57"/>
      <c r="G17" s="57"/>
    </row>
    <row r="18" spans="1:7" ht="17" thickBot="1">
      <c r="B18" s="58"/>
      <c r="D18" s="57"/>
      <c r="E18" s="57"/>
      <c r="F18" s="57"/>
      <c r="G18" s="57"/>
    </row>
    <row r="19" spans="1:7" ht="17" thickBot="1">
      <c r="A19" s="64" t="s">
        <v>69</v>
      </c>
      <c r="B19" s="165">
        <f>+B14*(1+B5)^B6</f>
        <v>4183.6269999999977</v>
      </c>
      <c r="D19" s="57"/>
      <c r="E19" s="57"/>
      <c r="F19" s="57"/>
      <c r="G19" s="57"/>
    </row>
    <row r="20" spans="1:7" ht="17" thickBot="1">
      <c r="B20" s="58"/>
      <c r="D20" s="57"/>
      <c r="E20" s="57"/>
      <c r="F20" s="57"/>
      <c r="G20" s="57"/>
    </row>
    <row r="21" spans="1:7">
      <c r="A21" s="65" t="s">
        <v>27</v>
      </c>
      <c r="B21" s="66"/>
    </row>
    <row r="22" spans="1:7" ht="17" thickBot="1">
      <c r="A22" s="67" t="s">
        <v>41</v>
      </c>
      <c r="B22" s="166">
        <f>+PMT(B5,B6,-B14)</f>
        <v>999.99999999999943</v>
      </c>
    </row>
    <row r="23" spans="1:7" ht="17" thickBot="1"/>
    <row r="24" spans="1:7">
      <c r="A24" s="65" t="s">
        <v>37</v>
      </c>
      <c r="B24" s="66"/>
    </row>
    <row r="25" spans="1:7" ht="17" thickBot="1">
      <c r="A25" s="68" t="s">
        <v>83</v>
      </c>
      <c r="B25" s="167">
        <f>+RATE(B6,B4,-B14)</f>
        <v>3.0000000001127288E-2</v>
      </c>
    </row>
    <row r="26" spans="1:7" ht="17" thickBot="1">
      <c r="B26" s="69"/>
    </row>
    <row r="27" spans="1:7">
      <c r="A27" s="65" t="s">
        <v>38</v>
      </c>
      <c r="B27" s="66"/>
    </row>
    <row r="28" spans="1:7" ht="17" thickBot="1">
      <c r="A28" s="67" t="s">
        <v>42</v>
      </c>
      <c r="B28" s="168">
        <f>+NPER(B5,B4,-B14)</f>
        <v>3.9999999999999938</v>
      </c>
    </row>
  </sheetData>
  <conditionalFormatting sqref="C9:N9">
    <cfRule type="cellIs" priority="1" operator="notEqual">
      <formula>""" """</formula>
    </cfRule>
  </conditionalFormatting>
  <hyperlinks>
    <hyperlink ref="A1" location="SUMMARY!A1" display="SUMMARY" xr:uid="{00000000-0004-0000-0500-000000000000}"/>
  </hyperlink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G25"/>
  <sheetViews>
    <sheetView showGridLines="0" topLeftCell="A7" zoomScale="110" zoomScaleNormal="110" workbookViewId="0">
      <selection activeCell="B18" sqref="B18"/>
    </sheetView>
  </sheetViews>
  <sheetFormatPr defaultColWidth="10.58203125" defaultRowHeight="14.5"/>
  <cols>
    <col min="1" max="1" width="33.6640625" style="20" customWidth="1"/>
    <col min="2" max="2" width="13.08203125" style="20" bestFit="1" customWidth="1"/>
    <col min="3" max="3" width="10.58203125" style="20"/>
    <col min="4" max="4" width="21.9140625" style="20" customWidth="1"/>
    <col min="5" max="16384" width="10.58203125" style="20"/>
  </cols>
  <sheetData>
    <row r="1" spans="1:7">
      <c r="A1" s="152" t="s">
        <v>160</v>
      </c>
      <c r="F1" s="20" t="s">
        <v>107</v>
      </c>
    </row>
    <row r="2" spans="1:7" ht="7.5" customHeight="1"/>
    <row r="3" spans="1:7">
      <c r="B3" s="268" t="s">
        <v>144</v>
      </c>
      <c r="C3" s="268" t="s">
        <v>145</v>
      </c>
      <c r="D3" s="268" t="s">
        <v>146</v>
      </c>
    </row>
    <row r="4" spans="1:7">
      <c r="A4" s="255" t="s">
        <v>148</v>
      </c>
      <c r="B4" s="256">
        <v>0.12</v>
      </c>
      <c r="C4" s="256">
        <v>0.12</v>
      </c>
      <c r="D4" s="256">
        <v>0.12</v>
      </c>
    </row>
    <row r="5" spans="1:7">
      <c r="A5" s="257" t="s">
        <v>147</v>
      </c>
      <c r="B5" s="258">
        <f>B4/12</f>
        <v>0.01</v>
      </c>
      <c r="C5" s="259">
        <f>NOMINAL(C4,12)/12</f>
        <v>9.4887929345830457E-3</v>
      </c>
      <c r="D5" s="259">
        <f>(1+D4)^(1/12)-1</f>
        <v>9.4887929345830457E-3</v>
      </c>
      <c r="E5" s="253"/>
    </row>
    <row r="6" spans="1:7">
      <c r="A6" s="257" t="s">
        <v>152</v>
      </c>
      <c r="B6" s="259">
        <f>(1+B5)^12-1</f>
        <v>0.12682503013196977</v>
      </c>
      <c r="C6" s="259">
        <f>(1+C5)^12-1</f>
        <v>0.12000000000000144</v>
      </c>
      <c r="E6" s="253"/>
    </row>
    <row r="7" spans="1:7">
      <c r="A7" s="260" t="s">
        <v>149</v>
      </c>
      <c r="B7" s="260">
        <v>20</v>
      </c>
      <c r="C7" s="260">
        <v>20</v>
      </c>
    </row>
    <row r="8" spans="1:7">
      <c r="A8" s="261" t="s">
        <v>150</v>
      </c>
      <c r="B8" s="262">
        <f>+B7*12</f>
        <v>240</v>
      </c>
      <c r="C8" s="262">
        <f>+C7*12</f>
        <v>240</v>
      </c>
    </row>
    <row r="9" spans="1:7">
      <c r="A9" s="260" t="s">
        <v>75</v>
      </c>
      <c r="B9" s="260">
        <v>100</v>
      </c>
      <c r="C9" s="260">
        <v>100</v>
      </c>
      <c r="G9" s="252"/>
    </row>
    <row r="10" spans="1:7" ht="8.5" customHeight="1"/>
    <row r="11" spans="1:7">
      <c r="A11" s="263" t="s">
        <v>11</v>
      </c>
      <c r="B11" s="264">
        <f>-FV(B5,B8,B9)</f>
        <v>98925.536538736298</v>
      </c>
      <c r="C11" s="264">
        <f>-FV(C5,C8,C9)</f>
        <v>91121.106265926952</v>
      </c>
    </row>
    <row r="12" spans="1:7">
      <c r="A12" s="263" t="s">
        <v>142</v>
      </c>
      <c r="B12" s="264">
        <f>-PV(B5,B8,,B11)</f>
        <v>9081.9416348301584</v>
      </c>
      <c r="C12" s="264">
        <f>-PV(C5,C8,,C11)</f>
        <v>9446.2303171620515</v>
      </c>
    </row>
    <row r="13" spans="1:7">
      <c r="A13" s="263" t="s">
        <v>143</v>
      </c>
      <c r="B13" s="264">
        <f>-PV(B5,B8,B9)</f>
        <v>9081.9416348301584</v>
      </c>
      <c r="C13" s="264">
        <f>-PV(C5,C8,C9)</f>
        <v>9446.2303171620515</v>
      </c>
    </row>
    <row r="14" spans="1:7" ht="6" customHeight="1"/>
    <row r="15" spans="1:7">
      <c r="A15" s="152" t="s">
        <v>159</v>
      </c>
    </row>
    <row r="16" spans="1:7" ht="6" customHeight="1"/>
    <row r="17" spans="1:3">
      <c r="A17" s="263" t="s">
        <v>11</v>
      </c>
      <c r="B17" s="264">
        <f>-FV(B5,B8,B9,,1)</f>
        <v>99914.79190412366</v>
      </c>
      <c r="C17" s="264">
        <f>-FV(C5,C8,C9,,1)</f>
        <v>91985.735575254468</v>
      </c>
    </row>
    <row r="18" spans="1:3">
      <c r="A18" s="263" t="s">
        <v>74</v>
      </c>
      <c r="B18" s="264">
        <f>-PV(B5,B8,B9,,1)</f>
        <v>9172.7610511784605</v>
      </c>
      <c r="C18" s="264">
        <f>-PV(C5,C8,C9,,1)</f>
        <v>9535.8636406539827</v>
      </c>
    </row>
    <row r="19" spans="1:3" ht="15" thickBot="1">
      <c r="B19" s="251"/>
      <c r="C19" s="251"/>
    </row>
    <row r="20" spans="1:3" ht="15" thickBot="1">
      <c r="A20" s="267" t="s">
        <v>151</v>
      </c>
      <c r="B20" s="266">
        <f>B13*(1+B5)</f>
        <v>9172.7610511784605</v>
      </c>
      <c r="C20" s="265">
        <f>C13*(1+C5)</f>
        <v>9535.8636406539827</v>
      </c>
    </row>
    <row r="21" spans="1:3" ht="5.5" customHeight="1"/>
    <row r="22" spans="1:3">
      <c r="A22" s="152" t="s">
        <v>161</v>
      </c>
    </row>
    <row r="23" spans="1:3" ht="10.5" customHeight="1"/>
    <row r="24" spans="1:3">
      <c r="A24" s="263" t="s">
        <v>11</v>
      </c>
      <c r="B24" s="264">
        <f>-FV(B5,B8,B9,20000)</f>
        <v>316776.60961620888</v>
      </c>
      <c r="C24" s="264">
        <f>-FV(C5,C8,C9,20000)</f>
        <v>284046.96813143062</v>
      </c>
    </row>
    <row r="25" spans="1:3">
      <c r="A25" s="263" t="s">
        <v>74</v>
      </c>
      <c r="B25" s="264">
        <f>-PV(B5,B8,B9,20000)</f>
        <v>10918.05836516984</v>
      </c>
      <c r="C25" s="264">
        <f>-PV(C5,C8,C9,20000)</f>
        <v>11519.565618775765</v>
      </c>
    </row>
  </sheetData>
  <hyperlinks>
    <hyperlink ref="F1" location="SUMMARY!A1" display="SUMMARY" xr:uid="{F9240740-E077-4FE2-AD6D-8C5ACCEA90D9}"/>
  </hyperlink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14"/>
  <dimension ref="A1:O119"/>
  <sheetViews>
    <sheetView showGridLines="0" workbookViewId="0">
      <selection activeCell="L1" sqref="L1"/>
    </sheetView>
  </sheetViews>
  <sheetFormatPr defaultColWidth="10.6640625" defaultRowHeight="15.5"/>
  <cols>
    <col min="1" max="1" width="14.08203125" bestFit="1" customWidth="1"/>
    <col min="3" max="3" width="7.5" bestFit="1" customWidth="1"/>
    <col min="4" max="6" width="7.25" bestFit="1" customWidth="1"/>
    <col min="7" max="7" width="7.25" style="4" bestFit="1" customWidth="1"/>
    <col min="8" max="8" width="3" customWidth="1"/>
    <col min="9" max="9" width="28.08203125" bestFit="1" customWidth="1"/>
    <col min="10" max="10" width="9.08203125" bestFit="1" customWidth="1"/>
    <col min="11" max="13" width="7.25" bestFit="1" customWidth="1"/>
    <col min="14" max="14" width="8.25" bestFit="1" customWidth="1"/>
    <col min="15" max="15" width="7.25" bestFit="1" customWidth="1"/>
  </cols>
  <sheetData>
    <row r="1" spans="1:15">
      <c r="D1" s="294" t="s">
        <v>87</v>
      </c>
      <c r="E1" s="295"/>
      <c r="F1" s="296"/>
      <c r="L1" s="106" t="s">
        <v>107</v>
      </c>
    </row>
    <row r="2" spans="1:15" ht="16" thickBot="1">
      <c r="A2" s="10" t="s">
        <v>85</v>
      </c>
      <c r="D2" s="297" t="str">
        <f>+IF(B20&gt;J24,A2,I2)</f>
        <v>PROJECT B</v>
      </c>
      <c r="E2" s="298"/>
      <c r="F2" s="299"/>
      <c r="I2" s="10" t="s">
        <v>86</v>
      </c>
    </row>
    <row r="3" spans="1:15">
      <c r="A3" s="155" t="s">
        <v>53</v>
      </c>
      <c r="B3" s="156">
        <v>-100</v>
      </c>
      <c r="I3" s="155" t="s">
        <v>53</v>
      </c>
      <c r="J3" s="156">
        <v>-107.3</v>
      </c>
    </row>
    <row r="4" spans="1:15">
      <c r="A4" s="155" t="s">
        <v>54</v>
      </c>
      <c r="B4" s="156">
        <v>21</v>
      </c>
      <c r="I4" s="155" t="s">
        <v>54</v>
      </c>
      <c r="J4" s="156">
        <v>48.31</v>
      </c>
    </row>
    <row r="5" spans="1:15">
      <c r="A5" s="155" t="s">
        <v>55</v>
      </c>
      <c r="B5" s="156">
        <v>34</v>
      </c>
      <c r="I5" s="155" t="s">
        <v>55</v>
      </c>
      <c r="J5" s="156">
        <v>58.53</v>
      </c>
    </row>
    <row r="6" spans="1:15">
      <c r="A6" s="155" t="s">
        <v>56</v>
      </c>
      <c r="B6" s="156">
        <v>40</v>
      </c>
      <c r="I6" s="155" t="s">
        <v>56</v>
      </c>
      <c r="J6" s="156">
        <v>82.8</v>
      </c>
    </row>
    <row r="7" spans="1:15">
      <c r="A7" s="155" t="s">
        <v>57</v>
      </c>
      <c r="B7" s="156">
        <v>33</v>
      </c>
      <c r="I7" s="155" t="s">
        <v>57</v>
      </c>
      <c r="J7" s="156">
        <v>106.31</v>
      </c>
    </row>
    <row r="8" spans="1:15">
      <c r="A8" s="155" t="s">
        <v>58</v>
      </c>
      <c r="B8" s="156">
        <v>17</v>
      </c>
      <c r="I8" s="155" t="s">
        <v>58</v>
      </c>
      <c r="J8" s="156">
        <v>62.18</v>
      </c>
    </row>
    <row r="9" spans="1:15">
      <c r="A9" s="155" t="s">
        <v>45</v>
      </c>
      <c r="B9" s="157">
        <v>0.08</v>
      </c>
      <c r="I9" s="155" t="s">
        <v>59</v>
      </c>
      <c r="J9" s="158">
        <v>7.5999999999999998E-2</v>
      </c>
    </row>
    <row r="10" spans="1:15">
      <c r="A10" s="155" t="s">
        <v>35</v>
      </c>
      <c r="B10" s="155">
        <v>5</v>
      </c>
      <c r="I10" s="155" t="s">
        <v>60</v>
      </c>
      <c r="J10" s="158">
        <v>3.6999999999999998E-2</v>
      </c>
    </row>
    <row r="11" spans="1:15">
      <c r="B11" s="1"/>
      <c r="I11" s="155" t="s">
        <v>35</v>
      </c>
      <c r="J11" s="155">
        <v>5</v>
      </c>
      <c r="K11" s="1"/>
      <c r="O11" s="4"/>
    </row>
    <row r="12" spans="1:15">
      <c r="O12" s="4"/>
    </row>
    <row r="13" spans="1:15">
      <c r="A13" t="s">
        <v>12</v>
      </c>
      <c r="I13" t="s">
        <v>61</v>
      </c>
    </row>
    <row r="14" spans="1:15">
      <c r="A14" s="5" t="s">
        <v>9</v>
      </c>
      <c r="B14" s="5">
        <v>0</v>
      </c>
      <c r="C14" s="5">
        <v>1</v>
      </c>
      <c r="D14" s="5">
        <v>2</v>
      </c>
      <c r="E14" s="5">
        <v>3</v>
      </c>
      <c r="F14" s="5">
        <v>4</v>
      </c>
      <c r="G14" s="5">
        <v>5</v>
      </c>
      <c r="I14" s="162">
        <f>+(1+J9)*(1+J10)-1</f>
        <v>0.11581200000000003</v>
      </c>
    </row>
    <row r="15" spans="1:15">
      <c r="A15" s="5" t="s">
        <v>10</v>
      </c>
      <c r="B15" s="156">
        <v>-100</v>
      </c>
      <c r="C15" s="156">
        <v>21</v>
      </c>
      <c r="D15" s="156">
        <v>34</v>
      </c>
      <c r="E15" s="156">
        <v>40</v>
      </c>
      <c r="F15" s="156">
        <v>33</v>
      </c>
      <c r="G15" s="156">
        <v>17</v>
      </c>
    </row>
    <row r="16" spans="1:15">
      <c r="A16" s="5" t="s">
        <v>70</v>
      </c>
      <c r="B16" s="159">
        <f>B15/(1+$B$9)^B14</f>
        <v>-100</v>
      </c>
      <c r="C16" s="159">
        <f t="shared" ref="C16:G16" si="0">C15/(1+$B$9)^C14</f>
        <v>19.444444444444443</v>
      </c>
      <c r="D16" s="159">
        <f t="shared" si="0"/>
        <v>29.149519890260628</v>
      </c>
      <c r="E16" s="159">
        <f t="shared" si="0"/>
        <v>31.753289640806784</v>
      </c>
      <c r="F16" s="159">
        <f t="shared" si="0"/>
        <v>24.255985142282956</v>
      </c>
      <c r="G16" s="159">
        <f t="shared" si="0"/>
        <v>11.569914349573802</v>
      </c>
    </row>
    <row r="17" spans="1:15">
      <c r="A17" s="5" t="s">
        <v>16</v>
      </c>
      <c r="B17" s="160">
        <f>+SUM(B16:G16)</f>
        <v>16.173153467368614</v>
      </c>
      <c r="C17" s="7"/>
      <c r="D17" s="7"/>
      <c r="E17" s="7"/>
      <c r="F17" s="7"/>
      <c r="G17" s="7"/>
      <c r="I17" t="s">
        <v>24</v>
      </c>
      <c r="O17" s="4"/>
    </row>
    <row r="18" spans="1:15">
      <c r="I18" s="5" t="s">
        <v>9</v>
      </c>
      <c r="J18" s="5">
        <v>0</v>
      </c>
      <c r="K18" s="5">
        <v>1</v>
      </c>
      <c r="L18" s="5">
        <v>2</v>
      </c>
      <c r="M18" s="5">
        <v>3</v>
      </c>
      <c r="N18" s="5">
        <v>4</v>
      </c>
      <c r="O18" s="5">
        <v>5</v>
      </c>
    </row>
    <row r="19" spans="1:15">
      <c r="A19" t="s">
        <v>13</v>
      </c>
      <c r="B19" s="7"/>
      <c r="C19" s="7"/>
      <c r="D19" s="7"/>
      <c r="E19" s="7"/>
      <c r="F19" s="7"/>
      <c r="G19" s="7"/>
      <c r="I19" s="5" t="s">
        <v>10</v>
      </c>
      <c r="J19" s="156">
        <v>-107.3</v>
      </c>
      <c r="K19" s="156">
        <v>48.31</v>
      </c>
      <c r="L19" s="156">
        <v>58.53</v>
      </c>
      <c r="M19" s="156">
        <v>82.8</v>
      </c>
      <c r="N19" s="156">
        <v>106.31</v>
      </c>
      <c r="O19" s="156">
        <v>62.18</v>
      </c>
    </row>
    <row r="20" spans="1:15">
      <c r="A20" t="s">
        <v>16</v>
      </c>
      <c r="B20" s="161">
        <f>+NPV(B9,B4:B8)+B3</f>
        <v>16.173153467368607</v>
      </c>
      <c r="C20" s="7"/>
      <c r="D20" s="7"/>
      <c r="E20" s="7"/>
      <c r="F20" s="7"/>
      <c r="G20" s="7"/>
      <c r="I20" s="5" t="s">
        <v>70</v>
      </c>
      <c r="J20" s="159">
        <f>+J19/(1+$I$14)^J18</f>
        <v>-107.3</v>
      </c>
      <c r="K20" s="159">
        <f>+K19/(1+$I$14)^K18</f>
        <v>43.295824027703596</v>
      </c>
      <c r="L20" s="159">
        <f t="shared" ref="L20:O20" si="1">+L19/(1+$I$14)^L18</f>
        <v>47.010673013757305</v>
      </c>
      <c r="M20" s="159">
        <f t="shared" si="1"/>
        <v>59.601508754890574</v>
      </c>
      <c r="N20" s="159">
        <f t="shared" si="1"/>
        <v>68.581978103262657</v>
      </c>
      <c r="O20" s="159">
        <f t="shared" si="1"/>
        <v>35.949725541802181</v>
      </c>
    </row>
    <row r="21" spans="1:15">
      <c r="D21" s="7"/>
      <c r="E21" s="7"/>
      <c r="F21" s="7"/>
      <c r="G21" s="7"/>
      <c r="I21" s="5" t="s">
        <v>16</v>
      </c>
      <c r="J21" s="160">
        <f>+SUM(J20:O20)</f>
        <v>147.1397094414163</v>
      </c>
      <c r="K21" s="7"/>
      <c r="L21" s="7"/>
      <c r="M21" s="7"/>
      <c r="N21" s="7"/>
      <c r="O21" s="7"/>
    </row>
    <row r="23" spans="1:15">
      <c r="I23" t="s">
        <v>62</v>
      </c>
      <c r="J23" s="7"/>
      <c r="K23" s="7"/>
      <c r="L23" s="7"/>
      <c r="M23" s="7"/>
      <c r="N23" s="7"/>
      <c r="O23" s="7"/>
    </row>
    <row r="24" spans="1:15">
      <c r="I24" t="s">
        <v>16</v>
      </c>
      <c r="J24" s="160">
        <f>+NPV(I14,K19:O19)+J19</f>
        <v>147.1397094414163</v>
      </c>
      <c r="K24" s="7"/>
      <c r="L24" s="7"/>
      <c r="M24" s="7"/>
      <c r="N24" s="7"/>
      <c r="O24" s="7"/>
    </row>
    <row r="25" spans="1:15">
      <c r="A25" s="3"/>
      <c r="L25" s="7"/>
      <c r="M25" s="7"/>
      <c r="N25" s="7"/>
      <c r="O25" s="7"/>
    </row>
    <row r="26" spans="1:15">
      <c r="O26" s="4"/>
    </row>
    <row r="27" spans="1:15">
      <c r="O27" s="4"/>
    </row>
    <row r="28" spans="1:15">
      <c r="O28" s="4"/>
    </row>
    <row r="29" spans="1:15">
      <c r="I29" s="3"/>
      <c r="O29" s="4"/>
    </row>
    <row r="30" spans="1:15">
      <c r="O30" s="4"/>
    </row>
    <row r="31" spans="1:15">
      <c r="O31" s="4"/>
    </row>
    <row r="32" spans="1:15">
      <c r="G32"/>
      <c r="O32" s="4"/>
    </row>
    <row r="33" spans="7:15">
      <c r="G33"/>
      <c r="O33" s="4"/>
    </row>
    <row r="34" spans="7:15">
      <c r="G34"/>
      <c r="O34" s="4"/>
    </row>
    <row r="35" spans="7:15">
      <c r="G35"/>
      <c r="O35" s="4"/>
    </row>
    <row r="36" spans="7:15">
      <c r="G36"/>
    </row>
    <row r="37" spans="7:15">
      <c r="G37"/>
    </row>
    <row r="38" spans="7:15">
      <c r="G38"/>
    </row>
    <row r="39" spans="7:15">
      <c r="G39"/>
    </row>
    <row r="44" spans="7:15">
      <c r="O44" s="4"/>
    </row>
    <row r="45" spans="7:15">
      <c r="O45" s="4"/>
    </row>
    <row r="46" spans="7:15">
      <c r="O46" s="4"/>
    </row>
    <row r="47" spans="7:15">
      <c r="O47" s="4"/>
    </row>
    <row r="48" spans="7:15">
      <c r="O48" s="4"/>
    </row>
    <row r="49" spans="15:15">
      <c r="O49" s="4"/>
    </row>
    <row r="50" spans="15:15">
      <c r="O50" s="4"/>
    </row>
    <row r="51" spans="15:15">
      <c r="O51" s="4"/>
    </row>
    <row r="52" spans="15:15">
      <c r="O52" s="4"/>
    </row>
    <row r="53" spans="15:15">
      <c r="O53" s="4"/>
    </row>
    <row r="54" spans="15:15">
      <c r="O54" s="4"/>
    </row>
    <row r="55" spans="15:15">
      <c r="O55" s="4"/>
    </row>
    <row r="56" spans="15:15">
      <c r="O56" s="4"/>
    </row>
    <row r="57" spans="15:15">
      <c r="O57" s="4"/>
    </row>
    <row r="58" spans="15:15">
      <c r="O58" s="4"/>
    </row>
    <row r="59" spans="15:15">
      <c r="O59" s="4"/>
    </row>
    <row r="60" spans="15:15">
      <c r="O60" s="4"/>
    </row>
    <row r="61" spans="15:15">
      <c r="O61" s="4"/>
    </row>
    <row r="62" spans="15:15">
      <c r="O62" s="4"/>
    </row>
    <row r="63" spans="15:15">
      <c r="O63" s="4"/>
    </row>
    <row r="64" spans="15:15">
      <c r="O64" s="4"/>
    </row>
    <row r="65" spans="15:15">
      <c r="O65" s="4"/>
    </row>
    <row r="66" spans="15:15">
      <c r="O66" s="4"/>
    </row>
    <row r="67" spans="15:15">
      <c r="O67" s="4"/>
    </row>
    <row r="68" spans="15:15">
      <c r="O68" s="4"/>
    </row>
    <row r="69" spans="15:15">
      <c r="O69" s="4"/>
    </row>
    <row r="70" spans="15:15">
      <c r="O70" s="4"/>
    </row>
    <row r="71" spans="15:15">
      <c r="O71" s="4"/>
    </row>
    <row r="72" spans="15:15">
      <c r="O72" s="4"/>
    </row>
    <row r="73" spans="15:15">
      <c r="O73" s="4"/>
    </row>
    <row r="74" spans="15:15">
      <c r="O74" s="4"/>
    </row>
    <row r="75" spans="15:15">
      <c r="O75" s="4"/>
    </row>
    <row r="76" spans="15:15">
      <c r="O76" s="4"/>
    </row>
    <row r="77" spans="15:15">
      <c r="O77" s="4"/>
    </row>
    <row r="78" spans="15:15">
      <c r="O78" s="4"/>
    </row>
    <row r="79" spans="15:15">
      <c r="O79" s="4"/>
    </row>
    <row r="80" spans="15:15">
      <c r="O80" s="4"/>
    </row>
    <row r="81" spans="15:15">
      <c r="O81" s="4"/>
    </row>
    <row r="82" spans="15:15">
      <c r="O82" s="4"/>
    </row>
    <row r="83" spans="15:15">
      <c r="O83" s="4"/>
    </row>
    <row r="84" spans="15:15">
      <c r="O84" s="4"/>
    </row>
    <row r="85" spans="15:15">
      <c r="O85" s="4"/>
    </row>
    <row r="86" spans="15:15">
      <c r="O86" s="4"/>
    </row>
    <row r="87" spans="15:15">
      <c r="O87" s="4"/>
    </row>
    <row r="88" spans="15:15">
      <c r="O88" s="4"/>
    </row>
    <row r="89" spans="15:15">
      <c r="O89" s="4"/>
    </row>
    <row r="90" spans="15:15">
      <c r="O90" s="4"/>
    </row>
    <row r="91" spans="15:15">
      <c r="O91" s="4"/>
    </row>
    <row r="92" spans="15:15">
      <c r="O92" s="4"/>
    </row>
    <row r="93" spans="15:15">
      <c r="O93" s="4"/>
    </row>
    <row r="94" spans="15:15">
      <c r="O94" s="4"/>
    </row>
    <row r="95" spans="15:15">
      <c r="O95" s="4"/>
    </row>
    <row r="96" spans="15:15">
      <c r="O96" s="4"/>
    </row>
    <row r="97" spans="15:15">
      <c r="O97" s="4"/>
    </row>
    <row r="98" spans="15:15">
      <c r="O98" s="4"/>
    </row>
    <row r="99" spans="15:15">
      <c r="O99" s="4"/>
    </row>
    <row r="100" spans="15:15">
      <c r="O100" s="4"/>
    </row>
    <row r="101" spans="15:15">
      <c r="O101" s="4"/>
    </row>
    <row r="102" spans="15:15">
      <c r="O102" s="4"/>
    </row>
    <row r="103" spans="15:15">
      <c r="O103" s="4"/>
    </row>
    <row r="104" spans="15:15">
      <c r="O104" s="4"/>
    </row>
    <row r="105" spans="15:15">
      <c r="O105" s="4"/>
    </row>
    <row r="106" spans="15:15">
      <c r="O106" s="4"/>
    </row>
    <row r="107" spans="15:15">
      <c r="O107" s="4"/>
    </row>
    <row r="108" spans="15:15">
      <c r="O108" s="4"/>
    </row>
    <row r="109" spans="15:15">
      <c r="O109" s="4"/>
    </row>
    <row r="110" spans="15:15">
      <c r="O110" s="4"/>
    </row>
    <row r="111" spans="15:15">
      <c r="O111" s="4"/>
    </row>
    <row r="112" spans="15:15">
      <c r="O112" s="4"/>
    </row>
    <row r="113" spans="15:15">
      <c r="O113" s="4"/>
    </row>
    <row r="114" spans="15:15">
      <c r="O114" s="4"/>
    </row>
    <row r="115" spans="15:15">
      <c r="O115" s="4"/>
    </row>
    <row r="116" spans="15:15">
      <c r="O116" s="4"/>
    </row>
    <row r="117" spans="15:15">
      <c r="O117" s="4"/>
    </row>
    <row r="118" spans="15:15">
      <c r="O118" s="4"/>
    </row>
    <row r="119" spans="15:15">
      <c r="O119" s="4"/>
    </row>
  </sheetData>
  <mergeCells count="2">
    <mergeCell ref="D1:F1"/>
    <mergeCell ref="D2:F2"/>
  </mergeCells>
  <hyperlinks>
    <hyperlink ref="L1" location="SUMMARY!A1" display="SUMMARY" xr:uid="{00000000-0004-0000-0800-000000000000}"/>
  </hyperlink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11"/>
  <dimension ref="A1:F10"/>
  <sheetViews>
    <sheetView showGridLines="0" workbookViewId="0">
      <selection activeCell="F7" sqref="F7"/>
    </sheetView>
  </sheetViews>
  <sheetFormatPr defaultColWidth="10.58203125" defaultRowHeight="14.5"/>
  <cols>
    <col min="1" max="1" width="8.58203125" style="21" bestFit="1" customWidth="1"/>
    <col min="2" max="2" width="10.25" style="21" bestFit="1" customWidth="1"/>
    <col min="3" max="3" width="11.58203125" style="21" bestFit="1" customWidth="1"/>
    <col min="4" max="4" width="10.58203125" style="20"/>
    <col min="5" max="5" width="15.83203125" style="20" bestFit="1" customWidth="1"/>
    <col min="6" max="6" width="9.33203125" style="20" bestFit="1" customWidth="1"/>
    <col min="7" max="16384" width="10.58203125" style="20"/>
  </cols>
  <sheetData>
    <row r="1" spans="1:6" ht="15" thickBot="1"/>
    <row r="2" spans="1:6" ht="15" thickBot="1">
      <c r="A2" s="21" t="s">
        <v>81</v>
      </c>
      <c r="B2" s="22" t="s">
        <v>80</v>
      </c>
      <c r="C2" s="21" t="s">
        <v>79</v>
      </c>
      <c r="E2" s="153" t="s">
        <v>32</v>
      </c>
      <c r="F2" s="154">
        <v>0.1</v>
      </c>
    </row>
    <row r="3" spans="1:6">
      <c r="A3" s="21">
        <v>1</v>
      </c>
      <c r="B3" s="21" t="s">
        <v>78</v>
      </c>
      <c r="C3" s="21">
        <v>-5000</v>
      </c>
    </row>
    <row r="4" spans="1:6">
      <c r="A4" s="21">
        <v>2</v>
      </c>
      <c r="B4" s="21" t="s">
        <v>76</v>
      </c>
      <c r="C4" s="21">
        <v>1500</v>
      </c>
      <c r="E4" s="221" t="s">
        <v>16</v>
      </c>
      <c r="F4" s="222">
        <f>NPV(F2,C4:C8)+C3</f>
        <v>152.49827694332635</v>
      </c>
    </row>
    <row r="5" spans="1:6">
      <c r="A5" s="21">
        <v>3</v>
      </c>
      <c r="B5" s="21" t="s">
        <v>76</v>
      </c>
      <c r="C5" s="21">
        <v>2000</v>
      </c>
    </row>
    <row r="6" spans="1:6">
      <c r="A6" s="21">
        <v>4</v>
      </c>
      <c r="B6" s="21" t="s">
        <v>76</v>
      </c>
      <c r="C6" s="21">
        <v>-1000</v>
      </c>
      <c r="E6" s="221" t="s">
        <v>77</v>
      </c>
      <c r="F6" s="223">
        <f>IRR(Tableau7[Amount])</f>
        <v>0.11086412375137611</v>
      </c>
    </row>
    <row r="7" spans="1:6" ht="15" thickBot="1">
      <c r="A7" s="21">
        <v>5</v>
      </c>
      <c r="B7" s="21" t="s">
        <v>76</v>
      </c>
      <c r="C7" s="21">
        <v>1500</v>
      </c>
    </row>
    <row r="8" spans="1:6" ht="15" thickBot="1">
      <c r="A8" s="21">
        <v>6</v>
      </c>
      <c r="B8" s="21" t="s">
        <v>76</v>
      </c>
      <c r="C8" s="21">
        <v>3000</v>
      </c>
      <c r="E8" s="70" t="s">
        <v>84</v>
      </c>
      <c r="F8" s="71" t="str">
        <f>IF(F4&gt;0,"Invest","Do not invest")</f>
        <v>Invest</v>
      </c>
    </row>
    <row r="10" spans="1:6" ht="15.5">
      <c r="A10" s="106" t="s">
        <v>107</v>
      </c>
    </row>
  </sheetData>
  <hyperlinks>
    <hyperlink ref="A10" location="SUMMARY!A1" display="SUMMARY" xr:uid="{00000000-0004-0000-0700-000000000000}"/>
  </hyperlink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6"/>
  <dimension ref="B1:L21"/>
  <sheetViews>
    <sheetView zoomScale="107" workbookViewId="0">
      <selection activeCell="I21" sqref="I21"/>
    </sheetView>
  </sheetViews>
  <sheetFormatPr defaultColWidth="8.33203125" defaultRowHeight="11.5"/>
  <cols>
    <col min="1" max="1" width="1.83203125" style="74" customWidth="1"/>
    <col min="2" max="2" width="14.5" style="74" bestFit="1" customWidth="1"/>
    <col min="3" max="3" width="9" style="75" bestFit="1" customWidth="1"/>
    <col min="4" max="9" width="12.1640625" style="74" customWidth="1"/>
    <col min="10" max="10" width="3.5" style="74" customWidth="1"/>
    <col min="11" max="11" width="13.75" style="74" bestFit="1" customWidth="1"/>
    <col min="12" max="12" width="12.08203125" style="74" customWidth="1"/>
    <col min="13" max="13" width="9" style="74" bestFit="1" customWidth="1"/>
    <col min="14" max="16384" width="8.33203125" style="74"/>
  </cols>
  <sheetData>
    <row r="1" spans="2:12" ht="12" customHeight="1" thickBot="1">
      <c r="C1" s="243"/>
      <c r="D1" s="243"/>
      <c r="E1" s="243"/>
      <c r="F1" s="243"/>
      <c r="G1" s="243"/>
      <c r="H1" s="243"/>
      <c r="I1" s="243"/>
    </row>
    <row r="2" spans="2:12" ht="12" customHeight="1">
      <c r="B2" s="240" t="s">
        <v>139</v>
      </c>
      <c r="C2" s="241"/>
      <c r="D2" s="241"/>
      <c r="E2" s="241"/>
      <c r="F2" s="241"/>
      <c r="G2" s="241"/>
      <c r="H2" s="241"/>
      <c r="I2" s="242"/>
    </row>
    <row r="3" spans="2:12" ht="12" customHeight="1" thickBot="1">
      <c r="B3" s="244" t="s">
        <v>140</v>
      </c>
      <c r="C3" s="239"/>
      <c r="D3" s="239"/>
      <c r="E3" s="239"/>
      <c r="F3" s="239"/>
      <c r="G3" s="239"/>
      <c r="H3" s="239"/>
      <c r="I3" s="203"/>
    </row>
    <row r="4" spans="2:12" ht="12" customHeight="1">
      <c r="B4" s="82"/>
      <c r="C4" s="82"/>
      <c r="D4" s="82"/>
      <c r="E4" s="82"/>
      <c r="F4" s="82"/>
      <c r="G4" s="82"/>
      <c r="H4" s="82"/>
    </row>
    <row r="5" spans="2:12" ht="12" customHeight="1">
      <c r="B5" s="83" t="s">
        <v>92</v>
      </c>
      <c r="C5" s="84">
        <v>8.2100000000000006E-2</v>
      </c>
      <c r="D5" s="82"/>
      <c r="E5" s="82"/>
      <c r="F5" s="82"/>
      <c r="G5" s="82"/>
      <c r="H5" s="82"/>
      <c r="I5" s="82"/>
    </row>
    <row r="6" spans="2:12" ht="12" customHeight="1" thickBot="1">
      <c r="B6" s="83"/>
      <c r="C6" s="83"/>
      <c r="D6" s="82"/>
      <c r="E6" s="82"/>
      <c r="F6" s="82"/>
      <c r="G6" s="82"/>
      <c r="H6" s="82"/>
      <c r="I6" s="82"/>
    </row>
    <row r="7" spans="2:12" ht="15" thickBot="1">
      <c r="B7" s="181" t="s">
        <v>91</v>
      </c>
      <c r="C7" s="182"/>
      <c r="D7" s="183">
        <v>-1000</v>
      </c>
      <c r="E7" s="183">
        <v>300</v>
      </c>
      <c r="F7" s="184">
        <v>290</v>
      </c>
      <c r="G7" s="184">
        <v>200</v>
      </c>
      <c r="H7" s="184">
        <v>130</v>
      </c>
      <c r="I7" s="185">
        <v>164</v>
      </c>
    </row>
    <row r="8" spans="2:12" ht="12" thickBot="1">
      <c r="B8" s="179"/>
      <c r="C8" s="179"/>
      <c r="D8" s="180"/>
      <c r="E8" s="180"/>
      <c r="F8" s="180"/>
      <c r="G8" s="180"/>
      <c r="H8" s="180"/>
      <c r="I8" s="180"/>
    </row>
    <row r="9" spans="2:12" ht="12" thickBot="1">
      <c r="B9" s="190" t="s">
        <v>137</v>
      </c>
      <c r="C9" s="191"/>
      <c r="D9" s="192">
        <v>0</v>
      </c>
      <c r="E9" s="192">
        <v>1</v>
      </c>
      <c r="F9" s="192">
        <v>2</v>
      </c>
      <c r="G9" s="192">
        <v>3</v>
      </c>
      <c r="H9" s="192">
        <v>4</v>
      </c>
      <c r="I9" s="193">
        <v>5</v>
      </c>
      <c r="K9" s="186" t="s">
        <v>16</v>
      </c>
      <c r="L9" s="187">
        <f>D7+NPV(C5,E7:I7)</f>
        <v>-111.90213743158108</v>
      </c>
    </row>
    <row r="10" spans="2:12" ht="15" thickBot="1">
      <c r="B10" s="198" t="s">
        <v>130</v>
      </c>
      <c r="C10" s="194"/>
      <c r="D10" s="195"/>
      <c r="E10" s="195"/>
      <c r="F10" s="196"/>
      <c r="G10" s="196"/>
      <c r="H10" s="196"/>
      <c r="I10" s="197"/>
      <c r="K10" s="186" t="s">
        <v>77</v>
      </c>
      <c r="L10" s="188">
        <f>+IRR(D7:I7)</f>
        <v>3.186643475809392E-2</v>
      </c>
    </row>
    <row r="11" spans="2:12" ht="15" thickBot="1">
      <c r="B11" s="81"/>
      <c r="C11" s="80"/>
      <c r="D11" s="78"/>
      <c r="E11" s="78"/>
      <c r="F11" s="79"/>
      <c r="G11" s="79"/>
      <c r="H11" s="79"/>
      <c r="I11" s="79"/>
      <c r="K11" s="77"/>
      <c r="L11" s="189"/>
    </row>
    <row r="12" spans="2:12" ht="12" thickBot="1">
      <c r="B12" s="199" t="s">
        <v>138</v>
      </c>
      <c r="C12" s="200"/>
      <c r="D12" s="201">
        <f ca="1">TODAY()</f>
        <v>46286</v>
      </c>
      <c r="E12" s="201">
        <f ca="1">EDATE(D12,12)</f>
        <v>46651</v>
      </c>
      <c r="F12" s="201">
        <f t="shared" ref="F12:I12" ca="1" si="0">EDATE(E12,12)</f>
        <v>47017</v>
      </c>
      <c r="G12" s="201">
        <f t="shared" ca="1" si="0"/>
        <v>47382</v>
      </c>
      <c r="H12" s="201">
        <f t="shared" ca="1" si="0"/>
        <v>47747</v>
      </c>
      <c r="I12" s="202">
        <f t="shared" ca="1" si="0"/>
        <v>48112</v>
      </c>
      <c r="K12" s="208" t="s">
        <v>132</v>
      </c>
      <c r="L12" s="209">
        <f ca="1">XNPV(C5,D7:I7,D12:I12)</f>
        <v>-112.03417517414981</v>
      </c>
    </row>
    <row r="13" spans="2:12" ht="12" thickBot="1">
      <c r="B13" s="207" t="s">
        <v>130</v>
      </c>
      <c r="C13" s="204"/>
      <c r="D13" s="205"/>
      <c r="E13" s="204"/>
      <c r="F13" s="204"/>
      <c r="G13" s="204"/>
      <c r="H13" s="204"/>
      <c r="I13" s="206"/>
      <c r="K13" s="186" t="s">
        <v>129</v>
      </c>
      <c r="L13" s="218">
        <f ca="1">XIRR(D7:I7,D12:I12)</f>
        <v>3.1841704249382013E-2</v>
      </c>
    </row>
    <row r="14" spans="2:12" ht="12" thickBot="1">
      <c r="C14" s="74"/>
    </row>
    <row r="15" spans="2:12" ht="12" thickBot="1">
      <c r="B15" s="210" t="s">
        <v>138</v>
      </c>
      <c r="C15" s="211"/>
      <c r="D15" s="212">
        <f ca="1">TODAY()</f>
        <v>46286</v>
      </c>
      <c r="E15" s="212">
        <f ca="1">EDATE(D15,10)</f>
        <v>46589</v>
      </c>
      <c r="F15" s="212">
        <f ca="1">EDATE(E15,15)</f>
        <v>47047</v>
      </c>
      <c r="G15" s="212">
        <f ca="1">EDATE(F15,7)</f>
        <v>47259</v>
      </c>
      <c r="H15" s="212">
        <f ca="1">EDATE(G15,16)</f>
        <v>47747</v>
      </c>
      <c r="I15" s="213">
        <f t="shared" ref="I15" ca="1" si="1">EDATE(H15,12)</f>
        <v>48112</v>
      </c>
      <c r="K15" s="208" t="s">
        <v>132</v>
      </c>
      <c r="L15" s="217">
        <f ca="1">XNPV(C5,D7:I7,D15:I15)</f>
        <v>-105.6416467694384</v>
      </c>
    </row>
    <row r="16" spans="2:12" ht="12" thickBot="1">
      <c r="B16" s="214" t="s">
        <v>131</v>
      </c>
      <c r="C16" s="215"/>
      <c r="D16" s="215"/>
      <c r="E16" s="215"/>
      <c r="F16" s="215"/>
      <c r="G16" s="215"/>
      <c r="H16" s="215"/>
      <c r="I16" s="216"/>
      <c r="K16" s="186" t="s">
        <v>129</v>
      </c>
      <c r="L16" s="219">
        <f ca="1">XIRR(D7:I7,D15:I15)</f>
        <v>3.3012530207633964E-2</v>
      </c>
    </row>
    <row r="17" spans="2:9">
      <c r="C17" s="74"/>
      <c r="F17" s="77"/>
    </row>
    <row r="18" spans="2:9" ht="15.5">
      <c r="B18" s="106" t="s">
        <v>107</v>
      </c>
      <c r="C18" s="74"/>
      <c r="H18" s="76" t="s">
        <v>84</v>
      </c>
      <c r="I18" s="220" t="str">
        <f>IF(L9&gt;0,"Invest","Do not invest")</f>
        <v>Do not invest</v>
      </c>
    </row>
    <row r="19" spans="2:9">
      <c r="C19" s="74"/>
    </row>
    <row r="20" spans="2:9">
      <c r="C20" s="74"/>
      <c r="H20" s="76" t="s">
        <v>90</v>
      </c>
      <c r="I20" s="220" t="str">
        <f>IF(OR(AND(L10&lt;C5,L9&gt;0),AND(L10&gt;C5,L9&lt;0)),"Conflict","No conflict")</f>
        <v>No conflict</v>
      </c>
    </row>
    <row r="21" spans="2:9">
      <c r="C21" s="74"/>
    </row>
  </sheetData>
  <hyperlinks>
    <hyperlink ref="B18" location="SUMMARY!A1" display="SUMMARY" xr:uid="{00000000-0004-0000-0600-000000000000}"/>
  </hyperlink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15"/>
  <dimension ref="A1:G16"/>
  <sheetViews>
    <sheetView showGridLines="0" workbookViewId="0">
      <selection activeCell="E9" sqref="E9"/>
    </sheetView>
  </sheetViews>
  <sheetFormatPr defaultColWidth="10.6640625" defaultRowHeight="15.5"/>
  <cols>
    <col min="3" max="3" width="23.9140625" bestFit="1" customWidth="1"/>
    <col min="5" max="5" width="19.9140625" customWidth="1"/>
    <col min="6" max="6" width="21.25" customWidth="1"/>
  </cols>
  <sheetData>
    <row r="1" spans="1:7" ht="16" thickBot="1">
      <c r="A1" s="237" t="s">
        <v>141</v>
      </c>
      <c r="B1" s="147"/>
      <c r="C1" s="147"/>
      <c r="D1" s="147"/>
      <c r="E1" s="147"/>
      <c r="F1" s="147"/>
      <c r="G1" s="238"/>
    </row>
    <row r="2" spans="1:7" ht="16" thickBot="1"/>
    <row r="3" spans="1:7" ht="16" thickBot="1">
      <c r="E3" s="225" t="s">
        <v>127</v>
      </c>
      <c r="F3" s="226" t="s">
        <v>126</v>
      </c>
    </row>
    <row r="4" spans="1:7" s="120" customFormat="1" ht="31">
      <c r="A4" s="118" t="s">
        <v>73</v>
      </c>
      <c r="B4" s="118" t="s">
        <v>71</v>
      </c>
      <c r="C4" s="118" t="s">
        <v>121</v>
      </c>
      <c r="D4" s="118" t="s">
        <v>118</v>
      </c>
      <c r="E4" s="224" t="s">
        <v>119</v>
      </c>
      <c r="F4" s="224" t="s">
        <v>122</v>
      </c>
    </row>
    <row r="5" spans="1:7">
      <c r="A5" s="19">
        <v>0</v>
      </c>
      <c r="B5" s="129">
        <v>-100</v>
      </c>
      <c r="C5" s="130"/>
      <c r="D5" s="19"/>
      <c r="E5" s="125">
        <v>-100</v>
      </c>
      <c r="F5" s="127">
        <f>+B5</f>
        <v>-100</v>
      </c>
    </row>
    <row r="6" spans="1:7">
      <c r="A6" s="19">
        <v>1</v>
      </c>
      <c r="B6" s="129">
        <v>21</v>
      </c>
      <c r="C6" s="178">
        <v>0.08</v>
      </c>
      <c r="D6" s="124">
        <f>(1+D5)*(1+C6)-1</f>
        <v>8.0000000000000071E-2</v>
      </c>
      <c r="E6" s="126">
        <f>B6/(1+D6)</f>
        <v>19.444444444444443</v>
      </c>
      <c r="F6" s="128">
        <f>+B6/(1+C6)^A6</f>
        <v>19.444444444444443</v>
      </c>
    </row>
    <row r="7" spans="1:7">
      <c r="A7" s="19">
        <v>2</v>
      </c>
      <c r="B7" s="129">
        <v>34</v>
      </c>
      <c r="C7" s="178">
        <v>7.5999999999999998E-2</v>
      </c>
      <c r="D7" s="124">
        <f>(1+D6)*(1+C7)-1</f>
        <v>0.16208000000000022</v>
      </c>
      <c r="E7" s="126">
        <f>B7/(1+D7)</f>
        <v>29.257882417733715</v>
      </c>
      <c r="F7" s="128">
        <f>+B7/(1+C7)^A7</f>
        <v>29.366647779881426</v>
      </c>
    </row>
    <row r="8" spans="1:7">
      <c r="A8" s="19">
        <v>3</v>
      </c>
      <c r="B8" s="129">
        <v>40</v>
      </c>
      <c r="C8" s="178">
        <v>7.2999999999999995E-2</v>
      </c>
      <c r="D8" s="124">
        <f>(1+D7)*(1+C8)-1</f>
        <v>0.2469118400000001</v>
      </c>
      <c r="E8" s="126">
        <f>B8/(1+D8)</f>
        <v>32.079252691994647</v>
      </c>
      <c r="F8" s="128">
        <f>+B8/(1+C8)^A8</f>
        <v>32.378805683095926</v>
      </c>
    </row>
    <row r="9" spans="1:7">
      <c r="A9" s="19">
        <v>4</v>
      </c>
      <c r="B9" s="129">
        <v>33</v>
      </c>
      <c r="C9" s="178">
        <v>6.6000000000000003E-2</v>
      </c>
      <c r="D9" s="124">
        <f>(1+D8)*(1+C9)-1</f>
        <v>0.32920802144000016</v>
      </c>
      <c r="E9" s="126">
        <f>B9/(1+D9)</f>
        <v>24.826813762566211</v>
      </c>
      <c r="F9" s="128">
        <f t="shared" ref="F9:F10" si="0">+B9/(1+C9)^A9</f>
        <v>25.555543465350119</v>
      </c>
    </row>
    <row r="10" spans="1:7">
      <c r="A10" s="19">
        <v>5</v>
      </c>
      <c r="B10" s="129">
        <v>17</v>
      </c>
      <c r="C10" s="178">
        <v>7.0000000000000007E-2</v>
      </c>
      <c r="D10" s="124">
        <f t="shared" ref="D10" si="1">(1+D9)*(1+C10)-1</f>
        <v>0.42225258294080037</v>
      </c>
      <c r="E10" s="126">
        <f>B10/(1+D10)</f>
        <v>11.952869837542496</v>
      </c>
      <c r="F10" s="128">
        <f t="shared" si="0"/>
        <v>12.120765051222362</v>
      </c>
    </row>
    <row r="11" spans="1:7">
      <c r="B11" s="7"/>
      <c r="C11" s="17" t="s">
        <v>72</v>
      </c>
      <c r="D11" s="17"/>
      <c r="E11" s="18">
        <f>SUM(E5:E10)</f>
        <v>17.561263154281505</v>
      </c>
      <c r="F11" s="18">
        <f>SUM(F5:F10)</f>
        <v>18.866206423994278</v>
      </c>
      <c r="G11" s="4"/>
    </row>
    <row r="12" spans="1:7" ht="16" thickBot="1"/>
    <row r="13" spans="1:7" ht="16" thickBot="1">
      <c r="C13" s="70" t="s">
        <v>84</v>
      </c>
      <c r="D13" s="116"/>
      <c r="E13" s="117" t="str">
        <f>+IF(E11&gt;0,"INVEST","DO NOT INVEST")</f>
        <v>INVEST</v>
      </c>
      <c r="F13" s="117" t="str">
        <f>+IF(F11&gt;0,"INVEST","DO NOT INVEST")</f>
        <v>INVEST</v>
      </c>
    </row>
    <row r="15" spans="1:7">
      <c r="A15" s="119" t="s">
        <v>107</v>
      </c>
    </row>
    <row r="16" spans="1:7" ht="23.5">
      <c r="A16" s="121"/>
    </row>
  </sheetData>
  <hyperlinks>
    <hyperlink ref="A15" location="SUMMARY!A1" display="SUMMARY" xr:uid="{00000000-0004-0000-0900-000000000000}"/>
  </hyperlink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2"/>
  <dimension ref="A1:P160"/>
  <sheetViews>
    <sheetView topLeftCell="A3" workbookViewId="0">
      <selection activeCell="E24" sqref="E24"/>
    </sheetView>
  </sheetViews>
  <sheetFormatPr defaultColWidth="8.33203125" defaultRowHeight="11.5"/>
  <cols>
    <col min="1" max="1" width="1.83203125" style="85" customWidth="1"/>
    <col min="2" max="2" width="18.5" style="85" customWidth="1"/>
    <col min="3" max="3" width="8.33203125" style="85"/>
    <col min="4" max="4" width="9" style="86" bestFit="1" customWidth="1"/>
    <col min="5" max="5" width="16.75" style="85" bestFit="1" customWidth="1"/>
    <col min="6" max="6" width="10.75" style="85" customWidth="1"/>
    <col min="7" max="7" width="13.25" style="85" customWidth="1"/>
    <col min="8" max="8" width="16.75" style="85" bestFit="1" customWidth="1"/>
    <col min="9" max="9" width="9.58203125" style="85" bestFit="1" customWidth="1"/>
    <col min="10" max="10" width="9.58203125" style="85" customWidth="1"/>
    <col min="11" max="11" width="16.75" style="85" bestFit="1" customWidth="1"/>
    <col min="12" max="12" width="8.5" style="85" bestFit="1" customWidth="1"/>
    <col min="13" max="13" width="9" style="85" bestFit="1" customWidth="1"/>
    <col min="14" max="14" width="16.75" style="85" bestFit="1" customWidth="1"/>
    <col min="15" max="15" width="9" style="85" bestFit="1" customWidth="1"/>
    <col min="16" max="16384" width="8.33203125" style="85"/>
  </cols>
  <sheetData>
    <row r="1" spans="1:16" ht="16" thickBot="1">
      <c r="A1" s="89"/>
      <c r="B1" s="90"/>
      <c r="C1" s="89"/>
      <c r="D1" s="89"/>
      <c r="E1" s="106" t="s">
        <v>107</v>
      </c>
      <c r="F1" s="89"/>
      <c r="G1" s="89"/>
    </row>
    <row r="2" spans="1:16">
      <c r="B2" s="228" t="s">
        <v>116</v>
      </c>
      <c r="C2" s="229"/>
      <c r="D2" s="229"/>
      <c r="E2" s="229"/>
      <c r="F2" s="229"/>
      <c r="G2" s="229"/>
      <c r="H2" s="229"/>
      <c r="I2" s="229"/>
      <c r="J2" s="229"/>
      <c r="K2" s="229"/>
      <c r="L2" s="230"/>
    </row>
    <row r="3" spans="1:16" ht="12" thickBot="1">
      <c r="B3" s="231" t="s">
        <v>117</v>
      </c>
      <c r="C3" s="232"/>
      <c r="D3" s="232"/>
      <c r="E3" s="232"/>
      <c r="F3" s="232"/>
      <c r="G3" s="232"/>
      <c r="H3" s="232"/>
      <c r="I3" s="232"/>
      <c r="J3" s="232"/>
      <c r="K3" s="232"/>
      <c r="L3" s="233"/>
    </row>
    <row r="4" spans="1:16">
      <c r="D4" s="85"/>
    </row>
    <row r="5" spans="1:16">
      <c r="D5" s="85"/>
    </row>
    <row r="6" spans="1:16">
      <c r="D6" s="85"/>
    </row>
    <row r="7" spans="1:16">
      <c r="D7" s="85"/>
    </row>
    <row r="8" spans="1:16">
      <c r="B8" s="85" t="s">
        <v>100</v>
      </c>
      <c r="C8" s="104">
        <v>120</v>
      </c>
      <c r="D8" s="85"/>
      <c r="E8" s="85" t="s">
        <v>100</v>
      </c>
      <c r="F8" s="104">
        <v>132</v>
      </c>
      <c r="H8" s="85" t="s">
        <v>100</v>
      </c>
      <c r="I8" s="104">
        <v>108</v>
      </c>
      <c r="K8" s="85" t="s">
        <v>100</v>
      </c>
      <c r="L8" s="104">
        <v>96</v>
      </c>
      <c r="N8" s="85" t="s">
        <v>100</v>
      </c>
      <c r="O8" s="104">
        <v>120</v>
      </c>
    </row>
    <row r="9" spans="1:16">
      <c r="B9" s="85" t="s">
        <v>99</v>
      </c>
      <c r="C9" s="105">
        <v>0.03</v>
      </c>
      <c r="D9" s="85"/>
      <c r="E9" s="85" t="s">
        <v>99</v>
      </c>
      <c r="F9" s="105">
        <v>3.2500000000000001E-2</v>
      </c>
      <c r="H9" s="85" t="s">
        <v>99</v>
      </c>
      <c r="I9" s="105">
        <v>2.9499999999999998E-2</v>
      </c>
      <c r="K9" s="85" t="s">
        <v>99</v>
      </c>
      <c r="L9" s="105">
        <v>3.5000000000000003E-2</v>
      </c>
      <c r="N9" s="85" t="s">
        <v>99</v>
      </c>
      <c r="O9" s="105">
        <v>0.04</v>
      </c>
    </row>
    <row r="10" spans="1:16">
      <c r="B10" s="85" t="s">
        <v>98</v>
      </c>
      <c r="C10" s="105">
        <f>C9/12</f>
        <v>2.5000000000000001E-3</v>
      </c>
      <c r="D10" s="85"/>
      <c r="E10" s="85" t="s">
        <v>98</v>
      </c>
      <c r="F10" s="105">
        <f>F9/12</f>
        <v>2.7083333333333334E-3</v>
      </c>
      <c r="H10" s="85" t="s">
        <v>98</v>
      </c>
      <c r="I10" s="105">
        <f>I9/12</f>
        <v>2.4583333333333332E-3</v>
      </c>
      <c r="K10" s="85" t="s">
        <v>98</v>
      </c>
      <c r="L10" s="105">
        <f>L9/12</f>
        <v>2.9166666666666668E-3</v>
      </c>
      <c r="N10" s="85" t="s">
        <v>98</v>
      </c>
      <c r="O10" s="105">
        <f>O9/12</f>
        <v>3.3333333333333335E-3</v>
      </c>
    </row>
    <row r="11" spans="1:16">
      <c r="B11" s="85" t="s">
        <v>97</v>
      </c>
      <c r="C11" s="104">
        <v>300000</v>
      </c>
      <c r="D11" s="85"/>
      <c r="E11" s="85" t="s">
        <v>97</v>
      </c>
      <c r="F11" s="104">
        <v>280000</v>
      </c>
      <c r="H11" s="85" t="s">
        <v>97</v>
      </c>
      <c r="I11" s="104">
        <v>290000</v>
      </c>
      <c r="K11" s="85" t="s">
        <v>97</v>
      </c>
      <c r="L11" s="104">
        <v>295000</v>
      </c>
      <c r="N11" s="85" t="s">
        <v>97</v>
      </c>
      <c r="O11" s="104">
        <v>300000</v>
      </c>
    </row>
    <row r="12" spans="1:16" ht="12" thickBot="1">
      <c r="B12" s="102"/>
      <c r="C12" s="103"/>
      <c r="D12" s="103"/>
      <c r="E12" s="102"/>
      <c r="F12" s="103"/>
      <c r="H12" s="102"/>
      <c r="I12" s="103"/>
      <c r="K12" s="102"/>
      <c r="L12" s="103"/>
      <c r="N12" s="102"/>
      <c r="O12" s="103"/>
    </row>
    <row r="13" spans="1:16" ht="12" thickBot="1">
      <c r="B13" s="102" t="s">
        <v>96</v>
      </c>
      <c r="C13" s="227">
        <f>+-PMT(C10,C8,C11)</f>
        <v>2896.8223409516859</v>
      </c>
      <c r="D13" s="99"/>
      <c r="E13" s="102" t="s">
        <v>96</v>
      </c>
      <c r="F13" s="227">
        <f>+-PMT(F10,F8,F11)</f>
        <v>2525.7636599714529</v>
      </c>
      <c r="H13" s="102" t="s">
        <v>96</v>
      </c>
      <c r="I13" s="227">
        <f>+-PMT(I10,I8,I11)</f>
        <v>3060.6782009239323</v>
      </c>
      <c r="K13" s="102" t="s">
        <v>96</v>
      </c>
      <c r="L13" s="227">
        <f>+-PMT(L10,L8,L11)</f>
        <v>3527.6252589269961</v>
      </c>
      <c r="N13" s="102" t="s">
        <v>96</v>
      </c>
      <c r="O13" s="227">
        <f>+-PMT(O10,O8,O11)</f>
        <v>3037.3541449464446</v>
      </c>
      <c r="P13" s="101"/>
    </row>
    <row r="14" spans="1:16">
      <c r="B14" s="100"/>
      <c r="C14" s="99"/>
      <c r="D14" s="98"/>
      <c r="E14" s="98"/>
    </row>
    <row r="15" spans="1:16">
      <c r="B15" s="100"/>
      <c r="C15" s="99"/>
      <c r="D15" s="98"/>
      <c r="E15" s="98"/>
    </row>
    <row r="16" spans="1:16" ht="12" thickBot="1">
      <c r="D16" s="97"/>
      <c r="E16" s="97"/>
    </row>
    <row r="17" spans="2:13" ht="12" thickBot="1">
      <c r="B17" s="96"/>
      <c r="D17" s="85"/>
      <c r="I17" s="234" t="s">
        <v>123</v>
      </c>
      <c r="J17" s="235"/>
      <c r="K17" s="235"/>
      <c r="L17" s="235"/>
      <c r="M17" s="236"/>
    </row>
    <row r="18" spans="2:13">
      <c r="B18" s="95"/>
      <c r="C18" s="94" t="s">
        <v>26</v>
      </c>
      <c r="D18" s="93" t="s">
        <v>27</v>
      </c>
      <c r="E18" s="93" t="s">
        <v>95</v>
      </c>
      <c r="F18" s="93" t="s">
        <v>94</v>
      </c>
      <c r="G18" s="93" t="s">
        <v>93</v>
      </c>
      <c r="I18" s="123">
        <f>PPMT(F10,10,F8,F11)</f>
        <v>-1810.981114295842</v>
      </c>
    </row>
    <row r="19" spans="2:13">
      <c r="C19" s="85">
        <v>1</v>
      </c>
      <c r="D19" s="92">
        <f>MIN(C13,F13,I13,L13,O13)</f>
        <v>2525.7636599714529</v>
      </c>
      <c r="E19" s="91">
        <f>F11*$F$10</f>
        <v>758.33333333333337</v>
      </c>
      <c r="F19" s="91">
        <f>D19-E19</f>
        <v>1767.4303266381194</v>
      </c>
      <c r="G19" s="91">
        <f>F11-F19</f>
        <v>278232.5696733619</v>
      </c>
    </row>
    <row r="20" spans="2:13">
      <c r="C20" s="85">
        <v>2</v>
      </c>
      <c r="D20" s="92">
        <f>$D$19</f>
        <v>2525.7636599714529</v>
      </c>
      <c r="E20" s="91">
        <f>G19*$F$10</f>
        <v>753.54654286535515</v>
      </c>
      <c r="F20" s="91">
        <f>D20-E20</f>
        <v>1772.2171171060977</v>
      </c>
      <c r="G20" s="91">
        <f>G19-F20</f>
        <v>276460.35255625582</v>
      </c>
      <c r="I20" s="123"/>
    </row>
    <row r="21" spans="2:13">
      <c r="C21" s="85">
        <v>3</v>
      </c>
      <c r="D21" s="92">
        <f t="shared" ref="D21:D84" si="0">$D$19</f>
        <v>2525.7636599714529</v>
      </c>
      <c r="E21" s="91">
        <f t="shared" ref="E21:E84" si="1">G20*$F$10</f>
        <v>748.74678817319284</v>
      </c>
      <c r="F21" s="91">
        <f>D21-E21</f>
        <v>1777.0168717982601</v>
      </c>
      <c r="G21" s="91">
        <f>G20-F21</f>
        <v>274683.33568445756</v>
      </c>
    </row>
    <row r="22" spans="2:13">
      <c r="C22" s="85">
        <v>4</v>
      </c>
      <c r="D22" s="92">
        <f t="shared" si="0"/>
        <v>2525.7636599714529</v>
      </c>
      <c r="E22" s="91">
        <f t="shared" si="1"/>
        <v>743.93403414540592</v>
      </c>
      <c r="F22" s="91">
        <f t="shared" ref="F22:F84" si="2">D22-E22</f>
        <v>1781.829625826047</v>
      </c>
      <c r="G22" s="91">
        <f t="shared" ref="G22:G84" si="3">G21-F22</f>
        <v>272901.50605863152</v>
      </c>
    </row>
    <row r="23" spans="2:13">
      <c r="C23" s="85">
        <v>5</v>
      </c>
      <c r="D23" s="92">
        <f t="shared" si="0"/>
        <v>2525.7636599714529</v>
      </c>
      <c r="E23" s="91">
        <f t="shared" si="1"/>
        <v>739.10824557546039</v>
      </c>
      <c r="F23" s="91">
        <f t="shared" si="2"/>
        <v>1786.6554143959925</v>
      </c>
      <c r="G23" s="91">
        <f t="shared" si="3"/>
        <v>271114.85064423556</v>
      </c>
    </row>
    <row r="24" spans="2:13">
      <c r="C24" s="85">
        <v>6</v>
      </c>
      <c r="D24" s="92">
        <f t="shared" si="0"/>
        <v>2525.7636599714529</v>
      </c>
      <c r="E24" s="91">
        <f t="shared" si="1"/>
        <v>734.26938716147129</v>
      </c>
      <c r="F24" s="91">
        <f t="shared" si="2"/>
        <v>1791.4942728099816</v>
      </c>
      <c r="G24" s="91">
        <f>G23-F24</f>
        <v>269323.35637142556</v>
      </c>
    </row>
    <row r="25" spans="2:13">
      <c r="C25" s="85">
        <v>7</v>
      </c>
      <c r="D25" s="92">
        <f t="shared" si="0"/>
        <v>2525.7636599714529</v>
      </c>
      <c r="E25" s="91">
        <f t="shared" si="1"/>
        <v>729.41742350594427</v>
      </c>
      <c r="F25" s="91">
        <f t="shared" si="2"/>
        <v>1796.3462364655086</v>
      </c>
      <c r="G25" s="91">
        <f t="shared" si="3"/>
        <v>267527.01013496006</v>
      </c>
    </row>
    <row r="26" spans="2:13">
      <c r="C26" s="85">
        <v>8</v>
      </c>
      <c r="D26" s="92">
        <f t="shared" si="0"/>
        <v>2525.7636599714529</v>
      </c>
      <c r="E26" s="91">
        <f t="shared" si="1"/>
        <v>724.55231911551687</v>
      </c>
      <c r="F26" s="91">
        <f t="shared" si="2"/>
        <v>1801.211340855936</v>
      </c>
      <c r="G26" s="91">
        <f t="shared" si="3"/>
        <v>265725.79879410414</v>
      </c>
    </row>
    <row r="27" spans="2:13">
      <c r="C27" s="85">
        <v>9</v>
      </c>
      <c r="D27" s="92">
        <f t="shared" si="0"/>
        <v>2525.7636599714529</v>
      </c>
      <c r="E27" s="91">
        <f t="shared" si="1"/>
        <v>719.67403840069869</v>
      </c>
      <c r="F27" s="91">
        <f t="shared" si="2"/>
        <v>1806.0896215707542</v>
      </c>
      <c r="G27" s="91">
        <f t="shared" si="3"/>
        <v>263919.70917253336</v>
      </c>
    </row>
    <row r="28" spans="2:13">
      <c r="C28" s="85">
        <v>10</v>
      </c>
      <c r="D28" s="92">
        <f t="shared" si="0"/>
        <v>2525.7636599714529</v>
      </c>
      <c r="E28" s="91">
        <f t="shared" si="1"/>
        <v>714.78254567561123</v>
      </c>
      <c r="F28" s="91">
        <f t="shared" si="2"/>
        <v>1810.9811142958415</v>
      </c>
      <c r="G28" s="91">
        <f t="shared" si="3"/>
        <v>262108.72805823752</v>
      </c>
    </row>
    <row r="29" spans="2:13">
      <c r="C29" s="85">
        <v>11</v>
      </c>
      <c r="D29" s="92">
        <f t="shared" si="0"/>
        <v>2525.7636599714529</v>
      </c>
      <c r="E29" s="91">
        <f t="shared" si="1"/>
        <v>709.8778051577267</v>
      </c>
      <c r="F29" s="91">
        <f t="shared" si="2"/>
        <v>1815.8858548137262</v>
      </c>
      <c r="G29" s="91">
        <f t="shared" si="3"/>
        <v>260292.84220342379</v>
      </c>
    </row>
    <row r="30" spans="2:13">
      <c r="C30" s="85">
        <v>12</v>
      </c>
      <c r="D30" s="92">
        <f t="shared" si="0"/>
        <v>2525.7636599714529</v>
      </c>
      <c r="E30" s="91">
        <f t="shared" si="1"/>
        <v>704.95978096760609</v>
      </c>
      <c r="F30" s="91">
        <f t="shared" si="2"/>
        <v>1820.8038790038468</v>
      </c>
      <c r="G30" s="91">
        <f t="shared" si="3"/>
        <v>258472.03832441993</v>
      </c>
    </row>
    <row r="31" spans="2:13">
      <c r="C31" s="85">
        <v>13</v>
      </c>
      <c r="D31" s="92">
        <f t="shared" si="0"/>
        <v>2525.7636599714529</v>
      </c>
      <c r="E31" s="91">
        <f t="shared" si="1"/>
        <v>700.02843712863739</v>
      </c>
      <c r="F31" s="91">
        <f t="shared" si="2"/>
        <v>1825.7352228428153</v>
      </c>
      <c r="G31" s="91">
        <f t="shared" si="3"/>
        <v>256646.30310157713</v>
      </c>
    </row>
    <row r="32" spans="2:13">
      <c r="C32" s="85">
        <v>14</v>
      </c>
      <c r="D32" s="92">
        <f t="shared" si="0"/>
        <v>2525.7636599714529</v>
      </c>
      <c r="E32" s="91">
        <f t="shared" si="1"/>
        <v>695.08373756677145</v>
      </c>
      <c r="F32" s="91">
        <f t="shared" si="2"/>
        <v>1830.6799224046813</v>
      </c>
      <c r="G32" s="91">
        <f t="shared" si="3"/>
        <v>254815.62317917246</v>
      </c>
    </row>
    <row r="33" spans="3:7">
      <c r="C33" s="85">
        <v>15</v>
      </c>
      <c r="D33" s="92">
        <f t="shared" si="0"/>
        <v>2525.7636599714529</v>
      </c>
      <c r="E33" s="91">
        <f t="shared" si="1"/>
        <v>690.1256461102588</v>
      </c>
      <c r="F33" s="91">
        <f t="shared" si="2"/>
        <v>1835.6380138611939</v>
      </c>
      <c r="G33" s="91">
        <f t="shared" si="3"/>
        <v>252979.98516531126</v>
      </c>
    </row>
    <row r="34" spans="3:7">
      <c r="C34" s="85">
        <v>16</v>
      </c>
      <c r="D34" s="92">
        <f t="shared" si="0"/>
        <v>2525.7636599714529</v>
      </c>
      <c r="E34" s="91">
        <f t="shared" si="1"/>
        <v>685.15412648938468</v>
      </c>
      <c r="F34" s="91">
        <f t="shared" si="2"/>
        <v>1840.6095334820682</v>
      </c>
      <c r="G34" s="91">
        <f t="shared" si="3"/>
        <v>251139.3756318292</v>
      </c>
    </row>
    <row r="35" spans="3:7">
      <c r="C35" s="85">
        <v>17</v>
      </c>
      <c r="D35" s="92">
        <f t="shared" si="0"/>
        <v>2525.7636599714529</v>
      </c>
      <c r="E35" s="91">
        <f t="shared" si="1"/>
        <v>680.16914233620412</v>
      </c>
      <c r="F35" s="91">
        <f t="shared" si="2"/>
        <v>1845.5945176352488</v>
      </c>
      <c r="G35" s="91">
        <f t="shared" si="3"/>
        <v>249293.78111419396</v>
      </c>
    </row>
    <row r="36" spans="3:7">
      <c r="C36" s="85">
        <v>18</v>
      </c>
      <c r="D36" s="92">
        <f t="shared" si="0"/>
        <v>2525.7636599714529</v>
      </c>
      <c r="E36" s="91">
        <f t="shared" si="1"/>
        <v>675.17065718427534</v>
      </c>
      <c r="F36" s="91">
        <f t="shared" si="2"/>
        <v>1850.5930027871775</v>
      </c>
      <c r="G36" s="91">
        <f t="shared" si="3"/>
        <v>247443.18811140678</v>
      </c>
    </row>
    <row r="37" spans="3:7">
      <c r="C37" s="85">
        <v>19</v>
      </c>
      <c r="D37" s="92">
        <f t="shared" si="0"/>
        <v>2525.7636599714529</v>
      </c>
      <c r="E37" s="91">
        <f t="shared" si="1"/>
        <v>670.15863446839342</v>
      </c>
      <c r="F37" s="91">
        <f t="shared" si="2"/>
        <v>1855.6050255030596</v>
      </c>
      <c r="G37" s="91">
        <f t="shared" si="3"/>
        <v>245587.58308590372</v>
      </c>
    </row>
    <row r="38" spans="3:7">
      <c r="C38" s="85">
        <v>20</v>
      </c>
      <c r="D38" s="92">
        <f t="shared" si="0"/>
        <v>2525.7636599714529</v>
      </c>
      <c r="E38" s="91">
        <f t="shared" si="1"/>
        <v>665.13303752432262</v>
      </c>
      <c r="F38" s="91">
        <f t="shared" si="2"/>
        <v>1860.6306224471302</v>
      </c>
      <c r="G38" s="91">
        <f t="shared" si="3"/>
        <v>243726.9524634566</v>
      </c>
    </row>
    <row r="39" spans="3:7">
      <c r="C39" s="85">
        <v>21</v>
      </c>
      <c r="D39" s="92">
        <f t="shared" si="0"/>
        <v>2525.7636599714529</v>
      </c>
      <c r="E39" s="91">
        <f t="shared" si="1"/>
        <v>660.09382958852837</v>
      </c>
      <c r="F39" s="91">
        <f t="shared" si="2"/>
        <v>1865.6698303829244</v>
      </c>
      <c r="G39" s="91">
        <f t="shared" si="3"/>
        <v>241861.28263307369</v>
      </c>
    </row>
    <row r="40" spans="3:7">
      <c r="C40" s="85">
        <v>22</v>
      </c>
      <c r="D40" s="92">
        <f t="shared" si="0"/>
        <v>2525.7636599714529</v>
      </c>
      <c r="E40" s="91">
        <f t="shared" si="1"/>
        <v>655.0409737979079</v>
      </c>
      <c r="F40" s="91">
        <f t="shared" si="2"/>
        <v>1870.7226861735448</v>
      </c>
      <c r="G40" s="91">
        <f t="shared" si="3"/>
        <v>239990.55994690015</v>
      </c>
    </row>
    <row r="41" spans="3:7">
      <c r="C41" s="85">
        <v>23</v>
      </c>
      <c r="D41" s="92">
        <f t="shared" si="0"/>
        <v>2525.7636599714529</v>
      </c>
      <c r="E41" s="91">
        <f t="shared" si="1"/>
        <v>649.97443318952128</v>
      </c>
      <c r="F41" s="91">
        <f t="shared" si="2"/>
        <v>1875.7892267819316</v>
      </c>
      <c r="G41" s="91">
        <f t="shared" si="3"/>
        <v>238114.77072011822</v>
      </c>
    </row>
    <row r="42" spans="3:7">
      <c r="C42" s="85">
        <v>24</v>
      </c>
      <c r="D42" s="92">
        <f t="shared" si="0"/>
        <v>2525.7636599714529</v>
      </c>
      <c r="E42" s="91">
        <f t="shared" si="1"/>
        <v>644.89417070032016</v>
      </c>
      <c r="F42" s="91">
        <f t="shared" si="2"/>
        <v>1880.8694892711328</v>
      </c>
      <c r="G42" s="91">
        <f t="shared" si="3"/>
        <v>236233.90123084708</v>
      </c>
    </row>
    <row r="43" spans="3:7">
      <c r="C43" s="85">
        <v>25</v>
      </c>
      <c r="D43" s="92">
        <f t="shared" si="0"/>
        <v>2525.7636599714529</v>
      </c>
      <c r="E43" s="91">
        <f t="shared" si="1"/>
        <v>639.80014916687753</v>
      </c>
      <c r="F43" s="91">
        <f t="shared" si="2"/>
        <v>1885.9635108045754</v>
      </c>
      <c r="G43" s="91">
        <f t="shared" si="3"/>
        <v>234347.93772004251</v>
      </c>
    </row>
    <row r="44" spans="3:7">
      <c r="C44" s="85">
        <v>26</v>
      </c>
      <c r="D44" s="92">
        <f t="shared" si="0"/>
        <v>2525.7636599714529</v>
      </c>
      <c r="E44" s="91">
        <f t="shared" si="1"/>
        <v>634.69233132511511</v>
      </c>
      <c r="F44" s="91">
        <f t="shared" si="2"/>
        <v>1891.0713286463379</v>
      </c>
      <c r="G44" s="91">
        <f t="shared" si="3"/>
        <v>232456.86639139618</v>
      </c>
    </row>
    <row r="45" spans="3:7">
      <c r="C45" s="85">
        <v>27</v>
      </c>
      <c r="D45" s="92">
        <f t="shared" si="0"/>
        <v>2525.7636599714529</v>
      </c>
      <c r="E45" s="91">
        <f t="shared" si="1"/>
        <v>629.57067981003138</v>
      </c>
      <c r="F45" s="91">
        <f t="shared" si="2"/>
        <v>1896.1929801614215</v>
      </c>
      <c r="G45" s="91">
        <f t="shared" si="3"/>
        <v>230560.67341123475</v>
      </c>
    </row>
    <row r="46" spans="3:7">
      <c r="C46" s="85">
        <v>28</v>
      </c>
      <c r="D46" s="92">
        <f t="shared" si="0"/>
        <v>2525.7636599714529</v>
      </c>
      <c r="E46" s="91">
        <f t="shared" si="1"/>
        <v>624.43515715542742</v>
      </c>
      <c r="F46" s="91">
        <f t="shared" si="2"/>
        <v>1901.3285028160253</v>
      </c>
      <c r="G46" s="91">
        <f t="shared" si="3"/>
        <v>228659.34490841872</v>
      </c>
    </row>
    <row r="47" spans="3:7">
      <c r="C47" s="85">
        <v>29</v>
      </c>
      <c r="D47" s="92">
        <f t="shared" si="0"/>
        <v>2525.7636599714529</v>
      </c>
      <c r="E47" s="91">
        <f t="shared" si="1"/>
        <v>619.28572579363401</v>
      </c>
      <c r="F47" s="91">
        <f t="shared" si="2"/>
        <v>1906.477934177819</v>
      </c>
      <c r="G47" s="91">
        <f t="shared" si="3"/>
        <v>226752.8669742409</v>
      </c>
    </row>
    <row r="48" spans="3:7">
      <c r="C48" s="85">
        <v>30</v>
      </c>
      <c r="D48" s="92">
        <f t="shared" si="0"/>
        <v>2525.7636599714529</v>
      </c>
      <c r="E48" s="91">
        <f t="shared" si="1"/>
        <v>614.12234805523576</v>
      </c>
      <c r="F48" s="91">
        <f t="shared" si="2"/>
        <v>1911.6413119162171</v>
      </c>
      <c r="G48" s="91">
        <f t="shared" si="3"/>
        <v>224841.22566232469</v>
      </c>
    </row>
    <row r="49" spans="3:7">
      <c r="C49" s="85">
        <v>31</v>
      </c>
      <c r="D49" s="92">
        <f t="shared" si="0"/>
        <v>2525.7636599714529</v>
      </c>
      <c r="E49" s="91">
        <f t="shared" si="1"/>
        <v>608.94498616879605</v>
      </c>
      <c r="F49" s="91">
        <f t="shared" si="2"/>
        <v>1916.8186738026568</v>
      </c>
      <c r="G49" s="91">
        <f t="shared" si="3"/>
        <v>222924.40698852204</v>
      </c>
    </row>
    <row r="50" spans="3:7">
      <c r="C50" s="85">
        <v>32</v>
      </c>
      <c r="D50" s="92">
        <f t="shared" si="0"/>
        <v>2525.7636599714529</v>
      </c>
      <c r="E50" s="91">
        <f t="shared" si="1"/>
        <v>603.75360226058058</v>
      </c>
      <c r="F50" s="91">
        <f t="shared" si="2"/>
        <v>1922.0100577108724</v>
      </c>
      <c r="G50" s="91">
        <f t="shared" si="3"/>
        <v>221002.39693081117</v>
      </c>
    </row>
    <row r="51" spans="3:7">
      <c r="C51" s="85">
        <v>33</v>
      </c>
      <c r="D51" s="92">
        <f t="shared" si="0"/>
        <v>2525.7636599714529</v>
      </c>
      <c r="E51" s="91">
        <f t="shared" si="1"/>
        <v>598.5481583542803</v>
      </c>
      <c r="F51" s="91">
        <f t="shared" si="2"/>
        <v>1927.2155016171725</v>
      </c>
      <c r="G51" s="91">
        <f t="shared" si="3"/>
        <v>219075.181429194</v>
      </c>
    </row>
    <row r="52" spans="3:7">
      <c r="C52" s="85">
        <v>34</v>
      </c>
      <c r="D52" s="92">
        <f t="shared" si="0"/>
        <v>2525.7636599714529</v>
      </c>
      <c r="E52" s="91">
        <f t="shared" si="1"/>
        <v>593.32861637073381</v>
      </c>
      <c r="F52" s="91">
        <f t="shared" si="2"/>
        <v>1932.4350436007189</v>
      </c>
      <c r="G52" s="91">
        <f t="shared" si="3"/>
        <v>217142.74638559329</v>
      </c>
    </row>
    <row r="53" spans="3:7">
      <c r="C53" s="85">
        <v>35</v>
      </c>
      <c r="D53" s="92">
        <f t="shared" si="0"/>
        <v>2525.7636599714529</v>
      </c>
      <c r="E53" s="91">
        <f t="shared" si="1"/>
        <v>588.09493812764856</v>
      </c>
      <c r="F53" s="91">
        <f t="shared" si="2"/>
        <v>1937.6687218438042</v>
      </c>
      <c r="G53" s="91">
        <f t="shared" si="3"/>
        <v>215205.07766374949</v>
      </c>
    </row>
    <row r="54" spans="3:7">
      <c r="C54" s="85">
        <v>36</v>
      </c>
      <c r="D54" s="92">
        <f t="shared" si="0"/>
        <v>2525.7636599714529</v>
      </c>
      <c r="E54" s="91">
        <f t="shared" si="1"/>
        <v>582.84708533932155</v>
      </c>
      <c r="F54" s="91">
        <f t="shared" si="2"/>
        <v>1942.9165746321314</v>
      </c>
      <c r="G54" s="91">
        <f t="shared" si="3"/>
        <v>213262.16108911735</v>
      </c>
    </row>
    <row r="55" spans="3:7">
      <c r="C55" s="85">
        <v>37</v>
      </c>
      <c r="D55" s="92">
        <f t="shared" si="0"/>
        <v>2525.7636599714529</v>
      </c>
      <c r="E55" s="91">
        <f t="shared" si="1"/>
        <v>577.58501961635955</v>
      </c>
      <c r="F55" s="91">
        <f t="shared" si="2"/>
        <v>1948.1786403550932</v>
      </c>
      <c r="G55" s="91">
        <f t="shared" si="3"/>
        <v>211313.98244876225</v>
      </c>
    </row>
    <row r="56" spans="3:7">
      <c r="C56" s="85">
        <v>38</v>
      </c>
      <c r="D56" s="92">
        <f t="shared" si="0"/>
        <v>2525.7636599714529</v>
      </c>
      <c r="E56" s="91">
        <f t="shared" si="1"/>
        <v>572.3087024653978</v>
      </c>
      <c r="F56" s="91">
        <f t="shared" si="2"/>
        <v>1953.4549575060551</v>
      </c>
      <c r="G56" s="91">
        <f t="shared" si="3"/>
        <v>209360.52749125619</v>
      </c>
    </row>
    <row r="57" spans="3:7">
      <c r="C57" s="85">
        <v>39</v>
      </c>
      <c r="D57" s="92">
        <f t="shared" si="0"/>
        <v>2525.7636599714529</v>
      </c>
      <c r="E57" s="91">
        <f t="shared" si="1"/>
        <v>567.01809528881881</v>
      </c>
      <c r="F57" s="91">
        <f t="shared" si="2"/>
        <v>1958.745564682634</v>
      </c>
      <c r="G57" s="91">
        <f t="shared" si="3"/>
        <v>207401.78192657355</v>
      </c>
    </row>
    <row r="58" spans="3:7">
      <c r="C58" s="85">
        <v>40</v>
      </c>
      <c r="D58" s="92">
        <f t="shared" si="0"/>
        <v>2525.7636599714529</v>
      </c>
      <c r="E58" s="91">
        <f t="shared" si="1"/>
        <v>561.71315938447003</v>
      </c>
      <c r="F58" s="91">
        <f t="shared" si="2"/>
        <v>1964.0505005869827</v>
      </c>
      <c r="G58" s="91">
        <f t="shared" si="3"/>
        <v>205437.73142598657</v>
      </c>
    </row>
    <row r="59" spans="3:7">
      <c r="C59" s="85">
        <v>41</v>
      </c>
      <c r="D59" s="92">
        <f t="shared" si="0"/>
        <v>2525.7636599714529</v>
      </c>
      <c r="E59" s="91">
        <f t="shared" si="1"/>
        <v>556.39385594538032</v>
      </c>
      <c r="F59" s="91">
        <f t="shared" si="2"/>
        <v>1969.3698040260724</v>
      </c>
      <c r="G59" s="91">
        <f t="shared" si="3"/>
        <v>203468.3616219605</v>
      </c>
    </row>
    <row r="60" spans="3:7">
      <c r="C60" s="85">
        <v>42</v>
      </c>
      <c r="D60" s="92">
        <f t="shared" si="0"/>
        <v>2525.7636599714529</v>
      </c>
      <c r="E60" s="91">
        <f t="shared" si="1"/>
        <v>551.06014605947632</v>
      </c>
      <c r="F60" s="91">
        <f t="shared" si="2"/>
        <v>1974.7035139119766</v>
      </c>
      <c r="G60" s="91">
        <f t="shared" si="3"/>
        <v>201493.65810804852</v>
      </c>
    </row>
    <row r="61" spans="3:7">
      <c r="C61" s="85">
        <v>43</v>
      </c>
      <c r="D61" s="92">
        <f t="shared" si="0"/>
        <v>2525.7636599714529</v>
      </c>
      <c r="E61" s="91">
        <f t="shared" si="1"/>
        <v>545.71199070929811</v>
      </c>
      <c r="F61" s="91">
        <f t="shared" si="2"/>
        <v>1980.0516692621547</v>
      </c>
      <c r="G61" s="91">
        <f t="shared" si="3"/>
        <v>199513.60643878637</v>
      </c>
    </row>
    <row r="62" spans="3:7">
      <c r="C62" s="85">
        <v>44</v>
      </c>
      <c r="D62" s="92">
        <f t="shared" si="0"/>
        <v>2525.7636599714529</v>
      </c>
      <c r="E62" s="91">
        <f t="shared" si="1"/>
        <v>540.34935077171315</v>
      </c>
      <c r="F62" s="91">
        <f t="shared" si="2"/>
        <v>1985.4143091997398</v>
      </c>
      <c r="G62" s="91">
        <f t="shared" si="3"/>
        <v>197528.19212958662</v>
      </c>
    </row>
    <row r="63" spans="3:7">
      <c r="C63" s="85">
        <v>45</v>
      </c>
      <c r="D63" s="92">
        <f t="shared" si="0"/>
        <v>2525.7636599714529</v>
      </c>
      <c r="E63" s="91">
        <f t="shared" si="1"/>
        <v>534.9721870176304</v>
      </c>
      <c r="F63" s="91">
        <f t="shared" si="2"/>
        <v>1990.7914729538224</v>
      </c>
      <c r="G63" s="91">
        <f t="shared" si="3"/>
        <v>195537.40065663279</v>
      </c>
    </row>
    <row r="64" spans="3:7">
      <c r="C64" s="85">
        <v>46</v>
      </c>
      <c r="D64" s="92">
        <f t="shared" si="0"/>
        <v>2525.7636599714529</v>
      </c>
      <c r="E64" s="91">
        <f t="shared" si="1"/>
        <v>529.58046011171382</v>
      </c>
      <c r="F64" s="91">
        <f t="shared" si="2"/>
        <v>1996.183199859739</v>
      </c>
      <c r="G64" s="91">
        <f t="shared" si="3"/>
        <v>193541.21745677304</v>
      </c>
    </row>
    <row r="65" spans="3:7">
      <c r="C65" s="85">
        <v>47</v>
      </c>
      <c r="D65" s="92">
        <f t="shared" si="0"/>
        <v>2525.7636599714529</v>
      </c>
      <c r="E65" s="91">
        <f t="shared" si="1"/>
        <v>524.17413061209368</v>
      </c>
      <c r="F65" s="91">
        <f t="shared" si="2"/>
        <v>2001.5895293593592</v>
      </c>
      <c r="G65" s="91">
        <f t="shared" si="3"/>
        <v>191539.62792741368</v>
      </c>
    </row>
    <row r="66" spans="3:7">
      <c r="C66" s="85">
        <v>48</v>
      </c>
      <c r="D66" s="92">
        <f t="shared" si="0"/>
        <v>2525.7636599714529</v>
      </c>
      <c r="E66" s="91">
        <f t="shared" si="1"/>
        <v>518.75315897007874</v>
      </c>
      <c r="F66" s="91">
        <f t="shared" si="2"/>
        <v>2007.010501001374</v>
      </c>
      <c r="G66" s="91">
        <f t="shared" si="3"/>
        <v>189532.6174264123</v>
      </c>
    </row>
    <row r="67" spans="3:7">
      <c r="C67" s="85">
        <v>49</v>
      </c>
      <c r="D67" s="92">
        <f t="shared" si="0"/>
        <v>2525.7636599714529</v>
      </c>
      <c r="E67" s="91">
        <f t="shared" si="1"/>
        <v>513.31750552986671</v>
      </c>
      <c r="F67" s="91">
        <f t="shared" si="2"/>
        <v>2012.4461544415863</v>
      </c>
      <c r="G67" s="91">
        <f t="shared" si="3"/>
        <v>187520.1712719707</v>
      </c>
    </row>
    <row r="68" spans="3:7">
      <c r="C68" s="85">
        <v>50</v>
      </c>
      <c r="D68" s="92">
        <f t="shared" si="0"/>
        <v>2525.7636599714529</v>
      </c>
      <c r="E68" s="91">
        <f t="shared" si="1"/>
        <v>507.86713052825399</v>
      </c>
      <c r="F68" s="91">
        <f t="shared" si="2"/>
        <v>2017.8965294431989</v>
      </c>
      <c r="G68" s="91">
        <f t="shared" si="3"/>
        <v>185502.27474252749</v>
      </c>
    </row>
    <row r="69" spans="3:7">
      <c r="C69" s="85">
        <v>51</v>
      </c>
      <c r="D69" s="92">
        <f t="shared" si="0"/>
        <v>2525.7636599714529</v>
      </c>
      <c r="E69" s="91">
        <f t="shared" si="1"/>
        <v>502.4019940943453</v>
      </c>
      <c r="F69" s="91">
        <f t="shared" si="2"/>
        <v>2023.3616658771075</v>
      </c>
      <c r="G69" s="91">
        <f t="shared" si="3"/>
        <v>183478.91307665038</v>
      </c>
    </row>
    <row r="70" spans="3:7">
      <c r="C70" s="85">
        <v>52</v>
      </c>
      <c r="D70" s="92">
        <f t="shared" si="0"/>
        <v>2525.7636599714529</v>
      </c>
      <c r="E70" s="91">
        <f t="shared" si="1"/>
        <v>496.92205624926146</v>
      </c>
      <c r="F70" s="91">
        <f t="shared" si="2"/>
        <v>2028.8416037221914</v>
      </c>
      <c r="G70" s="91">
        <f t="shared" si="3"/>
        <v>181450.07147292819</v>
      </c>
    </row>
    <row r="71" spans="3:7">
      <c r="C71" s="85">
        <v>53</v>
      </c>
      <c r="D71" s="92">
        <f t="shared" si="0"/>
        <v>2525.7636599714529</v>
      </c>
      <c r="E71" s="91">
        <f t="shared" si="1"/>
        <v>491.42727690584718</v>
      </c>
      <c r="F71" s="91">
        <f t="shared" si="2"/>
        <v>2034.3363830656058</v>
      </c>
      <c r="G71" s="91">
        <f t="shared" si="3"/>
        <v>179415.73508986257</v>
      </c>
    </row>
    <row r="72" spans="3:7">
      <c r="C72" s="85">
        <v>54</v>
      </c>
      <c r="D72" s="92">
        <f t="shared" si="0"/>
        <v>2525.7636599714529</v>
      </c>
      <c r="E72" s="91">
        <f t="shared" si="1"/>
        <v>485.91761586837782</v>
      </c>
      <c r="F72" s="91">
        <f t="shared" si="2"/>
        <v>2039.846044103075</v>
      </c>
      <c r="G72" s="91">
        <f t="shared" si="3"/>
        <v>177375.88904575951</v>
      </c>
    </row>
    <row r="73" spans="3:7">
      <c r="C73" s="85">
        <v>55</v>
      </c>
      <c r="D73" s="92">
        <f t="shared" si="0"/>
        <v>2525.7636599714529</v>
      </c>
      <c r="E73" s="91">
        <f t="shared" si="1"/>
        <v>480.39303283226536</v>
      </c>
      <c r="F73" s="91">
        <f t="shared" si="2"/>
        <v>2045.3706271391875</v>
      </c>
      <c r="G73" s="91">
        <f t="shared" si="3"/>
        <v>175330.51841862031</v>
      </c>
    </row>
    <row r="74" spans="3:7">
      <c r="C74" s="85">
        <v>56</v>
      </c>
      <c r="D74" s="92">
        <f t="shared" si="0"/>
        <v>2525.7636599714529</v>
      </c>
      <c r="E74" s="91">
        <f t="shared" si="1"/>
        <v>474.85348738376337</v>
      </c>
      <c r="F74" s="91">
        <f t="shared" si="2"/>
        <v>2050.9101725876894</v>
      </c>
      <c r="G74" s="91">
        <f t="shared" si="3"/>
        <v>173279.60824603261</v>
      </c>
    </row>
    <row r="75" spans="3:7">
      <c r="C75" s="85">
        <v>57</v>
      </c>
      <c r="D75" s="92">
        <f t="shared" si="0"/>
        <v>2525.7636599714529</v>
      </c>
      <c r="E75" s="91">
        <f t="shared" si="1"/>
        <v>469.29893899967169</v>
      </c>
      <c r="F75" s="91">
        <f t="shared" si="2"/>
        <v>2056.4647209717814</v>
      </c>
      <c r="G75" s="91">
        <f t="shared" si="3"/>
        <v>171223.14352506082</v>
      </c>
    </row>
    <row r="76" spans="3:7">
      <c r="C76" s="85">
        <v>58</v>
      </c>
      <c r="D76" s="92">
        <f t="shared" si="0"/>
        <v>2525.7636599714529</v>
      </c>
      <c r="E76" s="91">
        <f t="shared" si="1"/>
        <v>463.72934704703971</v>
      </c>
      <c r="F76" s="91">
        <f t="shared" si="2"/>
        <v>2062.0343129244129</v>
      </c>
      <c r="G76" s="91">
        <f t="shared" si="3"/>
        <v>169161.10921213642</v>
      </c>
    </row>
    <row r="77" spans="3:7">
      <c r="C77" s="85">
        <v>59</v>
      </c>
      <c r="D77" s="92">
        <f t="shared" si="0"/>
        <v>2525.7636599714529</v>
      </c>
      <c r="E77" s="91">
        <f t="shared" si="1"/>
        <v>458.14467078286947</v>
      </c>
      <c r="F77" s="91">
        <f t="shared" si="2"/>
        <v>2067.6189891885833</v>
      </c>
      <c r="G77" s="91">
        <f t="shared" si="3"/>
        <v>167093.49022294785</v>
      </c>
    </row>
    <row r="78" spans="3:7">
      <c r="C78" s="85">
        <v>60</v>
      </c>
      <c r="D78" s="92">
        <f t="shared" si="0"/>
        <v>2525.7636599714529</v>
      </c>
      <c r="E78" s="91">
        <f t="shared" si="1"/>
        <v>452.54486935381709</v>
      </c>
      <c r="F78" s="91">
        <f t="shared" si="2"/>
        <v>2073.2187906176359</v>
      </c>
      <c r="G78" s="91">
        <f t="shared" si="3"/>
        <v>165020.27143233022</v>
      </c>
    </row>
    <row r="79" spans="3:7">
      <c r="C79" s="85">
        <v>61</v>
      </c>
      <c r="D79" s="92">
        <f t="shared" si="0"/>
        <v>2525.7636599714529</v>
      </c>
      <c r="E79" s="91">
        <f t="shared" si="1"/>
        <v>446.92990179589435</v>
      </c>
      <c r="F79" s="91">
        <f t="shared" si="2"/>
        <v>2078.8337581755586</v>
      </c>
      <c r="G79" s="91">
        <f t="shared" si="3"/>
        <v>162941.43767415467</v>
      </c>
    </row>
    <row r="80" spans="3:7">
      <c r="C80" s="85">
        <v>62</v>
      </c>
      <c r="D80" s="92">
        <f t="shared" si="0"/>
        <v>2525.7636599714529</v>
      </c>
      <c r="E80" s="91">
        <f t="shared" si="1"/>
        <v>441.29972703416894</v>
      </c>
      <c r="F80" s="91">
        <f t="shared" si="2"/>
        <v>2084.463932937284</v>
      </c>
      <c r="G80" s="91">
        <f t="shared" si="3"/>
        <v>160856.9737412174</v>
      </c>
    </row>
    <row r="81" spans="3:7">
      <c r="C81" s="85">
        <v>63</v>
      </c>
      <c r="D81" s="92">
        <f t="shared" si="0"/>
        <v>2525.7636599714529</v>
      </c>
      <c r="E81" s="91">
        <f t="shared" si="1"/>
        <v>435.65430388246381</v>
      </c>
      <c r="F81" s="91">
        <f t="shared" si="2"/>
        <v>2090.109356088989</v>
      </c>
      <c r="G81" s="91">
        <f t="shared" si="3"/>
        <v>158766.8643851284</v>
      </c>
    </row>
    <row r="82" spans="3:7">
      <c r="C82" s="85">
        <v>64</v>
      </c>
      <c r="D82" s="92">
        <f t="shared" si="0"/>
        <v>2525.7636599714529</v>
      </c>
      <c r="E82" s="91">
        <f t="shared" si="1"/>
        <v>429.99359104305609</v>
      </c>
      <c r="F82" s="91">
        <f t="shared" si="2"/>
        <v>2095.7700689283965</v>
      </c>
      <c r="G82" s="91">
        <f t="shared" si="3"/>
        <v>156671.0943162</v>
      </c>
    </row>
    <row r="83" spans="3:7">
      <c r="C83" s="85">
        <v>65</v>
      </c>
      <c r="D83" s="92">
        <f t="shared" si="0"/>
        <v>2525.7636599714529</v>
      </c>
      <c r="E83" s="91">
        <f t="shared" si="1"/>
        <v>424.317547106375</v>
      </c>
      <c r="F83" s="91">
        <f t="shared" si="2"/>
        <v>2101.4461128650778</v>
      </c>
      <c r="G83" s="91">
        <f t="shared" si="3"/>
        <v>154569.64820333492</v>
      </c>
    </row>
    <row r="84" spans="3:7">
      <c r="C84" s="85">
        <v>66</v>
      </c>
      <c r="D84" s="92">
        <f t="shared" si="0"/>
        <v>2525.7636599714529</v>
      </c>
      <c r="E84" s="91">
        <f t="shared" si="1"/>
        <v>418.62613055069875</v>
      </c>
      <c r="F84" s="91">
        <f t="shared" si="2"/>
        <v>2107.1375294207542</v>
      </c>
      <c r="G84" s="91">
        <f t="shared" si="3"/>
        <v>152462.51067391416</v>
      </c>
    </row>
    <row r="85" spans="3:7">
      <c r="C85" s="85">
        <v>67</v>
      </c>
      <c r="D85" s="92">
        <f t="shared" ref="D85:D148" si="4">$D$19</f>
        <v>2525.7636599714529</v>
      </c>
      <c r="E85" s="91">
        <f t="shared" ref="E85:E148" si="5">G84*$F$10</f>
        <v>412.91929974185086</v>
      </c>
      <c r="F85" s="91">
        <f t="shared" ref="F85:F148" si="6">D85-E85</f>
        <v>2112.844360229602</v>
      </c>
      <c r="G85" s="91">
        <f t="shared" ref="G85:G148" si="7">G84-F85</f>
        <v>150349.66631368457</v>
      </c>
    </row>
    <row r="86" spans="3:7">
      <c r="C86" s="85">
        <v>68</v>
      </c>
      <c r="D86" s="92">
        <f t="shared" si="4"/>
        <v>2525.7636599714529</v>
      </c>
      <c r="E86" s="91">
        <f t="shared" si="5"/>
        <v>407.19701293289575</v>
      </c>
      <c r="F86" s="91">
        <f t="shared" si="6"/>
        <v>2118.5666470385572</v>
      </c>
      <c r="G86" s="91">
        <f t="shared" si="7"/>
        <v>148231.09966664601</v>
      </c>
    </row>
    <row r="87" spans="3:7">
      <c r="C87" s="85">
        <v>69</v>
      </c>
      <c r="D87" s="92">
        <f t="shared" si="4"/>
        <v>2525.7636599714529</v>
      </c>
      <c r="E87" s="91">
        <f t="shared" si="5"/>
        <v>401.45922826383298</v>
      </c>
      <c r="F87" s="91">
        <f t="shared" si="6"/>
        <v>2124.3044317076201</v>
      </c>
      <c r="G87" s="91">
        <f t="shared" si="7"/>
        <v>146106.79523493838</v>
      </c>
    </row>
    <row r="88" spans="3:7">
      <c r="C88" s="85">
        <v>70</v>
      </c>
      <c r="D88" s="92">
        <f t="shared" si="4"/>
        <v>2525.7636599714529</v>
      </c>
      <c r="E88" s="91">
        <f t="shared" si="5"/>
        <v>395.70590376129149</v>
      </c>
      <c r="F88" s="91">
        <f t="shared" si="6"/>
        <v>2130.0577562101612</v>
      </c>
      <c r="G88" s="91">
        <f t="shared" si="7"/>
        <v>143976.73747872823</v>
      </c>
    </row>
    <row r="89" spans="3:7">
      <c r="C89" s="85">
        <v>71</v>
      </c>
      <c r="D89" s="92">
        <f t="shared" si="4"/>
        <v>2525.7636599714529</v>
      </c>
      <c r="E89" s="91">
        <f t="shared" si="5"/>
        <v>389.93699733822228</v>
      </c>
      <c r="F89" s="91">
        <f t="shared" si="6"/>
        <v>2135.8266626332306</v>
      </c>
      <c r="G89" s="91">
        <f t="shared" si="7"/>
        <v>141840.91081609501</v>
      </c>
    </row>
    <row r="90" spans="3:7">
      <c r="C90" s="85">
        <v>72</v>
      </c>
      <c r="D90" s="92">
        <f t="shared" si="4"/>
        <v>2525.7636599714529</v>
      </c>
      <c r="E90" s="91">
        <f t="shared" si="5"/>
        <v>384.15246679359069</v>
      </c>
      <c r="F90" s="91">
        <f t="shared" si="6"/>
        <v>2141.6111931778623</v>
      </c>
      <c r="G90" s="91">
        <f t="shared" si="7"/>
        <v>139699.29962291714</v>
      </c>
    </row>
    <row r="91" spans="3:7">
      <c r="C91" s="85">
        <v>73</v>
      </c>
      <c r="D91" s="92">
        <f t="shared" si="4"/>
        <v>2525.7636599714529</v>
      </c>
      <c r="E91" s="91">
        <f t="shared" si="5"/>
        <v>378.35226981206728</v>
      </c>
      <c r="F91" s="91">
        <f t="shared" si="6"/>
        <v>2147.4113901593855</v>
      </c>
      <c r="G91" s="91">
        <f t="shared" si="7"/>
        <v>137551.88823275774</v>
      </c>
    </row>
    <row r="92" spans="3:7">
      <c r="C92" s="85">
        <v>74</v>
      </c>
      <c r="D92" s="92">
        <f t="shared" si="4"/>
        <v>2525.7636599714529</v>
      </c>
      <c r="E92" s="91">
        <f t="shared" si="5"/>
        <v>372.53636396371888</v>
      </c>
      <c r="F92" s="91">
        <f t="shared" si="6"/>
        <v>2153.2272960077339</v>
      </c>
      <c r="G92" s="91">
        <f t="shared" si="7"/>
        <v>135398.66093675001</v>
      </c>
    </row>
    <row r="93" spans="3:7">
      <c r="C93" s="85">
        <v>75</v>
      </c>
      <c r="D93" s="92">
        <f t="shared" si="4"/>
        <v>2525.7636599714529</v>
      </c>
      <c r="E93" s="91">
        <f t="shared" si="5"/>
        <v>366.70470670369792</v>
      </c>
      <c r="F93" s="91">
        <f t="shared" si="6"/>
        <v>2159.058953267755</v>
      </c>
      <c r="G93" s="91">
        <f t="shared" si="7"/>
        <v>133239.60198348225</v>
      </c>
    </row>
    <row r="94" spans="3:7">
      <c r="C94" s="85">
        <v>76</v>
      </c>
      <c r="D94" s="92">
        <f t="shared" si="4"/>
        <v>2525.7636599714529</v>
      </c>
      <c r="E94" s="91">
        <f t="shared" si="5"/>
        <v>360.8572553719311</v>
      </c>
      <c r="F94" s="91">
        <f t="shared" si="6"/>
        <v>2164.9064045995219</v>
      </c>
      <c r="G94" s="91">
        <f t="shared" si="7"/>
        <v>131074.69557888273</v>
      </c>
    </row>
    <row r="95" spans="3:7">
      <c r="C95" s="85">
        <v>77</v>
      </c>
      <c r="D95" s="92">
        <f t="shared" si="4"/>
        <v>2525.7636599714529</v>
      </c>
      <c r="E95" s="91">
        <f t="shared" si="5"/>
        <v>354.99396719280742</v>
      </c>
      <c r="F95" s="91">
        <f t="shared" si="6"/>
        <v>2170.7696927786455</v>
      </c>
      <c r="G95" s="91">
        <f t="shared" si="7"/>
        <v>128903.92588610409</v>
      </c>
    </row>
    <row r="96" spans="3:7">
      <c r="C96" s="85">
        <v>78</v>
      </c>
      <c r="D96" s="92">
        <f t="shared" si="4"/>
        <v>2525.7636599714529</v>
      </c>
      <c r="E96" s="91">
        <f t="shared" si="5"/>
        <v>349.11479927486522</v>
      </c>
      <c r="F96" s="91">
        <f t="shared" si="6"/>
        <v>2176.6488606965877</v>
      </c>
      <c r="G96" s="91">
        <f t="shared" si="7"/>
        <v>126727.2770254075</v>
      </c>
    </row>
    <row r="97" spans="3:7">
      <c r="C97" s="85">
        <v>79</v>
      </c>
      <c r="D97" s="92">
        <f t="shared" si="4"/>
        <v>2525.7636599714529</v>
      </c>
      <c r="E97" s="91">
        <f t="shared" si="5"/>
        <v>343.21970861047868</v>
      </c>
      <c r="F97" s="91">
        <f t="shared" si="6"/>
        <v>2182.543951360974</v>
      </c>
      <c r="G97" s="91">
        <f t="shared" si="7"/>
        <v>124544.73307404653</v>
      </c>
    </row>
    <row r="98" spans="3:7">
      <c r="C98" s="85">
        <v>80</v>
      </c>
      <c r="D98" s="92">
        <f t="shared" si="4"/>
        <v>2525.7636599714529</v>
      </c>
      <c r="E98" s="91">
        <f t="shared" si="5"/>
        <v>337.30865207554268</v>
      </c>
      <c r="F98" s="91">
        <f t="shared" si="6"/>
        <v>2188.4550078959101</v>
      </c>
      <c r="G98" s="91">
        <f t="shared" si="7"/>
        <v>122356.27806615061</v>
      </c>
    </row>
    <row r="99" spans="3:7">
      <c r="C99" s="85">
        <v>81</v>
      </c>
      <c r="D99" s="92">
        <f t="shared" si="4"/>
        <v>2525.7636599714529</v>
      </c>
      <c r="E99" s="91">
        <f t="shared" si="5"/>
        <v>331.38158642915789</v>
      </c>
      <c r="F99" s="91">
        <f t="shared" si="6"/>
        <v>2194.3820735422951</v>
      </c>
      <c r="G99" s="91">
        <f t="shared" si="7"/>
        <v>120161.89599260832</v>
      </c>
    </row>
    <row r="100" spans="3:7">
      <c r="C100" s="85">
        <v>82</v>
      </c>
      <c r="D100" s="92">
        <f t="shared" si="4"/>
        <v>2525.7636599714529</v>
      </c>
      <c r="E100" s="91">
        <f t="shared" si="5"/>
        <v>325.43846831331422</v>
      </c>
      <c r="F100" s="91">
        <f t="shared" si="6"/>
        <v>2200.3251916581385</v>
      </c>
      <c r="G100" s="91">
        <f t="shared" si="7"/>
        <v>117961.57080095018</v>
      </c>
    </row>
    <row r="101" spans="3:7">
      <c r="C101" s="85">
        <v>83</v>
      </c>
      <c r="D101" s="92">
        <f t="shared" si="4"/>
        <v>2525.7636599714529</v>
      </c>
      <c r="E101" s="91">
        <f t="shared" si="5"/>
        <v>319.47925425257341</v>
      </c>
      <c r="F101" s="91">
        <f t="shared" si="6"/>
        <v>2206.2844057188795</v>
      </c>
      <c r="G101" s="91">
        <f t="shared" si="7"/>
        <v>115755.28639523131</v>
      </c>
    </row>
    <row r="102" spans="3:7">
      <c r="C102" s="85">
        <v>84</v>
      </c>
      <c r="D102" s="92">
        <f t="shared" si="4"/>
        <v>2525.7636599714529</v>
      </c>
      <c r="E102" s="91">
        <f t="shared" si="5"/>
        <v>313.50390065375149</v>
      </c>
      <c r="F102" s="91">
        <f t="shared" si="6"/>
        <v>2212.2597593177015</v>
      </c>
      <c r="G102" s="91">
        <f t="shared" si="7"/>
        <v>113543.0266359136</v>
      </c>
    </row>
    <row r="103" spans="3:7">
      <c r="C103" s="85">
        <v>85</v>
      </c>
      <c r="D103" s="92">
        <f t="shared" si="4"/>
        <v>2525.7636599714529</v>
      </c>
      <c r="E103" s="91">
        <f t="shared" si="5"/>
        <v>307.51236380559936</v>
      </c>
      <c r="F103" s="91">
        <f t="shared" si="6"/>
        <v>2218.2512961658535</v>
      </c>
      <c r="G103" s="91">
        <f t="shared" si="7"/>
        <v>111324.77533974775</v>
      </c>
    </row>
    <row r="104" spans="3:7">
      <c r="C104" s="85">
        <v>86</v>
      </c>
      <c r="D104" s="92">
        <f t="shared" si="4"/>
        <v>2525.7636599714529</v>
      </c>
      <c r="E104" s="91">
        <f t="shared" si="5"/>
        <v>301.50459987848348</v>
      </c>
      <c r="F104" s="91">
        <f t="shared" si="6"/>
        <v>2224.2590600929693</v>
      </c>
      <c r="G104" s="91">
        <f t="shared" si="7"/>
        <v>109100.51627965478</v>
      </c>
    </row>
    <row r="105" spans="3:7">
      <c r="C105" s="85">
        <v>87</v>
      </c>
      <c r="D105" s="92">
        <f t="shared" si="4"/>
        <v>2525.7636599714529</v>
      </c>
      <c r="E105" s="91">
        <f t="shared" si="5"/>
        <v>295.48056492406505</v>
      </c>
      <c r="F105" s="91">
        <f t="shared" si="6"/>
        <v>2230.2830950473876</v>
      </c>
      <c r="G105" s="91">
        <f t="shared" si="7"/>
        <v>106870.23318460739</v>
      </c>
    </row>
    <row r="106" spans="3:7">
      <c r="C106" s="85">
        <v>88</v>
      </c>
      <c r="D106" s="92">
        <f t="shared" si="4"/>
        <v>2525.7636599714529</v>
      </c>
      <c r="E106" s="91">
        <f t="shared" si="5"/>
        <v>289.44021487497838</v>
      </c>
      <c r="F106" s="91">
        <f t="shared" si="6"/>
        <v>2236.3234450964746</v>
      </c>
      <c r="G106" s="91">
        <f t="shared" si="7"/>
        <v>104633.90973951091</v>
      </c>
    </row>
    <row r="107" spans="3:7">
      <c r="C107" s="85">
        <v>89</v>
      </c>
      <c r="D107" s="92">
        <f t="shared" si="4"/>
        <v>2525.7636599714529</v>
      </c>
      <c r="E107" s="91">
        <f t="shared" si="5"/>
        <v>283.38350554450875</v>
      </c>
      <c r="F107" s="91">
        <f t="shared" si="6"/>
        <v>2242.380154426944</v>
      </c>
      <c r="G107" s="91">
        <f t="shared" si="7"/>
        <v>102391.52958508398</v>
      </c>
    </row>
    <row r="108" spans="3:7">
      <c r="C108" s="85">
        <v>90</v>
      </c>
      <c r="D108" s="92">
        <f t="shared" si="4"/>
        <v>2525.7636599714529</v>
      </c>
      <c r="E108" s="91">
        <f t="shared" si="5"/>
        <v>277.31039262626911</v>
      </c>
      <c r="F108" s="91">
        <f t="shared" si="6"/>
        <v>2248.4532673451836</v>
      </c>
      <c r="G108" s="91">
        <f t="shared" si="7"/>
        <v>100143.07631773879</v>
      </c>
    </row>
    <row r="109" spans="3:7">
      <c r="C109" s="85">
        <v>91</v>
      </c>
      <c r="D109" s="92">
        <f t="shared" si="4"/>
        <v>2525.7636599714529</v>
      </c>
      <c r="E109" s="91">
        <f t="shared" si="5"/>
        <v>271.22083169387588</v>
      </c>
      <c r="F109" s="91">
        <f t="shared" si="6"/>
        <v>2254.542828277577</v>
      </c>
      <c r="G109" s="91">
        <f t="shared" si="7"/>
        <v>97888.533489461202</v>
      </c>
    </row>
    <row r="110" spans="3:7">
      <c r="C110" s="85">
        <v>92</v>
      </c>
      <c r="D110" s="92">
        <f t="shared" si="4"/>
        <v>2525.7636599714529</v>
      </c>
      <c r="E110" s="91">
        <f t="shared" si="5"/>
        <v>265.11477820062407</v>
      </c>
      <c r="F110" s="91">
        <f t="shared" si="6"/>
        <v>2260.6488817708287</v>
      </c>
      <c r="G110" s="91">
        <f t="shared" si="7"/>
        <v>95627.884607690372</v>
      </c>
    </row>
    <row r="111" spans="3:7">
      <c r="C111" s="85">
        <v>93</v>
      </c>
      <c r="D111" s="92">
        <f t="shared" si="4"/>
        <v>2525.7636599714529</v>
      </c>
      <c r="E111" s="91">
        <f t="shared" si="5"/>
        <v>258.99218747916143</v>
      </c>
      <c r="F111" s="91">
        <f t="shared" si="6"/>
        <v>2266.7714724922917</v>
      </c>
      <c r="G111" s="91">
        <f t="shared" si="7"/>
        <v>93361.113135198073</v>
      </c>
    </row>
    <row r="112" spans="3:7">
      <c r="C112" s="85">
        <v>94</v>
      </c>
      <c r="D112" s="92">
        <f t="shared" si="4"/>
        <v>2525.7636599714529</v>
      </c>
      <c r="E112" s="91">
        <f t="shared" si="5"/>
        <v>252.85301474116145</v>
      </c>
      <c r="F112" s="91">
        <f t="shared" si="6"/>
        <v>2272.9106452302913</v>
      </c>
      <c r="G112" s="91">
        <f t="shared" si="7"/>
        <v>91088.202489967778</v>
      </c>
    </row>
    <row r="113" spans="3:7">
      <c r="C113" s="85">
        <v>95</v>
      </c>
      <c r="D113" s="92">
        <f t="shared" si="4"/>
        <v>2525.7636599714529</v>
      </c>
      <c r="E113" s="91">
        <f t="shared" si="5"/>
        <v>246.69721507699609</v>
      </c>
      <c r="F113" s="91">
        <f t="shared" si="6"/>
        <v>2279.0664448944567</v>
      </c>
      <c r="G113" s="91">
        <f t="shared" si="7"/>
        <v>88809.136045073319</v>
      </c>
    </row>
    <row r="114" spans="3:7">
      <c r="C114" s="85">
        <v>96</v>
      </c>
      <c r="D114" s="92">
        <f t="shared" si="4"/>
        <v>2525.7636599714529</v>
      </c>
      <c r="E114" s="91">
        <f t="shared" si="5"/>
        <v>240.52474345540691</v>
      </c>
      <c r="F114" s="91">
        <f t="shared" si="6"/>
        <v>2285.2389165160457</v>
      </c>
      <c r="G114" s="91">
        <f t="shared" si="7"/>
        <v>86523.897128557277</v>
      </c>
    </row>
    <row r="115" spans="3:7">
      <c r="C115" s="85">
        <v>97</v>
      </c>
      <c r="D115" s="92">
        <f t="shared" si="4"/>
        <v>2525.7636599714529</v>
      </c>
      <c r="E115" s="91">
        <f t="shared" si="5"/>
        <v>234.33555472317596</v>
      </c>
      <c r="F115" s="91">
        <f t="shared" si="6"/>
        <v>2291.428105248277</v>
      </c>
      <c r="G115" s="91">
        <f t="shared" si="7"/>
        <v>84232.469023308993</v>
      </c>
    </row>
    <row r="116" spans="3:7">
      <c r="C116" s="85">
        <v>98</v>
      </c>
      <c r="D116" s="92">
        <f t="shared" si="4"/>
        <v>2525.7636599714529</v>
      </c>
      <c r="E116" s="91">
        <f t="shared" si="5"/>
        <v>228.12960360479519</v>
      </c>
      <c r="F116" s="91">
        <f t="shared" si="6"/>
        <v>2297.6340563666577</v>
      </c>
      <c r="G116" s="91">
        <f t="shared" si="7"/>
        <v>81934.834966942333</v>
      </c>
    </row>
    <row r="117" spans="3:7">
      <c r="C117" s="85">
        <v>99</v>
      </c>
      <c r="D117" s="92">
        <f t="shared" si="4"/>
        <v>2525.7636599714529</v>
      </c>
      <c r="E117" s="91">
        <f t="shared" si="5"/>
        <v>221.90684470213549</v>
      </c>
      <c r="F117" s="91">
        <f t="shared" si="6"/>
        <v>2303.8568152693174</v>
      </c>
      <c r="G117" s="91">
        <f t="shared" si="7"/>
        <v>79630.978151673015</v>
      </c>
    </row>
    <row r="118" spans="3:7">
      <c r="C118" s="85">
        <v>100</v>
      </c>
      <c r="D118" s="92">
        <f t="shared" si="4"/>
        <v>2525.7636599714529</v>
      </c>
      <c r="E118" s="91">
        <f t="shared" si="5"/>
        <v>215.66723249411442</v>
      </c>
      <c r="F118" s="91">
        <f t="shared" si="6"/>
        <v>2310.0964274773382</v>
      </c>
      <c r="G118" s="91">
        <f t="shared" si="7"/>
        <v>77320.881724195671</v>
      </c>
    </row>
    <row r="119" spans="3:7">
      <c r="C119" s="85">
        <v>101</v>
      </c>
      <c r="D119" s="92">
        <f t="shared" si="4"/>
        <v>2525.7636599714529</v>
      </c>
      <c r="E119" s="91">
        <f t="shared" si="5"/>
        <v>209.41072133636328</v>
      </c>
      <c r="F119" s="91">
        <f t="shared" si="6"/>
        <v>2316.3529386350897</v>
      </c>
      <c r="G119" s="91">
        <f t="shared" si="7"/>
        <v>75004.528785560586</v>
      </c>
    </row>
    <row r="120" spans="3:7">
      <c r="C120" s="85">
        <v>102</v>
      </c>
      <c r="D120" s="92">
        <f t="shared" si="4"/>
        <v>2525.7636599714529</v>
      </c>
      <c r="E120" s="91">
        <f t="shared" si="5"/>
        <v>203.13726546089325</v>
      </c>
      <c r="F120" s="91">
        <f t="shared" si="6"/>
        <v>2322.6263945105597</v>
      </c>
      <c r="G120" s="91">
        <f t="shared" si="7"/>
        <v>72681.902391050025</v>
      </c>
    </row>
    <row r="121" spans="3:7">
      <c r="C121" s="85">
        <v>103</v>
      </c>
      <c r="D121" s="92">
        <f t="shared" si="4"/>
        <v>2525.7636599714529</v>
      </c>
      <c r="E121" s="91">
        <f t="shared" si="5"/>
        <v>196.8468189757605</v>
      </c>
      <c r="F121" s="91">
        <f t="shared" si="6"/>
        <v>2328.9168409956924</v>
      </c>
      <c r="G121" s="91">
        <f t="shared" si="7"/>
        <v>70352.985550054334</v>
      </c>
    </row>
    <row r="122" spans="3:7">
      <c r="C122" s="85">
        <v>104</v>
      </c>
      <c r="D122" s="92">
        <f t="shared" si="4"/>
        <v>2525.7636599714529</v>
      </c>
      <c r="E122" s="91">
        <f t="shared" si="5"/>
        <v>190.5393358647305</v>
      </c>
      <c r="F122" s="91">
        <f t="shared" si="6"/>
        <v>2335.2243241067222</v>
      </c>
      <c r="G122" s="91">
        <f t="shared" si="7"/>
        <v>68017.761225947615</v>
      </c>
    </row>
    <row r="123" spans="3:7">
      <c r="C123" s="85">
        <v>105</v>
      </c>
      <c r="D123" s="92">
        <f t="shared" si="4"/>
        <v>2525.7636599714529</v>
      </c>
      <c r="E123" s="91">
        <f t="shared" si="5"/>
        <v>184.21476998694146</v>
      </c>
      <c r="F123" s="91">
        <f t="shared" si="6"/>
        <v>2341.5488899845113</v>
      </c>
      <c r="G123" s="91">
        <f t="shared" si="7"/>
        <v>65676.212335963108</v>
      </c>
    </row>
    <row r="124" spans="3:7">
      <c r="C124" s="85">
        <v>106</v>
      </c>
      <c r="D124" s="92">
        <f t="shared" si="4"/>
        <v>2525.7636599714529</v>
      </c>
      <c r="E124" s="91">
        <f t="shared" si="5"/>
        <v>177.87307507656675</v>
      </c>
      <c r="F124" s="91">
        <f t="shared" si="6"/>
        <v>2347.8905848948862</v>
      </c>
      <c r="G124" s="91">
        <f t="shared" si="7"/>
        <v>63328.321751068223</v>
      </c>
    </row>
    <row r="125" spans="3:7">
      <c r="C125" s="85">
        <v>107</v>
      </c>
      <c r="D125" s="92">
        <f t="shared" si="4"/>
        <v>2525.7636599714529</v>
      </c>
      <c r="E125" s="91">
        <f t="shared" si="5"/>
        <v>171.51420474247644</v>
      </c>
      <c r="F125" s="91">
        <f t="shared" si="6"/>
        <v>2354.2494552289763</v>
      </c>
      <c r="G125" s="91">
        <f t="shared" si="7"/>
        <v>60974.072295839243</v>
      </c>
    </row>
    <row r="126" spans="3:7">
      <c r="C126" s="85">
        <v>108</v>
      </c>
      <c r="D126" s="92">
        <f t="shared" si="4"/>
        <v>2525.7636599714529</v>
      </c>
      <c r="E126" s="91">
        <f t="shared" si="5"/>
        <v>165.13811246789797</v>
      </c>
      <c r="F126" s="91">
        <f t="shared" si="6"/>
        <v>2360.625547503555</v>
      </c>
      <c r="G126" s="91">
        <f t="shared" si="7"/>
        <v>58613.446748335686</v>
      </c>
    </row>
    <row r="127" spans="3:7">
      <c r="C127" s="85">
        <v>109</v>
      </c>
      <c r="D127" s="92">
        <f t="shared" si="4"/>
        <v>2525.7636599714529</v>
      </c>
      <c r="E127" s="91">
        <f t="shared" si="5"/>
        <v>158.74475161007581</v>
      </c>
      <c r="F127" s="91">
        <f t="shared" si="6"/>
        <v>2367.0189083613768</v>
      </c>
      <c r="G127" s="91">
        <f t="shared" si="7"/>
        <v>56246.427839974305</v>
      </c>
    </row>
    <row r="128" spans="3:7">
      <c r="C128" s="85">
        <v>110</v>
      </c>
      <c r="D128" s="92">
        <f t="shared" si="4"/>
        <v>2525.7636599714529</v>
      </c>
      <c r="E128" s="91">
        <f t="shared" si="5"/>
        <v>152.33407539993041</v>
      </c>
      <c r="F128" s="91">
        <f t="shared" si="6"/>
        <v>2373.4295845715224</v>
      </c>
      <c r="G128" s="91">
        <f t="shared" si="7"/>
        <v>53872.998255402781</v>
      </c>
    </row>
    <row r="129" spans="3:7">
      <c r="C129" s="85">
        <v>111</v>
      </c>
      <c r="D129" s="92">
        <f t="shared" si="4"/>
        <v>2525.7636599714529</v>
      </c>
      <c r="E129" s="91">
        <f t="shared" si="5"/>
        <v>145.90603694171588</v>
      </c>
      <c r="F129" s="91">
        <f t="shared" si="6"/>
        <v>2379.8576230297372</v>
      </c>
      <c r="G129" s="91">
        <f t="shared" si="7"/>
        <v>51493.140632373041</v>
      </c>
    </row>
    <row r="130" spans="3:7">
      <c r="C130" s="85">
        <v>112</v>
      </c>
      <c r="D130" s="92">
        <f t="shared" si="4"/>
        <v>2525.7636599714529</v>
      </c>
      <c r="E130" s="91">
        <f t="shared" si="5"/>
        <v>139.46058921267698</v>
      </c>
      <c r="F130" s="91">
        <f t="shared" si="6"/>
        <v>2386.3030707587759</v>
      </c>
      <c r="G130" s="91">
        <f t="shared" si="7"/>
        <v>49106.837561614266</v>
      </c>
    </row>
    <row r="131" spans="3:7">
      <c r="C131" s="85">
        <v>113</v>
      </c>
      <c r="D131" s="92">
        <f t="shared" si="4"/>
        <v>2525.7636599714529</v>
      </c>
      <c r="E131" s="91">
        <f t="shared" si="5"/>
        <v>132.9976850627053</v>
      </c>
      <c r="F131" s="91">
        <f t="shared" si="6"/>
        <v>2392.7659749087475</v>
      </c>
      <c r="G131" s="91">
        <f t="shared" si="7"/>
        <v>46714.071586705519</v>
      </c>
    </row>
    <row r="132" spans="3:7">
      <c r="C132" s="85">
        <v>114</v>
      </c>
      <c r="D132" s="92">
        <f t="shared" si="4"/>
        <v>2525.7636599714529</v>
      </c>
      <c r="E132" s="91">
        <f t="shared" si="5"/>
        <v>126.51727721399412</v>
      </c>
      <c r="F132" s="91">
        <f t="shared" si="6"/>
        <v>2399.2463827574588</v>
      </c>
      <c r="G132" s="91">
        <f t="shared" si="7"/>
        <v>44314.825203948058</v>
      </c>
    </row>
    <row r="133" spans="3:7">
      <c r="C133" s="85">
        <v>115</v>
      </c>
      <c r="D133" s="92">
        <f t="shared" si="4"/>
        <v>2525.7636599714529</v>
      </c>
      <c r="E133" s="91">
        <f t="shared" si="5"/>
        <v>120.01931826069266</v>
      </c>
      <c r="F133" s="91">
        <f t="shared" si="6"/>
        <v>2405.7443417107602</v>
      </c>
      <c r="G133" s="91">
        <f t="shared" si="7"/>
        <v>41909.080862237301</v>
      </c>
    </row>
    <row r="134" spans="3:7">
      <c r="C134" s="85">
        <v>116</v>
      </c>
      <c r="D134" s="92">
        <f t="shared" si="4"/>
        <v>2525.7636599714529</v>
      </c>
      <c r="E134" s="91">
        <f t="shared" si="5"/>
        <v>113.50376066855937</v>
      </c>
      <c r="F134" s="91">
        <f t="shared" si="6"/>
        <v>2412.2598993028937</v>
      </c>
      <c r="G134" s="91">
        <f t="shared" si="7"/>
        <v>39496.820962934406</v>
      </c>
    </row>
    <row r="135" spans="3:7">
      <c r="C135" s="85">
        <v>117</v>
      </c>
      <c r="D135" s="92">
        <f t="shared" si="4"/>
        <v>2525.7636599714529</v>
      </c>
      <c r="E135" s="91">
        <f t="shared" si="5"/>
        <v>106.97055677461402</v>
      </c>
      <c r="F135" s="91">
        <f t="shared" si="6"/>
        <v>2418.7931031968387</v>
      </c>
      <c r="G135" s="91">
        <f t="shared" si="7"/>
        <v>37078.027859737565</v>
      </c>
    </row>
    <row r="136" spans="3:7">
      <c r="C136" s="85">
        <v>118</v>
      </c>
      <c r="D136" s="92">
        <f t="shared" si="4"/>
        <v>2525.7636599714529</v>
      </c>
      <c r="E136" s="91">
        <f t="shared" si="5"/>
        <v>100.41965878678924</v>
      </c>
      <c r="F136" s="91">
        <f t="shared" si="6"/>
        <v>2425.3440011846637</v>
      </c>
      <c r="G136" s="91">
        <f t="shared" si="7"/>
        <v>34652.683858552904</v>
      </c>
    </row>
    <row r="137" spans="3:7">
      <c r="C137" s="85">
        <v>119</v>
      </c>
      <c r="D137" s="92">
        <f t="shared" si="4"/>
        <v>2525.7636599714529</v>
      </c>
      <c r="E137" s="91">
        <f t="shared" si="5"/>
        <v>93.851018783580784</v>
      </c>
      <c r="F137" s="91">
        <f t="shared" si="6"/>
        <v>2431.9126411878719</v>
      </c>
      <c r="G137" s="91">
        <f t="shared" si="7"/>
        <v>32220.771217365032</v>
      </c>
    </row>
    <row r="138" spans="3:7">
      <c r="C138" s="85">
        <v>120</v>
      </c>
      <c r="D138" s="92">
        <f t="shared" si="4"/>
        <v>2525.7636599714529</v>
      </c>
      <c r="E138" s="91">
        <f t="shared" si="5"/>
        <v>87.264588713696966</v>
      </c>
      <c r="F138" s="91">
        <f t="shared" si="6"/>
        <v>2438.499071257756</v>
      </c>
      <c r="G138" s="91">
        <f t="shared" si="7"/>
        <v>29782.272146107276</v>
      </c>
    </row>
    <row r="139" spans="3:7">
      <c r="C139" s="85">
        <v>121</v>
      </c>
      <c r="D139" s="92">
        <f t="shared" si="4"/>
        <v>2525.7636599714529</v>
      </c>
      <c r="E139" s="91">
        <f t="shared" si="5"/>
        <v>80.660320395707203</v>
      </c>
      <c r="F139" s="91">
        <f t="shared" si="6"/>
        <v>2445.1033395757458</v>
      </c>
      <c r="G139" s="91">
        <f t="shared" si="7"/>
        <v>27337.168806531532</v>
      </c>
    </row>
    <row r="140" spans="3:7">
      <c r="C140" s="85">
        <v>122</v>
      </c>
      <c r="D140" s="92">
        <f t="shared" si="4"/>
        <v>2525.7636599714529</v>
      </c>
      <c r="E140" s="91">
        <f t="shared" si="5"/>
        <v>74.038165517689563</v>
      </c>
      <c r="F140" s="91">
        <f t="shared" si="6"/>
        <v>2451.7254944537631</v>
      </c>
      <c r="G140" s="91">
        <f t="shared" si="7"/>
        <v>24885.443312077768</v>
      </c>
    </row>
    <row r="141" spans="3:7">
      <c r="C141" s="85">
        <v>123</v>
      </c>
      <c r="D141" s="92">
        <f t="shared" si="4"/>
        <v>2525.7636599714529</v>
      </c>
      <c r="E141" s="91">
        <f t="shared" si="5"/>
        <v>67.398075636877294</v>
      </c>
      <c r="F141" s="91">
        <f t="shared" si="6"/>
        <v>2458.3655843345755</v>
      </c>
      <c r="G141" s="91">
        <f t="shared" si="7"/>
        <v>22427.077727743192</v>
      </c>
    </row>
    <row r="142" spans="3:7">
      <c r="C142" s="85">
        <v>124</v>
      </c>
      <c r="D142" s="92">
        <f t="shared" si="4"/>
        <v>2525.7636599714529</v>
      </c>
      <c r="E142" s="91">
        <f t="shared" si="5"/>
        <v>60.740002179304483</v>
      </c>
      <c r="F142" s="91">
        <f t="shared" si="6"/>
        <v>2465.0236577921482</v>
      </c>
      <c r="G142" s="91">
        <f t="shared" si="7"/>
        <v>19962.054069951042</v>
      </c>
    </row>
    <row r="143" spans="3:7">
      <c r="C143" s="85">
        <v>125</v>
      </c>
      <c r="D143" s="92">
        <f t="shared" si="4"/>
        <v>2525.7636599714529</v>
      </c>
      <c r="E143" s="91">
        <f t="shared" si="5"/>
        <v>54.063896439450744</v>
      </c>
      <c r="F143" s="91">
        <f t="shared" si="6"/>
        <v>2471.6997635320022</v>
      </c>
      <c r="G143" s="91">
        <f t="shared" si="7"/>
        <v>17490.354306419038</v>
      </c>
    </row>
    <row r="144" spans="3:7">
      <c r="C144" s="85">
        <v>126</v>
      </c>
      <c r="D144" s="92">
        <f t="shared" si="4"/>
        <v>2525.7636599714529</v>
      </c>
      <c r="E144" s="91">
        <f t="shared" si="5"/>
        <v>47.369709579884898</v>
      </c>
      <c r="F144" s="91">
        <f t="shared" si="6"/>
        <v>2478.3939503915681</v>
      </c>
      <c r="G144" s="91">
        <f t="shared" si="7"/>
        <v>15011.96035602747</v>
      </c>
    </row>
    <row r="145" spans="2:7">
      <c r="C145" s="85">
        <v>127</v>
      </c>
      <c r="D145" s="92">
        <f t="shared" si="4"/>
        <v>2525.7636599714529</v>
      </c>
      <c r="E145" s="91">
        <f t="shared" si="5"/>
        <v>40.657392630907729</v>
      </c>
      <c r="F145" s="91">
        <f t="shared" si="6"/>
        <v>2485.1062673405449</v>
      </c>
      <c r="G145" s="91">
        <f t="shared" si="7"/>
        <v>12526.854088686925</v>
      </c>
    </row>
    <row r="146" spans="2:7">
      <c r="C146" s="85">
        <v>128</v>
      </c>
      <c r="D146" s="92">
        <f t="shared" si="4"/>
        <v>2525.7636599714529</v>
      </c>
      <c r="E146" s="91">
        <f t="shared" si="5"/>
        <v>33.926896490193755</v>
      </c>
      <c r="F146" s="91">
        <f t="shared" si="6"/>
        <v>2491.8367634812589</v>
      </c>
      <c r="G146" s="91">
        <f t="shared" si="7"/>
        <v>10035.017325205667</v>
      </c>
    </row>
    <row r="147" spans="2:7">
      <c r="C147" s="85">
        <v>129</v>
      </c>
      <c r="D147" s="92">
        <f t="shared" si="4"/>
        <v>2525.7636599714529</v>
      </c>
      <c r="E147" s="91">
        <f t="shared" si="5"/>
        <v>27.178171922432014</v>
      </c>
      <c r="F147" s="91">
        <f t="shared" si="6"/>
        <v>2498.585488049021</v>
      </c>
      <c r="G147" s="91">
        <f t="shared" si="7"/>
        <v>7536.431837156646</v>
      </c>
    </row>
    <row r="148" spans="2:7">
      <c r="C148" s="85">
        <v>130</v>
      </c>
      <c r="D148" s="92">
        <f t="shared" si="4"/>
        <v>2525.7636599714529</v>
      </c>
      <c r="E148" s="91">
        <f t="shared" si="5"/>
        <v>20.411169558965916</v>
      </c>
      <c r="F148" s="91">
        <f t="shared" si="6"/>
        <v>2505.352490412487</v>
      </c>
      <c r="G148" s="91">
        <f t="shared" si="7"/>
        <v>5031.079346744159</v>
      </c>
    </row>
    <row r="149" spans="2:7">
      <c r="C149" s="85">
        <v>131</v>
      </c>
      <c r="D149" s="92">
        <f t="shared" ref="D149:D150" si="8">$D$19</f>
        <v>2525.7636599714529</v>
      </c>
      <c r="E149" s="91">
        <f t="shared" ref="E149:E150" si="9">G148*$F$10</f>
        <v>13.625839897432098</v>
      </c>
      <c r="F149" s="91">
        <f t="shared" ref="F149:F150" si="10">D149-E149</f>
        <v>2512.137820074021</v>
      </c>
      <c r="G149" s="91">
        <f t="shared" ref="G149:G150" si="11">G148-F149</f>
        <v>2518.941526670138</v>
      </c>
    </row>
    <row r="150" spans="2:7">
      <c r="C150" s="85">
        <v>132</v>
      </c>
      <c r="D150" s="92">
        <f t="shared" si="8"/>
        <v>2525.7636599714529</v>
      </c>
      <c r="E150" s="91">
        <f t="shared" si="9"/>
        <v>6.8221333013982912</v>
      </c>
      <c r="F150" s="91">
        <f t="shared" si="10"/>
        <v>2518.9415266700544</v>
      </c>
      <c r="G150" s="91">
        <f t="shared" si="11"/>
        <v>8.3673512563109398E-11</v>
      </c>
    </row>
    <row r="151" spans="2:7">
      <c r="D151" s="85"/>
    </row>
    <row r="152" spans="2:7">
      <c r="D152" s="85"/>
    </row>
    <row r="153" spans="2:7">
      <c r="D153" s="85"/>
    </row>
    <row r="154" spans="2:7">
      <c r="D154" s="85"/>
    </row>
    <row r="155" spans="2:7">
      <c r="D155" s="85"/>
    </row>
    <row r="156" spans="2:7">
      <c r="D156" s="85"/>
    </row>
    <row r="157" spans="2:7">
      <c r="D157" s="85"/>
    </row>
    <row r="158" spans="2:7" s="89" customFormat="1" ht="15.5">
      <c r="B158" s="90"/>
    </row>
    <row r="159" spans="2:7">
      <c r="D159" s="85"/>
    </row>
    <row r="160" spans="2:7">
      <c r="C160" s="87"/>
      <c r="E160" s="88"/>
      <c r="F160" s="87"/>
    </row>
  </sheetData>
  <hyperlinks>
    <hyperlink ref="E1" location="SUMMARY!A1" display="SUMMARY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7"/>
  <dimension ref="A1:AE19"/>
  <sheetViews>
    <sheetView showGridLines="0" workbookViewId="0">
      <selection activeCell="D17" sqref="D17"/>
    </sheetView>
  </sheetViews>
  <sheetFormatPr defaultColWidth="10.6640625" defaultRowHeight="15.5"/>
  <cols>
    <col min="1" max="1" width="26.9140625" customWidth="1"/>
    <col min="2" max="2" width="11.6640625" bestFit="1" customWidth="1"/>
    <col min="3" max="4" width="9.1640625" bestFit="1" customWidth="1"/>
    <col min="5" max="5" width="9.6640625" bestFit="1" customWidth="1"/>
    <col min="6" max="27" width="9.1640625" bestFit="1" customWidth="1"/>
    <col min="28" max="31" width="8.1640625" bestFit="1" customWidth="1"/>
  </cols>
  <sheetData>
    <row r="1" spans="1:31">
      <c r="A1" s="131" t="s">
        <v>46</v>
      </c>
      <c r="B1" s="132">
        <v>300000</v>
      </c>
      <c r="E1" s="106" t="s">
        <v>107</v>
      </c>
      <c r="G1" s="4"/>
    </row>
    <row r="2" spans="1:31">
      <c r="A2" s="131" t="s">
        <v>63</v>
      </c>
      <c r="B2" s="133">
        <v>0.08</v>
      </c>
      <c r="C2" s="1"/>
      <c r="G2" s="4"/>
    </row>
    <row r="3" spans="1:31">
      <c r="A3" s="131" t="s">
        <v>35</v>
      </c>
      <c r="B3" s="131">
        <v>30</v>
      </c>
      <c r="G3" s="4"/>
    </row>
    <row r="4" spans="1:31">
      <c r="B4" s="1"/>
      <c r="G4" s="4"/>
    </row>
    <row r="5" spans="1:31">
      <c r="A5" s="44" t="s">
        <v>23</v>
      </c>
      <c r="B5" s="1"/>
      <c r="G5" s="4"/>
    </row>
    <row r="6" spans="1:31">
      <c r="A6" t="s">
        <v>154</v>
      </c>
      <c r="B6" s="134">
        <f>PMT(B2,B3,-B1)</f>
        <v>26648.230016181689</v>
      </c>
      <c r="G6" s="4"/>
    </row>
    <row r="7" spans="1:31">
      <c r="G7" s="4"/>
    </row>
    <row r="8" spans="1:31">
      <c r="G8" s="4"/>
    </row>
    <row r="9" spans="1:31">
      <c r="A9" s="5" t="s">
        <v>9</v>
      </c>
      <c r="B9" s="5">
        <v>1</v>
      </c>
      <c r="C9" s="5">
        <v>2</v>
      </c>
      <c r="D9" s="5">
        <v>3</v>
      </c>
      <c r="E9" s="5">
        <v>4</v>
      </c>
      <c r="F9" s="5">
        <v>5</v>
      </c>
      <c r="G9" s="5">
        <v>6</v>
      </c>
      <c r="H9" s="5">
        <v>7</v>
      </c>
      <c r="I9" s="5">
        <v>8</v>
      </c>
      <c r="J9" s="5">
        <v>9</v>
      </c>
      <c r="K9" s="5">
        <v>10</v>
      </c>
      <c r="L9" s="5">
        <v>11</v>
      </c>
      <c r="M9" s="5">
        <v>12</v>
      </c>
      <c r="N9" s="5">
        <v>13</v>
      </c>
      <c r="O9" s="5">
        <v>14</v>
      </c>
      <c r="P9" s="5">
        <v>15</v>
      </c>
      <c r="Q9" s="5">
        <v>16</v>
      </c>
      <c r="R9" s="5">
        <v>17</v>
      </c>
      <c r="S9" s="5">
        <v>18</v>
      </c>
      <c r="T9" s="5">
        <v>19</v>
      </c>
      <c r="U9" s="5">
        <v>20</v>
      </c>
      <c r="V9" s="5">
        <v>21</v>
      </c>
      <c r="W9" s="5">
        <v>22</v>
      </c>
      <c r="X9" s="5">
        <v>23</v>
      </c>
      <c r="Y9" s="5">
        <v>24</v>
      </c>
      <c r="Z9" s="5">
        <v>25</v>
      </c>
      <c r="AA9" s="5">
        <v>26</v>
      </c>
      <c r="AB9" s="5">
        <v>27</v>
      </c>
      <c r="AC9" s="5">
        <v>28</v>
      </c>
      <c r="AD9" s="5">
        <v>29</v>
      </c>
      <c r="AE9" s="5">
        <v>30</v>
      </c>
    </row>
    <row r="10" spans="1:31">
      <c r="A10" s="5" t="s">
        <v>20</v>
      </c>
      <c r="B10" s="135">
        <f>B1</f>
        <v>300000</v>
      </c>
      <c r="C10" s="135">
        <f>B10-B13</f>
        <v>297351.76998381829</v>
      </c>
      <c r="D10" s="135">
        <f t="shared" ref="D10:AE10" si="0">C10-C13</f>
        <v>294491.68156634207</v>
      </c>
      <c r="E10" s="135">
        <f t="shared" si="0"/>
        <v>291402.78607546777</v>
      </c>
      <c r="F10" s="135">
        <f t="shared" si="0"/>
        <v>288066.77894532349</v>
      </c>
      <c r="G10" s="135">
        <f t="shared" si="0"/>
        <v>284463.8912447677</v>
      </c>
      <c r="H10" s="135">
        <f t="shared" si="0"/>
        <v>280572.77252816741</v>
      </c>
      <c r="I10" s="135">
        <f t="shared" si="0"/>
        <v>276370.36431423912</v>
      </c>
      <c r="J10" s="135">
        <f t="shared" si="0"/>
        <v>271831.76344319654</v>
      </c>
      <c r="K10" s="135">
        <f t="shared" si="0"/>
        <v>266930.07450247055</v>
      </c>
      <c r="L10" s="135">
        <f t="shared" si="0"/>
        <v>261636.25044648652</v>
      </c>
      <c r="M10" s="135">
        <f t="shared" si="0"/>
        <v>255918.92046602376</v>
      </c>
      <c r="N10" s="135">
        <f t="shared" si="0"/>
        <v>249744.20408712397</v>
      </c>
      <c r="O10" s="135">
        <f t="shared" si="0"/>
        <v>243075.51039791221</v>
      </c>
      <c r="P10" s="135">
        <f t="shared" si="0"/>
        <v>235873.3212135635</v>
      </c>
      <c r="Q10" s="135">
        <f t="shared" si="0"/>
        <v>228094.95689446689</v>
      </c>
      <c r="R10" s="135">
        <f t="shared" si="0"/>
        <v>219694.32342984254</v>
      </c>
      <c r="S10" s="135">
        <f t="shared" si="0"/>
        <v>210621.63928804826</v>
      </c>
      <c r="T10" s="135">
        <f t="shared" si="0"/>
        <v>200823.14041491042</v>
      </c>
      <c r="U10" s="135">
        <f t="shared" si="0"/>
        <v>190240.76163192157</v>
      </c>
      <c r="V10" s="135">
        <f t="shared" si="0"/>
        <v>178811.79254629361</v>
      </c>
      <c r="W10" s="135">
        <f t="shared" si="0"/>
        <v>166468.50593381541</v>
      </c>
      <c r="X10" s="135">
        <f t="shared" si="0"/>
        <v>153137.75639233895</v>
      </c>
      <c r="Y10" s="135">
        <f t="shared" si="0"/>
        <v>138740.54688754439</v>
      </c>
      <c r="Z10" s="135">
        <f t="shared" si="0"/>
        <v>123191.56062236625</v>
      </c>
      <c r="AA10" s="135">
        <f t="shared" si="0"/>
        <v>106398.65545597386</v>
      </c>
      <c r="AB10" s="135">
        <f t="shared" si="0"/>
        <v>88262.31787627007</v>
      </c>
      <c r="AC10" s="135">
        <f t="shared" si="0"/>
        <v>68675.07329018999</v>
      </c>
      <c r="AD10" s="135">
        <f t="shared" si="0"/>
        <v>47520.8491372235</v>
      </c>
      <c r="AE10" s="135">
        <f t="shared" si="0"/>
        <v>24674.287052019692</v>
      </c>
    </row>
    <row r="11" spans="1:31">
      <c r="A11" s="5" t="s">
        <v>17</v>
      </c>
      <c r="B11" s="135">
        <f>$B$6</f>
        <v>26648.230016181689</v>
      </c>
      <c r="C11" s="135">
        <f>$B$6</f>
        <v>26648.230016181689</v>
      </c>
      <c r="D11" s="135">
        <f t="shared" ref="D11:AE11" si="1">$B$6</f>
        <v>26648.230016181689</v>
      </c>
      <c r="E11" s="135">
        <f t="shared" si="1"/>
        <v>26648.230016181689</v>
      </c>
      <c r="F11" s="135">
        <f t="shared" si="1"/>
        <v>26648.230016181689</v>
      </c>
      <c r="G11" s="135">
        <f t="shared" si="1"/>
        <v>26648.230016181689</v>
      </c>
      <c r="H11" s="135">
        <f t="shared" si="1"/>
        <v>26648.230016181689</v>
      </c>
      <c r="I11" s="135">
        <f t="shared" si="1"/>
        <v>26648.230016181689</v>
      </c>
      <c r="J11" s="135">
        <f t="shared" si="1"/>
        <v>26648.230016181689</v>
      </c>
      <c r="K11" s="135">
        <f t="shared" si="1"/>
        <v>26648.230016181689</v>
      </c>
      <c r="L11" s="135">
        <f t="shared" si="1"/>
        <v>26648.230016181689</v>
      </c>
      <c r="M11" s="135">
        <f t="shared" si="1"/>
        <v>26648.230016181689</v>
      </c>
      <c r="N11" s="135">
        <f t="shared" si="1"/>
        <v>26648.230016181689</v>
      </c>
      <c r="O11" s="135">
        <f t="shared" si="1"/>
        <v>26648.230016181689</v>
      </c>
      <c r="P11" s="135">
        <f t="shared" si="1"/>
        <v>26648.230016181689</v>
      </c>
      <c r="Q11" s="135">
        <f t="shared" si="1"/>
        <v>26648.230016181689</v>
      </c>
      <c r="R11" s="135">
        <f t="shared" si="1"/>
        <v>26648.230016181689</v>
      </c>
      <c r="S11" s="135">
        <f t="shared" si="1"/>
        <v>26648.230016181689</v>
      </c>
      <c r="T11" s="135">
        <f t="shared" si="1"/>
        <v>26648.230016181689</v>
      </c>
      <c r="U11" s="135">
        <f t="shared" si="1"/>
        <v>26648.230016181689</v>
      </c>
      <c r="V11" s="135">
        <f t="shared" si="1"/>
        <v>26648.230016181689</v>
      </c>
      <c r="W11" s="135">
        <f t="shared" si="1"/>
        <v>26648.230016181689</v>
      </c>
      <c r="X11" s="135">
        <f t="shared" si="1"/>
        <v>26648.230016181689</v>
      </c>
      <c r="Y11" s="135">
        <f t="shared" si="1"/>
        <v>26648.230016181689</v>
      </c>
      <c r="Z11" s="135">
        <f t="shared" si="1"/>
        <v>26648.230016181689</v>
      </c>
      <c r="AA11" s="135">
        <f t="shared" si="1"/>
        <v>26648.230016181689</v>
      </c>
      <c r="AB11" s="135">
        <f t="shared" si="1"/>
        <v>26648.230016181689</v>
      </c>
      <c r="AC11" s="135">
        <f t="shared" si="1"/>
        <v>26648.230016181689</v>
      </c>
      <c r="AD11" s="135">
        <f t="shared" si="1"/>
        <v>26648.230016181689</v>
      </c>
      <c r="AE11" s="135">
        <f t="shared" si="1"/>
        <v>26648.230016181689</v>
      </c>
    </row>
    <row r="12" spans="1:31">
      <c r="A12" s="5" t="s">
        <v>88</v>
      </c>
      <c r="B12" s="135">
        <f>$B$2*B10</f>
        <v>24000</v>
      </c>
      <c r="C12" s="135">
        <f>$B$2*C10</f>
        <v>23788.141598705464</v>
      </c>
      <c r="D12" s="135">
        <f>$B$2*D10</f>
        <v>23559.334525307368</v>
      </c>
      <c r="E12" s="135">
        <f t="shared" ref="E12:AE12" si="2">$B$2*E10</f>
        <v>23312.222886037423</v>
      </c>
      <c r="F12" s="135">
        <f t="shared" si="2"/>
        <v>23045.34231562588</v>
      </c>
      <c r="G12" s="135">
        <f t="shared" si="2"/>
        <v>22757.111299581415</v>
      </c>
      <c r="H12" s="135">
        <f t="shared" si="2"/>
        <v>22445.821802253395</v>
      </c>
      <c r="I12" s="135">
        <f t="shared" si="2"/>
        <v>22109.62914513913</v>
      </c>
      <c r="J12" s="135">
        <f t="shared" si="2"/>
        <v>21746.541075455723</v>
      </c>
      <c r="K12" s="135">
        <f t="shared" si="2"/>
        <v>21354.405960197644</v>
      </c>
      <c r="L12" s="135">
        <f t="shared" si="2"/>
        <v>20930.900035718922</v>
      </c>
      <c r="M12" s="135">
        <f t="shared" si="2"/>
        <v>20473.5136372819</v>
      </c>
      <c r="N12" s="135">
        <f t="shared" si="2"/>
        <v>19979.536326969919</v>
      </c>
      <c r="O12" s="135">
        <f t="shared" si="2"/>
        <v>19446.040831832976</v>
      </c>
      <c r="P12" s="135">
        <f t="shared" si="2"/>
        <v>18869.865697085079</v>
      </c>
      <c r="Q12" s="135">
        <f t="shared" si="2"/>
        <v>18247.596551557352</v>
      </c>
      <c r="R12" s="135">
        <f t="shared" si="2"/>
        <v>17575.545874387404</v>
      </c>
      <c r="S12" s="135">
        <f t="shared" si="2"/>
        <v>16849.73114304386</v>
      </c>
      <c r="T12" s="135">
        <f t="shared" si="2"/>
        <v>16065.851233192834</v>
      </c>
      <c r="U12" s="135">
        <f t="shared" si="2"/>
        <v>15219.260930553726</v>
      </c>
      <c r="V12" s="135">
        <f t="shared" si="2"/>
        <v>14304.94340370349</v>
      </c>
      <c r="W12" s="135">
        <f t="shared" si="2"/>
        <v>13317.480474705233</v>
      </c>
      <c r="X12" s="135">
        <f t="shared" si="2"/>
        <v>12251.020511387116</v>
      </c>
      <c r="Y12" s="135">
        <f t="shared" si="2"/>
        <v>11099.243751003551</v>
      </c>
      <c r="Z12" s="135">
        <f t="shared" si="2"/>
        <v>9855.3248497893001</v>
      </c>
      <c r="AA12" s="135">
        <f t="shared" si="2"/>
        <v>8511.8924364779086</v>
      </c>
      <c r="AB12" s="135">
        <f t="shared" si="2"/>
        <v>7060.9854301016057</v>
      </c>
      <c r="AC12" s="135">
        <f t="shared" si="2"/>
        <v>5494.0058632151995</v>
      </c>
      <c r="AD12" s="135">
        <f t="shared" si="2"/>
        <v>3801.6679309778801</v>
      </c>
      <c r="AE12" s="135">
        <f t="shared" si="2"/>
        <v>1973.9429641615754</v>
      </c>
    </row>
    <row r="13" spans="1:31">
      <c r="A13" s="5" t="s">
        <v>21</v>
      </c>
      <c r="B13" s="135">
        <f>B11-B12</f>
        <v>2648.2300161816893</v>
      </c>
      <c r="C13" s="135">
        <f>C11-C12</f>
        <v>2860.088417476225</v>
      </c>
      <c r="D13" s="135">
        <f t="shared" ref="D13:AE13" si="3">D11-D12</f>
        <v>3088.8954908743217</v>
      </c>
      <c r="E13" s="135">
        <f t="shared" si="3"/>
        <v>3336.0071301442658</v>
      </c>
      <c r="F13" s="135">
        <f t="shared" si="3"/>
        <v>3602.8877005558097</v>
      </c>
      <c r="G13" s="135">
        <f t="shared" si="3"/>
        <v>3891.1187166002746</v>
      </c>
      <c r="H13" s="135">
        <f t="shared" si="3"/>
        <v>4202.4082139282946</v>
      </c>
      <c r="I13" s="135">
        <f t="shared" si="3"/>
        <v>4538.6008710425594</v>
      </c>
      <c r="J13" s="135">
        <f t="shared" si="3"/>
        <v>4901.6889407259659</v>
      </c>
      <c r="K13" s="135">
        <f t="shared" si="3"/>
        <v>5293.8240559840451</v>
      </c>
      <c r="L13" s="135">
        <f t="shared" si="3"/>
        <v>5717.3299804627677</v>
      </c>
      <c r="M13" s="135">
        <f t="shared" si="3"/>
        <v>6174.7163788997896</v>
      </c>
      <c r="N13" s="135">
        <f t="shared" si="3"/>
        <v>6668.6936892117701</v>
      </c>
      <c r="O13" s="135">
        <f t="shared" si="3"/>
        <v>7202.1891843487138</v>
      </c>
      <c r="P13" s="135">
        <f t="shared" si="3"/>
        <v>7778.3643190966104</v>
      </c>
      <c r="Q13" s="135">
        <f t="shared" si="3"/>
        <v>8400.6334646243376</v>
      </c>
      <c r="R13" s="135">
        <f t="shared" si="3"/>
        <v>9072.6841417942851</v>
      </c>
      <c r="S13" s="135">
        <f t="shared" si="3"/>
        <v>9798.4988731378289</v>
      </c>
      <c r="T13" s="135">
        <f t="shared" si="3"/>
        <v>10582.378782988855</v>
      </c>
      <c r="U13" s="135">
        <f t="shared" si="3"/>
        <v>11428.969085627963</v>
      </c>
      <c r="V13" s="135">
        <f t="shared" si="3"/>
        <v>12343.286612478199</v>
      </c>
      <c r="W13" s="135">
        <f t="shared" si="3"/>
        <v>13330.749541476456</v>
      </c>
      <c r="X13" s="135">
        <f t="shared" si="3"/>
        <v>14397.209504794573</v>
      </c>
      <c r="Y13" s="135">
        <f t="shared" si="3"/>
        <v>15548.986265178139</v>
      </c>
      <c r="Z13" s="135">
        <f t="shared" si="3"/>
        <v>16792.905166392389</v>
      </c>
      <c r="AA13" s="135">
        <f t="shared" si="3"/>
        <v>18136.337579703781</v>
      </c>
      <c r="AB13" s="135">
        <f t="shared" si="3"/>
        <v>19587.244586080084</v>
      </c>
      <c r="AC13" s="135">
        <f t="shared" si="3"/>
        <v>21154.22415296649</v>
      </c>
      <c r="AD13" s="135">
        <f t="shared" si="3"/>
        <v>22846.562085203808</v>
      </c>
      <c r="AE13" s="135">
        <f t="shared" si="3"/>
        <v>24674.287052020114</v>
      </c>
    </row>
    <row r="15" spans="1:31">
      <c r="A15" s="44" t="s">
        <v>153</v>
      </c>
      <c r="B15" s="125">
        <f>B6</f>
        <v>26648.230016181689</v>
      </c>
      <c r="C15" s="114">
        <v>10</v>
      </c>
      <c r="D15" s="114">
        <v>11</v>
      </c>
      <c r="E15" s="114">
        <v>12</v>
      </c>
      <c r="F15" s="114">
        <v>13</v>
      </c>
      <c r="G15" s="114">
        <v>14</v>
      </c>
      <c r="H15" s="114">
        <v>15</v>
      </c>
      <c r="I15" s="114">
        <v>16</v>
      </c>
      <c r="J15" s="114">
        <v>17</v>
      </c>
      <c r="K15" s="114">
        <v>18</v>
      </c>
      <c r="L15" s="114">
        <v>19</v>
      </c>
      <c r="M15" s="114">
        <v>20</v>
      </c>
    </row>
    <row r="16" spans="1:31">
      <c r="B16" s="115">
        <v>7.0000000000000007E-2</v>
      </c>
      <c r="C16" s="113">
        <f t="dataTable" ref="C16:M19" dt2D="1" dtr="1" r1="B3" r2="B2"/>
        <v>42713.250818209424</v>
      </c>
      <c r="D16" s="113">
        <v>40007.071450873467</v>
      </c>
      <c r="E16" s="113">
        <v>37770.59659650614</v>
      </c>
      <c r="F16" s="113">
        <v>35895.254440877186</v>
      </c>
      <c r="G16" s="113">
        <v>34303.481585952839</v>
      </c>
      <c r="H16" s="113">
        <v>32938.387410301963</v>
      </c>
      <c r="I16" s="113">
        <v>31757.294317872842</v>
      </c>
      <c r="J16" s="113">
        <v>30727.557918499675</v>
      </c>
      <c r="K16" s="113">
        <v>29823.780497508604</v>
      </c>
      <c r="L16" s="113">
        <v>29025.904454977819</v>
      </c>
      <c r="M16" s="113">
        <v>28317.877722976707</v>
      </c>
    </row>
    <row r="17" spans="2:13">
      <c r="B17" s="115">
        <v>0.08</v>
      </c>
      <c r="C17" s="113">
        <v>44708.846609122622</v>
      </c>
      <c r="D17" s="113">
        <v>42022.902643347392</v>
      </c>
      <c r="E17" s="113">
        <v>39808.505077340866</v>
      </c>
      <c r="F17" s="113">
        <v>37956.541558966717</v>
      </c>
      <c r="G17" s="113">
        <v>36389.055848352247</v>
      </c>
      <c r="H17" s="113">
        <v>35048.863480806009</v>
      </c>
      <c r="I17" s="113">
        <v>33893.061596466781</v>
      </c>
      <c r="J17" s="113">
        <v>32888.829449612742</v>
      </c>
      <c r="K17" s="113">
        <v>32010.628771451327</v>
      </c>
      <c r="L17" s="113">
        <v>31238.288244951636</v>
      </c>
      <c r="M17" s="113">
        <v>30555.662646945184</v>
      </c>
    </row>
    <row r="18" spans="2:13">
      <c r="B18" s="115">
        <v>0.09</v>
      </c>
      <c r="C18" s="113">
        <v>46746.026972710133</v>
      </c>
      <c r="D18" s="113">
        <v>44083.997020906776</v>
      </c>
      <c r="E18" s="113">
        <v>41895.197540851113</v>
      </c>
      <c r="F18" s="113">
        <v>40069.96791530367</v>
      </c>
      <c r="G18" s="113">
        <v>38529.951905566806</v>
      </c>
      <c r="H18" s="113">
        <v>37217.664795093027</v>
      </c>
      <c r="I18" s="113">
        <v>36089.972912274643</v>
      </c>
      <c r="J18" s="113">
        <v>35113.874537977325</v>
      </c>
      <c r="K18" s="113">
        <v>34263.687201101973</v>
      </c>
      <c r="L18" s="113">
        <v>33519.123206522825</v>
      </c>
      <c r="M18" s="113">
        <v>32863.942502468766</v>
      </c>
    </row>
    <row r="19" spans="2:13">
      <c r="B19" s="115">
        <v>0.1</v>
      </c>
      <c r="C19" s="113">
        <v>48823.61846475349</v>
      </c>
      <c r="D19" s="113">
        <v>46188.942607384401</v>
      </c>
      <c r="E19" s="113">
        <v>44028.994530086202</v>
      </c>
      <c r="F19" s="113">
        <v>42233.55713019066</v>
      </c>
      <c r="G19" s="113">
        <v>40723.866969191018</v>
      </c>
      <c r="H19" s="113">
        <v>39442.133066211674</v>
      </c>
      <c r="I19" s="113">
        <v>38344.986210980955</v>
      </c>
      <c r="J19" s="113">
        <v>37399.240317789692</v>
      </c>
      <c r="K19" s="113">
        <v>36579.066666676983</v>
      </c>
      <c r="L19" s="113">
        <v>35864.060470396762</v>
      </c>
      <c r="M19" s="113">
        <v>35237.887431763738</v>
      </c>
    </row>
  </sheetData>
  <scenarios current="0">
    <scenario name="H1" locked="1" count="1" user="CHIKH Sabrina" comment="Créé par CHIKH Sabrina le 16/09/2018">
      <inputCells r="B2" val="" numFmtId="10"/>
    </scenario>
  </scenarios>
  <hyperlinks>
    <hyperlink ref="E1" location="SUMMARY!A1" display="SUMMARY" xr:uid="{00000000-0004-0000-0B00-000000000000}"/>
  </hyperlink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13"/>
  <dimension ref="A1:M1"/>
  <sheetViews>
    <sheetView workbookViewId="0">
      <selection activeCell="H1" sqref="H1"/>
    </sheetView>
  </sheetViews>
  <sheetFormatPr defaultColWidth="10.6640625" defaultRowHeight="15.5"/>
  <sheetData>
    <row r="1" spans="1:13">
      <c r="A1" s="44" t="s">
        <v>114</v>
      </c>
      <c r="H1" s="112" t="s">
        <v>115</v>
      </c>
      <c r="M1" s="106" t="s">
        <v>107</v>
      </c>
    </row>
  </sheetData>
  <hyperlinks>
    <hyperlink ref="M1" location="SUMMARY!A1" display="SUMMARY" xr:uid="{00000000-0004-0000-0D00-000000000000}"/>
    <hyperlink ref="H1" location="'LEASE Vs BUY 2 with help'!A1" display="Help!!!" xr:uid="{00000000-0004-0000-0D00-000001000000}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9"/>
  <dimension ref="A1:J30"/>
  <sheetViews>
    <sheetView showGridLines="0" topLeftCell="A10" workbookViewId="0">
      <selection activeCell="B28" sqref="B28"/>
    </sheetView>
  </sheetViews>
  <sheetFormatPr defaultColWidth="10.6640625" defaultRowHeight="15.5"/>
  <cols>
    <col min="1" max="1" width="29.83203125" bestFit="1" customWidth="1"/>
    <col min="2" max="2" width="15.08203125" bestFit="1" customWidth="1"/>
    <col min="3" max="3" width="12" bestFit="1" customWidth="1"/>
    <col min="4" max="4" width="11.58203125" bestFit="1" customWidth="1"/>
    <col min="5" max="7" width="12.58203125" bestFit="1" customWidth="1"/>
  </cols>
  <sheetData>
    <row r="1" spans="1:6">
      <c r="A1" s="10" t="s">
        <v>40</v>
      </c>
      <c r="D1" s="106" t="s">
        <v>107</v>
      </c>
    </row>
    <row r="2" spans="1:6">
      <c r="A2" s="131" t="s">
        <v>26</v>
      </c>
      <c r="B2" s="131">
        <v>5</v>
      </c>
    </row>
    <row r="3" spans="1:6">
      <c r="A3" s="136" t="s">
        <v>32</v>
      </c>
      <c r="B3" s="133">
        <v>0.06</v>
      </c>
      <c r="C3" s="9"/>
      <c r="D3" s="9"/>
      <c r="E3" s="2"/>
      <c r="F3" s="9"/>
    </row>
    <row r="4" spans="1:6">
      <c r="A4" s="136" t="s">
        <v>27</v>
      </c>
      <c r="B4" s="137">
        <v>4100</v>
      </c>
      <c r="C4" s="9"/>
      <c r="D4" s="9"/>
      <c r="E4" s="9"/>
      <c r="F4" s="9"/>
    </row>
    <row r="5" spans="1:6">
      <c r="A5" s="136" t="s">
        <v>29</v>
      </c>
      <c r="B5" s="137">
        <v>12600</v>
      </c>
      <c r="C5" s="9"/>
      <c r="D5" s="9"/>
      <c r="E5" s="9"/>
      <c r="F5" s="9"/>
    </row>
    <row r="6" spans="1:6">
      <c r="A6" s="136" t="s">
        <v>30</v>
      </c>
      <c r="B6" s="133">
        <v>0.4</v>
      </c>
      <c r="C6" s="9"/>
      <c r="D6" s="9"/>
      <c r="E6" s="9"/>
      <c r="F6" s="9"/>
    </row>
    <row r="7" spans="1:6">
      <c r="A7" s="136" t="s">
        <v>64</v>
      </c>
      <c r="B7" s="137">
        <v>45700</v>
      </c>
      <c r="C7" s="9"/>
      <c r="D7" s="9"/>
      <c r="E7" s="9"/>
      <c r="F7" s="9"/>
    </row>
    <row r="8" spans="1:6">
      <c r="A8" s="9"/>
      <c r="B8" s="2"/>
      <c r="C8" s="9"/>
      <c r="D8" s="9"/>
      <c r="E8" s="9"/>
      <c r="F8" s="9"/>
    </row>
    <row r="9" spans="1:6">
      <c r="A9" s="149" t="s">
        <v>65</v>
      </c>
      <c r="B9" s="9"/>
      <c r="C9" s="9"/>
      <c r="D9" s="9"/>
      <c r="E9" s="9"/>
      <c r="F9" s="9"/>
    </row>
    <row r="10" spans="1:6">
      <c r="A10" s="9" t="s">
        <v>66</v>
      </c>
      <c r="B10" s="138">
        <f>B3*(1-B6)</f>
        <v>3.5999999999999997E-2</v>
      </c>
      <c r="C10" s="9"/>
      <c r="D10" s="9"/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149" t="s">
        <v>128</v>
      </c>
      <c r="B12" s="9"/>
      <c r="C12" s="9"/>
      <c r="D12" s="9"/>
      <c r="E12" s="9"/>
      <c r="F12" s="9"/>
    </row>
    <row r="13" spans="1:6">
      <c r="A13" s="72" t="s">
        <v>9</v>
      </c>
      <c r="B13" s="73">
        <v>0</v>
      </c>
      <c r="C13" s="73">
        <v>1</v>
      </c>
      <c r="D13" s="73">
        <v>2</v>
      </c>
      <c r="E13" s="73">
        <v>3</v>
      </c>
      <c r="F13" s="73">
        <v>4</v>
      </c>
    </row>
    <row r="14" spans="1:6">
      <c r="A14" s="72" t="s">
        <v>89</v>
      </c>
      <c r="B14" s="129">
        <f>$B$4</f>
        <v>4100</v>
      </c>
      <c r="C14" s="129">
        <f t="shared" ref="C14:F14" si="0">$B$4</f>
        <v>4100</v>
      </c>
      <c r="D14" s="129">
        <f t="shared" si="0"/>
        <v>4100</v>
      </c>
      <c r="E14" s="129">
        <f t="shared" si="0"/>
        <v>4100</v>
      </c>
      <c r="F14" s="129">
        <f t="shared" si="0"/>
        <v>4100</v>
      </c>
    </row>
    <row r="15" spans="1:6">
      <c r="A15" s="72" t="s">
        <v>31</v>
      </c>
      <c r="B15" s="16"/>
      <c r="C15" s="16"/>
      <c r="D15" s="16"/>
      <c r="E15" s="16"/>
      <c r="F15" s="129">
        <f>B5</f>
        <v>12600</v>
      </c>
    </row>
    <row r="16" spans="1:6" ht="16" thickBot="1">
      <c r="A16" s="72" t="s">
        <v>112</v>
      </c>
      <c r="B16" s="141">
        <f>(B14+B15)*(1-$B$6)</f>
        <v>2460</v>
      </c>
      <c r="C16" s="125">
        <f>(C14+C15)*(1-$B$6)</f>
        <v>2460</v>
      </c>
      <c r="D16" s="125">
        <f t="shared" ref="D16:E16" si="1">(D14+D15)*(1-$B$6)</f>
        <v>2460</v>
      </c>
      <c r="E16" s="125">
        <f t="shared" si="1"/>
        <v>2460</v>
      </c>
      <c r="F16" s="125">
        <f>(F14+F15)*(1-$B$6)</f>
        <v>10020</v>
      </c>
    </row>
    <row r="17" spans="1:10" ht="16" thickBot="1">
      <c r="A17" s="9" t="s">
        <v>124</v>
      </c>
      <c r="B17" s="140">
        <f>+B16+NPV(B3,C16:F16)</f>
        <v>16972.387901320588</v>
      </c>
      <c r="C17" s="7"/>
      <c r="D17" s="7"/>
      <c r="E17" s="7"/>
      <c r="F17" s="7"/>
    </row>
    <row r="18" spans="1:10">
      <c r="A18" s="9"/>
      <c r="B18" s="9"/>
      <c r="C18" s="9"/>
      <c r="D18" s="9"/>
      <c r="E18" s="9"/>
      <c r="F18" s="9"/>
    </row>
    <row r="19" spans="1:10">
      <c r="A19" s="149" t="s">
        <v>67</v>
      </c>
      <c r="B19" s="9"/>
      <c r="C19" s="9"/>
      <c r="D19" s="9"/>
      <c r="E19" s="9"/>
      <c r="F19" s="9"/>
    </row>
    <row r="20" spans="1:10" ht="16" thickBot="1">
      <c r="A20" s="148" t="s">
        <v>9</v>
      </c>
      <c r="B20" s="73">
        <v>0</v>
      </c>
      <c r="C20" s="73">
        <v>1</v>
      </c>
      <c r="D20" s="73">
        <v>2</v>
      </c>
      <c r="E20" s="73">
        <v>3</v>
      </c>
      <c r="F20" s="73">
        <v>4</v>
      </c>
    </row>
    <row r="21" spans="1:10">
      <c r="A21" t="s">
        <v>20</v>
      </c>
      <c r="B21" s="132">
        <f>B7</f>
        <v>45700</v>
      </c>
      <c r="C21" s="139">
        <f>B21-B24</f>
        <v>37592.984500294631</v>
      </c>
      <c r="D21" s="139">
        <f t="shared" ref="D21:F21" si="2">C21-C24</f>
        <v>28999.548070606943</v>
      </c>
      <c r="E21" s="139">
        <f t="shared" si="2"/>
        <v>19890.505455137994</v>
      </c>
      <c r="F21" s="139">
        <f t="shared" si="2"/>
        <v>10234.920282740906</v>
      </c>
      <c r="G21" s="7"/>
    </row>
    <row r="22" spans="1:10">
      <c r="A22" t="s">
        <v>17</v>
      </c>
      <c r="B22" s="139">
        <f>PMT($B$3,$B$2,-$B$21)</f>
        <v>10849.015499705367</v>
      </c>
      <c r="C22" s="139">
        <f>PMT($B$3,$B$2,-$B$21)</f>
        <v>10849.015499705367</v>
      </c>
      <c r="D22" s="139">
        <f>PMT($B$3,$B$2,-$B$21)</f>
        <v>10849.015499705367</v>
      </c>
      <c r="E22" s="139">
        <f>PMT($B$3,$B$2,-$B$21)</f>
        <v>10849.015499705367</v>
      </c>
      <c r="F22" s="139">
        <f>PMT($B$3,$B$2,-$B$21)</f>
        <v>10849.015499705367</v>
      </c>
      <c r="G22" s="7"/>
    </row>
    <row r="23" spans="1:10">
      <c r="A23" t="s">
        <v>22</v>
      </c>
      <c r="B23" s="139">
        <f>$B$3*B21</f>
        <v>2742</v>
      </c>
      <c r="C23" s="139">
        <f t="shared" ref="C23:F23" si="3">$B$3*C21</f>
        <v>2255.5790700176776</v>
      </c>
      <c r="D23" s="139">
        <f t="shared" si="3"/>
        <v>1739.9728842364166</v>
      </c>
      <c r="E23" s="139">
        <f t="shared" si="3"/>
        <v>1193.4303273082796</v>
      </c>
      <c r="F23" s="139">
        <f t="shared" si="3"/>
        <v>614.09521696445438</v>
      </c>
      <c r="G23" s="7"/>
    </row>
    <row r="24" spans="1:10" ht="16" thickBot="1">
      <c r="A24" s="145" t="s">
        <v>21</v>
      </c>
      <c r="B24" s="142">
        <f>B22-B23</f>
        <v>8107.0154997053669</v>
      </c>
      <c r="C24" s="142">
        <f t="shared" ref="C24:F24" si="4">C22-C23</f>
        <v>8593.4364296876884</v>
      </c>
      <c r="D24" s="142">
        <f t="shared" si="4"/>
        <v>9109.0426154689503</v>
      </c>
      <c r="E24" s="142">
        <f t="shared" si="4"/>
        <v>9655.5851723970882</v>
      </c>
      <c r="F24" s="142">
        <f t="shared" si="4"/>
        <v>10234.920282740912</v>
      </c>
      <c r="G24" s="7"/>
    </row>
    <row r="25" spans="1:10" ht="16" thickBot="1">
      <c r="A25" s="146" t="s">
        <v>33</v>
      </c>
      <c r="B25" s="142">
        <f>$B$7/$B$2</f>
        <v>9140</v>
      </c>
      <c r="C25" s="142">
        <f t="shared" ref="C25:F25" si="5">$B$7/$B$2</f>
        <v>9140</v>
      </c>
      <c r="D25" s="142">
        <f t="shared" si="5"/>
        <v>9140</v>
      </c>
      <c r="E25" s="142">
        <f t="shared" si="5"/>
        <v>9140</v>
      </c>
      <c r="F25" s="142">
        <f t="shared" si="5"/>
        <v>9140</v>
      </c>
      <c r="G25" s="7"/>
    </row>
    <row r="26" spans="1:10" ht="16" thickBot="1">
      <c r="A26" s="147" t="s">
        <v>34</v>
      </c>
      <c r="B26" s="144">
        <f>(B25+B23)*$B$6</f>
        <v>4752.8</v>
      </c>
      <c r="C26" s="144">
        <f>(C25+C23)*$B$6</f>
        <v>4558.2316280070709</v>
      </c>
      <c r="D26" s="144">
        <f>(D25+D23)*$B$6</f>
        <v>4351.989153694567</v>
      </c>
      <c r="E26" s="144">
        <f>(E25+E23)*$B$6</f>
        <v>4133.3721309233124</v>
      </c>
      <c r="F26" s="144">
        <f>(F25+F23)*$B$6</f>
        <v>3901.6380867857824</v>
      </c>
      <c r="G26" s="11"/>
      <c r="I26" s="7"/>
      <c r="J26" s="7"/>
    </row>
    <row r="27" spans="1:10" ht="16" thickBot="1">
      <c r="A27" s="146" t="s">
        <v>68</v>
      </c>
      <c r="B27" s="142">
        <f>B22-B26</f>
        <v>6096.2154997053667</v>
      </c>
      <c r="C27" s="142">
        <f>C22-C26</f>
        <v>6290.783871698296</v>
      </c>
      <c r="D27" s="142">
        <f>D22-D26</f>
        <v>6497.0263460107999</v>
      </c>
      <c r="E27" s="142">
        <f>E22-E26</f>
        <v>6715.6433687820545</v>
      </c>
      <c r="F27" s="142">
        <f>F22-F26</f>
        <v>6947.3774129195845</v>
      </c>
      <c r="G27" s="7"/>
    </row>
    <row r="28" spans="1:10" ht="16" thickBot="1">
      <c r="A28" s="9" t="s">
        <v>124</v>
      </c>
      <c r="B28" s="143">
        <f>+B27+NPV(B10,C27:F27)</f>
        <v>30292.240363410052</v>
      </c>
      <c r="C28" s="7"/>
      <c r="D28" s="7"/>
      <c r="E28" s="7"/>
      <c r="F28" s="7"/>
    </row>
    <row r="29" spans="1:10" ht="16" thickBot="1">
      <c r="A29" s="9"/>
      <c r="B29" s="9"/>
      <c r="C29" s="9"/>
      <c r="D29" s="9"/>
      <c r="E29" s="9"/>
      <c r="F29" s="9"/>
    </row>
    <row r="30" spans="1:10" ht="16" thickBot="1">
      <c r="A30" s="150" t="s">
        <v>113</v>
      </c>
      <c r="B30" s="151" t="str">
        <f>IF(B17&lt;B28,A12,A19)</f>
        <v>2/ LEASE AND BUY OPTION</v>
      </c>
      <c r="C30" s="151"/>
    </row>
  </sheetData>
  <hyperlinks>
    <hyperlink ref="D1" location="SUMMARY!A1" display="SUMMARY" xr:uid="{00000000-0004-0000-0E00-000000000000}"/>
  </hyperlink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19CDF-F228-41DD-8364-428762CE431B}">
  <dimension ref="A1:H23"/>
  <sheetViews>
    <sheetView showGridLines="0" workbookViewId="0">
      <selection activeCell="B7" sqref="B7"/>
    </sheetView>
  </sheetViews>
  <sheetFormatPr defaultColWidth="10.6640625" defaultRowHeight="15.5"/>
  <cols>
    <col min="1" max="1" width="32" bestFit="1" customWidth="1"/>
    <col min="8" max="8" width="28.1640625" customWidth="1"/>
  </cols>
  <sheetData>
    <row r="1" spans="1:8" s="10" customFormat="1">
      <c r="A1" s="10" t="s">
        <v>40</v>
      </c>
      <c r="D1" s="44" t="s">
        <v>169</v>
      </c>
    </row>
    <row r="2" spans="1:8">
      <c r="A2" s="278" t="s">
        <v>32</v>
      </c>
      <c r="B2" s="124">
        <v>0.12</v>
      </c>
    </row>
    <row r="3" spans="1:8">
      <c r="A3" s="278" t="s">
        <v>170</v>
      </c>
      <c r="B3" s="124">
        <v>0.05</v>
      </c>
      <c r="H3" s="106" t="s">
        <v>107</v>
      </c>
    </row>
    <row r="5" spans="1:8" ht="31.5" customHeight="1" thickBot="1">
      <c r="H5" s="282" t="s">
        <v>168</v>
      </c>
    </row>
    <row r="6" spans="1:8" ht="16" thickBot="1">
      <c r="B6" s="286" t="s">
        <v>162</v>
      </c>
      <c r="C6" s="287"/>
      <c r="D6" s="287"/>
      <c r="E6" s="287"/>
      <c r="F6" s="287"/>
      <c r="G6" s="288"/>
      <c r="H6" s="276" t="s">
        <v>163</v>
      </c>
    </row>
    <row r="7" spans="1:8" ht="16" thickBot="1">
      <c r="A7" s="275" t="s">
        <v>166</v>
      </c>
      <c r="B7" s="281">
        <f ca="1">+TODAY()</f>
        <v>46286</v>
      </c>
      <c r="C7" s="281">
        <f ca="1">EDATE(B7,12)</f>
        <v>46651</v>
      </c>
      <c r="D7" s="281">
        <f t="shared" ref="D7:H7" ca="1" si="0">EDATE(C7,12)</f>
        <v>47017</v>
      </c>
      <c r="E7" s="281">
        <f t="shared" ca="1" si="0"/>
        <v>47382</v>
      </c>
      <c r="F7" s="281">
        <f t="shared" ca="1" si="0"/>
        <v>47747</v>
      </c>
      <c r="G7" s="281">
        <f t="shared" ca="1" si="0"/>
        <v>48112</v>
      </c>
      <c r="H7" s="281">
        <f t="shared" ca="1" si="0"/>
        <v>48478</v>
      </c>
    </row>
    <row r="8" spans="1:8" ht="16" thickBot="1">
      <c r="A8" s="269" t="s">
        <v>165</v>
      </c>
      <c r="B8" s="277"/>
      <c r="C8" s="277">
        <v>60</v>
      </c>
      <c r="D8" s="277">
        <v>65</v>
      </c>
      <c r="E8" s="277">
        <v>70</v>
      </c>
      <c r="F8" s="277">
        <v>76</v>
      </c>
      <c r="G8" s="277">
        <v>87</v>
      </c>
      <c r="H8" s="277">
        <v>90</v>
      </c>
    </row>
    <row r="9" spans="1:8" ht="16" thickBot="1">
      <c r="A9" s="279" t="s">
        <v>164</v>
      </c>
      <c r="B9" s="3"/>
      <c r="C9" s="3"/>
      <c r="D9" s="3"/>
      <c r="E9" s="3"/>
      <c r="F9" s="3"/>
      <c r="G9" s="280">
        <f>H8/(B2-B3)</f>
        <v>1285.7142857142858</v>
      </c>
    </row>
    <row r="10" spans="1:8" ht="16" thickBot="1">
      <c r="A10" s="271" t="s">
        <v>171</v>
      </c>
      <c r="B10" s="270"/>
      <c r="C10" s="270">
        <f>C8+C9</f>
        <v>60</v>
      </c>
      <c r="D10" s="270">
        <f t="shared" ref="D10:F10" si="1">D8+D9</f>
        <v>65</v>
      </c>
      <c r="E10" s="270">
        <f t="shared" si="1"/>
        <v>70</v>
      </c>
      <c r="F10" s="270">
        <f t="shared" si="1"/>
        <v>76</v>
      </c>
      <c r="G10" s="272">
        <f>G8+G9</f>
        <v>1372.7142857142858</v>
      </c>
    </row>
    <row r="11" spans="1:8" ht="16" thickBot="1">
      <c r="C11" s="3"/>
      <c r="D11" s="3"/>
      <c r="E11" s="3"/>
      <c r="F11" s="3"/>
      <c r="G11" s="3"/>
    </row>
    <row r="12" spans="1:8" ht="16" thickBot="1">
      <c r="A12" s="273" t="s">
        <v>167</v>
      </c>
      <c r="B12" s="274">
        <f ca="1">XNPV(B2,C10:G10,C7:G7)</f>
        <v>1099.9963714650237</v>
      </c>
    </row>
    <row r="18" spans="1:2">
      <c r="B18" s="1"/>
    </row>
    <row r="20" spans="1:2">
      <c r="B20" s="3"/>
    </row>
    <row r="23" spans="1:2">
      <c r="A23" s="1"/>
    </row>
  </sheetData>
  <mergeCells count="1">
    <mergeCell ref="B6:G6"/>
  </mergeCells>
  <hyperlinks>
    <hyperlink ref="H3" location="SUMMARY!A1" display="SUMMARY" xr:uid="{EE57A5A7-79C5-4B61-9D74-D6F1F5B94CC4}"/>
  </hyperlink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4782F-C42F-4713-9F71-7977281492A3}">
  <dimension ref="A1:H26"/>
  <sheetViews>
    <sheetView showGridLines="0" workbookViewId="0">
      <selection activeCell="C4" sqref="C4"/>
    </sheetView>
  </sheetViews>
  <sheetFormatPr defaultColWidth="10.6640625" defaultRowHeight="15.5"/>
  <cols>
    <col min="1" max="1" width="32" bestFit="1" customWidth="1"/>
    <col min="2" max="2" width="13.75" customWidth="1"/>
    <col min="8" max="8" width="28.1640625" customWidth="1"/>
  </cols>
  <sheetData>
    <row r="1" spans="1:8" s="10" customFormat="1">
      <c r="A1" s="10" t="s">
        <v>40</v>
      </c>
      <c r="D1" s="44" t="s">
        <v>177</v>
      </c>
    </row>
    <row r="2" spans="1:8">
      <c r="A2" s="124" t="s">
        <v>32</v>
      </c>
      <c r="B2" s="124">
        <v>0.12</v>
      </c>
    </row>
    <row r="3" spans="1:8">
      <c r="A3" s="124" t="s">
        <v>176</v>
      </c>
      <c r="B3" s="124" t="s">
        <v>173</v>
      </c>
      <c r="C3" s="124">
        <v>7.0000000000000007E-2</v>
      </c>
      <c r="E3">
        <v>1</v>
      </c>
      <c r="H3" s="106" t="s">
        <v>107</v>
      </c>
    </row>
    <row r="4" spans="1:8">
      <c r="B4" s="124" t="s">
        <v>174</v>
      </c>
      <c r="C4" s="124">
        <v>0.05</v>
      </c>
    </row>
    <row r="5" spans="1:8">
      <c r="B5" s="124" t="s">
        <v>175</v>
      </c>
      <c r="C5" s="124">
        <v>0.03</v>
      </c>
    </row>
    <row r="8" spans="1:8" ht="31.5" customHeight="1" thickBot="1">
      <c r="H8" s="282" t="s">
        <v>168</v>
      </c>
    </row>
    <row r="9" spans="1:8" ht="16" thickBot="1">
      <c r="B9" s="286" t="s">
        <v>162</v>
      </c>
      <c r="C9" s="287"/>
      <c r="D9" s="287"/>
      <c r="E9" s="287"/>
      <c r="F9" s="287"/>
      <c r="G9" s="288"/>
      <c r="H9" s="276" t="s">
        <v>163</v>
      </c>
    </row>
    <row r="10" spans="1:8" ht="16" thickBot="1">
      <c r="A10" s="275" t="s">
        <v>166</v>
      </c>
      <c r="B10" s="281">
        <f ca="1">+TODAY()</f>
        <v>46286</v>
      </c>
      <c r="C10" s="281">
        <f ca="1">EDATE(B10,12)</f>
        <v>46651</v>
      </c>
      <c r="D10" s="281">
        <f t="shared" ref="D10:H10" ca="1" si="0">EDATE(C10,12)</f>
        <v>47017</v>
      </c>
      <c r="E10" s="281">
        <f t="shared" ca="1" si="0"/>
        <v>47382</v>
      </c>
      <c r="F10" s="281">
        <f t="shared" ca="1" si="0"/>
        <v>47747</v>
      </c>
      <c r="G10" s="281">
        <f t="shared" ca="1" si="0"/>
        <v>48112</v>
      </c>
      <c r="H10" s="281">
        <f t="shared" ca="1" si="0"/>
        <v>48478</v>
      </c>
    </row>
    <row r="11" spans="1:8" ht="16" thickBot="1">
      <c r="A11" s="269" t="s">
        <v>165</v>
      </c>
      <c r="B11" s="277"/>
      <c r="C11" s="277">
        <v>60</v>
      </c>
      <c r="D11" s="277">
        <v>65</v>
      </c>
      <c r="E11" s="277">
        <v>70</v>
      </c>
      <c r="F11" s="277">
        <v>76</v>
      </c>
      <c r="G11" s="277">
        <v>87</v>
      </c>
      <c r="H11" s="277">
        <v>90</v>
      </c>
    </row>
    <row r="12" spans="1:8" ht="16" thickBot="1">
      <c r="A12" s="279" t="s">
        <v>164</v>
      </c>
      <c r="B12" s="3"/>
      <c r="C12" s="3"/>
      <c r="D12" s="3"/>
      <c r="E12" s="3"/>
      <c r="F12" s="3"/>
      <c r="G12" s="280">
        <f>H11/(B2-CHOOSE(E3,C3,C4,C5))</f>
        <v>1800.0000000000005</v>
      </c>
    </row>
    <row r="13" spans="1:8" ht="16" thickBot="1">
      <c r="A13" s="271" t="s">
        <v>171</v>
      </c>
      <c r="B13" s="270"/>
      <c r="C13" s="270">
        <f>C11+C12</f>
        <v>60</v>
      </c>
      <c r="D13" s="270">
        <f t="shared" ref="D13:F13" si="1">D11+D12</f>
        <v>65</v>
      </c>
      <c r="E13" s="270">
        <f t="shared" si="1"/>
        <v>70</v>
      </c>
      <c r="F13" s="270">
        <f t="shared" si="1"/>
        <v>76</v>
      </c>
      <c r="G13" s="272">
        <f>G11+G12</f>
        <v>1887.0000000000005</v>
      </c>
    </row>
    <row r="14" spans="1:8" ht="16" thickBot="1">
      <c r="C14" s="3"/>
      <c r="D14" s="3"/>
      <c r="E14" s="3"/>
      <c r="F14" s="3"/>
      <c r="G14" s="3"/>
    </row>
    <row r="15" spans="1:8" ht="16" thickBot="1">
      <c r="A15" s="273" t="s">
        <v>167</v>
      </c>
      <c r="B15" s="274">
        <f ca="1">XNPV(B2,C13:G13,C10:G10)</f>
        <v>1426.7327763690671</v>
      </c>
    </row>
    <row r="21" spans="1:2">
      <c r="B21" s="1"/>
    </row>
    <row r="23" spans="1:2">
      <c r="B23" s="3"/>
    </row>
    <row r="26" spans="1:2">
      <c r="A26" s="1"/>
    </row>
  </sheetData>
  <mergeCells count="1">
    <mergeCell ref="B9:G9"/>
  </mergeCells>
  <hyperlinks>
    <hyperlink ref="H3" location="SUMMARY!A1" display="SUMMARY" xr:uid="{21FF8202-1B98-4A21-8AE6-550993685055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4274" r:id="rId3" name="Drop Down 2">
              <controlPr defaultSize="0" autoLine="0" autoPict="0">
                <anchor moveWithCells="1">
                  <from>
                    <xdr:col>3</xdr:col>
                    <xdr:colOff>806450</xdr:colOff>
                    <xdr:row>2</xdr:row>
                    <xdr:rowOff>12700</xdr:rowOff>
                  </from>
                  <to>
                    <xdr:col>5</xdr:col>
                    <xdr:colOff>660400</xdr:colOff>
                    <xdr:row>3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C623-A96D-4614-804F-8C034CE6C1BA}">
  <dimension ref="A1:G24"/>
  <sheetViews>
    <sheetView showGridLines="0" workbookViewId="0">
      <selection activeCell="E3" sqref="E3"/>
    </sheetView>
  </sheetViews>
  <sheetFormatPr defaultColWidth="10.6640625" defaultRowHeight="15.5"/>
  <cols>
    <col min="1" max="1" width="32" bestFit="1" customWidth="1"/>
    <col min="2" max="2" width="13.75" customWidth="1"/>
  </cols>
  <sheetData>
    <row r="1" spans="1:7" s="10" customFormat="1">
      <c r="A1" s="10" t="s">
        <v>40</v>
      </c>
      <c r="D1" s="44" t="s">
        <v>186</v>
      </c>
    </row>
    <row r="2" spans="1:7">
      <c r="A2" s="278" t="s">
        <v>183</v>
      </c>
      <c r="B2" s="124">
        <v>0.3</v>
      </c>
    </row>
    <row r="3" spans="1:7">
      <c r="A3" s="278" t="s">
        <v>179</v>
      </c>
      <c r="B3" s="278">
        <v>300</v>
      </c>
      <c r="E3" s="106" t="s">
        <v>107</v>
      </c>
    </row>
    <row r="4" spans="1:7">
      <c r="A4" s="278" t="s">
        <v>180</v>
      </c>
      <c r="B4" s="278">
        <v>200</v>
      </c>
    </row>
    <row r="5" spans="1:7">
      <c r="A5" s="278" t="s">
        <v>181</v>
      </c>
      <c r="B5" s="124">
        <v>0.04</v>
      </c>
    </row>
    <row r="6" spans="1:7">
      <c r="A6" s="278" t="s">
        <v>182</v>
      </c>
      <c r="B6" s="124">
        <v>7.0000000000000007E-2</v>
      </c>
    </row>
    <row r="7" spans="1:7">
      <c r="A7" s="284" t="s">
        <v>184</v>
      </c>
      <c r="B7" s="285">
        <f>B3/(B3+B4)*(B5*(1-B2))+B4/(B3+B4)*B6</f>
        <v>4.4800000000000006E-2</v>
      </c>
    </row>
    <row r="8" spans="1:7" ht="31.5" customHeight="1" thickBot="1"/>
    <row r="9" spans="1:7" ht="16" thickBot="1">
      <c r="B9" s="286" t="s">
        <v>162</v>
      </c>
      <c r="C9" s="287"/>
      <c r="D9" s="287"/>
      <c r="E9" s="287"/>
      <c r="F9" s="287"/>
      <c r="G9" s="288"/>
    </row>
    <row r="10" spans="1:7" ht="16" thickBot="1">
      <c r="A10" s="275" t="s">
        <v>166</v>
      </c>
      <c r="B10" s="281">
        <f ca="1">+TODAY()</f>
        <v>46286</v>
      </c>
      <c r="C10" s="281">
        <f ca="1">EDATE(B10,12)</f>
        <v>46651</v>
      </c>
      <c r="D10" s="281">
        <f t="shared" ref="D10:G10" ca="1" si="0">EDATE(C10,12)</f>
        <v>47017</v>
      </c>
      <c r="E10" s="281">
        <f t="shared" ca="1" si="0"/>
        <v>47382</v>
      </c>
      <c r="F10" s="281">
        <f t="shared" ca="1" si="0"/>
        <v>47747</v>
      </c>
      <c r="G10" s="281">
        <f t="shared" ca="1" si="0"/>
        <v>48112</v>
      </c>
    </row>
    <row r="11" spans="1:7" ht="16" thickBot="1">
      <c r="A11" s="269" t="s">
        <v>165</v>
      </c>
      <c r="B11" s="277">
        <v>-500</v>
      </c>
      <c r="C11" s="277">
        <v>80</v>
      </c>
      <c r="D11" s="277">
        <v>105</v>
      </c>
      <c r="E11" s="277">
        <v>130</v>
      </c>
      <c r="F11" s="277">
        <v>120</v>
      </c>
      <c r="G11" s="277">
        <v>145</v>
      </c>
    </row>
    <row r="12" spans="1:7" ht="16" thickBot="1">
      <c r="C12" s="3"/>
      <c r="D12" s="3"/>
      <c r="E12" s="3"/>
      <c r="F12" s="3"/>
      <c r="G12" s="3"/>
    </row>
    <row r="13" spans="1:7" ht="16" thickBot="1">
      <c r="A13" s="273" t="s">
        <v>16</v>
      </c>
      <c r="B13" s="274">
        <f ca="1">XNPV(B7,B11:G11,B10:G10)</f>
        <v>3.862065662997864</v>
      </c>
    </row>
    <row r="19" spans="1:2">
      <c r="B19" s="1"/>
    </row>
    <row r="21" spans="1:2">
      <c r="B21" s="3"/>
    </row>
    <row r="24" spans="1:2">
      <c r="A24" s="1"/>
    </row>
  </sheetData>
  <mergeCells count="1">
    <mergeCell ref="B9:G9"/>
  </mergeCells>
  <hyperlinks>
    <hyperlink ref="E3" location="SUMMARY!A1" display="SUMMARY" xr:uid="{A8CFA29C-81CD-468D-AAA2-D6041C66739D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RATES</vt:lpstr>
      <vt:lpstr>SINGLE CF</vt:lpstr>
      <vt:lpstr>ANNUITY </vt:lpstr>
      <vt:lpstr>MODEL FOR ANNUITY </vt:lpstr>
      <vt:lpstr>PMT TIMING</vt:lpstr>
      <vt:lpstr>NPV</vt:lpstr>
      <vt:lpstr>NPV-IRR</vt:lpstr>
      <vt:lpstr>XNPV-XIRR</vt:lpstr>
      <vt:lpstr>CUMULATIVE FACTOR </vt:lpstr>
      <vt:lpstr>LOAN SCHEDULE</vt:lpstr>
      <vt:lpstr>LOAN SENSITIVITY ANALYSIS</vt:lpstr>
      <vt:lpstr>LEASE vs BUY </vt:lpstr>
      <vt:lpstr>LEASE Vs BUY with help</vt:lpstr>
      <vt:lpstr>TV</vt:lpstr>
      <vt:lpstr>TV scenario</vt:lpstr>
      <vt:lpstr>NPV-WACC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</dc:creator>
  <cp:lastModifiedBy>CHIKH Sabrina</cp:lastModifiedBy>
  <dcterms:created xsi:type="dcterms:W3CDTF">2015-08-03T11:55:57Z</dcterms:created>
  <dcterms:modified xsi:type="dcterms:W3CDTF">2026-09-21T12:56:54Z</dcterms:modified>
</cp:coreProperties>
</file>