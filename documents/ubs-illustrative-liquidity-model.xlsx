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Cash Bridge" sheetId="2" r:id="rId2"/>
    <sheet name="Stress Tests" sheetId="3" r:id="rId3"/>
    <sheet name="Risk Register" sheetId="4" r:id="rId4"/>
    <sheet name="CFO Actions" sheetId="5" r:id="rId5"/>
  </sheets>
  <calcPr calcId="124519" fullCalcOnLoad="1"/>
</workbook>
</file>

<file path=xl/sharedStrings.xml><?xml version="1.0" encoding="utf-8"?>
<sst xmlns="http://schemas.openxmlformats.org/spreadsheetml/2006/main" count="128" uniqueCount="128">
  <si>
    <t>UBS 2011 · Treasury liquidity model</t>
  </si>
  <si>
    <t>Illustrative teaching model built in Python / Excel. It is not UBS historical Treasury data.</t>
  </si>
  <si>
    <t>Central question</t>
  </si>
  <si>
    <t>How should UBS Treasury preserve liquidity and meet payment obligations over the three months after concealed trading losses are discovered?</t>
  </si>
  <si>
    <t>Model horizon</t>
  </si>
  <si>
    <t>14 Sep–14 Dec 2011; daily in the first week, then period-end snapshots.</t>
  </si>
  <si>
    <t>Evidence: public</t>
  </si>
  <si>
    <t>Incident dates, unauthorised trading, reported USD 2.3bn loss and control findings.</t>
  </si>
  <si>
    <t>Inputs: assumed</t>
  </si>
  <si>
    <t>Opening cash USD 1,000m; minimum buffer USD 700m; receipts, payments, settlements, collateral, costs and stress shocks.</t>
  </si>
  <si>
    <t>Outputs: calculated</t>
  </si>
  <si>
    <t>Scenario closing cash, first buffer breach, and peak funding need. Reproduce from the Cash Bridge formulas.</t>
  </si>
  <si>
    <t>Cash balance</t>
  </si>
  <si>
    <t>Accessible opening cash + receipts − payments − settlement outflow + signed collateral movement − costs + confirmed funding.</t>
  </si>
  <si>
    <t>Funding gap</t>
  </si>
  <si>
    <t>max(0, minimum buffer − cash before funding). A trading loss is not automatically a same-day cash payment.</t>
  </si>
  <si>
    <t>Use limitation</t>
  </si>
  <si>
    <t>Replace all yellow inputs with dated, entity-level Treasury ledger records before treating any funding gap as a UBS result.</t>
  </si>
  <si>
    <t>Sources</t>
  </si>
  <si>
    <t>FINMA 2012; FSA 2012; UBS Q3 2011 disclosures. Model schema follows the illustrative cash bridge in the presentation.</t>
  </si>
  <si>
    <t>Cash bridge · illustrative USD millions</t>
  </si>
  <si>
    <t>Yellow cells are assumed inputs. Closing cash is formula-driven; positive collateral movement is cash returned to UBS.</t>
  </si>
  <si>
    <t>Period</t>
  </si>
  <si>
    <t>Base receipts</t>
  </si>
  <si>
    <t>Base payments</t>
  </si>
  <si>
    <t>Incident settlement
outflow</t>
  </si>
  <si>
    <t>Collateral
movement (+/−)</t>
  </si>
  <si>
    <t>Incident costs</t>
  </si>
  <si>
    <t>No-incident
close</t>
  </si>
  <si>
    <t>Incident-base
close</t>
  </si>
  <si>
    <t>Stress
adjustment</t>
  </si>
  <si>
    <t>Stress
close</t>
  </si>
  <si>
    <t>Minimum
buffer</t>
  </si>
  <si>
    <t>14 Sep · open</t>
  </si>
  <si>
    <t>15 Sep</t>
  </si>
  <si>
    <t>16 Sep</t>
  </si>
  <si>
    <t>17 Sep</t>
  </si>
  <si>
    <t>18 Sep</t>
  </si>
  <si>
    <t>19 Sep</t>
  </si>
  <si>
    <t>20 Sep</t>
  </si>
  <si>
    <t>30 Sep</t>
  </si>
  <si>
    <t>October</t>
  </si>
  <si>
    <t>November</t>
  </si>
  <si>
    <t>1–14 Dec</t>
  </si>
  <si>
    <t>Assumptions</t>
  </si>
  <si>
    <t>Opening cash</t>
  </si>
  <si>
    <t>Minimum buffer</t>
  </si>
  <si>
    <t>Opening cash and buffer are teaching assumptions, not published UBS Treasury data.</t>
  </si>
  <si>
    <t>Peak gap</t>
  </si>
  <si>
    <t>Peak gap = buffer less minimum stress close</t>
  </si>
  <si>
    <t>Combined stress · 30 Nov 2011 (illustrative)</t>
  </si>
  <si>
    <t>Scenario inputs are assumed; the $2.3bn public loss is not entered as a single cash outflow.</t>
  </si>
  <si>
    <t>Shock</t>
  </si>
  <si>
    <t>Cash impact (USDm)</t>
  </si>
  <si>
    <t>Illustrative timing / explanation</t>
  </si>
  <si>
    <t>Accelerated / increased settlement</t>
  </si>
  <si>
    <t>Cash outflow brought forward or increased on 30 Nov.</t>
  </si>
  <si>
    <t>Collateral return delayed</t>
  </si>
  <si>
    <t>Expected collateral receipt falls beyond the model horizon.</t>
  </si>
  <si>
    <t>Additional withdrawals</t>
  </si>
  <si>
    <t>Incremental customer outflow in the stress period.</t>
  </si>
  <si>
    <t>Funding maturity not renewed</t>
  </si>
  <si>
    <t>Scheduled funding rollover unavailable on 30 Nov.</t>
  </si>
  <si>
    <t>Total shock</t>
  </si>
  <si>
    <t>Additional delayed-liquidity-source timing is tested separately below.</t>
  </si>
  <si>
    <t>Incident-base November close</t>
  </si>
  <si>
    <t>Stress November close</t>
  </si>
  <si>
    <t>Buffer</t>
  </si>
  <si>
    <t>30 Nov shortfall</t>
  </si>
  <si>
    <t>14 Dec stress close</t>
  </si>
  <si>
    <t>Peak funding need</t>
  </si>
  <si>
    <t>Funding timing test</t>
  </si>
  <si>
    <t>Assumed line</t>
  </si>
  <si>
    <t>USD 200m</t>
  </si>
  <si>
    <t>Availability / collateral conditions must be verified.</t>
  </si>
  <si>
    <t>Trigger</t>
  </si>
  <si>
    <t>25 Nov</t>
  </si>
  <si>
    <t>Trigger at least T+2 business days before the modeled breach.</t>
  </si>
  <si>
    <t>Illustrative arrival</t>
  </si>
  <si>
    <t>29 Nov</t>
  </si>
  <si>
    <t>T+2 assumption; not a historical UBS commitment.</t>
  </si>
  <si>
    <t>First breach</t>
  </si>
  <si>
    <t>30 Nov</t>
  </si>
  <si>
    <t>If the source arrives later, it cannot prevent the first shortfall.</t>
  </si>
  <si>
    <t>Residual risk register · illustrative ratings</t>
  </si>
  <si>
    <t>Likelihood and impact are analyst assumptions for the 14 Sep–14 Dec horizon; re-score after containment.</t>
  </si>
  <si>
    <t>Risk</t>
  </si>
  <si>
    <t>Likelihood (1–3)</t>
  </si>
  <si>
    <t>Impact (1–3)</t>
  </si>
  <si>
    <t>Score</t>
  </si>
  <si>
    <t>Why it matters</t>
  </si>
  <si>
    <t>Operational</t>
  </si>
  <si>
    <t>Unreconciled breaks could hide open positions.</t>
  </si>
  <si>
    <t>Liquidity</t>
  </si>
  <si>
    <t>Settlement / collateral peak versus approved buffer.</t>
  </si>
  <si>
    <t>Market</t>
  </si>
  <si>
    <t>Adverse price movement before positions close.</t>
  </si>
  <si>
    <t>Counterparty</t>
  </si>
  <si>
    <t>Collateral return or receivable may be delayed.</t>
  </si>
  <si>
    <t>Funding</t>
  </si>
  <si>
    <t>A maturity inside the horizon may not roll.</t>
  </si>
  <si>
    <t>Reputational</t>
  </si>
  <si>
    <t>Outflows or tighter terms in a confidence stress.</t>
  </si>
  <si>
    <t>Legal / regulatory</t>
  </si>
  <si>
    <t>Investigation and remediation timing / cost.</t>
  </si>
  <si>
    <t>Scoring key</t>
  </si>
  <si>
    <t>Likelihood: 1 unlikely · 2 possible · 3 likely. Impact: 1 headroom erosion &lt;25% · 2 ≥25% without breach · 3 cash below buffer. The 25% cutoff is proposed, not UBS policy.</t>
  </si>
  <si>
    <t>CFO action plan · owners, timing and decision output</t>
  </si>
  <si>
    <t>Pillar</t>
  </si>
  <si>
    <t>Owner</t>
  </si>
  <si>
    <t>Deadline</t>
  </si>
  <si>
    <t>Expected benefit / deliverable</t>
  </si>
  <si>
    <t>Constraint / fallback</t>
  </si>
  <si>
    <t>Immediate liquidity protection</t>
  </si>
  <si>
    <t>Group Treasurer</t>
  </si>
  <si>
    <t>Initial view in 24h; daily to 14 Dec</t>
  </si>
  <si>
    <t>Verified accessible cash, dated 13-week forecast and pre-positioned funding.</t>
  </si>
  <si>
    <t>Confirm facility access, collateral eligibility and arrival; fallback only if independently verified.</t>
  </si>
  <si>
    <t>Exposure containment</t>
  </si>
  <si>
    <t>IB COO + Market Risk + Treasury</t>
  </si>
  <si>
    <t>Start now; daily until reconciled</t>
  </si>
  <si>
    <t>Independently reconcile open positions, settlements and collateral breaks.</t>
  </si>
  <si>
    <t>Close-out cost / cash release only when confirmed; keep conservative overlay until then.</t>
  </si>
  <si>
    <t>Governance &amp; controls</t>
  </si>
  <si>
    <t>CRO + IB COO; Internal Audit validates</t>
  </si>
  <si>
    <t>Interim controls now; programme by 14 Dec</t>
  </si>
  <si>
    <t>Dual verification, clear ownership and timely escalation of exceptions.</t>
  </si>
  <si>
    <t>Manual dual sign-off until system controls are remediated.</t>
  </si>
</sst>
</file>

<file path=xl/styles.xml><?xml version="1.0" encoding="utf-8"?>
<styleSheet xmlns="http://schemas.openxmlformats.org/spreadsheetml/2006/main">
  <numFmts count="1">
    <numFmt numFmtId="164" formatCode="#,##0;[Red](#,##0);–"/>
  </numFmts>
  <fonts count="7">
    <font>
      <sz val="11"/>
      <color theme="1"/>
      <name val="Calibri"/>
      <family val="2"/>
      <scheme val="minor"/>
    </font>
    <font>
      <b/>
      <sz val="16"/>
      <color rgb="FF18232B"/>
      <name val="Calibri"/>
      <family val="2"/>
      <scheme val="minor"/>
    </font>
    <font>
      <sz val="10"/>
      <color rgb="FF68747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8747B"/>
      <name val="Calibri"/>
      <family val="2"/>
      <scheme val="minor"/>
    </font>
    <font>
      <b/>
      <sz val="11"/>
      <color rgb="FFC8203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232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8F72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EDB"/>
      </left>
      <right style="thin">
        <color rgb="FFD9DEDB"/>
      </right>
      <top style="thin">
        <color rgb="FFD9DEDB"/>
      </top>
      <bottom style="thin">
        <color rgb="FFD9DE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0" fillId="0" borderId="2" xfId="0" applyBorder="1"/>
    <xf numFmtId="164" fontId="0" fillId="3" borderId="2" xfId="0" applyNumberFormat="1" applyFill="1" applyBorder="1"/>
    <xf numFmtId="164" fontId="4" fillId="0" borderId="2" xfId="0" applyNumberFormat="1" applyFont="1" applyBorder="1"/>
    <xf numFmtId="164" fontId="0" fillId="0" borderId="2" xfId="0" applyNumberFormat="1" applyBorder="1"/>
    <xf numFmtId="0" fontId="3" fillId="4" borderId="0" xfId="0" applyFont="1" applyFill="1"/>
    <xf numFmtId="0" fontId="5" fillId="0" borderId="0" xfId="0" applyFont="1" applyAlignment="1">
      <alignment wrapText="1"/>
    </xf>
    <xf numFmtId="164" fontId="6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Scenario closing cash vs minimum buffer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No incident</c:v>
          </c:tx>
          <c:spPr>
            <a:ln w="28575">
              <a:solidFill>
                <a:srgbClr val="008F72"/>
              </a:solidFill>
            </a:ln>
          </c:spPr>
          <c:marker>
            <c:symbol val="circle"/>
            <c:size val="4"/>
            <c:spPr>
              <a:solidFill>
                <a:srgbClr val="008F72"/>
              </a:solidFill>
              <a:ln>
                <a:solidFill>
                  <a:srgbClr val="008F72"/>
                </a:solidFill>
              </a:ln>
            </c:spPr>
          </c:marker>
          <c:cat>
            <c:strRef>
              <c:f>'Cash Bridge'!$A$4:$A$14</c:f>
              <c:strCache>
                <c:ptCount val="11"/>
                <c:pt idx="0">
                  <c:v>14 Sep · open</c:v>
                </c:pt>
                <c:pt idx="1">
                  <c:v>15 Sep</c:v>
                </c:pt>
                <c:pt idx="2">
                  <c:v>16 Sep</c:v>
                </c:pt>
                <c:pt idx="3">
                  <c:v>17 Sep</c:v>
                </c:pt>
                <c:pt idx="4">
                  <c:v>18 Sep</c:v>
                </c:pt>
                <c:pt idx="5">
                  <c:v>19 Sep</c:v>
                </c:pt>
                <c:pt idx="6">
                  <c:v>20 Sep</c:v>
                </c:pt>
                <c:pt idx="7">
                  <c:v>30 Sep</c:v>
                </c:pt>
                <c:pt idx="8">
                  <c:v>October</c:v>
                </c:pt>
                <c:pt idx="9">
                  <c:v>November</c:v>
                </c:pt>
                <c:pt idx="10">
                  <c:v>1–14 Dec</c:v>
                </c:pt>
              </c:strCache>
            </c:strRef>
          </c:cat>
          <c:val>
            <c:numRef>
              <c:f>'Cash Bridge'!$G$4:$G$14</c:f>
              <c:numCache>
                <c:formatCode>General</c:formatCode>
                <c:ptCount val="11"/>
                <c:pt idx="0">
                  <c:v>1000</c:v>
                </c:pt>
                <c:pt idx="1">
                  <c:v>990</c:v>
                </c:pt>
                <c:pt idx="2">
                  <c:v>985</c:v>
                </c:pt>
                <c:pt idx="3">
                  <c:v>990</c:v>
                </c:pt>
                <c:pt idx="4">
                  <c:v>985</c:v>
                </c:pt>
                <c:pt idx="5">
                  <c:v>987</c:v>
                </c:pt>
                <c:pt idx="6">
                  <c:v>984</c:v>
                </c:pt>
                <c:pt idx="7">
                  <c:v>1004</c:v>
                </c:pt>
                <c:pt idx="8">
                  <c:v>1104</c:v>
                </c:pt>
                <c:pt idx="9">
                  <c:v>1054</c:v>
                </c:pt>
                <c:pt idx="10">
                  <c:v>1024</c:v>
                </c:pt>
              </c:numCache>
            </c:numRef>
          </c:val>
        </c:ser>
        <c:ser>
          <c:idx val="1"/>
          <c:order val="1"/>
          <c:tx>
            <c:v>Incident base</c:v>
          </c:tx>
          <c:spPr>
            <a:ln w="28575">
              <a:solidFill>
                <a:srgbClr val="287FA8"/>
              </a:solidFill>
            </a:ln>
          </c:spPr>
          <c:marker>
            <c:symbol val="circle"/>
            <c:size val="4"/>
            <c:spPr>
              <a:solidFill>
                <a:srgbClr val="287FA8"/>
              </a:solidFill>
              <a:ln>
                <a:solidFill>
                  <a:srgbClr val="287FA8"/>
                </a:solidFill>
              </a:ln>
            </c:spPr>
          </c:marker>
          <c:cat>
            <c:strRef>
              <c:f>'Cash Bridge'!$A$4:$A$14</c:f>
              <c:strCache>
                <c:ptCount val="11"/>
                <c:pt idx="0">
                  <c:v>14 Sep · open</c:v>
                </c:pt>
                <c:pt idx="1">
                  <c:v>15 Sep</c:v>
                </c:pt>
                <c:pt idx="2">
                  <c:v>16 Sep</c:v>
                </c:pt>
                <c:pt idx="3">
                  <c:v>17 Sep</c:v>
                </c:pt>
                <c:pt idx="4">
                  <c:v>18 Sep</c:v>
                </c:pt>
                <c:pt idx="5">
                  <c:v>19 Sep</c:v>
                </c:pt>
                <c:pt idx="6">
                  <c:v>20 Sep</c:v>
                </c:pt>
                <c:pt idx="7">
                  <c:v>30 Sep</c:v>
                </c:pt>
                <c:pt idx="8">
                  <c:v>October</c:v>
                </c:pt>
                <c:pt idx="9">
                  <c:v>November</c:v>
                </c:pt>
                <c:pt idx="10">
                  <c:v>1–14 Dec</c:v>
                </c:pt>
              </c:strCache>
            </c:strRef>
          </c:cat>
          <c:val>
            <c:numRef>
              <c:f>'Cash Bridge'!$H$4:$H$14</c:f>
              <c:numCache>
                <c:formatCode>General</c:formatCode>
                <c:ptCount val="11"/>
                <c:pt idx="0">
                  <c:v>1000</c:v>
                </c:pt>
                <c:pt idx="1">
                  <c:v>915</c:v>
                </c:pt>
                <c:pt idx="2">
                  <c:v>805</c:v>
                </c:pt>
                <c:pt idx="3">
                  <c:v>775</c:v>
                </c:pt>
                <c:pt idx="4">
                  <c:v>765</c:v>
                </c:pt>
                <c:pt idx="5">
                  <c:v>772</c:v>
                </c:pt>
                <c:pt idx="6">
                  <c:v>774</c:v>
                </c:pt>
                <c:pt idx="7">
                  <c:v>769</c:v>
                </c:pt>
                <c:pt idx="8">
                  <c:v>909</c:v>
                </c:pt>
                <c:pt idx="9">
                  <c:v>849</c:v>
                </c:pt>
                <c:pt idx="10">
                  <c:v>824</c:v>
                </c:pt>
              </c:numCache>
            </c:numRef>
          </c:val>
        </c:ser>
        <c:ser>
          <c:idx val="2"/>
          <c:order val="2"/>
          <c:tx>
            <c:v>Combined stress</c:v>
          </c:tx>
          <c:spPr>
            <a:ln w="31750">
              <a:solidFill>
                <a:srgbClr val="C82036"/>
              </a:solidFill>
            </a:ln>
          </c:spPr>
          <c:marker>
            <c:symbol val="circle"/>
            <c:size val="4"/>
            <c:spPr>
              <a:solidFill>
                <a:srgbClr val="C82036"/>
              </a:solidFill>
              <a:ln>
                <a:solidFill>
                  <a:srgbClr val="C82036"/>
                </a:solidFill>
              </a:ln>
            </c:spPr>
          </c:marker>
          <c:cat>
            <c:strRef>
              <c:f>'Cash Bridge'!$A$4:$A$14</c:f>
              <c:strCache>
                <c:ptCount val="11"/>
                <c:pt idx="0">
                  <c:v>14 Sep · open</c:v>
                </c:pt>
                <c:pt idx="1">
                  <c:v>15 Sep</c:v>
                </c:pt>
                <c:pt idx="2">
                  <c:v>16 Sep</c:v>
                </c:pt>
                <c:pt idx="3">
                  <c:v>17 Sep</c:v>
                </c:pt>
                <c:pt idx="4">
                  <c:v>18 Sep</c:v>
                </c:pt>
                <c:pt idx="5">
                  <c:v>19 Sep</c:v>
                </c:pt>
                <c:pt idx="6">
                  <c:v>20 Sep</c:v>
                </c:pt>
                <c:pt idx="7">
                  <c:v>30 Sep</c:v>
                </c:pt>
                <c:pt idx="8">
                  <c:v>October</c:v>
                </c:pt>
                <c:pt idx="9">
                  <c:v>November</c:v>
                </c:pt>
                <c:pt idx="10">
                  <c:v>1–14 Dec</c:v>
                </c:pt>
              </c:strCache>
            </c:strRef>
          </c:cat>
          <c:val>
            <c:numRef>
              <c:f>'Cash Bridge'!$J$4:$J$14</c:f>
              <c:numCache>
                <c:formatCode>General</c:formatCode>
                <c:ptCount val="11"/>
                <c:pt idx="0">
                  <c:v>1000</c:v>
                </c:pt>
                <c:pt idx="1">
                  <c:v>915</c:v>
                </c:pt>
                <c:pt idx="2">
                  <c:v>805</c:v>
                </c:pt>
                <c:pt idx="3">
                  <c:v>775</c:v>
                </c:pt>
                <c:pt idx="4">
                  <c:v>765</c:v>
                </c:pt>
                <c:pt idx="5">
                  <c:v>772</c:v>
                </c:pt>
                <c:pt idx="6">
                  <c:v>774</c:v>
                </c:pt>
                <c:pt idx="7">
                  <c:v>769</c:v>
                </c:pt>
                <c:pt idx="8">
                  <c:v>909</c:v>
                </c:pt>
                <c:pt idx="9">
                  <c:v>549</c:v>
                </c:pt>
                <c:pt idx="10">
                  <c:v>524</c:v>
                </c:pt>
              </c:numCache>
            </c:numRef>
          </c:val>
        </c:ser>
        <c:ser>
          <c:idx val="3"/>
          <c:order val="3"/>
          <c:tx>
            <c:v>Minimum buffer</c:v>
          </c:tx>
          <c:spPr>
            <a:ln w="19050">
              <a:solidFill>
                <a:srgbClr val="C49500"/>
              </a:solidFill>
              <a:prstDash val="dash"/>
            </a:ln>
          </c:spPr>
          <c:marker>
            <c:symbol val="none"/>
          </c:marker>
          <c:cat>
            <c:strRef>
              <c:f>'Cash Bridge'!$A$4:$A$14</c:f>
              <c:strCache>
                <c:ptCount val="11"/>
                <c:pt idx="0">
                  <c:v>14 Sep · open</c:v>
                </c:pt>
                <c:pt idx="1">
                  <c:v>15 Sep</c:v>
                </c:pt>
                <c:pt idx="2">
                  <c:v>16 Sep</c:v>
                </c:pt>
                <c:pt idx="3">
                  <c:v>17 Sep</c:v>
                </c:pt>
                <c:pt idx="4">
                  <c:v>18 Sep</c:v>
                </c:pt>
                <c:pt idx="5">
                  <c:v>19 Sep</c:v>
                </c:pt>
                <c:pt idx="6">
                  <c:v>20 Sep</c:v>
                </c:pt>
                <c:pt idx="7">
                  <c:v>30 Sep</c:v>
                </c:pt>
                <c:pt idx="8">
                  <c:v>October</c:v>
                </c:pt>
                <c:pt idx="9">
                  <c:v>November</c:v>
                </c:pt>
                <c:pt idx="10">
                  <c:v>1–14 Dec</c:v>
                </c:pt>
              </c:strCache>
            </c:strRef>
          </c:cat>
          <c:val>
            <c:numRef>
              <c:f>'Cash Bridge'!$K$4:$K$14</c:f>
              <c:numCache>
                <c:formatCode>General</c:formatCode>
                <c:ptCount val="11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200"/>
          <c:min val="500"/>
        </c:scaling>
        <c:axPos val="l"/>
        <c:majorGridlines>
          <c:spPr>
            <a:ln>
              <a:solidFill>
                <a:srgbClr val="D9DED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USD millions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7</xdr:col>
      <xdr:colOff>161925</xdr:colOff>
      <xdr:row>40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7.7109375" customWidth="1"/>
    <col min="2" max="2" width="94.7109375" customWidth="1"/>
  </cols>
  <sheetData>
    <row r="1" spans="1:2">
      <c r="A1" s="1" t="s">
        <v>0</v>
      </c>
    </row>
    <row r="2" spans="1:2">
      <c r="A2" s="2" t="s">
        <v>1</v>
      </c>
      <c r="B2" s="2"/>
    </row>
    <row r="4" spans="1:2" ht="36" customHeight="1">
      <c r="A4" s="3" t="s">
        <v>2</v>
      </c>
      <c r="B4" s="2" t="s">
        <v>3</v>
      </c>
    </row>
    <row r="5" spans="1:2" ht="26.25" customHeight="1">
      <c r="A5" s="4" t="s">
        <v>4</v>
      </c>
      <c r="B5" s="4" t="s">
        <v>5</v>
      </c>
    </row>
    <row r="6" spans="1:2" ht="26.25" customHeight="1">
      <c r="A6" s="4" t="s">
        <v>6</v>
      </c>
      <c r="B6" s="4" t="s">
        <v>7</v>
      </c>
    </row>
    <row r="7" spans="1:2" ht="36" customHeight="1">
      <c r="A7" s="4" t="s">
        <v>8</v>
      </c>
      <c r="B7" s="4" t="s">
        <v>9</v>
      </c>
    </row>
    <row r="8" spans="1:2" ht="36" customHeight="1">
      <c r="A8" s="4" t="s">
        <v>10</v>
      </c>
      <c r="B8" s="4" t="s">
        <v>11</v>
      </c>
    </row>
    <row r="9" spans="1:2" ht="36" customHeight="1">
      <c r="A9" s="4" t="s">
        <v>12</v>
      </c>
      <c r="B9" s="4" t="s">
        <v>13</v>
      </c>
    </row>
    <row r="10" spans="1:2" ht="36" customHeight="1">
      <c r="A10" s="4" t="s">
        <v>14</v>
      </c>
      <c r="B10" s="4" t="s">
        <v>15</v>
      </c>
    </row>
    <row r="11" spans="1:2" ht="36" customHeight="1">
      <c r="A11" s="4" t="s">
        <v>16</v>
      </c>
      <c r="B11" s="4" t="s">
        <v>17</v>
      </c>
    </row>
    <row r="12" spans="1:2" ht="36" customHeight="1">
      <c r="A12" s="4" t="s">
        <v>18</v>
      </c>
      <c r="B12" s="4" t="s">
        <v>19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6.7109375" customWidth="1"/>
    <col min="2" max="11" width="18.7109375" customWidth="1"/>
  </cols>
  <sheetData>
    <row r="1" spans="1:1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6" customHeight="1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  <row r="4" spans="1:11">
      <c r="A4" s="4" t="s">
        <v>33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6">
        <f>1000</f>
        <v>1000</v>
      </c>
      <c r="H4" s="6">
        <f>1000</f>
        <v>1000</v>
      </c>
      <c r="I4" s="5">
        <v>0</v>
      </c>
      <c r="J4" s="6">
        <f>H4+I4</f>
        <v>1000</v>
      </c>
      <c r="K4" s="5">
        <v>700</v>
      </c>
    </row>
    <row r="5" spans="1:11">
      <c r="A5" s="4" t="s">
        <v>34</v>
      </c>
      <c r="B5" s="5">
        <v>120</v>
      </c>
      <c r="C5" s="5">
        <v>130</v>
      </c>
      <c r="D5" s="5">
        <v>55</v>
      </c>
      <c r="E5" s="5">
        <v>-20</v>
      </c>
      <c r="F5" s="5">
        <v>0</v>
      </c>
      <c r="G5" s="7">
        <f>G4+B5-C5</f>
        <v>990</v>
      </c>
      <c r="H5" s="7">
        <f>H4+B5-C5-D5+E5-F5</f>
        <v>915</v>
      </c>
      <c r="I5" s="5">
        <v>0</v>
      </c>
      <c r="J5" s="6">
        <f>J4+B5-C5-D5+E5-F5+I5</f>
        <v>915</v>
      </c>
      <c r="K5" s="5">
        <v>700</v>
      </c>
    </row>
    <row r="6" spans="1:11">
      <c r="A6" s="4" t="s">
        <v>35</v>
      </c>
      <c r="B6" s="5">
        <v>90</v>
      </c>
      <c r="C6" s="5">
        <v>95</v>
      </c>
      <c r="D6" s="5">
        <v>80</v>
      </c>
      <c r="E6" s="5">
        <v>-25</v>
      </c>
      <c r="F6" s="5">
        <v>0</v>
      </c>
      <c r="G6" s="7">
        <f>G5+B6-C6</f>
        <v>985</v>
      </c>
      <c r="H6" s="7">
        <f>H5+B6-C6-D6+E6-F6</f>
        <v>805</v>
      </c>
      <c r="I6" s="5">
        <v>0</v>
      </c>
      <c r="J6" s="6">
        <f>J5+B6-C6-D6+E6-F6+I6</f>
        <v>805</v>
      </c>
      <c r="K6" s="5">
        <v>700</v>
      </c>
    </row>
    <row r="7" spans="1:11">
      <c r="A7" s="4" t="s">
        <v>36</v>
      </c>
      <c r="B7" s="5">
        <v>110</v>
      </c>
      <c r="C7" s="5">
        <v>105</v>
      </c>
      <c r="D7" s="5">
        <v>45</v>
      </c>
      <c r="E7" s="5">
        <v>10</v>
      </c>
      <c r="F7" s="5">
        <v>0</v>
      </c>
      <c r="G7" s="7">
        <f>G6+B7-C7</f>
        <v>990</v>
      </c>
      <c r="H7" s="7">
        <f>H6+B7-C7-D7+E7-F7</f>
        <v>775</v>
      </c>
      <c r="I7" s="5">
        <v>0</v>
      </c>
      <c r="J7" s="6">
        <f>J6+B7-C7-D7+E7-F7+I7</f>
        <v>775</v>
      </c>
      <c r="K7" s="5">
        <v>700</v>
      </c>
    </row>
    <row r="8" spans="1:11">
      <c r="A8" s="4" t="s">
        <v>37</v>
      </c>
      <c r="B8" s="5">
        <v>100</v>
      </c>
      <c r="C8" s="5">
        <v>105</v>
      </c>
      <c r="D8" s="5">
        <v>20</v>
      </c>
      <c r="E8" s="5">
        <v>15</v>
      </c>
      <c r="F8" s="5">
        <v>0</v>
      </c>
      <c r="G8" s="7">
        <f>G7+B8-C8</f>
        <v>985</v>
      </c>
      <c r="H8" s="7">
        <f>H7+B8-C8-D8+E8-F8</f>
        <v>765</v>
      </c>
      <c r="I8" s="5">
        <v>0</v>
      </c>
      <c r="J8" s="6">
        <f>J7+B8-C8-D8+E8-F8+I8</f>
        <v>765</v>
      </c>
      <c r="K8" s="5">
        <v>700</v>
      </c>
    </row>
    <row r="9" spans="1:11">
      <c r="A9" s="4" t="s">
        <v>38</v>
      </c>
      <c r="B9" s="5">
        <v>90</v>
      </c>
      <c r="C9" s="5">
        <v>88</v>
      </c>
      <c r="D9" s="5">
        <v>5</v>
      </c>
      <c r="E9" s="5">
        <v>10</v>
      </c>
      <c r="F9" s="5">
        <v>0</v>
      </c>
      <c r="G9" s="7">
        <f>G8+B9-C9</f>
        <v>987</v>
      </c>
      <c r="H9" s="7">
        <f>H8+B9-C9-D9+E9-F9</f>
        <v>772</v>
      </c>
      <c r="I9" s="5">
        <v>0</v>
      </c>
      <c r="J9" s="6">
        <f>J8+B9-C9-D9+E9-F9+I9</f>
        <v>772</v>
      </c>
      <c r="K9" s="5">
        <v>700</v>
      </c>
    </row>
    <row r="10" spans="1:11">
      <c r="A10" s="4" t="s">
        <v>39</v>
      </c>
      <c r="B10" s="5">
        <v>95</v>
      </c>
      <c r="C10" s="5">
        <v>98</v>
      </c>
      <c r="D10" s="5">
        <v>15</v>
      </c>
      <c r="E10" s="5">
        <v>20</v>
      </c>
      <c r="F10" s="5">
        <v>0</v>
      </c>
      <c r="G10" s="7">
        <f>G9+B10-C10</f>
        <v>984</v>
      </c>
      <c r="H10" s="7">
        <f>H9+B10-C10-D10+E10-F10</f>
        <v>774</v>
      </c>
      <c r="I10" s="5">
        <v>0</v>
      </c>
      <c r="J10" s="6">
        <f>J9+B10-C10-D10+E10-F10+I10</f>
        <v>774</v>
      </c>
      <c r="K10" s="5">
        <v>700</v>
      </c>
    </row>
    <row r="11" spans="1:11">
      <c r="A11" s="4" t="s">
        <v>40</v>
      </c>
      <c r="B11" s="5">
        <v>500</v>
      </c>
      <c r="C11" s="5">
        <v>480</v>
      </c>
      <c r="D11" s="5">
        <v>50</v>
      </c>
      <c r="E11" s="5">
        <v>30</v>
      </c>
      <c r="F11" s="5">
        <v>5</v>
      </c>
      <c r="G11" s="7">
        <f>G10+B11-C11</f>
        <v>1004</v>
      </c>
      <c r="H11" s="7">
        <f>H10+B11-C11-D11+E11-F11</f>
        <v>769</v>
      </c>
      <c r="I11" s="5">
        <v>0</v>
      </c>
      <c r="J11" s="6">
        <f>J10+B11-C11-D11+E11-F11+I11</f>
        <v>769</v>
      </c>
      <c r="K11" s="5">
        <v>700</v>
      </c>
    </row>
    <row r="12" spans="1:11">
      <c r="A12" s="4" t="s">
        <v>41</v>
      </c>
      <c r="B12" s="5">
        <v>1800</v>
      </c>
      <c r="C12" s="5">
        <v>1700</v>
      </c>
      <c r="D12" s="5">
        <v>50</v>
      </c>
      <c r="E12" s="5">
        <v>100</v>
      </c>
      <c r="F12" s="5">
        <v>10</v>
      </c>
      <c r="G12" s="7">
        <f>G11+B12-C12</f>
        <v>1104</v>
      </c>
      <c r="H12" s="7">
        <f>H11+B12-C12-D12+E12-F12</f>
        <v>909</v>
      </c>
      <c r="I12" s="5">
        <v>0</v>
      </c>
      <c r="J12" s="6">
        <f>J11+B12-C12-D12+E12-F12+I12</f>
        <v>909</v>
      </c>
      <c r="K12" s="5">
        <v>700</v>
      </c>
    </row>
    <row r="13" spans="1:11">
      <c r="A13" s="4" t="s">
        <v>42</v>
      </c>
      <c r="B13" s="5">
        <v>1600</v>
      </c>
      <c r="C13" s="5">
        <v>1650</v>
      </c>
      <c r="D13" s="5">
        <v>20</v>
      </c>
      <c r="E13" s="5">
        <v>20</v>
      </c>
      <c r="F13" s="5">
        <v>10</v>
      </c>
      <c r="G13" s="7">
        <f>G12+B13-C13</f>
        <v>1054</v>
      </c>
      <c r="H13" s="7">
        <f>H12+B13-C13-D13+E13-F13</f>
        <v>849</v>
      </c>
      <c r="I13" s="5">
        <v>-300</v>
      </c>
      <c r="J13" s="6">
        <f>J12+B13-C13-D13+E13-F13+I13</f>
        <v>549</v>
      </c>
      <c r="K13" s="5">
        <v>700</v>
      </c>
    </row>
    <row r="14" spans="1:11">
      <c r="A14" s="4" t="s">
        <v>43</v>
      </c>
      <c r="B14" s="5">
        <v>800</v>
      </c>
      <c r="C14" s="5">
        <v>830</v>
      </c>
      <c r="D14" s="5">
        <v>0</v>
      </c>
      <c r="E14" s="5">
        <v>10</v>
      </c>
      <c r="F14" s="5">
        <v>5</v>
      </c>
      <c r="G14" s="7">
        <f>G13+B14-C14</f>
        <v>1024</v>
      </c>
      <c r="H14" s="7">
        <f>H13+B14-C14-D14+E14-F14</f>
        <v>824</v>
      </c>
      <c r="I14" s="5">
        <v>0</v>
      </c>
      <c r="J14" s="6">
        <f>J13+B14-C14-D14+E14-F14+I14</f>
        <v>524</v>
      </c>
      <c r="K14" s="5">
        <v>700</v>
      </c>
    </row>
    <row r="16" spans="1:11">
      <c r="A16" s="8" t="s">
        <v>44</v>
      </c>
      <c r="B16" s="4" t="s">
        <v>45</v>
      </c>
      <c r="C16" s="5">
        <v>1000</v>
      </c>
      <c r="D16" s="4" t="s">
        <v>46</v>
      </c>
      <c r="E16" s="5">
        <v>700</v>
      </c>
      <c r="F16" s="9" t="s">
        <v>47</v>
      </c>
      <c r="G16" s="9"/>
      <c r="H16" s="9"/>
      <c r="I16" s="9"/>
      <c r="J16" s="9"/>
      <c r="K16" s="9"/>
    </row>
    <row r="18" spans="1:3">
      <c r="A18" s="4" t="s">
        <v>48</v>
      </c>
      <c r="B18" s="10">
        <f>MAX(0,E16-MIN(J4:J14))</f>
        <v>176</v>
      </c>
      <c r="C18" s="9" t="s">
        <v>49</v>
      </c>
    </row>
  </sheetData>
  <mergeCells count="3">
    <mergeCell ref="A1:K1"/>
    <mergeCell ref="A2:K2"/>
    <mergeCell ref="F16:K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30.7109375" customWidth="1"/>
    <col min="2" max="2" width="17.7109375" customWidth="1"/>
    <col min="3" max="3" width="67.7109375" customWidth="1"/>
  </cols>
  <sheetData>
    <row r="1" spans="1:3">
      <c r="A1" s="1" t="s">
        <v>50</v>
      </c>
      <c r="B1" s="1"/>
      <c r="C1" s="1"/>
    </row>
    <row r="2" spans="1:3">
      <c r="A2" s="2" t="s">
        <v>51</v>
      </c>
      <c r="B2" s="2"/>
      <c r="C2" s="2"/>
    </row>
    <row r="3" spans="1:3">
      <c r="A3" s="3" t="s">
        <v>52</v>
      </c>
      <c r="B3" s="3" t="s">
        <v>53</v>
      </c>
      <c r="C3" s="3" t="s">
        <v>54</v>
      </c>
    </row>
    <row r="4" spans="1:3">
      <c r="A4" s="4" t="s">
        <v>55</v>
      </c>
      <c r="B4" s="5">
        <v>-50</v>
      </c>
      <c r="C4" s="4" t="s">
        <v>56</v>
      </c>
    </row>
    <row r="5" spans="1:3">
      <c r="A5" s="4" t="s">
        <v>57</v>
      </c>
      <c r="B5" s="5">
        <v>-100</v>
      </c>
      <c r="C5" s="4" t="s">
        <v>58</v>
      </c>
    </row>
    <row r="6" spans="1:3">
      <c r="A6" s="4" t="s">
        <v>59</v>
      </c>
      <c r="B6" s="5">
        <v>-100</v>
      </c>
      <c r="C6" s="4" t="s">
        <v>60</v>
      </c>
    </row>
    <row r="7" spans="1:3">
      <c r="A7" s="4" t="s">
        <v>61</v>
      </c>
      <c r="B7" s="5">
        <v>-50</v>
      </c>
      <c r="C7" s="4" t="s">
        <v>62</v>
      </c>
    </row>
    <row r="8" spans="1:3">
      <c r="A8" s="3" t="s">
        <v>63</v>
      </c>
      <c r="B8" s="6">
        <f>SUM(B4:B7)</f>
        <v>-300</v>
      </c>
      <c r="C8" s="4" t="s">
        <v>64</v>
      </c>
    </row>
    <row r="10" spans="1:3">
      <c r="A10" s="4" t="s">
        <v>65</v>
      </c>
      <c r="B10" s="5">
        <v>849</v>
      </c>
    </row>
    <row r="11" spans="1:3">
      <c r="A11" s="4" t="s">
        <v>66</v>
      </c>
      <c r="B11" s="10">
        <f>B10+B8</f>
        <v>549</v>
      </c>
    </row>
    <row r="12" spans="1:3">
      <c r="A12" s="4" t="s">
        <v>67</v>
      </c>
      <c r="B12" s="5">
        <v>700</v>
      </c>
    </row>
    <row r="13" spans="1:3">
      <c r="A13" s="4" t="s">
        <v>68</v>
      </c>
      <c r="B13" s="10">
        <f>MAX(0,B12-B11)</f>
        <v>151</v>
      </c>
    </row>
    <row r="14" spans="1:3">
      <c r="A14" s="4" t="s">
        <v>69</v>
      </c>
      <c r="B14" s="5">
        <v>524</v>
      </c>
    </row>
    <row r="15" spans="1:3">
      <c r="A15" s="4" t="s">
        <v>70</v>
      </c>
      <c r="B15" s="10">
        <f>MAX(0,B12-B14)</f>
        <v>176</v>
      </c>
    </row>
    <row r="17" spans="1:3">
      <c r="A17" s="8" t="s">
        <v>71</v>
      </c>
      <c r="B17" s="8"/>
      <c r="C17" s="8"/>
    </row>
    <row r="18" spans="1:3">
      <c r="A18" s="4" t="s">
        <v>72</v>
      </c>
      <c r="B18" s="4" t="s">
        <v>73</v>
      </c>
      <c r="C18" s="4" t="s">
        <v>74</v>
      </c>
    </row>
    <row r="19" spans="1:3">
      <c r="A19" s="4" t="s">
        <v>75</v>
      </c>
      <c r="B19" s="4" t="s">
        <v>76</v>
      </c>
      <c r="C19" s="4" t="s">
        <v>77</v>
      </c>
    </row>
    <row r="20" spans="1:3">
      <c r="A20" s="4" t="s">
        <v>78</v>
      </c>
      <c r="B20" s="4" t="s">
        <v>79</v>
      </c>
      <c r="C20" s="4" t="s">
        <v>80</v>
      </c>
    </row>
    <row r="21" spans="1:3">
      <c r="A21" s="4" t="s">
        <v>81</v>
      </c>
      <c r="B21" s="4" t="s">
        <v>82</v>
      </c>
      <c r="C21" s="4" t="s">
        <v>83</v>
      </c>
    </row>
  </sheetData>
  <mergeCells count="3">
    <mergeCell ref="A1:C1"/>
    <mergeCell ref="A2:C2"/>
    <mergeCell ref="A17:C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25.7109375" customWidth="1"/>
    <col min="2" max="4" width="15.7109375" customWidth="1"/>
    <col min="5" max="5" width="57.7109375" customWidth="1"/>
  </cols>
  <sheetData>
    <row r="1" spans="1:5">
      <c r="A1" s="1" t="s">
        <v>84</v>
      </c>
      <c r="B1" s="1"/>
      <c r="C1" s="1"/>
      <c r="D1" s="1"/>
      <c r="E1" s="1"/>
    </row>
    <row r="2" spans="1:5">
      <c r="A2" s="2" t="s">
        <v>85</v>
      </c>
      <c r="B2" s="2"/>
      <c r="C2" s="2"/>
      <c r="D2" s="2"/>
      <c r="E2" s="2"/>
    </row>
    <row r="3" spans="1:5">
      <c r="A3" s="3" t="s">
        <v>86</v>
      </c>
      <c r="B3" s="3" t="s">
        <v>87</v>
      </c>
      <c r="C3" s="3" t="s">
        <v>88</v>
      </c>
      <c r="D3" s="3" t="s">
        <v>89</v>
      </c>
      <c r="E3" s="3" t="s">
        <v>90</v>
      </c>
    </row>
    <row r="4" spans="1:5">
      <c r="A4" s="4" t="s">
        <v>91</v>
      </c>
      <c r="B4" s="5">
        <v>2</v>
      </c>
      <c r="C4" s="5">
        <v>3</v>
      </c>
      <c r="D4" s="6">
        <f>B4*C4</f>
        <v>6</v>
      </c>
      <c r="E4" s="4" t="s">
        <v>92</v>
      </c>
    </row>
    <row r="5" spans="1:5">
      <c r="A5" s="4" t="s">
        <v>93</v>
      </c>
      <c r="B5" s="5">
        <v>2</v>
      </c>
      <c r="C5" s="5">
        <v>3</v>
      </c>
      <c r="D5" s="6">
        <f>B5*C5</f>
        <v>6</v>
      </c>
      <c r="E5" s="4" t="s">
        <v>94</v>
      </c>
    </row>
    <row r="6" spans="1:5">
      <c r="A6" s="4" t="s">
        <v>95</v>
      </c>
      <c r="B6" s="5">
        <v>2</v>
      </c>
      <c r="C6" s="5">
        <v>2</v>
      </c>
      <c r="D6" s="6">
        <f>B6*C6</f>
        <v>4</v>
      </c>
      <c r="E6" s="4" t="s">
        <v>96</v>
      </c>
    </row>
    <row r="7" spans="1:5">
      <c r="A7" s="4" t="s">
        <v>97</v>
      </c>
      <c r="B7" s="5">
        <v>2</v>
      </c>
      <c r="C7" s="5">
        <v>2</v>
      </c>
      <c r="D7" s="6">
        <f>B7*C7</f>
        <v>4</v>
      </c>
      <c r="E7" s="4" t="s">
        <v>98</v>
      </c>
    </row>
    <row r="8" spans="1:5">
      <c r="A8" s="4" t="s">
        <v>99</v>
      </c>
      <c r="B8" s="5">
        <v>2</v>
      </c>
      <c r="C8" s="5">
        <v>3</v>
      </c>
      <c r="D8" s="6">
        <f>B8*C8</f>
        <v>6</v>
      </c>
      <c r="E8" s="4" t="s">
        <v>100</v>
      </c>
    </row>
    <row r="9" spans="1:5">
      <c r="A9" s="4" t="s">
        <v>101</v>
      </c>
      <c r="B9" s="5">
        <v>1</v>
      </c>
      <c r="C9" s="5">
        <v>2</v>
      </c>
      <c r="D9" s="6">
        <f>B9*C9</f>
        <v>2</v>
      </c>
      <c r="E9" s="4" t="s">
        <v>102</v>
      </c>
    </row>
    <row r="10" spans="1:5">
      <c r="A10" s="4" t="s">
        <v>103</v>
      </c>
      <c r="B10" s="5">
        <v>2</v>
      </c>
      <c r="C10" s="5">
        <v>2</v>
      </c>
      <c r="D10" s="6">
        <f>B10*C10</f>
        <v>4</v>
      </c>
      <c r="E10" s="4" t="s">
        <v>104</v>
      </c>
    </row>
    <row r="12" spans="1:5">
      <c r="A12" s="8" t="s">
        <v>105</v>
      </c>
      <c r="B12" s="8"/>
      <c r="C12" s="8"/>
      <c r="D12" s="8"/>
      <c r="E12" s="8"/>
    </row>
    <row r="13" spans="1:5">
      <c r="A13" s="9" t="s">
        <v>106</v>
      </c>
      <c r="B13" s="9"/>
      <c r="C13" s="9"/>
      <c r="D13" s="9"/>
      <c r="E13" s="9"/>
    </row>
  </sheetData>
  <mergeCells count="4">
    <mergeCell ref="A1:E1"/>
    <mergeCell ref="A2:E2"/>
    <mergeCell ref="A12:E12"/>
    <mergeCell ref="A13:E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9.7109375" customWidth="1"/>
    <col min="2" max="2" width="30.7109375" customWidth="1"/>
    <col min="3" max="3" width="29.7109375" customWidth="1"/>
    <col min="4" max="4" width="48.7109375" customWidth="1"/>
    <col min="5" max="5" width="45.7109375" customWidth="1"/>
  </cols>
  <sheetData>
    <row r="1" spans="1:5">
      <c r="A1" s="1" t="s">
        <v>107</v>
      </c>
      <c r="B1" s="1"/>
      <c r="C1" s="1"/>
      <c r="D1" s="1"/>
      <c r="E1" s="1"/>
    </row>
    <row r="3" spans="1:5">
      <c r="A3" s="3" t="s">
        <v>108</v>
      </c>
      <c r="B3" s="3" t="s">
        <v>109</v>
      </c>
      <c r="C3" s="3" t="s">
        <v>110</v>
      </c>
      <c r="D3" s="3" t="s">
        <v>111</v>
      </c>
      <c r="E3" s="3" t="s">
        <v>112</v>
      </c>
    </row>
    <row r="4" spans="1:5" ht="54" customHeight="1">
      <c r="A4" s="4" t="s">
        <v>113</v>
      </c>
      <c r="B4" s="4" t="s">
        <v>114</v>
      </c>
      <c r="C4" s="4" t="s">
        <v>115</v>
      </c>
      <c r="D4" s="4" t="s">
        <v>116</v>
      </c>
      <c r="E4" s="4" t="s">
        <v>117</v>
      </c>
    </row>
    <row r="5" spans="1:5" ht="54" customHeight="1">
      <c r="A5" s="4" t="s">
        <v>118</v>
      </c>
      <c r="B5" s="4" t="s">
        <v>119</v>
      </c>
      <c r="C5" s="4" t="s">
        <v>120</v>
      </c>
      <c r="D5" s="4" t="s">
        <v>121</v>
      </c>
      <c r="E5" s="4" t="s">
        <v>122</v>
      </c>
    </row>
    <row r="6" spans="1:5" ht="54" customHeight="1">
      <c r="A6" s="4" t="s">
        <v>123</v>
      </c>
      <c r="B6" s="4" t="s">
        <v>124</v>
      </c>
      <c r="C6" s="4" t="s">
        <v>125</v>
      </c>
      <c r="D6" s="4" t="s">
        <v>126</v>
      </c>
      <c r="E6" s="4" t="s">
        <v>127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Cash Bridge</vt:lpstr>
      <vt:lpstr>Stress Tests</vt:lpstr>
      <vt:lpstr>Risk Register</vt:lpstr>
      <vt:lpstr>CFO 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UBS 2011 illustrative Treasury liquidity model</dc:title>
  <dc:subject>Cash bridge and stress assumptions; not historical UBS Treasury data</dc:subject>
  <dc:creator>Corporate Treasury Management Team</dc:creator>
  <cp:lastModifiedBy>Corporate Treasury Management Team</cp:lastModifiedBy>
  <dcterms:created xsi:type="dcterms:W3CDTF">2026-10-30T20:26:54Z</dcterms:created>
  <dcterms:modified xsi:type="dcterms:W3CDTF">2026-10-30T20:26:54Z</dcterms:modified>
</cp:coreProperties>
</file>