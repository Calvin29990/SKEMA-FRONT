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skema-my.sharepoint.com/personal/sabrina_chikh_skema_edu/Documents/dossiers cours/Excel financial modeling 2025/Pour K2, ne pas modifier/"/>
    </mc:Choice>
  </mc:AlternateContent>
  <xr:revisionPtr revIDLastSave="7012" documentId="8_{F958074F-5F44-415E-BF74-06CB764349A7}" xr6:coauthVersionLast="47" xr6:coauthVersionMax="47" xr10:uidLastSave="{224892BC-C669-40A2-8155-95E5E8D405C3}"/>
  <bookViews>
    <workbookView xWindow="-110" yWindow="-110" windowWidth="19420" windowHeight="11500" firstSheet="2" activeTab="5" xr2:uid="{00000000-000D-0000-FFFF-FFFF00000000}"/>
  </bookViews>
  <sheets>
    <sheet name="MENU" sheetId="2" r:id="rId1"/>
    <sheet name="STOCK VALUATION" sheetId="1" r:id="rId2"/>
    <sheet name="BOND VALUATION" sheetId="3" r:id="rId3"/>
    <sheet name="BETA" sheetId="8" r:id="rId4"/>
    <sheet name="BETA APPL" sheetId="9" r:id="rId5"/>
    <sheet name="PORTFOLIO ALLOCATION" sheetId="10" r:id="rId6"/>
  </sheets>
  <definedNames>
    <definedName name="APR">#REF!</definedName>
    <definedName name="Cash_flows">#REF!</definedName>
    <definedName name="EAR">#REF!</definedName>
    <definedName name="Period">#REF!</definedName>
    <definedName name="Price_to_maturity_APR">#REF!</definedName>
    <definedName name="Price_to_maturity_EAR">#REF!</definedName>
    <definedName name="solver_adj" localSheetId="5" hidden="1">'PORTFOLIO ALLOCATION'!$Q$8:$AD$8</definedName>
    <definedName name="solver_cvg" localSheetId="5" hidden="1">0.0001</definedName>
    <definedName name="solver_drv" localSheetId="5" hidden="1">1</definedName>
    <definedName name="solver_eng" localSheetId="5" hidden="1">1</definedName>
    <definedName name="solver_est" localSheetId="5" hidden="1">1</definedName>
    <definedName name="solver_itr" localSheetId="5" hidden="1">2147483647</definedName>
    <definedName name="solver_lhs1" localSheetId="5" hidden="1">'PORTFOLIO ALLOCATION'!$P$8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1</definedName>
    <definedName name="solver_nwt" localSheetId="5" hidden="1">1</definedName>
    <definedName name="solver_opt" localSheetId="5" hidden="1">'PORTFOLIO ALLOCATION'!$AF$2</definedName>
    <definedName name="solver_pre" localSheetId="5" hidden="1">0.000001</definedName>
    <definedName name="solver_rbv" localSheetId="5" hidden="1">1</definedName>
    <definedName name="solver_rel1" localSheetId="5" hidden="1">2</definedName>
    <definedName name="solver_rhs1" localSheetId="5" hidden="1">1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1</definedName>
    <definedName name="solver_val" localSheetId="5" hidden="1">0</definedName>
    <definedName name="solver_ver" localSheetId="5" hidden="1">3</definedName>
    <definedName name="Yield_to_maturity__annualized">#REF!</definedName>
  </definedNames>
  <calcPr calcId="191029" calcCompleted="0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0" l="1"/>
  <c r="AE13" i="10"/>
  <c r="K2" i="9"/>
  <c r="J2" i="9"/>
  <c r="B8" i="3"/>
  <c r="Q6" i="10"/>
  <c r="Q5" i="10"/>
  <c r="Q4" i="10"/>
  <c r="Q3" i="10"/>
  <c r="K3" i="9"/>
  <c r="AE16" i="10"/>
  <c r="G9" i="3"/>
  <c r="J3" i="9" l="1"/>
  <c r="E4" i="9"/>
  <c r="S4" i="10" l="1"/>
  <c r="AE15" i="10"/>
  <c r="G15" i="1"/>
  <c r="B14" i="3" l="1"/>
  <c r="B15" i="3" l="1"/>
  <c r="B18" i="3" s="1"/>
  <c r="E3" i="9"/>
  <c r="C14" i="1"/>
  <c r="C13" i="1"/>
  <c r="AE14" i="10" l="1"/>
  <c r="Q14" i="10"/>
  <c r="G16" i="1"/>
  <c r="B18" i="1"/>
  <c r="AE23" i="10" l="1"/>
  <c r="Q15" i="10"/>
  <c r="AE21" i="10" l="1"/>
  <c r="AE36" i="10"/>
  <c r="E16" i="9" l="1"/>
  <c r="Q13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Q219" i="10"/>
  <c r="Q220" i="10"/>
  <c r="Q221" i="10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241" i="10"/>
  <c r="Q242" i="10"/>
  <c r="Q243" i="10"/>
  <c r="Q244" i="10"/>
  <c r="Q245" i="10"/>
  <c r="Q246" i="10"/>
  <c r="Q247" i="10"/>
  <c r="Q248" i="10"/>
  <c r="Q249" i="10"/>
  <c r="Q250" i="10"/>
  <c r="Q251" i="10"/>
  <c r="Q252" i="10"/>
  <c r="Q253" i="10"/>
  <c r="Q254" i="10"/>
  <c r="Q255" i="10"/>
  <c r="Q256" i="10"/>
  <c r="Q257" i="10"/>
  <c r="Q258" i="10"/>
  <c r="Q259" i="10"/>
  <c r="Q260" i="10"/>
  <c r="Q261" i="10"/>
  <c r="Q262" i="10"/>
  <c r="Q263" i="10"/>
  <c r="Q264" i="10"/>
  <c r="Q265" i="10"/>
  <c r="Q266" i="10"/>
  <c r="Q267" i="10"/>
  <c r="Q268" i="10"/>
  <c r="Q269" i="10"/>
  <c r="Q270" i="10"/>
  <c r="Q271" i="10"/>
  <c r="Q272" i="10"/>
  <c r="Q273" i="10"/>
  <c r="Q274" i="10"/>
  <c r="Q275" i="10"/>
  <c r="Q276" i="10"/>
  <c r="Q277" i="10"/>
  <c r="Q278" i="10"/>
  <c r="Q279" i="10"/>
  <c r="Q280" i="10"/>
  <c r="Q281" i="10"/>
  <c r="Q282" i="10"/>
  <c r="Q283" i="10"/>
  <c r="Q284" i="10"/>
  <c r="Q285" i="10"/>
  <c r="Q286" i="10"/>
  <c r="Q287" i="10"/>
  <c r="Q288" i="10"/>
  <c r="Q289" i="10"/>
  <c r="Q290" i="10"/>
  <c r="Q291" i="10"/>
  <c r="Q292" i="10"/>
  <c r="Q293" i="10"/>
  <c r="Q294" i="10"/>
  <c r="Q295" i="10"/>
  <c r="Q296" i="10"/>
  <c r="Q297" i="10"/>
  <c r="Q298" i="10"/>
  <c r="Q299" i="10"/>
  <c r="Q300" i="10"/>
  <c r="Q301" i="10"/>
  <c r="Q302" i="10"/>
  <c r="Q303" i="10"/>
  <c r="Q304" i="10"/>
  <c r="Q305" i="10"/>
  <c r="Q306" i="10"/>
  <c r="Q307" i="10"/>
  <c r="Q308" i="10"/>
  <c r="Q309" i="10"/>
  <c r="Q310" i="10"/>
  <c r="Q311" i="10"/>
  <c r="Q312" i="10"/>
  <c r="Q313" i="10"/>
  <c r="Q314" i="10"/>
  <c r="Q315" i="10"/>
  <c r="Q316" i="10"/>
  <c r="Q317" i="10"/>
  <c r="Q318" i="10"/>
  <c r="Q319" i="10"/>
  <c r="Q320" i="10"/>
  <c r="Q321" i="10"/>
  <c r="Q322" i="10"/>
  <c r="Q323" i="10"/>
  <c r="Q324" i="10"/>
  <c r="Q325" i="10"/>
  <c r="Q326" i="10"/>
  <c r="Q327" i="10"/>
  <c r="Q328" i="10"/>
  <c r="Q329" i="10"/>
  <c r="Q330" i="10"/>
  <c r="Q331" i="10"/>
  <c r="Q332" i="10"/>
  <c r="Q333" i="10"/>
  <c r="Q334" i="10"/>
  <c r="Q335" i="10"/>
  <c r="Q336" i="10"/>
  <c r="Q337" i="10"/>
  <c r="Q338" i="10"/>
  <c r="Q339" i="10"/>
  <c r="Q340" i="10"/>
  <c r="Q341" i="10"/>
  <c r="Q342" i="10"/>
  <c r="Q343" i="10"/>
  <c r="Q344" i="10"/>
  <c r="Q345" i="10"/>
  <c r="Q346" i="10"/>
  <c r="Q347" i="10"/>
  <c r="Q348" i="10"/>
  <c r="Q349" i="10"/>
  <c r="Q350" i="10"/>
  <c r="Q351" i="10"/>
  <c r="Q352" i="10"/>
  <c r="Q353" i="10"/>
  <c r="Q354" i="10"/>
  <c r="Q355" i="10"/>
  <c r="Q356" i="10"/>
  <c r="Q357" i="10"/>
  <c r="Q358" i="10"/>
  <c r="Q359" i="10"/>
  <c r="Q360" i="10"/>
  <c r="Q361" i="10"/>
  <c r="Q362" i="10"/>
  <c r="Q363" i="10"/>
  <c r="Q364" i="10"/>
  <c r="Q365" i="10"/>
  <c r="Q366" i="10"/>
  <c r="Q367" i="10"/>
  <c r="Q368" i="10"/>
  <c r="Q369" i="10"/>
  <c r="Q370" i="10"/>
  <c r="Q371" i="10"/>
  <c r="Q372" i="10"/>
  <c r="Q373" i="10"/>
  <c r="Q374" i="10"/>
  <c r="Q375" i="10"/>
  <c r="Q376" i="10"/>
  <c r="Q377" i="10"/>
  <c r="Q378" i="10"/>
  <c r="Q379" i="10"/>
  <c r="Q380" i="10"/>
  <c r="Q381" i="10"/>
  <c r="Q382" i="10"/>
  <c r="Q383" i="10"/>
  <c r="Q384" i="10"/>
  <c r="Q385" i="10"/>
  <c r="Q386" i="10"/>
  <c r="Q387" i="10"/>
  <c r="Q388" i="10"/>
  <c r="Q389" i="10"/>
  <c r="Q390" i="10"/>
  <c r="Q391" i="10"/>
  <c r="Q392" i="10"/>
  <c r="Q393" i="10"/>
  <c r="Q394" i="10"/>
  <c r="Q395" i="10"/>
  <c r="Q396" i="10"/>
  <c r="Q397" i="10"/>
  <c r="Q398" i="10"/>
  <c r="Q399" i="10"/>
  <c r="Q400" i="10"/>
  <c r="Q401" i="10"/>
  <c r="Q402" i="10"/>
  <c r="Q403" i="10"/>
  <c r="Q404" i="10"/>
  <c r="Q405" i="10"/>
  <c r="Q406" i="10"/>
  <c r="Q407" i="10"/>
  <c r="Q408" i="10"/>
  <c r="Q409" i="10"/>
  <c r="Q410" i="10"/>
  <c r="Q411" i="10"/>
  <c r="Q412" i="10"/>
  <c r="Q413" i="10"/>
  <c r="Q414" i="10"/>
  <c r="Q415" i="10"/>
  <c r="Q416" i="10"/>
  <c r="Q417" i="10"/>
  <c r="Q418" i="10"/>
  <c r="Q419" i="10"/>
  <c r="Q420" i="10"/>
  <c r="Q421" i="10"/>
  <c r="Q422" i="10"/>
  <c r="Q423" i="10"/>
  <c r="Q424" i="10"/>
  <c r="Q425" i="10"/>
  <c r="Q426" i="10"/>
  <c r="Q427" i="10"/>
  <c r="Q428" i="10"/>
  <c r="Q429" i="10"/>
  <c r="Q430" i="10"/>
  <c r="Q431" i="10"/>
  <c r="Q432" i="10"/>
  <c r="Q433" i="10"/>
  <c r="Q434" i="10"/>
  <c r="Q435" i="10"/>
  <c r="Q436" i="10"/>
  <c r="Q437" i="10"/>
  <c r="Q438" i="10"/>
  <c r="Q439" i="10"/>
  <c r="Q440" i="10"/>
  <c r="Q441" i="10"/>
  <c r="Q442" i="10"/>
  <c r="Q443" i="10"/>
  <c r="Q444" i="10"/>
  <c r="Q445" i="10"/>
  <c r="Q446" i="10"/>
  <c r="Q447" i="10"/>
  <c r="Q448" i="10"/>
  <c r="Q449" i="10"/>
  <c r="Q450" i="10"/>
  <c r="Q451" i="10"/>
  <c r="Q452" i="10"/>
  <c r="Q453" i="10"/>
  <c r="Q454" i="10"/>
  <c r="Q455" i="10"/>
  <c r="Q456" i="10"/>
  <c r="Q457" i="10"/>
  <c r="Q458" i="10"/>
  <c r="Q459" i="10"/>
  <c r="Q460" i="10"/>
  <c r="Q461" i="10"/>
  <c r="Q462" i="10"/>
  <c r="Q463" i="10"/>
  <c r="Q464" i="10"/>
  <c r="Q465" i="10"/>
  <c r="Q466" i="10"/>
  <c r="Q467" i="10"/>
  <c r="Q468" i="10"/>
  <c r="Q469" i="10"/>
  <c r="Q470" i="10"/>
  <c r="Q471" i="10"/>
  <c r="Q472" i="10"/>
  <c r="Q473" i="10"/>
  <c r="Q474" i="10"/>
  <c r="Q475" i="10"/>
  <c r="Q476" i="10"/>
  <c r="Q477" i="10"/>
  <c r="Q478" i="10"/>
  <c r="Q479" i="10"/>
  <c r="Q480" i="10"/>
  <c r="Q481" i="10"/>
  <c r="Q482" i="10"/>
  <c r="Q483" i="10"/>
  <c r="Q484" i="10"/>
  <c r="Q485" i="10"/>
  <c r="Q486" i="10"/>
  <c r="Q487" i="10"/>
  <c r="Q488" i="10"/>
  <c r="Q489" i="10"/>
  <c r="Q490" i="10"/>
  <c r="Q491" i="10"/>
  <c r="Q492" i="10"/>
  <c r="Q493" i="10"/>
  <c r="Q494" i="10"/>
  <c r="Q495" i="10"/>
  <c r="Q496" i="10"/>
  <c r="Q497" i="10"/>
  <c r="Q498" i="10"/>
  <c r="Q499" i="10"/>
  <c r="Q500" i="10"/>
  <c r="Q501" i="10"/>
  <c r="Q502" i="10"/>
  <c r="Q503" i="10"/>
  <c r="Q504" i="10"/>
  <c r="Q505" i="10"/>
  <c r="Q506" i="10"/>
  <c r="Q507" i="10"/>
  <c r="Q508" i="10"/>
  <c r="Q509" i="10"/>
  <c r="Q510" i="10"/>
  <c r="Q511" i="10"/>
  <c r="Q512" i="10"/>
  <c r="Q513" i="10"/>
  <c r="Q514" i="10"/>
  <c r="Q515" i="10"/>
  <c r="Q516" i="10"/>
  <c r="Q517" i="10"/>
  <c r="Q518" i="10"/>
  <c r="Q519" i="10"/>
  <c r="Q520" i="10"/>
  <c r="Q521" i="10"/>
  <c r="Q522" i="10"/>
  <c r="Q523" i="10"/>
  <c r="Q524" i="10"/>
  <c r="Q525" i="10"/>
  <c r="Q526" i="10"/>
  <c r="Q527" i="10"/>
  <c r="Q528" i="10"/>
  <c r="Q529" i="10"/>
  <c r="Q530" i="10"/>
  <c r="Q531" i="10"/>
  <c r="Q532" i="10"/>
  <c r="Q533" i="10"/>
  <c r="Q534" i="10"/>
  <c r="Q535" i="10"/>
  <c r="Q536" i="10"/>
  <c r="Q537" i="10"/>
  <c r="Q538" i="10"/>
  <c r="Q539" i="10"/>
  <c r="Q540" i="10"/>
  <c r="Q541" i="10"/>
  <c r="Q542" i="10"/>
  <c r="Q543" i="10"/>
  <c r="Q544" i="10"/>
  <c r="Q545" i="10"/>
  <c r="Q546" i="10"/>
  <c r="Q547" i="10"/>
  <c r="Q548" i="10"/>
  <c r="Q549" i="10"/>
  <c r="Q550" i="10"/>
  <c r="Q551" i="10"/>
  <c r="Q552" i="10"/>
  <c r="Q553" i="10"/>
  <c r="Q554" i="10"/>
  <c r="Q555" i="10"/>
  <c r="Q556" i="10"/>
  <c r="Q557" i="10"/>
  <c r="Q558" i="10"/>
  <c r="Q559" i="10"/>
  <c r="Q560" i="10"/>
  <c r="Q561" i="10"/>
  <c r="Q562" i="10"/>
  <c r="Q563" i="10"/>
  <c r="Q564" i="10"/>
  <c r="Q565" i="10"/>
  <c r="Q566" i="10"/>
  <c r="Q567" i="10"/>
  <c r="Q568" i="10"/>
  <c r="Q569" i="10"/>
  <c r="Q570" i="10"/>
  <c r="Q571" i="10"/>
  <c r="Q572" i="10"/>
  <c r="Q573" i="10"/>
  <c r="Q574" i="10"/>
  <c r="Q575" i="10"/>
  <c r="Q576" i="10"/>
  <c r="Q577" i="10"/>
  <c r="Q578" i="10"/>
  <c r="Q579" i="10"/>
  <c r="Q580" i="10"/>
  <c r="Q581" i="10"/>
  <c r="Q582" i="10"/>
  <c r="Q583" i="10"/>
  <c r="Q584" i="10"/>
  <c r="Q585" i="10"/>
  <c r="Q586" i="10"/>
  <c r="Q587" i="10"/>
  <c r="Q588" i="10"/>
  <c r="Q589" i="10"/>
  <c r="Q590" i="10"/>
  <c r="Q591" i="10"/>
  <c r="Q592" i="10"/>
  <c r="Q593" i="10"/>
  <c r="Q594" i="10"/>
  <c r="Q595" i="10"/>
  <c r="Q596" i="10"/>
  <c r="Q597" i="10"/>
  <c r="Q598" i="10"/>
  <c r="Q599" i="10"/>
  <c r="Q600" i="10"/>
  <c r="Q601" i="10"/>
  <c r="Q602" i="10"/>
  <c r="Q603" i="10"/>
  <c r="Q604" i="10"/>
  <c r="Q605" i="10"/>
  <c r="Q606" i="10"/>
  <c r="Q607" i="10"/>
  <c r="Q608" i="10"/>
  <c r="Q609" i="10"/>
  <c r="Q610" i="10"/>
  <c r="Q611" i="10"/>
  <c r="Q612" i="10"/>
  <c r="Q613" i="10"/>
  <c r="Q614" i="10"/>
  <c r="Q615" i="10"/>
  <c r="Q616" i="10"/>
  <c r="Q617" i="10"/>
  <c r="Q618" i="10"/>
  <c r="Q619" i="10"/>
  <c r="Q620" i="10"/>
  <c r="Q621" i="10"/>
  <c r="Q622" i="10"/>
  <c r="Q623" i="10"/>
  <c r="Q624" i="10"/>
  <c r="Q625" i="10"/>
  <c r="Q626" i="10"/>
  <c r="Q627" i="10"/>
  <c r="Q628" i="10"/>
  <c r="Q629" i="10"/>
  <c r="Q630" i="10"/>
  <c r="Q631" i="10"/>
  <c r="Q632" i="10"/>
  <c r="Q633" i="10"/>
  <c r="Q634" i="10"/>
  <c r="Q635" i="10"/>
  <c r="Q636" i="10"/>
  <c r="Q637" i="10"/>
  <c r="Q638" i="10"/>
  <c r="Q639" i="10"/>
  <c r="Q640" i="10"/>
  <c r="Q641" i="10"/>
  <c r="Q642" i="10"/>
  <c r="Q643" i="10"/>
  <c r="Q644" i="10"/>
  <c r="Q645" i="10"/>
  <c r="Q646" i="10"/>
  <c r="Q647" i="10"/>
  <c r="Q648" i="10"/>
  <c r="Q649" i="10"/>
  <c r="Q650" i="10"/>
  <c r="Q651" i="10"/>
  <c r="Q652" i="10"/>
  <c r="Q653" i="10"/>
  <c r="Q654" i="10"/>
  <c r="Q655" i="10"/>
  <c r="Q656" i="10"/>
  <c r="Q657" i="10"/>
  <c r="Q658" i="10"/>
  <c r="Q659" i="10"/>
  <c r="Q660" i="10"/>
  <c r="Q661" i="10"/>
  <c r="Q662" i="10"/>
  <c r="Q663" i="10"/>
  <c r="Q664" i="10"/>
  <c r="Q665" i="10"/>
  <c r="Q666" i="10"/>
  <c r="Q667" i="10"/>
  <c r="Q668" i="10"/>
  <c r="Q669" i="10"/>
  <c r="Q670" i="10"/>
  <c r="Q671" i="10"/>
  <c r="Q672" i="10"/>
  <c r="Q673" i="10"/>
  <c r="Q674" i="10"/>
  <c r="Q675" i="10"/>
  <c r="Q676" i="10"/>
  <c r="Q677" i="10"/>
  <c r="Q678" i="10"/>
  <c r="Q679" i="10"/>
  <c r="Q680" i="10"/>
  <c r="Q681" i="10"/>
  <c r="Q682" i="10"/>
  <c r="Q683" i="10"/>
  <c r="Q684" i="10"/>
  <c r="Q685" i="10"/>
  <c r="Q686" i="10"/>
  <c r="Q687" i="10"/>
  <c r="Q688" i="10"/>
  <c r="Q689" i="10"/>
  <c r="Q690" i="10"/>
  <c r="Q691" i="10"/>
  <c r="Q692" i="10"/>
  <c r="Q693" i="10"/>
  <c r="Q694" i="10"/>
  <c r="Q695" i="10"/>
  <c r="Q696" i="10"/>
  <c r="Q697" i="10"/>
  <c r="Q698" i="10"/>
  <c r="Q699" i="10"/>
  <c r="Q700" i="10"/>
  <c r="Q701" i="10"/>
  <c r="Q702" i="10"/>
  <c r="Q703" i="10"/>
  <c r="Q704" i="10"/>
  <c r="Q705" i="10"/>
  <c r="Q706" i="10"/>
  <c r="Q707" i="10"/>
  <c r="Q708" i="10"/>
  <c r="Q709" i="10"/>
  <c r="Q710" i="10"/>
  <c r="Q711" i="10"/>
  <c r="Q712" i="10"/>
  <c r="Q713" i="10"/>
  <c r="Q714" i="10"/>
  <c r="Q715" i="10"/>
  <c r="Q716" i="10"/>
  <c r="Q717" i="10"/>
  <c r="Q718" i="10"/>
  <c r="Q719" i="10"/>
  <c r="Q720" i="10"/>
  <c r="Q721" i="10"/>
  <c r="Q722" i="10"/>
  <c r="Q723" i="10"/>
  <c r="Q724" i="10"/>
  <c r="Q725" i="10"/>
  <c r="Q726" i="10"/>
  <c r="Q727" i="10"/>
  <c r="Q728" i="10"/>
  <c r="Q729" i="10"/>
  <c r="Q730" i="10"/>
  <c r="Q731" i="10"/>
  <c r="Q732" i="10"/>
  <c r="Q733" i="10"/>
  <c r="Q734" i="10"/>
  <c r="Q735" i="10"/>
  <c r="Q736" i="10"/>
  <c r="Q737" i="10"/>
  <c r="Q738" i="10"/>
  <c r="Q739" i="10"/>
  <c r="Q740" i="10"/>
  <c r="Q741" i="10"/>
  <c r="Q742" i="10"/>
  <c r="Q743" i="10"/>
  <c r="Q744" i="10"/>
  <c r="Q745" i="10"/>
  <c r="Q746" i="10"/>
  <c r="Q747" i="10"/>
  <c r="Q748" i="10"/>
  <c r="Q749" i="10"/>
  <c r="Q750" i="10"/>
  <c r="Q751" i="10"/>
  <c r="Q752" i="10"/>
  <c r="Q753" i="10"/>
  <c r="Q754" i="10"/>
  <c r="Q755" i="10"/>
  <c r="Q756" i="10"/>
  <c r="Q757" i="10"/>
  <c r="Q758" i="10"/>
  <c r="Q759" i="10"/>
  <c r="Q760" i="10"/>
  <c r="Q761" i="10"/>
  <c r="Q762" i="10"/>
  <c r="Q763" i="10"/>
  <c r="Q764" i="10"/>
  <c r="Q765" i="10"/>
  <c r="Q766" i="10"/>
  <c r="Q767" i="10"/>
  <c r="Q768" i="10"/>
  <c r="Q769" i="10"/>
  <c r="Q770" i="10"/>
  <c r="Q771" i="10"/>
  <c r="Q772" i="10"/>
  <c r="Q773" i="10"/>
  <c r="Q774" i="10"/>
  <c r="Q775" i="10"/>
  <c r="Q776" i="10"/>
  <c r="Q777" i="10"/>
  <c r="Q778" i="10"/>
  <c r="Q779" i="10"/>
  <c r="Q780" i="10"/>
  <c r="Q781" i="10"/>
  <c r="Q782" i="10"/>
  <c r="Q783" i="10"/>
  <c r="Q784" i="10"/>
  <c r="Q785" i="10"/>
  <c r="Q786" i="10"/>
  <c r="Q787" i="10"/>
  <c r="Q788" i="10"/>
  <c r="Q789" i="10"/>
  <c r="Q790" i="10"/>
  <c r="Q791" i="10"/>
  <c r="Q792" i="10"/>
  <c r="Q793" i="10"/>
  <c r="Q794" i="10"/>
  <c r="Q795" i="10"/>
  <c r="Q796" i="10"/>
  <c r="Q797" i="10"/>
  <c r="Q798" i="10"/>
  <c r="Q799" i="10"/>
  <c r="Q800" i="10"/>
  <c r="Q801" i="10"/>
  <c r="Q802" i="10"/>
  <c r="Q803" i="10"/>
  <c r="Q804" i="10"/>
  <c r="Q805" i="10"/>
  <c r="Q806" i="10"/>
  <c r="Q807" i="10"/>
  <c r="Q808" i="10"/>
  <c r="Q809" i="10"/>
  <c r="Q810" i="10"/>
  <c r="Q811" i="10"/>
  <c r="Q812" i="10"/>
  <c r="Q813" i="10"/>
  <c r="Q814" i="10"/>
  <c r="Q815" i="10"/>
  <c r="Q816" i="10"/>
  <c r="Q817" i="10"/>
  <c r="Q818" i="10"/>
  <c r="Q819" i="10"/>
  <c r="Q820" i="10"/>
  <c r="Q821" i="10"/>
  <c r="Q822" i="10"/>
  <c r="Q823" i="10"/>
  <c r="Q824" i="10"/>
  <c r="Q825" i="10"/>
  <c r="Q826" i="10"/>
  <c r="Q827" i="10"/>
  <c r="Q828" i="10"/>
  <c r="Q829" i="10"/>
  <c r="Q830" i="10"/>
  <c r="Q831" i="10"/>
  <c r="Q832" i="10"/>
  <c r="Q833" i="10"/>
  <c r="Q834" i="10"/>
  <c r="Q835" i="10"/>
  <c r="Q836" i="10"/>
  <c r="Q837" i="10"/>
  <c r="Q838" i="10"/>
  <c r="Q839" i="10"/>
  <c r="Q840" i="10"/>
  <c r="Q841" i="10"/>
  <c r="Q842" i="10"/>
  <c r="Q843" i="10"/>
  <c r="Q844" i="10"/>
  <c r="Q845" i="10"/>
  <c r="Q846" i="10"/>
  <c r="Q847" i="10"/>
  <c r="Q848" i="10"/>
  <c r="Q849" i="10"/>
  <c r="Q850" i="10"/>
  <c r="Q851" i="10"/>
  <c r="Q852" i="10"/>
  <c r="Q853" i="10"/>
  <c r="Q854" i="10"/>
  <c r="Q855" i="10"/>
  <c r="Q856" i="10"/>
  <c r="Q857" i="10"/>
  <c r="Q858" i="10"/>
  <c r="Q859" i="10"/>
  <c r="Q860" i="10"/>
  <c r="Q861" i="10"/>
  <c r="Q862" i="10"/>
  <c r="Q863" i="10"/>
  <c r="Q864" i="10"/>
  <c r="Q865" i="10"/>
  <c r="Q866" i="10"/>
  <c r="Q867" i="10"/>
  <c r="Q868" i="10"/>
  <c r="Q869" i="10"/>
  <c r="Q870" i="10"/>
  <c r="Q871" i="10"/>
  <c r="Q872" i="10"/>
  <c r="Q873" i="10"/>
  <c r="Q874" i="10"/>
  <c r="Q875" i="10"/>
  <c r="Q876" i="10"/>
  <c r="Q877" i="10"/>
  <c r="Q878" i="10"/>
  <c r="Q879" i="10"/>
  <c r="Q880" i="10"/>
  <c r="Q881" i="10"/>
  <c r="Q882" i="10"/>
  <c r="Q883" i="10"/>
  <c r="Q884" i="10"/>
  <c r="Q885" i="10"/>
  <c r="Q886" i="10"/>
  <c r="Q887" i="10"/>
  <c r="Q888" i="10"/>
  <c r="Q889" i="10"/>
  <c r="Q890" i="10"/>
  <c r="Q891" i="10"/>
  <c r="Q892" i="10"/>
  <c r="Q893" i="10"/>
  <c r="Q894" i="10"/>
  <c r="Q895" i="10"/>
  <c r="Q896" i="10"/>
  <c r="Q897" i="10"/>
  <c r="Q898" i="10"/>
  <c r="Q899" i="10"/>
  <c r="Q900" i="10"/>
  <c r="Q901" i="10"/>
  <c r="Q902" i="10"/>
  <c r="Q903" i="10"/>
  <c r="Q904" i="10"/>
  <c r="Q905" i="10"/>
  <c r="Q906" i="10"/>
  <c r="Q907" i="10"/>
  <c r="Q908" i="10"/>
  <c r="Q909" i="10"/>
  <c r="Q910" i="10"/>
  <c r="Q911" i="10"/>
  <c r="Q912" i="10"/>
  <c r="Q913" i="10"/>
  <c r="Q914" i="10"/>
  <c r="Q915" i="10"/>
  <c r="Q916" i="10"/>
  <c r="Q917" i="10"/>
  <c r="Q918" i="10"/>
  <c r="Q919" i="10"/>
  <c r="Q920" i="10"/>
  <c r="Q921" i="10"/>
  <c r="Q922" i="10"/>
  <c r="Q923" i="10"/>
  <c r="Q924" i="10"/>
  <c r="Q925" i="10"/>
  <c r="Q926" i="10"/>
  <c r="Q927" i="10"/>
  <c r="Q928" i="10"/>
  <c r="Q929" i="10"/>
  <c r="Q930" i="10"/>
  <c r="Q931" i="10"/>
  <c r="Q932" i="10"/>
  <c r="Q933" i="10"/>
  <c r="Q934" i="10"/>
  <c r="Q935" i="10"/>
  <c r="Q936" i="10"/>
  <c r="Q937" i="10"/>
  <c r="Q938" i="10"/>
  <c r="Q939" i="10"/>
  <c r="Q940" i="10"/>
  <c r="Q941" i="10"/>
  <c r="Q942" i="10"/>
  <c r="Q943" i="10"/>
  <c r="Q944" i="10"/>
  <c r="Q945" i="10"/>
  <c r="Q946" i="10"/>
  <c r="Q947" i="10"/>
  <c r="Q948" i="10"/>
  <c r="Q949" i="10"/>
  <c r="Q950" i="10"/>
  <c r="Q951" i="10"/>
  <c r="Q952" i="10"/>
  <c r="Q953" i="10"/>
  <c r="Q954" i="10"/>
  <c r="Q955" i="10"/>
  <c r="Q956" i="10"/>
  <c r="Q957" i="10"/>
  <c r="Q958" i="10"/>
  <c r="Q959" i="10"/>
  <c r="Q960" i="10"/>
  <c r="Q961" i="10"/>
  <c r="Q962" i="10"/>
  <c r="Q963" i="10"/>
  <c r="Q964" i="10"/>
  <c r="Q965" i="10"/>
  <c r="Q966" i="10"/>
  <c r="Q967" i="10"/>
  <c r="Q968" i="10"/>
  <c r="Q969" i="10"/>
  <c r="Q970" i="10"/>
  <c r="Q971" i="10"/>
  <c r="Q972" i="10"/>
  <c r="Q973" i="10"/>
  <c r="Q974" i="10"/>
  <c r="Q975" i="10"/>
  <c r="Q976" i="10"/>
  <c r="Q977" i="10"/>
  <c r="Q978" i="10"/>
  <c r="Q979" i="10"/>
  <c r="Q980" i="10"/>
  <c r="Q981" i="10"/>
  <c r="Q982" i="10"/>
  <c r="Q983" i="10"/>
  <c r="Q984" i="10"/>
  <c r="Q985" i="10"/>
  <c r="Q986" i="10"/>
  <c r="Q987" i="10"/>
  <c r="Q988" i="10"/>
  <c r="Q989" i="10"/>
  <c r="Q990" i="10"/>
  <c r="Q991" i="10"/>
  <c r="Q992" i="10"/>
  <c r="Q993" i="10"/>
  <c r="Q994" i="10"/>
  <c r="Q995" i="10"/>
  <c r="Q996" i="10"/>
  <c r="Q997" i="10"/>
  <c r="Q998" i="10"/>
  <c r="Q999" i="10"/>
  <c r="Q1000" i="10"/>
  <c r="Q1001" i="10"/>
  <c r="Q1002" i="10"/>
  <c r="Q1003" i="10"/>
  <c r="Q1004" i="10"/>
  <c r="Q1005" i="10"/>
  <c r="Q1006" i="10"/>
  <c r="Q1007" i="10"/>
  <c r="Q1008" i="10"/>
  <c r="Q1009" i="10"/>
  <c r="Q1010" i="10"/>
  <c r="Q1011" i="10"/>
  <c r="Q1012" i="10"/>
  <c r="Q1013" i="10"/>
  <c r="Q1014" i="10"/>
  <c r="Q1015" i="10"/>
  <c r="Q1016" i="10"/>
  <c r="Q1017" i="10"/>
  <c r="Q1018" i="10"/>
  <c r="Q1019" i="10"/>
  <c r="Q1020" i="10"/>
  <c r="Q1021" i="10"/>
  <c r="Q1022" i="10"/>
  <c r="Q1023" i="10"/>
  <c r="Q1024" i="10"/>
  <c r="Q1025" i="10"/>
  <c r="Q1026" i="10"/>
  <c r="Q1027" i="10"/>
  <c r="Q1028" i="10"/>
  <c r="Q1029" i="10"/>
  <c r="Q1030" i="10"/>
  <c r="Q1031" i="10"/>
  <c r="Q1032" i="10"/>
  <c r="Q1033" i="10"/>
  <c r="Q1034" i="10"/>
  <c r="Q1035" i="10"/>
  <c r="Q1036" i="10"/>
  <c r="Q1037" i="10"/>
  <c r="Q1038" i="10"/>
  <c r="Q1039" i="10"/>
  <c r="Q1040" i="10"/>
  <c r="Q1041" i="10"/>
  <c r="Q1042" i="10"/>
  <c r="Q1043" i="10"/>
  <c r="Q1044" i="10"/>
  <c r="Q1045" i="10"/>
  <c r="Q1046" i="10"/>
  <c r="Q1047" i="10"/>
  <c r="Q1048" i="10"/>
  <c r="Q1049" i="10"/>
  <c r="Q1050" i="10"/>
  <c r="Q1051" i="10"/>
  <c r="Q1052" i="10"/>
  <c r="Q1053" i="10"/>
  <c r="Q1054" i="10"/>
  <c r="Q1055" i="10"/>
  <c r="Q1056" i="10"/>
  <c r="Q1057" i="10"/>
  <c r="Q1058" i="10"/>
  <c r="Q1059" i="10"/>
  <c r="Q1060" i="10"/>
  <c r="Q1061" i="10"/>
  <c r="Q1062" i="10"/>
  <c r="Q1063" i="10"/>
  <c r="Q1064" i="10"/>
  <c r="Q1065" i="10"/>
  <c r="Q1066" i="10"/>
  <c r="Q1067" i="10"/>
  <c r="Q1068" i="10"/>
  <c r="Q1069" i="10"/>
  <c r="Q1070" i="10"/>
  <c r="Q1071" i="10"/>
  <c r="Q1072" i="10"/>
  <c r="Q1073" i="10"/>
  <c r="Q1074" i="10"/>
  <c r="Q1075" i="10"/>
  <c r="Q1076" i="10"/>
  <c r="Q1077" i="10"/>
  <c r="Q1078" i="10"/>
  <c r="Q1079" i="10"/>
  <c r="Q1080" i="10"/>
  <c r="Q1081" i="10"/>
  <c r="Q1082" i="10"/>
  <c r="Q1083" i="10"/>
  <c r="Q1084" i="10"/>
  <c r="Q1085" i="10"/>
  <c r="Q1086" i="10"/>
  <c r="Q1087" i="10"/>
  <c r="Q1088" i="10"/>
  <c r="Q1089" i="10"/>
  <c r="Q1090" i="10"/>
  <c r="Q1091" i="10"/>
  <c r="Q1092" i="10"/>
  <c r="Q1093" i="10"/>
  <c r="Q1094" i="10"/>
  <c r="Q1095" i="10"/>
  <c r="Q1096" i="10"/>
  <c r="Q1097" i="10"/>
  <c r="Q1098" i="10"/>
  <c r="Q1099" i="10"/>
  <c r="Q1100" i="10"/>
  <c r="Q1101" i="10"/>
  <c r="Q1102" i="10"/>
  <c r="Q1103" i="10"/>
  <c r="Q1104" i="10"/>
  <c r="Q1105" i="10"/>
  <c r="Q1106" i="10"/>
  <c r="Q1107" i="10"/>
  <c r="Q1108" i="10"/>
  <c r="Q1109" i="10"/>
  <c r="Q1110" i="10"/>
  <c r="Q1111" i="10"/>
  <c r="Q1112" i="10"/>
  <c r="Q1113" i="10"/>
  <c r="Q1114" i="10"/>
  <c r="Q1115" i="10"/>
  <c r="Q1116" i="10"/>
  <c r="Q1117" i="10"/>
  <c r="Q1118" i="10"/>
  <c r="Q1119" i="10"/>
  <c r="Q1120" i="10"/>
  <c r="Q1121" i="10"/>
  <c r="Q1122" i="10"/>
  <c r="Q1123" i="10"/>
  <c r="Q1124" i="10"/>
  <c r="Q1125" i="10"/>
  <c r="Q1126" i="10"/>
  <c r="Q1127" i="10"/>
  <c r="Q1128" i="10"/>
  <c r="Q1129" i="10"/>
  <c r="Q1130" i="10"/>
  <c r="Q1131" i="10"/>
  <c r="Q1132" i="10"/>
  <c r="Q1133" i="10"/>
  <c r="Q1134" i="10"/>
  <c r="Q1135" i="10"/>
  <c r="Q1136" i="10"/>
  <c r="Q1137" i="10"/>
  <c r="Q1138" i="10"/>
  <c r="Q1139" i="10"/>
  <c r="Q1140" i="10"/>
  <c r="Q1141" i="10"/>
  <c r="Q1142" i="10"/>
  <c r="Q1143" i="10"/>
  <c r="Q1144" i="10"/>
  <c r="Q1145" i="10"/>
  <c r="Q1146" i="10"/>
  <c r="Q1147" i="10"/>
  <c r="Q1148" i="10"/>
  <c r="Q1149" i="10"/>
  <c r="Q1150" i="10"/>
  <c r="Q1151" i="10"/>
  <c r="Q1152" i="10"/>
  <c r="Q1153" i="10"/>
  <c r="Q1154" i="10"/>
  <c r="Q1155" i="10"/>
  <c r="Q1156" i="10"/>
  <c r="Q1157" i="10"/>
  <c r="Q1158" i="10"/>
  <c r="Q1159" i="10"/>
  <c r="Q1160" i="10"/>
  <c r="Q1161" i="10"/>
  <c r="Q1162" i="10"/>
  <c r="Q1163" i="10"/>
  <c r="Q1164" i="10"/>
  <c r="Q1165" i="10"/>
  <c r="Q1166" i="10"/>
  <c r="Q1167" i="10"/>
  <c r="Q1168" i="10"/>
  <c r="Q1169" i="10"/>
  <c r="Q1170" i="10"/>
  <c r="Q1171" i="10"/>
  <c r="Q1172" i="10"/>
  <c r="Q1173" i="10"/>
  <c r="Q1174" i="10"/>
  <c r="Q1175" i="10"/>
  <c r="Q1176" i="10"/>
  <c r="Q1177" i="10"/>
  <c r="Q1178" i="10"/>
  <c r="Q1179" i="10"/>
  <c r="Q1180" i="10"/>
  <c r="Q1181" i="10"/>
  <c r="Q1182" i="10"/>
  <c r="Q1183" i="10"/>
  <c r="Q1184" i="10"/>
  <c r="Q1185" i="10"/>
  <c r="Q1186" i="10"/>
  <c r="Q1187" i="10"/>
  <c r="Q1188" i="10"/>
  <c r="Q1189" i="10"/>
  <c r="Q1190" i="10"/>
  <c r="Q1191" i="10"/>
  <c r="Q1192" i="10"/>
  <c r="Q1193" i="10"/>
  <c r="Q1194" i="10"/>
  <c r="Q1195" i="10"/>
  <c r="Q1196" i="10"/>
  <c r="Q1197" i="10"/>
  <c r="Q1198" i="10"/>
  <c r="Q1199" i="10"/>
  <c r="Q1200" i="10"/>
  <c r="Q1201" i="10"/>
  <c r="Q1202" i="10"/>
  <c r="Q1203" i="10"/>
  <c r="Q1204" i="10"/>
  <c r="Q1205" i="10"/>
  <c r="Q1206" i="10"/>
  <c r="Q1207" i="10"/>
  <c r="Q1208" i="10"/>
  <c r="Q1209" i="10"/>
  <c r="Q1210" i="10"/>
  <c r="Q1211" i="10"/>
  <c r="Q1212" i="10"/>
  <c r="Q1213" i="10"/>
  <c r="Q1214" i="10"/>
  <c r="Q1215" i="10"/>
  <c r="Q1216" i="10"/>
  <c r="Q1217" i="10"/>
  <c r="Q1218" i="10"/>
  <c r="Q1219" i="10"/>
  <c r="Q1220" i="10"/>
  <c r="Q1221" i="10"/>
  <c r="Q1222" i="10"/>
  <c r="Q1223" i="10"/>
  <c r="Q1224" i="10"/>
  <c r="Q1225" i="10"/>
  <c r="Q1226" i="10"/>
  <c r="Q1227" i="10"/>
  <c r="Q1228" i="10"/>
  <c r="Q1229" i="10"/>
  <c r="Q1230" i="10"/>
  <c r="Q1231" i="10"/>
  <c r="Q1232" i="10"/>
  <c r="Q1233" i="10"/>
  <c r="Q1234" i="10"/>
  <c r="Q1235" i="10"/>
  <c r="Q1236" i="10"/>
  <c r="Q1237" i="10"/>
  <c r="Q1238" i="10"/>
  <c r="Q1239" i="10"/>
  <c r="Q1240" i="10"/>
  <c r="Q1241" i="10"/>
  <c r="Q1242" i="10"/>
  <c r="Q1243" i="10"/>
  <c r="Q1244" i="10"/>
  <c r="Q1245" i="10"/>
  <c r="Q1246" i="10"/>
  <c r="Q1247" i="10"/>
  <c r="Q1248" i="10"/>
  <c r="Q1249" i="10"/>
  <c r="Q1250" i="10"/>
  <c r="Q1251" i="10"/>
  <c r="Q1252" i="10"/>
  <c r="Q1253" i="10"/>
  <c r="Q1254" i="10"/>
  <c r="Q1255" i="10"/>
  <c r="Q1256" i="10"/>
  <c r="Q1257" i="10"/>
  <c r="Q1258" i="10"/>
  <c r="Q1259" i="10"/>
  <c r="Q1260" i="10"/>
  <c r="Q1261" i="10"/>
  <c r="Q1262" i="10"/>
  <c r="Q1263" i="10"/>
  <c r="Q1264" i="10"/>
  <c r="Q1265" i="10"/>
  <c r="Q1266" i="10"/>
  <c r="Q1267" i="10"/>
  <c r="Q1268" i="10"/>
  <c r="Q1269" i="10"/>
  <c r="Q1270" i="10"/>
  <c r="Q1271" i="10"/>
  <c r="Q1272" i="10"/>
  <c r="Q1273" i="10"/>
  <c r="Q1274" i="10"/>
  <c r="Q1275" i="10"/>
  <c r="Q1276" i="10"/>
  <c r="Q1277" i="10"/>
  <c r="Q1278" i="10"/>
  <c r="Q1279" i="10"/>
  <c r="Q1280" i="10"/>
  <c r="Q1281" i="10"/>
  <c r="Q1282" i="10"/>
  <c r="Q1283" i="10"/>
  <c r="Q1284" i="10"/>
  <c r="Q1285" i="10"/>
  <c r="Q1286" i="10"/>
  <c r="Q1287" i="10"/>
  <c r="Q1288" i="10"/>
  <c r="Q1289" i="10"/>
  <c r="Q1290" i="10"/>
  <c r="Q1291" i="10"/>
  <c r="Q1292" i="10"/>
  <c r="Q1293" i="10"/>
  <c r="Q1294" i="10"/>
  <c r="Q1295" i="10"/>
  <c r="Q1296" i="10"/>
  <c r="Q1297" i="10"/>
  <c r="Q1298" i="10"/>
  <c r="Q1299" i="10"/>
  <c r="Q1300" i="10"/>
  <c r="Q1301" i="10"/>
  <c r="Q1302" i="10"/>
  <c r="Q1303" i="10"/>
  <c r="Q1304" i="10"/>
  <c r="Q1305" i="10"/>
  <c r="Q1306" i="10"/>
  <c r="Q1307" i="10"/>
  <c r="Q1308" i="10"/>
  <c r="Q1309" i="10"/>
  <c r="Q1310" i="10"/>
  <c r="Q1311" i="10"/>
  <c r="Q1312" i="10"/>
  <c r="Q1313" i="10"/>
  <c r="Q1314" i="10"/>
  <c r="Q1315" i="10"/>
  <c r="Q1316" i="10"/>
  <c r="Q1317" i="10"/>
  <c r="Q1318" i="10"/>
  <c r="Q1319" i="10"/>
  <c r="Q1320" i="10"/>
  <c r="Q1321" i="10"/>
  <c r="Q1322" i="10"/>
  <c r="Q1323" i="10"/>
  <c r="Q1324" i="10"/>
  <c r="Q1325" i="10"/>
  <c r="Q1326" i="10"/>
  <c r="Q1327" i="10"/>
  <c r="Q1328" i="10"/>
  <c r="Q1329" i="10"/>
  <c r="Q1330" i="10"/>
  <c r="Q1331" i="10"/>
  <c r="Q1332" i="10"/>
  <c r="Q1333" i="10"/>
  <c r="Q1334" i="10"/>
  <c r="Q1335" i="10"/>
  <c r="Q1336" i="10"/>
  <c r="Q1337" i="10"/>
  <c r="Q1338" i="10"/>
  <c r="Q1339" i="10"/>
  <c r="Q1340" i="10"/>
  <c r="Q1341" i="10"/>
  <c r="Q1342" i="10"/>
  <c r="Q1343" i="10"/>
  <c r="Q1344" i="10"/>
  <c r="Q1345" i="10"/>
  <c r="Q1346" i="10"/>
  <c r="Q1347" i="10"/>
  <c r="Q1348" i="10"/>
  <c r="Q1349" i="10"/>
  <c r="Q1350" i="10"/>
  <c r="Q1351" i="10"/>
  <c r="Q1352" i="10"/>
  <c r="Q1353" i="10"/>
  <c r="Q1354" i="10"/>
  <c r="Q1355" i="10"/>
  <c r="Q1356" i="10"/>
  <c r="Q1357" i="10"/>
  <c r="Q1358" i="10"/>
  <c r="Q1359" i="10"/>
  <c r="Q1360" i="10"/>
  <c r="Q1361" i="10"/>
  <c r="Q1362" i="10"/>
  <c r="Q1363" i="10"/>
  <c r="Q1364" i="10"/>
  <c r="Q1365" i="10"/>
  <c r="Q1366" i="10"/>
  <c r="Q1367" i="10"/>
  <c r="Q1368" i="10"/>
  <c r="Q1369" i="10"/>
  <c r="Q1370" i="10"/>
  <c r="Q1371" i="10"/>
  <c r="Q1372" i="10"/>
  <c r="Q1373" i="10"/>
  <c r="Q1374" i="10"/>
  <c r="Q1375" i="10"/>
  <c r="Q1376" i="10"/>
  <c r="Q1377" i="10"/>
  <c r="Q1378" i="10"/>
  <c r="Q1379" i="10"/>
  <c r="Q1380" i="10"/>
  <c r="Q1381" i="10"/>
  <c r="Q1382" i="10"/>
  <c r="Q1383" i="10"/>
  <c r="Q1384" i="10"/>
  <c r="Q1385" i="10"/>
  <c r="Q1386" i="10"/>
  <c r="Q1387" i="10"/>
  <c r="Q1388" i="10"/>
  <c r="Q1389" i="10"/>
  <c r="Q1390" i="10"/>
  <c r="Q1391" i="10"/>
  <c r="Q1392" i="10"/>
  <c r="Q1393" i="10"/>
  <c r="Q1394" i="10"/>
  <c r="Q1395" i="10"/>
  <c r="Q1396" i="10"/>
  <c r="Q1397" i="10"/>
  <c r="Q1398" i="10"/>
  <c r="Q1399" i="10"/>
  <c r="Q1400" i="10"/>
  <c r="Q1401" i="10"/>
  <c r="Q1402" i="10"/>
  <c r="Q1403" i="10"/>
  <c r="Q1404" i="10"/>
  <c r="Q1405" i="10"/>
  <c r="Q1406" i="10"/>
  <c r="Q1407" i="10"/>
  <c r="Q1408" i="10"/>
  <c r="Q1409" i="10"/>
  <c r="Q1410" i="10"/>
  <c r="Q1411" i="10"/>
  <c r="Q1412" i="10"/>
  <c r="Q1413" i="10"/>
  <c r="Q1414" i="10"/>
  <c r="Q1415" i="10"/>
  <c r="Q1416" i="10"/>
  <c r="Q1417" i="10"/>
  <c r="Q1418" i="10"/>
  <c r="Q1419" i="10"/>
  <c r="Q1420" i="10"/>
  <c r="Q1421" i="10"/>
  <c r="Q1422" i="10"/>
  <c r="Q1423" i="10"/>
  <c r="Q1424" i="10"/>
  <c r="Q1425" i="10"/>
  <c r="Q1426" i="10"/>
  <c r="Q1427" i="10"/>
  <c r="Q1428" i="10"/>
  <c r="Q1429" i="10"/>
  <c r="Q1430" i="10"/>
  <c r="Q1431" i="10"/>
  <c r="Q1432" i="10"/>
  <c r="Q1433" i="10"/>
  <c r="Q1434" i="10"/>
  <c r="Q1435" i="10"/>
  <c r="Q1436" i="10"/>
  <c r="Q1437" i="10"/>
  <c r="Q1438" i="10"/>
  <c r="Q1439" i="10"/>
  <c r="Q1440" i="10"/>
  <c r="Q1441" i="10"/>
  <c r="Q1442" i="10"/>
  <c r="Q1443" i="10"/>
  <c r="Q1444" i="10"/>
  <c r="Q1445" i="10"/>
  <c r="Q1446" i="10"/>
  <c r="Q1447" i="10"/>
  <c r="Q1448" i="10"/>
  <c r="Q1449" i="10"/>
  <c r="Q1450" i="10"/>
  <c r="Q1451" i="10"/>
  <c r="Q1452" i="10"/>
  <c r="Q1453" i="10"/>
  <c r="Q1454" i="10"/>
  <c r="Q1455" i="10"/>
  <c r="Q1456" i="10"/>
  <c r="Q1457" i="10"/>
  <c r="Q1458" i="10"/>
  <c r="Q1459" i="10"/>
  <c r="Q1460" i="10"/>
  <c r="Q1461" i="10"/>
  <c r="Q1462" i="10"/>
  <c r="Q1463" i="10"/>
  <c r="Q1464" i="10"/>
  <c r="Q1465" i="10"/>
  <c r="Q1466" i="10"/>
  <c r="Q1467" i="10"/>
  <c r="Q1468" i="10"/>
  <c r="Q1469" i="10"/>
  <c r="Q1470" i="10"/>
  <c r="Q1471" i="10"/>
  <c r="Q1472" i="10"/>
  <c r="Q1473" i="10"/>
  <c r="Q1474" i="10"/>
  <c r="Q1475" i="10"/>
  <c r="Q1476" i="10"/>
  <c r="Q1477" i="10"/>
  <c r="Q1478" i="10"/>
  <c r="Q1479" i="10"/>
  <c r="Q1480" i="10"/>
  <c r="Q1481" i="10"/>
  <c r="Q1482" i="10"/>
  <c r="Q1483" i="10"/>
  <c r="Q1484" i="10"/>
  <c r="Q1485" i="10"/>
  <c r="Q1486" i="10"/>
  <c r="Q1487" i="10"/>
  <c r="Q1488" i="10"/>
  <c r="Q1489" i="10"/>
  <c r="Q1490" i="10"/>
  <c r="Q1491" i="10"/>
  <c r="Q1492" i="10"/>
  <c r="Q1493" i="10"/>
  <c r="Q1494" i="10"/>
  <c r="Q1495" i="10"/>
  <c r="Q1496" i="10"/>
  <c r="Q1497" i="10"/>
  <c r="Q1498" i="10"/>
  <c r="Q1499" i="10"/>
  <c r="Q1500" i="10"/>
  <c r="Q1501" i="10"/>
  <c r="Q1502" i="10"/>
  <c r="Q1503" i="10"/>
  <c r="Q1504" i="10"/>
  <c r="Q1505" i="10"/>
  <c r="Q1506" i="10"/>
  <c r="Q1507" i="10"/>
  <c r="Q1508" i="10"/>
  <c r="Q1509" i="10"/>
  <c r="Q1510" i="10"/>
  <c r="Q1511" i="10"/>
  <c r="Q1512" i="10"/>
  <c r="Q1513" i="10"/>
  <c r="Q1514" i="10"/>
  <c r="Q1515" i="10"/>
  <c r="Q1516" i="10"/>
  <c r="Q1517" i="10"/>
  <c r="Q1518" i="10"/>
  <c r="Q1519" i="10"/>
  <c r="Q1520" i="10"/>
  <c r="Q1521" i="10"/>
  <c r="Q1522" i="10"/>
  <c r="Q1523" i="10"/>
  <c r="Q1524" i="10"/>
  <c r="Q1525" i="10"/>
  <c r="Q1526" i="10"/>
  <c r="Q1527" i="10"/>
  <c r="Q1528" i="10"/>
  <c r="Q1529" i="10"/>
  <c r="Q1530" i="10"/>
  <c r="Q1531" i="10"/>
  <c r="Q1532" i="10"/>
  <c r="Q1533" i="10"/>
  <c r="Q1534" i="10"/>
  <c r="Q1535" i="10"/>
  <c r="Q1536" i="10"/>
  <c r="Q1537" i="10"/>
  <c r="Q1538" i="10"/>
  <c r="Q1539" i="10"/>
  <c r="Q1540" i="10"/>
  <c r="Q1541" i="10"/>
  <c r="Q1542" i="10"/>
  <c r="Q1543" i="10"/>
  <c r="Q1544" i="10"/>
  <c r="Q1545" i="10"/>
  <c r="Q1546" i="10"/>
  <c r="Q1547" i="10"/>
  <c r="Q1548" i="10"/>
  <c r="Q1549" i="10"/>
  <c r="Q1550" i="10"/>
  <c r="Q1551" i="10"/>
  <c r="Q1552" i="10"/>
  <c r="Q1553" i="10"/>
  <c r="Q1554" i="10"/>
  <c r="Q1555" i="10"/>
  <c r="Q1556" i="10"/>
  <c r="Q1557" i="10"/>
  <c r="Q1558" i="10"/>
  <c r="Q1559" i="10"/>
  <c r="Q1560" i="10"/>
  <c r="Q1561" i="10"/>
  <c r="Q1562" i="10"/>
  <c r="Q1563" i="10"/>
  <c r="Q1564" i="10"/>
  <c r="Q1565" i="10"/>
  <c r="Q1566" i="10"/>
  <c r="Q1567" i="10"/>
  <c r="Q1568" i="10"/>
  <c r="Q1569" i="10"/>
  <c r="Q1570" i="10"/>
  <c r="Q1571" i="10"/>
  <c r="Q1572" i="10"/>
  <c r="Q1573" i="10"/>
  <c r="Q1574" i="10"/>
  <c r="Q1575" i="10"/>
  <c r="Q1576" i="10"/>
  <c r="Q1577" i="10"/>
  <c r="Q1578" i="10"/>
  <c r="Q1579" i="10"/>
  <c r="Q1580" i="10"/>
  <c r="Q1581" i="10"/>
  <c r="Q1582" i="10"/>
  <c r="Q1583" i="10"/>
  <c r="Q1584" i="10"/>
  <c r="Q1585" i="10"/>
  <c r="Q1586" i="10"/>
  <c r="Q1587" i="10"/>
  <c r="Q1588" i="10"/>
  <c r="Q1589" i="10"/>
  <c r="Q1590" i="10"/>
  <c r="Q1591" i="10"/>
  <c r="Q1592" i="10"/>
  <c r="Q1593" i="10"/>
  <c r="Q1594" i="10"/>
  <c r="Q1595" i="10"/>
  <c r="Q1596" i="10"/>
  <c r="Q1597" i="10"/>
  <c r="Q1598" i="10"/>
  <c r="Q1599" i="10"/>
  <c r="Q1600" i="10"/>
  <c r="Q1601" i="10"/>
  <c r="Q1602" i="10"/>
  <c r="Q1603" i="10"/>
  <c r="Q1604" i="10"/>
  <c r="Q1605" i="10"/>
  <c r="Q1606" i="10"/>
  <c r="Q1607" i="10"/>
  <c r="Q1608" i="10"/>
  <c r="Q1609" i="10"/>
  <c r="Q1610" i="10"/>
  <c r="Q1611" i="10"/>
  <c r="Q1612" i="10"/>
  <c r="Q1613" i="10"/>
  <c r="Q1614" i="10"/>
  <c r="Q1615" i="10"/>
  <c r="Q1616" i="10"/>
  <c r="Q1617" i="10"/>
  <c r="Q1618" i="10"/>
  <c r="Q1619" i="10"/>
  <c r="Q1620" i="10"/>
  <c r="Q1621" i="10"/>
  <c r="Q1622" i="10"/>
  <c r="Q1623" i="10"/>
  <c r="Q1624" i="10"/>
  <c r="Q1625" i="10"/>
  <c r="Q1626" i="10"/>
  <c r="Q1627" i="10"/>
  <c r="Q1628" i="10"/>
  <c r="Q1629" i="10"/>
  <c r="Q1630" i="10"/>
  <c r="Q1631" i="10"/>
  <c r="Q1632" i="10"/>
  <c r="Q1633" i="10"/>
  <c r="Q1634" i="10"/>
  <c r="Q1635" i="10"/>
  <c r="Q1636" i="10"/>
  <c r="Q1637" i="10"/>
  <c r="Q1638" i="10"/>
  <c r="Q1639" i="10"/>
  <c r="Q1640" i="10"/>
  <c r="Q1641" i="10"/>
  <c r="Q1642" i="10"/>
  <c r="Q1643" i="10"/>
  <c r="Q1644" i="10"/>
  <c r="Q1645" i="10"/>
  <c r="Q1646" i="10"/>
  <c r="Q1647" i="10"/>
  <c r="Q1648" i="10"/>
  <c r="Q1649" i="10"/>
  <c r="Q1650" i="10"/>
  <c r="Q1651" i="10"/>
  <c r="Q1652" i="10"/>
  <c r="Q1653" i="10"/>
  <c r="Q1654" i="10"/>
  <c r="Q1655" i="10"/>
  <c r="Q1656" i="10"/>
  <c r="Q1657" i="10"/>
  <c r="Q1658" i="10"/>
  <c r="Q1659" i="10"/>
  <c r="Q1660" i="10"/>
  <c r="Q1661" i="10"/>
  <c r="Q1662" i="10"/>
  <c r="Q1663" i="10"/>
  <c r="Q1664" i="10"/>
  <c r="Q1665" i="10"/>
  <c r="Q1666" i="10"/>
  <c r="Q1667" i="10"/>
  <c r="Q1668" i="10"/>
  <c r="Q1669" i="10"/>
  <c r="Q1670" i="10"/>
  <c r="Q1671" i="10"/>
  <c r="Q1672" i="10"/>
  <c r="Q1673" i="10"/>
  <c r="Q1674" i="10"/>
  <c r="Q1675" i="10"/>
  <c r="Q1676" i="10"/>
  <c r="Q1677" i="10"/>
  <c r="Q1678" i="10"/>
  <c r="Q1679" i="10"/>
  <c r="Q1680" i="10"/>
  <c r="Q1681" i="10"/>
  <c r="Q1682" i="10"/>
  <c r="Q1683" i="10"/>
  <c r="Q1684" i="10"/>
  <c r="Q1685" i="10"/>
  <c r="Q1686" i="10"/>
  <c r="Q1687" i="10"/>
  <c r="Q1688" i="10"/>
  <c r="Q1689" i="10"/>
  <c r="Q1690" i="10"/>
  <c r="Q1691" i="10"/>
  <c r="Q1692" i="10"/>
  <c r="Q1693" i="10"/>
  <c r="Q1694" i="10"/>
  <c r="Q1695" i="10"/>
  <c r="Q1696" i="10"/>
  <c r="Q1697" i="10"/>
  <c r="Q1698" i="10"/>
  <c r="Q1699" i="10"/>
  <c r="Q1700" i="10"/>
  <c r="Q1701" i="10"/>
  <c r="Q1702" i="10"/>
  <c r="Q1703" i="10"/>
  <c r="Q1704" i="10"/>
  <c r="Q1705" i="10"/>
  <c r="Q1706" i="10"/>
  <c r="Q1707" i="10"/>
  <c r="Q1708" i="10"/>
  <c r="Q1709" i="10"/>
  <c r="Q1710" i="10"/>
  <c r="Q1711" i="10"/>
  <c r="Q1712" i="10"/>
  <c r="Q1713" i="10"/>
  <c r="Q1714" i="10"/>
  <c r="Q1715" i="10"/>
  <c r="Q1716" i="10"/>
  <c r="Q1717" i="10"/>
  <c r="Q1718" i="10"/>
  <c r="Q1719" i="10"/>
  <c r="Q1720" i="10"/>
  <c r="Q1721" i="10"/>
  <c r="Q1722" i="10"/>
  <c r="Q1723" i="10"/>
  <c r="Q1724" i="10"/>
  <c r="Q1725" i="10"/>
  <c r="Q1726" i="10"/>
  <c r="Q1727" i="10"/>
  <c r="Q1728" i="10"/>
  <c r="Q1729" i="10"/>
  <c r="Q1730" i="10"/>
  <c r="Q1731" i="10"/>
  <c r="Q1732" i="10"/>
  <c r="Q1733" i="10"/>
  <c r="Q1734" i="10"/>
  <c r="Q1735" i="10"/>
  <c r="Q1736" i="10"/>
  <c r="Q1737" i="10"/>
  <c r="Q1738" i="10"/>
  <c r="Q1739" i="10"/>
  <c r="Q1740" i="10"/>
  <c r="Q1741" i="10"/>
  <c r="Q1742" i="10"/>
  <c r="Q1743" i="10"/>
  <c r="Q1744" i="10"/>
  <c r="Q1745" i="10"/>
  <c r="Q1746" i="10"/>
  <c r="Q1747" i="10"/>
  <c r="Q1748" i="10"/>
  <c r="Q1749" i="10"/>
  <c r="Q1750" i="10"/>
  <c r="Q1751" i="10"/>
  <c r="Q1752" i="10"/>
  <c r="Q1753" i="10"/>
  <c r="Q1754" i="10"/>
  <c r="Q1755" i="10"/>
  <c r="Q1756" i="10"/>
  <c r="Q1757" i="10"/>
  <c r="Q1758" i="10"/>
  <c r="Q1759" i="10"/>
  <c r="Q1760" i="10"/>
  <c r="Q1761" i="10"/>
  <c r="Q1762" i="10"/>
  <c r="Q1763" i="10"/>
  <c r="Q1764" i="10"/>
  <c r="Q1765" i="10"/>
  <c r="Q1766" i="10"/>
  <c r="Q1767" i="10"/>
  <c r="Q1768" i="10"/>
  <c r="Q1769" i="10"/>
  <c r="Q1770" i="10"/>
  <c r="Q1771" i="10"/>
  <c r="Q1772" i="10"/>
  <c r="Q1773" i="10"/>
  <c r="Q1774" i="10"/>
  <c r="Q1775" i="10"/>
  <c r="Q1776" i="10"/>
  <c r="Q1777" i="10"/>
  <c r="Q1778" i="10"/>
  <c r="Q1779" i="10"/>
  <c r="Q1780" i="10"/>
  <c r="Q1781" i="10"/>
  <c r="Q1782" i="10"/>
  <c r="Q1783" i="10"/>
  <c r="Q1784" i="10"/>
  <c r="Q1785" i="10"/>
  <c r="Q1786" i="10"/>
  <c r="Q1787" i="10"/>
  <c r="Q1788" i="10"/>
  <c r="Q1789" i="10"/>
  <c r="Q1790" i="10"/>
  <c r="Q1791" i="10"/>
  <c r="Q1792" i="10"/>
  <c r="Q1793" i="10"/>
  <c r="Q1794" i="10"/>
  <c r="Q1795" i="10"/>
  <c r="Q1796" i="10"/>
  <c r="Q1797" i="10"/>
  <c r="Q1798" i="10"/>
  <c r="Q1799" i="10"/>
  <c r="Q1800" i="10"/>
  <c r="Q1801" i="10"/>
  <c r="Q1802" i="10"/>
  <c r="Q1803" i="10"/>
  <c r="Q1804" i="10"/>
  <c r="Q1805" i="10"/>
  <c r="Q1806" i="10"/>
  <c r="Q1807" i="10"/>
  <c r="Q1808" i="10"/>
  <c r="Q1809" i="10"/>
  <c r="Q1810" i="10"/>
  <c r="Q1811" i="10"/>
  <c r="Q1812" i="10"/>
  <c r="Q1813" i="10"/>
  <c r="Q1814" i="10"/>
  <c r="Q1815" i="10"/>
  <c r="Q1816" i="10"/>
  <c r="Q1817" i="10"/>
  <c r="Q1818" i="10"/>
  <c r="Q1819" i="10"/>
  <c r="Q1820" i="10"/>
  <c r="Q1821" i="10"/>
  <c r="Q1822" i="10"/>
  <c r="Q1823" i="10"/>
  <c r="Q1824" i="10"/>
  <c r="Q1825" i="10"/>
  <c r="Q1826" i="10"/>
  <c r="Q1827" i="10"/>
  <c r="Q1828" i="10"/>
  <c r="Q1829" i="10"/>
  <c r="Q1830" i="10"/>
  <c r="Q1831" i="10"/>
  <c r="Q1832" i="10"/>
  <c r="Q1833" i="10"/>
  <c r="Q1834" i="10"/>
  <c r="Q1835" i="10"/>
  <c r="Q1836" i="10"/>
  <c r="Q1837" i="10"/>
  <c r="Q1838" i="10"/>
  <c r="Q1839" i="10"/>
  <c r="Q1840" i="10"/>
  <c r="Q1841" i="10"/>
  <c r="Q1842" i="10"/>
  <c r="Q1843" i="10"/>
  <c r="Q1844" i="10"/>
  <c r="Q1845" i="10"/>
  <c r="Q1846" i="10"/>
  <c r="Q1847" i="10"/>
  <c r="Q1848" i="10"/>
  <c r="Q1849" i="10"/>
  <c r="Q1850" i="10"/>
  <c r="Q1851" i="10"/>
  <c r="Q1852" i="10"/>
  <c r="Q1853" i="10"/>
  <c r="Q1854" i="10"/>
  <c r="Q1855" i="10"/>
  <c r="Q1856" i="10"/>
  <c r="Q1857" i="10"/>
  <c r="Q1858" i="10"/>
  <c r="Q1859" i="10"/>
  <c r="Q1860" i="10"/>
  <c r="Q1861" i="10"/>
  <c r="Q1862" i="10"/>
  <c r="Q1863" i="10"/>
  <c r="Q1864" i="10"/>
  <c r="Q1865" i="10"/>
  <c r="Q1866" i="10"/>
  <c r="Q1867" i="10"/>
  <c r="Q1868" i="10"/>
  <c r="Q1869" i="10"/>
  <c r="Q1870" i="10"/>
  <c r="Q1871" i="10"/>
  <c r="Q1872" i="10"/>
  <c r="Q1873" i="10"/>
  <c r="Q1874" i="10"/>
  <c r="Q1875" i="10"/>
  <c r="Q1876" i="10"/>
  <c r="Q1877" i="10"/>
  <c r="Q1878" i="10"/>
  <c r="Q1879" i="10"/>
  <c r="Q1880" i="10"/>
  <c r="Q1881" i="10"/>
  <c r="Q1882" i="10"/>
  <c r="Q1883" i="10"/>
  <c r="Q1884" i="10"/>
  <c r="Q1885" i="10"/>
  <c r="Q1886" i="10"/>
  <c r="Q1887" i="10"/>
  <c r="Q1888" i="10"/>
  <c r="Q1889" i="10"/>
  <c r="Q1890" i="10"/>
  <c r="Q1891" i="10"/>
  <c r="Q1892" i="10"/>
  <c r="Q1893" i="10"/>
  <c r="Q1894" i="10"/>
  <c r="Q1895" i="10"/>
  <c r="Q1896" i="10"/>
  <c r="Q1897" i="10"/>
  <c r="Q1898" i="10"/>
  <c r="Q1899" i="10"/>
  <c r="Q1900" i="10"/>
  <c r="Q1901" i="10"/>
  <c r="Q1902" i="10"/>
  <c r="Q1903" i="10"/>
  <c r="Q1904" i="10"/>
  <c r="Q1905" i="10"/>
  <c r="Q1906" i="10"/>
  <c r="Q1907" i="10"/>
  <c r="Q1908" i="10"/>
  <c r="Q1909" i="10"/>
  <c r="Q1910" i="10"/>
  <c r="Q1911" i="10"/>
  <c r="Q1912" i="10"/>
  <c r="Q1913" i="10"/>
  <c r="Q1914" i="10"/>
  <c r="Q1915" i="10"/>
  <c r="Q1916" i="10"/>
  <c r="Q1917" i="10"/>
  <c r="Q1918" i="10"/>
  <c r="Q1919" i="10"/>
  <c r="Q1920" i="10"/>
  <c r="Q1921" i="10"/>
  <c r="Q1922" i="10"/>
  <c r="Q1923" i="10"/>
  <c r="Q1924" i="10"/>
  <c r="Q1925" i="10"/>
  <c r="Q1926" i="10"/>
  <c r="Q1927" i="10"/>
  <c r="Q1928" i="10"/>
  <c r="Q1929" i="10"/>
  <c r="Q1930" i="10"/>
  <c r="Q1931" i="10"/>
  <c r="Q1932" i="10"/>
  <c r="Q1933" i="10"/>
  <c r="Q1934" i="10"/>
  <c r="Q1935" i="10"/>
  <c r="Q1936" i="10"/>
  <c r="Q1937" i="10"/>
  <c r="Q1938" i="10"/>
  <c r="Q1939" i="10"/>
  <c r="Q1940" i="10"/>
  <c r="Q1941" i="10"/>
  <c r="Q1942" i="10"/>
  <c r="Q1943" i="10"/>
  <c r="Q1944" i="10"/>
  <c r="Q1945" i="10"/>
  <c r="Q1946" i="10"/>
  <c r="Q1947" i="10"/>
  <c r="Q1948" i="10"/>
  <c r="Q1949" i="10"/>
  <c r="Q1950" i="10"/>
  <c r="Q1951" i="10"/>
  <c r="Q1952" i="10"/>
  <c r="Q1953" i="10"/>
  <c r="Q1954" i="10"/>
  <c r="Q1955" i="10"/>
  <c r="Q1956" i="10"/>
  <c r="Q1957" i="10"/>
  <c r="Q1958" i="10"/>
  <c r="Q1959" i="10"/>
  <c r="Q1960" i="10"/>
  <c r="Q1961" i="10"/>
  <c r="Q1962" i="10"/>
  <c r="Q1963" i="10"/>
  <c r="Q1964" i="10"/>
  <c r="Q1965" i="10"/>
  <c r="Q1966" i="10"/>
  <c r="Q1967" i="10"/>
  <c r="Q1968" i="10"/>
  <c r="Q1969" i="10"/>
  <c r="Q1970" i="10"/>
  <c r="Q1971" i="10"/>
  <c r="Q1972" i="10"/>
  <c r="Q1973" i="10"/>
  <c r="Q1974" i="10"/>
  <c r="Q1975" i="10"/>
  <c r="Q1976" i="10"/>
  <c r="Q1977" i="10"/>
  <c r="Q1978" i="10"/>
  <c r="Q1979" i="10"/>
  <c r="Q1980" i="10"/>
  <c r="Q1981" i="10"/>
  <c r="Q1982" i="10"/>
  <c r="Q1983" i="10"/>
  <c r="Q1984" i="10"/>
  <c r="Q1985" i="10"/>
  <c r="Q1986" i="10"/>
  <c r="Q1987" i="10"/>
  <c r="Q1988" i="10"/>
  <c r="Q1989" i="10"/>
  <c r="Q1990" i="10"/>
  <c r="Q1991" i="10"/>
  <c r="Q1992" i="10"/>
  <c r="Q1993" i="10"/>
  <c r="Q1994" i="10"/>
  <c r="Q1995" i="10"/>
  <c r="Q1996" i="10"/>
  <c r="Q1997" i="10"/>
  <c r="Q1998" i="10"/>
  <c r="Q1999" i="10"/>
  <c r="Q2000" i="10"/>
  <c r="Q2001" i="10"/>
  <c r="Q2002" i="10"/>
  <c r="Q2003" i="10"/>
  <c r="Q2004" i="10"/>
  <c r="Q2005" i="10"/>
  <c r="Q2006" i="10"/>
  <c r="B14" i="1"/>
  <c r="C16" i="1"/>
  <c r="D13" i="1"/>
  <c r="D14" i="1"/>
  <c r="D16" i="1"/>
  <c r="E13" i="1"/>
  <c r="E14" i="1"/>
  <c r="E16" i="1"/>
  <c r="F13" i="1"/>
  <c r="F14" i="1"/>
  <c r="F16" i="1"/>
  <c r="G13" i="1"/>
  <c r="G14" i="1"/>
  <c r="H13" i="1"/>
  <c r="H14" i="1"/>
  <c r="AD2006" i="10"/>
  <c r="AC2006" i="10"/>
  <c r="AB2006" i="10"/>
  <c r="AA2006" i="10"/>
  <c r="Z2006" i="10"/>
  <c r="Y2006" i="10"/>
  <c r="X2006" i="10"/>
  <c r="W2006" i="10"/>
  <c r="V2006" i="10"/>
  <c r="U2006" i="10"/>
  <c r="T2006" i="10"/>
  <c r="S2006" i="10"/>
  <c r="R2006" i="10"/>
  <c r="AD2005" i="10"/>
  <c r="AC2005" i="10"/>
  <c r="AB2005" i="10"/>
  <c r="AA2005" i="10"/>
  <c r="Z2005" i="10"/>
  <c r="Y2005" i="10"/>
  <c r="X2005" i="10"/>
  <c r="W2005" i="10"/>
  <c r="V2005" i="10"/>
  <c r="U2005" i="10"/>
  <c r="T2005" i="10"/>
  <c r="S2005" i="10"/>
  <c r="R2005" i="10"/>
  <c r="AD2004" i="10"/>
  <c r="AC2004" i="10"/>
  <c r="AB2004" i="10"/>
  <c r="AA2004" i="10"/>
  <c r="Z2004" i="10"/>
  <c r="Y2004" i="10"/>
  <c r="X2004" i="10"/>
  <c r="W2004" i="10"/>
  <c r="V2004" i="10"/>
  <c r="U2004" i="10"/>
  <c r="T2004" i="10"/>
  <c r="S2004" i="10"/>
  <c r="R2004" i="10"/>
  <c r="AE2004" i="10"/>
  <c r="AD2003" i="10"/>
  <c r="AC2003" i="10"/>
  <c r="AB2003" i="10"/>
  <c r="AA2003" i="10"/>
  <c r="Z2003" i="10"/>
  <c r="Y2003" i="10"/>
  <c r="X2003" i="10"/>
  <c r="W2003" i="10"/>
  <c r="V2003" i="10"/>
  <c r="U2003" i="10"/>
  <c r="T2003" i="10"/>
  <c r="S2003" i="10"/>
  <c r="R2003" i="10"/>
  <c r="AD2002" i="10"/>
  <c r="AC2002" i="10"/>
  <c r="AB2002" i="10"/>
  <c r="AA2002" i="10"/>
  <c r="Z2002" i="10"/>
  <c r="Y2002" i="10"/>
  <c r="X2002" i="10"/>
  <c r="W2002" i="10"/>
  <c r="V2002" i="10"/>
  <c r="U2002" i="10"/>
  <c r="T2002" i="10"/>
  <c r="S2002" i="10"/>
  <c r="R2002" i="10"/>
  <c r="AD2001" i="10"/>
  <c r="AC2001" i="10"/>
  <c r="AB2001" i="10"/>
  <c r="AA2001" i="10"/>
  <c r="Z2001" i="10"/>
  <c r="Y2001" i="10"/>
  <c r="X2001" i="10"/>
  <c r="W2001" i="10"/>
  <c r="V2001" i="10"/>
  <c r="U2001" i="10"/>
  <c r="T2001" i="10"/>
  <c r="S2001" i="10"/>
  <c r="R2001" i="10"/>
  <c r="AD2000" i="10"/>
  <c r="AC2000" i="10"/>
  <c r="AB2000" i="10"/>
  <c r="AA2000" i="10"/>
  <c r="Z2000" i="10"/>
  <c r="Y2000" i="10"/>
  <c r="X2000" i="10"/>
  <c r="W2000" i="10"/>
  <c r="V2000" i="10"/>
  <c r="U2000" i="10"/>
  <c r="T2000" i="10"/>
  <c r="S2000" i="10"/>
  <c r="R2000" i="10"/>
  <c r="AD1999" i="10"/>
  <c r="AC1999" i="10"/>
  <c r="AB1999" i="10"/>
  <c r="AA1999" i="10"/>
  <c r="Z1999" i="10"/>
  <c r="Y1999" i="10"/>
  <c r="X1999" i="10"/>
  <c r="W1999" i="10"/>
  <c r="V1999" i="10"/>
  <c r="U1999" i="10"/>
  <c r="T1999" i="10"/>
  <c r="S1999" i="10"/>
  <c r="R1999" i="10"/>
  <c r="AD1998" i="10"/>
  <c r="AC1998" i="10"/>
  <c r="AB1998" i="10"/>
  <c r="AA1998" i="10"/>
  <c r="Z1998" i="10"/>
  <c r="Y1998" i="10"/>
  <c r="X1998" i="10"/>
  <c r="W1998" i="10"/>
  <c r="R1998" i="10"/>
  <c r="S1998" i="10"/>
  <c r="T1998" i="10"/>
  <c r="U1998" i="10"/>
  <c r="V1998" i="10"/>
  <c r="AE1998" i="10"/>
  <c r="AD1997" i="10"/>
  <c r="AC1997" i="10"/>
  <c r="AB1997" i="10"/>
  <c r="AA1997" i="10"/>
  <c r="Z1997" i="10"/>
  <c r="Y1997" i="10"/>
  <c r="X1997" i="10"/>
  <c r="W1997" i="10"/>
  <c r="V1997" i="10"/>
  <c r="U1997" i="10"/>
  <c r="T1997" i="10"/>
  <c r="S1997" i="10"/>
  <c r="R1997" i="10"/>
  <c r="AD1996" i="10"/>
  <c r="AC1996" i="10"/>
  <c r="AB1996" i="10"/>
  <c r="AA1996" i="10"/>
  <c r="Z1996" i="10"/>
  <c r="Y1996" i="10"/>
  <c r="X1996" i="10"/>
  <c r="W1996" i="10"/>
  <c r="V1996" i="10"/>
  <c r="U1996" i="10"/>
  <c r="T1996" i="10"/>
  <c r="S1996" i="10"/>
  <c r="R1996" i="10"/>
  <c r="AD1995" i="10"/>
  <c r="AC1995" i="10"/>
  <c r="AB1995" i="10"/>
  <c r="AA1995" i="10"/>
  <c r="Z1995" i="10"/>
  <c r="Y1995" i="10"/>
  <c r="X1995" i="10"/>
  <c r="W1995" i="10"/>
  <c r="V1995" i="10"/>
  <c r="U1995" i="10"/>
  <c r="T1995" i="10"/>
  <c r="R1995" i="10"/>
  <c r="S1995" i="10"/>
  <c r="AE1995" i="10"/>
  <c r="AD1994" i="10"/>
  <c r="AC1994" i="10"/>
  <c r="AB1994" i="10"/>
  <c r="AA1994" i="10"/>
  <c r="Z1994" i="10"/>
  <c r="Y1994" i="10"/>
  <c r="X1994" i="10"/>
  <c r="W1994" i="10"/>
  <c r="V1994" i="10"/>
  <c r="U1994" i="10"/>
  <c r="T1994" i="10"/>
  <c r="S1994" i="10"/>
  <c r="R1994" i="10"/>
  <c r="AE1994" i="10"/>
  <c r="AD1993" i="10"/>
  <c r="AC1993" i="10"/>
  <c r="AB1993" i="10"/>
  <c r="AA1993" i="10"/>
  <c r="Z1993" i="10"/>
  <c r="Y1993" i="10"/>
  <c r="X1993" i="10"/>
  <c r="W1993" i="10"/>
  <c r="V1993" i="10"/>
  <c r="U1993" i="10"/>
  <c r="T1993" i="10"/>
  <c r="S1993" i="10"/>
  <c r="R1993" i="10"/>
  <c r="AE1993" i="10"/>
  <c r="AD1992" i="10"/>
  <c r="AC1992" i="10"/>
  <c r="AB1992" i="10"/>
  <c r="AA1992" i="10"/>
  <c r="Z1992" i="10"/>
  <c r="Y1992" i="10"/>
  <c r="X1992" i="10"/>
  <c r="W1992" i="10"/>
  <c r="V1992" i="10"/>
  <c r="U1992" i="10"/>
  <c r="T1992" i="10"/>
  <c r="S1992" i="10"/>
  <c r="R1992" i="10"/>
  <c r="AE1992" i="10"/>
  <c r="AD1991" i="10"/>
  <c r="AC1991" i="10"/>
  <c r="AB1991" i="10"/>
  <c r="AA1991" i="10"/>
  <c r="Z1991" i="10"/>
  <c r="Y1991" i="10"/>
  <c r="X1991" i="10"/>
  <c r="W1991" i="10"/>
  <c r="V1991" i="10"/>
  <c r="U1991" i="10"/>
  <c r="T1991" i="10"/>
  <c r="S1991" i="10"/>
  <c r="R1991" i="10"/>
  <c r="AE1991" i="10"/>
  <c r="AD1990" i="10"/>
  <c r="AC1990" i="10"/>
  <c r="AB1990" i="10"/>
  <c r="AA1990" i="10"/>
  <c r="Z1990" i="10"/>
  <c r="Y1990" i="10"/>
  <c r="X1990" i="10"/>
  <c r="W1990" i="10"/>
  <c r="R1990" i="10"/>
  <c r="S1990" i="10"/>
  <c r="T1990" i="10"/>
  <c r="U1990" i="10"/>
  <c r="V1990" i="10"/>
  <c r="AE1990" i="10"/>
  <c r="AD1989" i="10"/>
  <c r="AC1989" i="10"/>
  <c r="AB1989" i="10"/>
  <c r="AA1989" i="10"/>
  <c r="Z1989" i="10"/>
  <c r="Y1989" i="10"/>
  <c r="X1989" i="10"/>
  <c r="W1989" i="10"/>
  <c r="V1989" i="10"/>
  <c r="U1989" i="10"/>
  <c r="T1989" i="10"/>
  <c r="S1989" i="10"/>
  <c r="R1989" i="10"/>
  <c r="AD1988" i="10"/>
  <c r="AC1988" i="10"/>
  <c r="AB1988" i="10"/>
  <c r="AA1988" i="10"/>
  <c r="Z1988" i="10"/>
  <c r="Y1988" i="10"/>
  <c r="X1988" i="10"/>
  <c r="W1988" i="10"/>
  <c r="V1988" i="10"/>
  <c r="U1988" i="10"/>
  <c r="T1988" i="10"/>
  <c r="S1988" i="10"/>
  <c r="R1988" i="10"/>
  <c r="AD1987" i="10"/>
  <c r="AC1987" i="10"/>
  <c r="AB1987" i="10"/>
  <c r="AA1987" i="10"/>
  <c r="Z1987" i="10"/>
  <c r="Y1987" i="10"/>
  <c r="X1987" i="10"/>
  <c r="W1987" i="10"/>
  <c r="V1987" i="10"/>
  <c r="U1987" i="10"/>
  <c r="T1987" i="10"/>
  <c r="S1987" i="10"/>
  <c r="R1987" i="10"/>
  <c r="AE1987" i="10"/>
  <c r="AD1986" i="10"/>
  <c r="AC1986" i="10"/>
  <c r="AB1986" i="10"/>
  <c r="AA1986" i="10"/>
  <c r="Z1986" i="10"/>
  <c r="Y1986" i="10"/>
  <c r="X1986" i="10"/>
  <c r="W1986" i="10"/>
  <c r="V1986" i="10"/>
  <c r="U1986" i="10"/>
  <c r="T1986" i="10"/>
  <c r="S1986" i="10"/>
  <c r="R1986" i="10"/>
  <c r="AD1985" i="10"/>
  <c r="AC1985" i="10"/>
  <c r="AB1985" i="10"/>
  <c r="AA1985" i="10"/>
  <c r="Z1985" i="10"/>
  <c r="Y1985" i="10"/>
  <c r="X1985" i="10"/>
  <c r="W1985" i="10"/>
  <c r="V1985" i="10"/>
  <c r="U1985" i="10"/>
  <c r="T1985" i="10"/>
  <c r="S1985" i="10"/>
  <c r="R1985" i="10"/>
  <c r="AE1985" i="10"/>
  <c r="AD1984" i="10"/>
  <c r="AC1984" i="10"/>
  <c r="AB1984" i="10"/>
  <c r="AA1984" i="10"/>
  <c r="Z1984" i="10"/>
  <c r="Y1984" i="10"/>
  <c r="X1984" i="10"/>
  <c r="W1984" i="10"/>
  <c r="V1984" i="10"/>
  <c r="U1984" i="10"/>
  <c r="T1984" i="10"/>
  <c r="S1984" i="10"/>
  <c r="R1984" i="10"/>
  <c r="AE1984" i="10"/>
  <c r="AD1983" i="10"/>
  <c r="AC1983" i="10"/>
  <c r="AB1983" i="10"/>
  <c r="AA1983" i="10"/>
  <c r="Z1983" i="10"/>
  <c r="Y1983" i="10"/>
  <c r="X1983" i="10"/>
  <c r="W1983" i="10"/>
  <c r="R1983" i="10"/>
  <c r="S1983" i="10"/>
  <c r="T1983" i="10"/>
  <c r="U1983" i="10"/>
  <c r="V1983" i="10"/>
  <c r="AE1983" i="10"/>
  <c r="AD1982" i="10"/>
  <c r="AC1982" i="10"/>
  <c r="AB1982" i="10"/>
  <c r="AA1982" i="10"/>
  <c r="Z1982" i="10"/>
  <c r="Y1982" i="10"/>
  <c r="X1982" i="10"/>
  <c r="W1982" i="10"/>
  <c r="V1982" i="10"/>
  <c r="U1982" i="10"/>
  <c r="T1982" i="10"/>
  <c r="S1982" i="10"/>
  <c r="R1982" i="10"/>
  <c r="AE1982" i="10"/>
  <c r="AD1981" i="10"/>
  <c r="AC1981" i="10"/>
  <c r="AB1981" i="10"/>
  <c r="AA1981" i="10"/>
  <c r="Z1981" i="10"/>
  <c r="Y1981" i="10"/>
  <c r="X1981" i="10"/>
  <c r="W1981" i="10"/>
  <c r="V1981" i="10"/>
  <c r="U1981" i="10"/>
  <c r="T1981" i="10"/>
  <c r="S1981" i="10"/>
  <c r="R1981" i="10"/>
  <c r="AD1980" i="10"/>
  <c r="AC1980" i="10"/>
  <c r="AB1980" i="10"/>
  <c r="AA1980" i="10"/>
  <c r="Z1980" i="10"/>
  <c r="Y1980" i="10"/>
  <c r="X1980" i="10"/>
  <c r="W1980" i="10"/>
  <c r="V1980" i="10"/>
  <c r="U1980" i="10"/>
  <c r="T1980" i="10"/>
  <c r="S1980" i="10"/>
  <c r="R1980" i="10"/>
  <c r="AD1979" i="10"/>
  <c r="AC1979" i="10"/>
  <c r="AB1979" i="10"/>
  <c r="AA1979" i="10"/>
  <c r="Z1979" i="10"/>
  <c r="Y1979" i="10"/>
  <c r="X1979" i="10"/>
  <c r="W1979" i="10"/>
  <c r="V1979" i="10"/>
  <c r="U1979" i="10"/>
  <c r="T1979" i="10"/>
  <c r="S1979" i="10"/>
  <c r="R1979" i="10"/>
  <c r="AE1979" i="10"/>
  <c r="AD1978" i="10"/>
  <c r="AC1978" i="10"/>
  <c r="AB1978" i="10"/>
  <c r="AA1978" i="10"/>
  <c r="Z1978" i="10"/>
  <c r="Y1978" i="10"/>
  <c r="X1978" i="10"/>
  <c r="W1978" i="10"/>
  <c r="V1978" i="10"/>
  <c r="U1978" i="10"/>
  <c r="T1978" i="10"/>
  <c r="S1978" i="10"/>
  <c r="R1978" i="10"/>
  <c r="AE1978" i="10"/>
  <c r="AD1977" i="10"/>
  <c r="AC1977" i="10"/>
  <c r="AB1977" i="10"/>
  <c r="AA1977" i="10"/>
  <c r="Z1977" i="10"/>
  <c r="Y1977" i="10"/>
  <c r="X1977" i="10"/>
  <c r="W1977" i="10"/>
  <c r="R1977" i="10"/>
  <c r="S1977" i="10"/>
  <c r="T1977" i="10"/>
  <c r="U1977" i="10"/>
  <c r="V1977" i="10"/>
  <c r="AE1977" i="10"/>
  <c r="AD1976" i="10"/>
  <c r="AC1976" i="10"/>
  <c r="AB1976" i="10"/>
  <c r="AA1976" i="10"/>
  <c r="Z1976" i="10"/>
  <c r="Y1976" i="10"/>
  <c r="X1976" i="10"/>
  <c r="W1976" i="10"/>
  <c r="R1976" i="10"/>
  <c r="S1976" i="10"/>
  <c r="T1976" i="10"/>
  <c r="U1976" i="10"/>
  <c r="V1976" i="10"/>
  <c r="AE1976" i="10"/>
  <c r="AD1975" i="10"/>
  <c r="AC1975" i="10"/>
  <c r="AB1975" i="10"/>
  <c r="AA1975" i="10"/>
  <c r="Z1975" i="10"/>
  <c r="Y1975" i="10"/>
  <c r="X1975" i="10"/>
  <c r="W1975" i="10"/>
  <c r="V1975" i="10"/>
  <c r="U1975" i="10"/>
  <c r="T1975" i="10"/>
  <c r="S1975" i="10"/>
  <c r="R1975" i="10"/>
  <c r="AE1975" i="10"/>
  <c r="AD1974" i="10"/>
  <c r="AC1974" i="10"/>
  <c r="AB1974" i="10"/>
  <c r="AA1974" i="10"/>
  <c r="Z1974" i="10"/>
  <c r="Y1974" i="10"/>
  <c r="X1974" i="10"/>
  <c r="W1974" i="10"/>
  <c r="V1974" i="10"/>
  <c r="U1974" i="10"/>
  <c r="T1974" i="10"/>
  <c r="S1974" i="10"/>
  <c r="R1974" i="10"/>
  <c r="AE1974" i="10"/>
  <c r="AD1973" i="10"/>
  <c r="AC1973" i="10"/>
  <c r="AB1973" i="10"/>
  <c r="AA1973" i="10"/>
  <c r="Z1973" i="10"/>
  <c r="Y1973" i="10"/>
  <c r="X1973" i="10"/>
  <c r="W1973" i="10"/>
  <c r="V1973" i="10"/>
  <c r="U1973" i="10"/>
  <c r="T1973" i="10"/>
  <c r="S1973" i="10"/>
  <c r="R1973" i="10"/>
  <c r="AD1972" i="10"/>
  <c r="AC1972" i="10"/>
  <c r="AB1972" i="10"/>
  <c r="AA1972" i="10"/>
  <c r="Z1972" i="10"/>
  <c r="Y1972" i="10"/>
  <c r="X1972" i="10"/>
  <c r="W1972" i="10"/>
  <c r="V1972" i="10"/>
  <c r="U1972" i="10"/>
  <c r="T1972" i="10"/>
  <c r="S1972" i="10"/>
  <c r="R1972" i="10"/>
  <c r="AE1972" i="10"/>
  <c r="AD1971" i="10"/>
  <c r="AC1971" i="10"/>
  <c r="AB1971" i="10"/>
  <c r="AA1971" i="10"/>
  <c r="Z1971" i="10"/>
  <c r="Y1971" i="10"/>
  <c r="X1971" i="10"/>
  <c r="W1971" i="10"/>
  <c r="V1971" i="10"/>
  <c r="U1971" i="10"/>
  <c r="T1971" i="10"/>
  <c r="S1971" i="10"/>
  <c r="R1971" i="10"/>
  <c r="AE1971" i="10"/>
  <c r="AD1970" i="10"/>
  <c r="AC1970" i="10"/>
  <c r="AB1970" i="10"/>
  <c r="AA1970" i="10"/>
  <c r="Z1970" i="10"/>
  <c r="Y1970" i="10"/>
  <c r="X1970" i="10"/>
  <c r="W1970" i="10"/>
  <c r="V1970" i="10"/>
  <c r="U1970" i="10"/>
  <c r="T1970" i="10"/>
  <c r="S1970" i="10"/>
  <c r="R1970" i="10"/>
  <c r="AD1969" i="10"/>
  <c r="AC1969" i="10"/>
  <c r="AB1969" i="10"/>
  <c r="AA1969" i="10"/>
  <c r="Z1969" i="10"/>
  <c r="Y1969" i="10"/>
  <c r="X1969" i="10"/>
  <c r="W1969" i="10"/>
  <c r="R1969" i="10"/>
  <c r="S1969" i="10"/>
  <c r="T1969" i="10"/>
  <c r="U1969" i="10"/>
  <c r="V1969" i="10"/>
  <c r="AE1969" i="10"/>
  <c r="AD1968" i="10"/>
  <c r="AC1968" i="10"/>
  <c r="AB1968" i="10"/>
  <c r="AA1968" i="10"/>
  <c r="Z1968" i="10"/>
  <c r="Y1968" i="10"/>
  <c r="X1968" i="10"/>
  <c r="W1968" i="10"/>
  <c r="V1968" i="10"/>
  <c r="U1968" i="10"/>
  <c r="T1968" i="10"/>
  <c r="S1968" i="10"/>
  <c r="R1968" i="10"/>
  <c r="AE1968" i="10"/>
  <c r="AD1967" i="10"/>
  <c r="AC1967" i="10"/>
  <c r="AB1967" i="10"/>
  <c r="AA1967" i="10"/>
  <c r="Z1967" i="10"/>
  <c r="Y1967" i="10"/>
  <c r="X1967" i="10"/>
  <c r="W1967" i="10"/>
  <c r="V1967" i="10"/>
  <c r="U1967" i="10"/>
  <c r="T1967" i="10"/>
  <c r="S1967" i="10"/>
  <c r="R1967" i="10"/>
  <c r="AD1966" i="10"/>
  <c r="AC1966" i="10"/>
  <c r="AB1966" i="10"/>
  <c r="AA1966" i="10"/>
  <c r="Z1966" i="10"/>
  <c r="Y1966" i="10"/>
  <c r="X1966" i="10"/>
  <c r="W1966" i="10"/>
  <c r="V1966" i="10"/>
  <c r="U1966" i="10"/>
  <c r="T1966" i="10"/>
  <c r="S1966" i="10"/>
  <c r="R1966" i="10"/>
  <c r="AE1966" i="10"/>
  <c r="AD1965" i="10"/>
  <c r="AC1965" i="10"/>
  <c r="AB1965" i="10"/>
  <c r="AA1965" i="10"/>
  <c r="Z1965" i="10"/>
  <c r="Y1965" i="10"/>
  <c r="X1965" i="10"/>
  <c r="W1965" i="10"/>
  <c r="V1965" i="10"/>
  <c r="U1965" i="10"/>
  <c r="T1965" i="10"/>
  <c r="S1965" i="10"/>
  <c r="R1965" i="10"/>
  <c r="AD1964" i="10"/>
  <c r="AC1964" i="10"/>
  <c r="AB1964" i="10"/>
  <c r="AA1964" i="10"/>
  <c r="Z1964" i="10"/>
  <c r="Y1964" i="10"/>
  <c r="X1964" i="10"/>
  <c r="W1964" i="10"/>
  <c r="V1964" i="10"/>
  <c r="U1964" i="10"/>
  <c r="T1964" i="10"/>
  <c r="S1964" i="10"/>
  <c r="R1964" i="10"/>
  <c r="AE1964" i="10"/>
  <c r="AD1963" i="10"/>
  <c r="AC1963" i="10"/>
  <c r="AB1963" i="10"/>
  <c r="AA1963" i="10"/>
  <c r="Z1963" i="10"/>
  <c r="Y1963" i="10"/>
  <c r="X1963" i="10"/>
  <c r="W1963" i="10"/>
  <c r="R1963" i="10"/>
  <c r="S1963" i="10"/>
  <c r="T1963" i="10"/>
  <c r="U1963" i="10"/>
  <c r="V1963" i="10"/>
  <c r="AE1963" i="10"/>
  <c r="AD1962" i="10"/>
  <c r="AC1962" i="10"/>
  <c r="AB1962" i="10"/>
  <c r="AA1962" i="10"/>
  <c r="Z1962" i="10"/>
  <c r="Y1962" i="10"/>
  <c r="X1962" i="10"/>
  <c r="W1962" i="10"/>
  <c r="R1962" i="10"/>
  <c r="S1962" i="10"/>
  <c r="T1962" i="10"/>
  <c r="U1962" i="10"/>
  <c r="V1962" i="10"/>
  <c r="AE1962" i="10"/>
  <c r="AD1961" i="10"/>
  <c r="AC1961" i="10"/>
  <c r="AB1961" i="10"/>
  <c r="AA1961" i="10"/>
  <c r="Z1961" i="10"/>
  <c r="Y1961" i="10"/>
  <c r="X1961" i="10"/>
  <c r="W1961" i="10"/>
  <c r="V1961" i="10"/>
  <c r="U1961" i="10"/>
  <c r="T1961" i="10"/>
  <c r="S1961" i="10"/>
  <c r="R1961" i="10"/>
  <c r="AE1961" i="10"/>
  <c r="AD1960" i="10"/>
  <c r="AC1960" i="10"/>
  <c r="AB1960" i="10"/>
  <c r="AA1960" i="10"/>
  <c r="Z1960" i="10"/>
  <c r="Y1960" i="10"/>
  <c r="X1960" i="10"/>
  <c r="W1960" i="10"/>
  <c r="V1960" i="10"/>
  <c r="U1960" i="10"/>
  <c r="T1960" i="10"/>
  <c r="S1960" i="10"/>
  <c r="R1960" i="10"/>
  <c r="AE1960" i="10"/>
  <c r="AD1959" i="10"/>
  <c r="AC1959" i="10"/>
  <c r="AB1959" i="10"/>
  <c r="AA1959" i="10"/>
  <c r="Z1959" i="10"/>
  <c r="Y1959" i="10"/>
  <c r="X1959" i="10"/>
  <c r="W1959" i="10"/>
  <c r="V1959" i="10"/>
  <c r="U1959" i="10"/>
  <c r="T1959" i="10"/>
  <c r="S1959" i="10"/>
  <c r="R1959" i="10"/>
  <c r="AD1958" i="10"/>
  <c r="AC1958" i="10"/>
  <c r="AB1958" i="10"/>
  <c r="AA1958" i="10"/>
  <c r="Z1958" i="10"/>
  <c r="Y1958" i="10"/>
  <c r="X1958" i="10"/>
  <c r="W1958" i="10"/>
  <c r="V1958" i="10"/>
  <c r="U1958" i="10"/>
  <c r="T1958" i="10"/>
  <c r="S1958" i="10"/>
  <c r="R1958" i="10"/>
  <c r="AD1957" i="10"/>
  <c r="AC1957" i="10"/>
  <c r="AB1957" i="10"/>
  <c r="AA1957" i="10"/>
  <c r="Z1957" i="10"/>
  <c r="Y1957" i="10"/>
  <c r="X1957" i="10"/>
  <c r="W1957" i="10"/>
  <c r="V1957" i="10"/>
  <c r="U1957" i="10"/>
  <c r="T1957" i="10"/>
  <c r="S1957" i="10"/>
  <c r="R1957" i="10"/>
  <c r="AE1957" i="10"/>
  <c r="AD1956" i="10"/>
  <c r="AC1956" i="10"/>
  <c r="AB1956" i="10"/>
  <c r="AA1956" i="10"/>
  <c r="Z1956" i="10"/>
  <c r="Y1956" i="10"/>
  <c r="X1956" i="10"/>
  <c r="W1956" i="10"/>
  <c r="V1956" i="10"/>
  <c r="U1956" i="10"/>
  <c r="T1956" i="10"/>
  <c r="S1956" i="10"/>
  <c r="R1956" i="10"/>
  <c r="AD1955" i="10"/>
  <c r="AC1955" i="10"/>
  <c r="AB1955" i="10"/>
  <c r="AA1955" i="10"/>
  <c r="Z1955" i="10"/>
  <c r="Y1955" i="10"/>
  <c r="X1955" i="10"/>
  <c r="W1955" i="10"/>
  <c r="R1955" i="10"/>
  <c r="S1955" i="10"/>
  <c r="T1955" i="10"/>
  <c r="U1955" i="10"/>
  <c r="V1955" i="10"/>
  <c r="AE1955" i="10"/>
  <c r="AD1954" i="10"/>
  <c r="AC1954" i="10"/>
  <c r="AB1954" i="10"/>
  <c r="AA1954" i="10"/>
  <c r="Z1954" i="10"/>
  <c r="Y1954" i="10"/>
  <c r="X1954" i="10"/>
  <c r="W1954" i="10"/>
  <c r="V1954" i="10"/>
  <c r="U1954" i="10"/>
  <c r="T1954" i="10"/>
  <c r="S1954" i="10"/>
  <c r="R1954" i="10"/>
  <c r="AD1953" i="10"/>
  <c r="AC1953" i="10"/>
  <c r="AB1953" i="10"/>
  <c r="AA1953" i="10"/>
  <c r="Z1953" i="10"/>
  <c r="Y1953" i="10"/>
  <c r="X1953" i="10"/>
  <c r="W1953" i="10"/>
  <c r="V1953" i="10"/>
  <c r="U1953" i="10"/>
  <c r="T1953" i="10"/>
  <c r="S1953" i="10"/>
  <c r="R1953" i="10"/>
  <c r="AE1953" i="10"/>
  <c r="AD1952" i="10"/>
  <c r="AC1952" i="10"/>
  <c r="AB1952" i="10"/>
  <c r="AA1952" i="10"/>
  <c r="Z1952" i="10"/>
  <c r="Y1952" i="10"/>
  <c r="X1952" i="10"/>
  <c r="W1952" i="10"/>
  <c r="V1952" i="10"/>
  <c r="U1952" i="10"/>
  <c r="T1952" i="10"/>
  <c r="S1952" i="10"/>
  <c r="R1952" i="10"/>
  <c r="AE1952" i="10"/>
  <c r="AD1951" i="10"/>
  <c r="AC1951" i="10"/>
  <c r="AB1951" i="10"/>
  <c r="AA1951" i="10"/>
  <c r="Z1951" i="10"/>
  <c r="Y1951" i="10"/>
  <c r="X1951" i="10"/>
  <c r="W1951" i="10"/>
  <c r="V1951" i="10"/>
  <c r="U1951" i="10"/>
  <c r="T1951" i="10"/>
  <c r="S1951" i="10"/>
  <c r="R1951" i="10"/>
  <c r="AE1951" i="10"/>
  <c r="AD1950" i="10"/>
  <c r="AC1950" i="10"/>
  <c r="AB1950" i="10"/>
  <c r="AA1950" i="10"/>
  <c r="Z1950" i="10"/>
  <c r="Y1950" i="10"/>
  <c r="X1950" i="10"/>
  <c r="W1950" i="10"/>
  <c r="V1950" i="10"/>
  <c r="U1950" i="10"/>
  <c r="T1950" i="10"/>
  <c r="S1950" i="10"/>
  <c r="R1950" i="10"/>
  <c r="AE1950" i="10"/>
  <c r="AD1949" i="10"/>
  <c r="AC1949" i="10"/>
  <c r="AB1949" i="10"/>
  <c r="AA1949" i="10"/>
  <c r="Z1949" i="10"/>
  <c r="Y1949" i="10"/>
  <c r="X1949" i="10"/>
  <c r="W1949" i="10"/>
  <c r="V1949" i="10"/>
  <c r="U1949" i="10"/>
  <c r="T1949" i="10"/>
  <c r="S1949" i="10"/>
  <c r="R1949" i="10"/>
  <c r="AD1948" i="10"/>
  <c r="AC1948" i="10"/>
  <c r="AB1948" i="10"/>
  <c r="AA1948" i="10"/>
  <c r="Z1948" i="10"/>
  <c r="Y1948" i="10"/>
  <c r="X1948" i="10"/>
  <c r="W1948" i="10"/>
  <c r="R1948" i="10"/>
  <c r="S1948" i="10"/>
  <c r="T1948" i="10"/>
  <c r="U1948" i="10"/>
  <c r="V1948" i="10"/>
  <c r="AE1948" i="10"/>
  <c r="AD1947" i="10"/>
  <c r="AC1947" i="10"/>
  <c r="AB1947" i="10"/>
  <c r="AA1947" i="10"/>
  <c r="Z1947" i="10"/>
  <c r="Y1947" i="10"/>
  <c r="X1947" i="10"/>
  <c r="W1947" i="10"/>
  <c r="V1947" i="10"/>
  <c r="U1947" i="10"/>
  <c r="T1947" i="10"/>
  <c r="S1947" i="10"/>
  <c r="R1947" i="10"/>
  <c r="AD1946" i="10"/>
  <c r="AC1946" i="10"/>
  <c r="AB1946" i="10"/>
  <c r="AA1946" i="10"/>
  <c r="Z1946" i="10"/>
  <c r="Y1946" i="10"/>
  <c r="X1946" i="10"/>
  <c r="W1946" i="10"/>
  <c r="V1946" i="10"/>
  <c r="U1946" i="10"/>
  <c r="T1946" i="10"/>
  <c r="S1946" i="10"/>
  <c r="R1946" i="10"/>
  <c r="AD1945" i="10"/>
  <c r="AC1945" i="10"/>
  <c r="AB1945" i="10"/>
  <c r="AA1945" i="10"/>
  <c r="Z1945" i="10"/>
  <c r="Y1945" i="10"/>
  <c r="X1945" i="10"/>
  <c r="W1945" i="10"/>
  <c r="V1945" i="10"/>
  <c r="U1945" i="10"/>
  <c r="T1945" i="10"/>
  <c r="R1945" i="10"/>
  <c r="S1945" i="10"/>
  <c r="AE1945" i="10"/>
  <c r="AD1944" i="10"/>
  <c r="AC1944" i="10"/>
  <c r="AB1944" i="10"/>
  <c r="AA1944" i="10"/>
  <c r="Z1944" i="10"/>
  <c r="Y1944" i="10"/>
  <c r="X1944" i="10"/>
  <c r="W1944" i="10"/>
  <c r="V1944" i="10"/>
  <c r="U1944" i="10"/>
  <c r="T1944" i="10"/>
  <c r="S1944" i="10"/>
  <c r="R1944" i="10"/>
  <c r="AE1944" i="10"/>
  <c r="AD1943" i="10"/>
  <c r="AC1943" i="10"/>
  <c r="AB1943" i="10"/>
  <c r="AA1943" i="10"/>
  <c r="Z1943" i="10"/>
  <c r="Y1943" i="10"/>
  <c r="X1943" i="10"/>
  <c r="W1943" i="10"/>
  <c r="V1943" i="10"/>
  <c r="U1943" i="10"/>
  <c r="T1943" i="10"/>
  <c r="S1943" i="10"/>
  <c r="R1943" i="10"/>
  <c r="AE1943" i="10"/>
  <c r="AD1942" i="10"/>
  <c r="AC1942" i="10"/>
  <c r="AB1942" i="10"/>
  <c r="AA1942" i="10"/>
  <c r="Z1942" i="10"/>
  <c r="Y1942" i="10"/>
  <c r="X1942" i="10"/>
  <c r="W1942" i="10"/>
  <c r="V1942" i="10"/>
  <c r="U1942" i="10"/>
  <c r="T1942" i="10"/>
  <c r="S1942" i="10"/>
  <c r="R1942" i="10"/>
  <c r="AE1942" i="10"/>
  <c r="AD1941" i="10"/>
  <c r="AC1941" i="10"/>
  <c r="AB1941" i="10"/>
  <c r="AA1941" i="10"/>
  <c r="Z1941" i="10"/>
  <c r="Y1941" i="10"/>
  <c r="X1941" i="10"/>
  <c r="W1941" i="10"/>
  <c r="V1941" i="10"/>
  <c r="U1941" i="10"/>
  <c r="T1941" i="10"/>
  <c r="S1941" i="10"/>
  <c r="R1941" i="10"/>
  <c r="AD1940" i="10"/>
  <c r="AC1940" i="10"/>
  <c r="AB1940" i="10"/>
  <c r="AA1940" i="10"/>
  <c r="Z1940" i="10"/>
  <c r="Y1940" i="10"/>
  <c r="X1940" i="10"/>
  <c r="W1940" i="10"/>
  <c r="V1940" i="10"/>
  <c r="U1940" i="10"/>
  <c r="T1940" i="10"/>
  <c r="S1940" i="10"/>
  <c r="R1940" i="10"/>
  <c r="AE1940" i="10"/>
  <c r="AD1939" i="10"/>
  <c r="AC1939" i="10"/>
  <c r="AB1939" i="10"/>
  <c r="AA1939" i="10"/>
  <c r="Z1939" i="10"/>
  <c r="Y1939" i="10"/>
  <c r="X1939" i="10"/>
  <c r="W1939" i="10"/>
  <c r="V1939" i="10"/>
  <c r="U1939" i="10"/>
  <c r="T1939" i="10"/>
  <c r="S1939" i="10"/>
  <c r="R1939" i="10"/>
  <c r="AE1939" i="10"/>
  <c r="AD1938" i="10"/>
  <c r="AC1938" i="10"/>
  <c r="AB1938" i="10"/>
  <c r="AA1938" i="10"/>
  <c r="Z1938" i="10"/>
  <c r="Y1938" i="10"/>
  <c r="X1938" i="10"/>
  <c r="W1938" i="10"/>
  <c r="R1938" i="10"/>
  <c r="S1938" i="10"/>
  <c r="T1938" i="10"/>
  <c r="U1938" i="10"/>
  <c r="V1938" i="10"/>
  <c r="AE1938" i="10"/>
  <c r="AD1937" i="10"/>
  <c r="AC1937" i="10"/>
  <c r="AB1937" i="10"/>
  <c r="AA1937" i="10"/>
  <c r="Z1937" i="10"/>
  <c r="Y1937" i="10"/>
  <c r="X1937" i="10"/>
  <c r="W1937" i="10"/>
  <c r="V1937" i="10"/>
  <c r="U1937" i="10"/>
  <c r="T1937" i="10"/>
  <c r="S1937" i="10"/>
  <c r="R1937" i="10"/>
  <c r="AE1937" i="10"/>
  <c r="AD1936" i="10"/>
  <c r="AC1936" i="10"/>
  <c r="AB1936" i="10"/>
  <c r="AA1936" i="10"/>
  <c r="Z1936" i="10"/>
  <c r="Y1936" i="10"/>
  <c r="X1936" i="10"/>
  <c r="W1936" i="10"/>
  <c r="V1936" i="10"/>
  <c r="U1936" i="10"/>
  <c r="T1936" i="10"/>
  <c r="S1936" i="10"/>
  <c r="R1936" i="10"/>
  <c r="AE1936" i="10"/>
  <c r="AD1935" i="10"/>
  <c r="AC1935" i="10"/>
  <c r="AB1935" i="10"/>
  <c r="AA1935" i="10"/>
  <c r="Z1935" i="10"/>
  <c r="Y1935" i="10"/>
  <c r="X1935" i="10"/>
  <c r="W1935" i="10"/>
  <c r="V1935" i="10"/>
  <c r="U1935" i="10"/>
  <c r="T1935" i="10"/>
  <c r="R1935" i="10"/>
  <c r="S1935" i="10"/>
  <c r="AE1935" i="10"/>
  <c r="AD1934" i="10"/>
  <c r="AC1934" i="10"/>
  <c r="AB1934" i="10"/>
  <c r="AA1934" i="10"/>
  <c r="Z1934" i="10"/>
  <c r="Y1934" i="10"/>
  <c r="X1934" i="10"/>
  <c r="W1934" i="10"/>
  <c r="V1934" i="10"/>
  <c r="U1934" i="10"/>
  <c r="T1934" i="10"/>
  <c r="S1934" i="10"/>
  <c r="R1934" i="10"/>
  <c r="AE1934" i="10"/>
  <c r="AD1933" i="10"/>
  <c r="AC1933" i="10"/>
  <c r="AB1933" i="10"/>
  <c r="AA1933" i="10"/>
  <c r="Z1933" i="10"/>
  <c r="Y1933" i="10"/>
  <c r="X1933" i="10"/>
  <c r="W1933" i="10"/>
  <c r="V1933" i="10"/>
  <c r="U1933" i="10"/>
  <c r="T1933" i="10"/>
  <c r="S1933" i="10"/>
  <c r="R1933" i="10"/>
  <c r="AD1932" i="10"/>
  <c r="AC1932" i="10"/>
  <c r="AB1932" i="10"/>
  <c r="AA1932" i="10"/>
  <c r="Z1932" i="10"/>
  <c r="Y1932" i="10"/>
  <c r="X1932" i="10"/>
  <c r="W1932" i="10"/>
  <c r="V1932" i="10"/>
  <c r="U1932" i="10"/>
  <c r="T1932" i="10"/>
  <c r="S1932" i="10"/>
  <c r="R1932" i="10"/>
  <c r="AE1932" i="10"/>
  <c r="AD1931" i="10"/>
  <c r="AC1931" i="10"/>
  <c r="AB1931" i="10"/>
  <c r="AA1931" i="10"/>
  <c r="Z1931" i="10"/>
  <c r="Y1931" i="10"/>
  <c r="X1931" i="10"/>
  <c r="W1931" i="10"/>
  <c r="V1931" i="10"/>
  <c r="U1931" i="10"/>
  <c r="T1931" i="10"/>
  <c r="R1931" i="10"/>
  <c r="S1931" i="10"/>
  <c r="AE1931" i="10"/>
  <c r="AD1930" i="10"/>
  <c r="AC1930" i="10"/>
  <c r="AB1930" i="10"/>
  <c r="AA1930" i="10"/>
  <c r="Z1930" i="10"/>
  <c r="Y1930" i="10"/>
  <c r="X1930" i="10"/>
  <c r="W1930" i="10"/>
  <c r="V1930" i="10"/>
  <c r="U1930" i="10"/>
  <c r="T1930" i="10"/>
  <c r="S1930" i="10"/>
  <c r="R1930" i="10"/>
  <c r="AE1930" i="10"/>
  <c r="AD1929" i="10"/>
  <c r="AC1929" i="10"/>
  <c r="AB1929" i="10"/>
  <c r="AA1929" i="10"/>
  <c r="Z1929" i="10"/>
  <c r="Y1929" i="10"/>
  <c r="X1929" i="10"/>
  <c r="W1929" i="10"/>
  <c r="V1929" i="10"/>
  <c r="U1929" i="10"/>
  <c r="T1929" i="10"/>
  <c r="S1929" i="10"/>
  <c r="R1929" i="10"/>
  <c r="AD1928" i="10"/>
  <c r="AC1928" i="10"/>
  <c r="AB1928" i="10"/>
  <c r="AA1928" i="10"/>
  <c r="Z1928" i="10"/>
  <c r="Y1928" i="10"/>
  <c r="X1928" i="10"/>
  <c r="W1928" i="10"/>
  <c r="V1928" i="10"/>
  <c r="U1928" i="10"/>
  <c r="T1928" i="10"/>
  <c r="S1928" i="10"/>
  <c r="R1928" i="10"/>
  <c r="AE1928" i="10"/>
  <c r="AD1927" i="10"/>
  <c r="AC1927" i="10"/>
  <c r="AB1927" i="10"/>
  <c r="AA1927" i="10"/>
  <c r="Z1927" i="10"/>
  <c r="Y1927" i="10"/>
  <c r="X1927" i="10"/>
  <c r="W1927" i="10"/>
  <c r="V1927" i="10"/>
  <c r="U1927" i="10"/>
  <c r="T1927" i="10"/>
  <c r="S1927" i="10"/>
  <c r="R1927" i="10"/>
  <c r="AD1926" i="10"/>
  <c r="AC1926" i="10"/>
  <c r="AB1926" i="10"/>
  <c r="AA1926" i="10"/>
  <c r="Z1926" i="10"/>
  <c r="Y1926" i="10"/>
  <c r="X1926" i="10"/>
  <c r="W1926" i="10"/>
  <c r="R1926" i="10"/>
  <c r="S1926" i="10"/>
  <c r="T1926" i="10"/>
  <c r="U1926" i="10"/>
  <c r="V1926" i="10"/>
  <c r="AE1926" i="10"/>
  <c r="AD1925" i="10"/>
  <c r="AC1925" i="10"/>
  <c r="AB1925" i="10"/>
  <c r="AA1925" i="10"/>
  <c r="Z1925" i="10"/>
  <c r="Y1925" i="10"/>
  <c r="X1925" i="10"/>
  <c r="W1925" i="10"/>
  <c r="V1925" i="10"/>
  <c r="U1925" i="10"/>
  <c r="T1925" i="10"/>
  <c r="S1925" i="10"/>
  <c r="R1925" i="10"/>
  <c r="AD1924" i="10"/>
  <c r="AC1924" i="10"/>
  <c r="AB1924" i="10"/>
  <c r="AA1924" i="10"/>
  <c r="Z1924" i="10"/>
  <c r="Y1924" i="10"/>
  <c r="X1924" i="10"/>
  <c r="W1924" i="10"/>
  <c r="V1924" i="10"/>
  <c r="U1924" i="10"/>
  <c r="T1924" i="10"/>
  <c r="R1924" i="10"/>
  <c r="S1924" i="10"/>
  <c r="AE1924" i="10"/>
  <c r="AD1923" i="10"/>
  <c r="AC1923" i="10"/>
  <c r="AB1923" i="10"/>
  <c r="AA1923" i="10"/>
  <c r="Z1923" i="10"/>
  <c r="Y1923" i="10"/>
  <c r="X1923" i="10"/>
  <c r="W1923" i="10"/>
  <c r="V1923" i="10"/>
  <c r="U1923" i="10"/>
  <c r="T1923" i="10"/>
  <c r="S1923" i="10"/>
  <c r="R1923" i="10"/>
  <c r="AE1923" i="10"/>
  <c r="AD1922" i="10"/>
  <c r="AC1922" i="10"/>
  <c r="AB1922" i="10"/>
  <c r="AA1922" i="10"/>
  <c r="Z1922" i="10"/>
  <c r="Y1922" i="10"/>
  <c r="X1922" i="10"/>
  <c r="W1922" i="10"/>
  <c r="V1922" i="10"/>
  <c r="U1922" i="10"/>
  <c r="T1922" i="10"/>
  <c r="S1922" i="10"/>
  <c r="R1922" i="10"/>
  <c r="AE1922" i="10"/>
  <c r="AD1921" i="10"/>
  <c r="AC1921" i="10"/>
  <c r="AB1921" i="10"/>
  <c r="AA1921" i="10"/>
  <c r="Z1921" i="10"/>
  <c r="Y1921" i="10"/>
  <c r="X1921" i="10"/>
  <c r="W1921" i="10"/>
  <c r="V1921" i="10"/>
  <c r="U1921" i="10"/>
  <c r="T1921" i="10"/>
  <c r="S1921" i="10"/>
  <c r="R1921" i="10"/>
  <c r="AE1921" i="10"/>
  <c r="AD1920" i="10"/>
  <c r="AC1920" i="10"/>
  <c r="AB1920" i="10"/>
  <c r="AA1920" i="10"/>
  <c r="Z1920" i="10"/>
  <c r="Y1920" i="10"/>
  <c r="X1920" i="10"/>
  <c r="W1920" i="10"/>
  <c r="V1920" i="10"/>
  <c r="U1920" i="10"/>
  <c r="T1920" i="10"/>
  <c r="S1920" i="10"/>
  <c r="R1920" i="10"/>
  <c r="AE1920" i="10"/>
  <c r="AD1919" i="10"/>
  <c r="AC1919" i="10"/>
  <c r="AB1919" i="10"/>
  <c r="AA1919" i="10"/>
  <c r="Z1919" i="10"/>
  <c r="Y1919" i="10"/>
  <c r="X1919" i="10"/>
  <c r="W1919" i="10"/>
  <c r="R1919" i="10"/>
  <c r="S1919" i="10"/>
  <c r="T1919" i="10"/>
  <c r="U1919" i="10"/>
  <c r="V1919" i="10"/>
  <c r="AE1919" i="10"/>
  <c r="AD1918" i="10"/>
  <c r="AC1918" i="10"/>
  <c r="AB1918" i="10"/>
  <c r="AA1918" i="10"/>
  <c r="Z1918" i="10"/>
  <c r="Y1918" i="10"/>
  <c r="X1918" i="10"/>
  <c r="W1918" i="10"/>
  <c r="V1918" i="10"/>
  <c r="U1918" i="10"/>
  <c r="T1918" i="10"/>
  <c r="S1918" i="10"/>
  <c r="R1918" i="10"/>
  <c r="AD1917" i="10"/>
  <c r="AC1917" i="10"/>
  <c r="AB1917" i="10"/>
  <c r="AA1917" i="10"/>
  <c r="Z1917" i="10"/>
  <c r="Y1917" i="10"/>
  <c r="X1917" i="10"/>
  <c r="W1917" i="10"/>
  <c r="V1917" i="10"/>
  <c r="U1917" i="10"/>
  <c r="T1917" i="10"/>
  <c r="S1917" i="10"/>
  <c r="R1917" i="10"/>
  <c r="AD1916" i="10"/>
  <c r="AC1916" i="10"/>
  <c r="AB1916" i="10"/>
  <c r="AA1916" i="10"/>
  <c r="Z1916" i="10"/>
  <c r="Y1916" i="10"/>
  <c r="X1916" i="10"/>
  <c r="W1916" i="10"/>
  <c r="V1916" i="10"/>
  <c r="U1916" i="10"/>
  <c r="T1916" i="10"/>
  <c r="S1916" i="10"/>
  <c r="R1916" i="10"/>
  <c r="AD1915" i="10"/>
  <c r="AC1915" i="10"/>
  <c r="AB1915" i="10"/>
  <c r="AA1915" i="10"/>
  <c r="Z1915" i="10"/>
  <c r="Y1915" i="10"/>
  <c r="X1915" i="10"/>
  <c r="W1915" i="10"/>
  <c r="V1915" i="10"/>
  <c r="U1915" i="10"/>
  <c r="T1915" i="10"/>
  <c r="S1915" i="10"/>
  <c r="R1915" i="10"/>
  <c r="AE1915" i="10"/>
  <c r="AD1914" i="10"/>
  <c r="AC1914" i="10"/>
  <c r="AB1914" i="10"/>
  <c r="AA1914" i="10"/>
  <c r="Z1914" i="10"/>
  <c r="Y1914" i="10"/>
  <c r="X1914" i="10"/>
  <c r="W1914" i="10"/>
  <c r="V1914" i="10"/>
  <c r="U1914" i="10"/>
  <c r="T1914" i="10"/>
  <c r="S1914" i="10"/>
  <c r="R1914" i="10"/>
  <c r="AE1914" i="10"/>
  <c r="AD1913" i="10"/>
  <c r="AC1913" i="10"/>
  <c r="AB1913" i="10"/>
  <c r="AA1913" i="10"/>
  <c r="Z1913" i="10"/>
  <c r="Y1913" i="10"/>
  <c r="X1913" i="10"/>
  <c r="W1913" i="10"/>
  <c r="V1913" i="10"/>
  <c r="U1913" i="10"/>
  <c r="T1913" i="10"/>
  <c r="S1913" i="10"/>
  <c r="R1913" i="10"/>
  <c r="AD1912" i="10"/>
  <c r="AC1912" i="10"/>
  <c r="AB1912" i="10"/>
  <c r="AA1912" i="10"/>
  <c r="Z1912" i="10"/>
  <c r="Y1912" i="10"/>
  <c r="X1912" i="10"/>
  <c r="W1912" i="10"/>
  <c r="R1912" i="10"/>
  <c r="S1912" i="10"/>
  <c r="T1912" i="10"/>
  <c r="U1912" i="10"/>
  <c r="V1912" i="10"/>
  <c r="AE1912" i="10"/>
  <c r="AD1911" i="10"/>
  <c r="AC1911" i="10"/>
  <c r="AB1911" i="10"/>
  <c r="AA1911" i="10"/>
  <c r="Z1911" i="10"/>
  <c r="Y1911" i="10"/>
  <c r="X1911" i="10"/>
  <c r="W1911" i="10"/>
  <c r="V1911" i="10"/>
  <c r="U1911" i="10"/>
  <c r="T1911" i="10"/>
  <c r="S1911" i="10"/>
  <c r="R1911" i="10"/>
  <c r="AE1911" i="10"/>
  <c r="AD1910" i="10"/>
  <c r="AC1910" i="10"/>
  <c r="AB1910" i="10"/>
  <c r="AA1910" i="10"/>
  <c r="Z1910" i="10"/>
  <c r="Y1910" i="10"/>
  <c r="X1910" i="10"/>
  <c r="W1910" i="10"/>
  <c r="V1910" i="10"/>
  <c r="U1910" i="10"/>
  <c r="T1910" i="10"/>
  <c r="S1910" i="10"/>
  <c r="R1910" i="10"/>
  <c r="AE1910" i="10"/>
  <c r="AD1909" i="10"/>
  <c r="AC1909" i="10"/>
  <c r="AB1909" i="10"/>
  <c r="AA1909" i="10"/>
  <c r="Z1909" i="10"/>
  <c r="Y1909" i="10"/>
  <c r="X1909" i="10"/>
  <c r="W1909" i="10"/>
  <c r="V1909" i="10"/>
  <c r="U1909" i="10"/>
  <c r="T1909" i="10"/>
  <c r="S1909" i="10"/>
  <c r="R1909" i="10"/>
  <c r="AD1908" i="10"/>
  <c r="AC1908" i="10"/>
  <c r="AB1908" i="10"/>
  <c r="AA1908" i="10"/>
  <c r="Z1908" i="10"/>
  <c r="Y1908" i="10"/>
  <c r="X1908" i="10"/>
  <c r="W1908" i="10"/>
  <c r="V1908" i="10"/>
  <c r="U1908" i="10"/>
  <c r="T1908" i="10"/>
  <c r="S1908" i="10"/>
  <c r="R1908" i="10"/>
  <c r="AE1908" i="10"/>
  <c r="AD1907" i="10"/>
  <c r="AC1907" i="10"/>
  <c r="AB1907" i="10"/>
  <c r="AA1907" i="10"/>
  <c r="Z1907" i="10"/>
  <c r="Y1907" i="10"/>
  <c r="X1907" i="10"/>
  <c r="W1907" i="10"/>
  <c r="V1907" i="10"/>
  <c r="U1907" i="10"/>
  <c r="T1907" i="10"/>
  <c r="S1907" i="10"/>
  <c r="R1907" i="10"/>
  <c r="AE1907" i="10"/>
  <c r="AD1906" i="10"/>
  <c r="AC1906" i="10"/>
  <c r="AB1906" i="10"/>
  <c r="AA1906" i="10"/>
  <c r="Z1906" i="10"/>
  <c r="Y1906" i="10"/>
  <c r="X1906" i="10"/>
  <c r="W1906" i="10"/>
  <c r="V1906" i="10"/>
  <c r="U1906" i="10"/>
  <c r="T1906" i="10"/>
  <c r="S1906" i="10"/>
  <c r="R1906" i="10"/>
  <c r="AD1905" i="10"/>
  <c r="AC1905" i="10"/>
  <c r="AB1905" i="10"/>
  <c r="AA1905" i="10"/>
  <c r="Z1905" i="10"/>
  <c r="Y1905" i="10"/>
  <c r="X1905" i="10"/>
  <c r="W1905" i="10"/>
  <c r="R1905" i="10"/>
  <c r="S1905" i="10"/>
  <c r="T1905" i="10"/>
  <c r="U1905" i="10"/>
  <c r="V1905" i="10"/>
  <c r="AE1905" i="10"/>
  <c r="AD1904" i="10"/>
  <c r="AC1904" i="10"/>
  <c r="AB1904" i="10"/>
  <c r="AA1904" i="10"/>
  <c r="Z1904" i="10"/>
  <c r="Y1904" i="10"/>
  <c r="X1904" i="10"/>
  <c r="W1904" i="10"/>
  <c r="V1904" i="10"/>
  <c r="U1904" i="10"/>
  <c r="T1904" i="10"/>
  <c r="S1904" i="10"/>
  <c r="R1904" i="10"/>
  <c r="AD1903" i="10"/>
  <c r="AC1903" i="10"/>
  <c r="AB1903" i="10"/>
  <c r="AA1903" i="10"/>
  <c r="Z1903" i="10"/>
  <c r="Y1903" i="10"/>
  <c r="X1903" i="10"/>
  <c r="W1903" i="10"/>
  <c r="V1903" i="10"/>
  <c r="U1903" i="10"/>
  <c r="T1903" i="10"/>
  <c r="S1903" i="10"/>
  <c r="R1903" i="10"/>
  <c r="AE1903" i="10"/>
  <c r="AD1902" i="10"/>
  <c r="AC1902" i="10"/>
  <c r="AB1902" i="10"/>
  <c r="AA1902" i="10"/>
  <c r="Z1902" i="10"/>
  <c r="Y1902" i="10"/>
  <c r="X1902" i="10"/>
  <c r="W1902" i="10"/>
  <c r="V1902" i="10"/>
  <c r="U1902" i="10"/>
  <c r="T1902" i="10"/>
  <c r="S1902" i="10"/>
  <c r="R1902" i="10"/>
  <c r="AD1901" i="10"/>
  <c r="AC1901" i="10"/>
  <c r="AB1901" i="10"/>
  <c r="AA1901" i="10"/>
  <c r="Z1901" i="10"/>
  <c r="Y1901" i="10"/>
  <c r="X1901" i="10"/>
  <c r="W1901" i="10"/>
  <c r="V1901" i="10"/>
  <c r="U1901" i="10"/>
  <c r="T1901" i="10"/>
  <c r="S1901" i="10"/>
  <c r="R1901" i="10"/>
  <c r="AD1900" i="10"/>
  <c r="AC1900" i="10"/>
  <c r="AB1900" i="10"/>
  <c r="AA1900" i="10"/>
  <c r="Z1900" i="10"/>
  <c r="Y1900" i="10"/>
  <c r="X1900" i="10"/>
  <c r="W1900" i="10"/>
  <c r="V1900" i="10"/>
  <c r="U1900" i="10"/>
  <c r="T1900" i="10"/>
  <c r="S1900" i="10"/>
  <c r="R1900" i="10"/>
  <c r="AE1900" i="10"/>
  <c r="AD1899" i="10"/>
  <c r="AC1899" i="10"/>
  <c r="AB1899" i="10"/>
  <c r="AA1899" i="10"/>
  <c r="Z1899" i="10"/>
  <c r="Y1899" i="10"/>
  <c r="X1899" i="10"/>
  <c r="W1899" i="10"/>
  <c r="R1899" i="10"/>
  <c r="S1899" i="10"/>
  <c r="T1899" i="10"/>
  <c r="U1899" i="10"/>
  <c r="V1899" i="10"/>
  <c r="AE1899" i="10"/>
  <c r="AD1898" i="10"/>
  <c r="AC1898" i="10"/>
  <c r="AB1898" i="10"/>
  <c r="AA1898" i="10"/>
  <c r="Z1898" i="10"/>
  <c r="Y1898" i="10"/>
  <c r="X1898" i="10"/>
  <c r="W1898" i="10"/>
  <c r="R1898" i="10"/>
  <c r="S1898" i="10"/>
  <c r="T1898" i="10"/>
  <c r="U1898" i="10"/>
  <c r="V1898" i="10"/>
  <c r="AE1898" i="10"/>
  <c r="AD1897" i="10"/>
  <c r="AC1897" i="10"/>
  <c r="AB1897" i="10"/>
  <c r="AA1897" i="10"/>
  <c r="Z1897" i="10"/>
  <c r="Y1897" i="10"/>
  <c r="X1897" i="10"/>
  <c r="W1897" i="10"/>
  <c r="V1897" i="10"/>
  <c r="U1897" i="10"/>
  <c r="T1897" i="10"/>
  <c r="S1897" i="10"/>
  <c r="R1897" i="10"/>
  <c r="AE1897" i="10"/>
  <c r="AD1896" i="10"/>
  <c r="AC1896" i="10"/>
  <c r="AB1896" i="10"/>
  <c r="AA1896" i="10"/>
  <c r="Z1896" i="10"/>
  <c r="Y1896" i="10"/>
  <c r="X1896" i="10"/>
  <c r="W1896" i="10"/>
  <c r="V1896" i="10"/>
  <c r="U1896" i="10"/>
  <c r="T1896" i="10"/>
  <c r="S1896" i="10"/>
  <c r="R1896" i="10"/>
  <c r="AE1896" i="10"/>
  <c r="AD1895" i="10"/>
  <c r="AC1895" i="10"/>
  <c r="AB1895" i="10"/>
  <c r="AA1895" i="10"/>
  <c r="Z1895" i="10"/>
  <c r="Y1895" i="10"/>
  <c r="X1895" i="10"/>
  <c r="W1895" i="10"/>
  <c r="V1895" i="10"/>
  <c r="U1895" i="10"/>
  <c r="T1895" i="10"/>
  <c r="S1895" i="10"/>
  <c r="R1895" i="10"/>
  <c r="AD1894" i="10"/>
  <c r="AC1894" i="10"/>
  <c r="AB1894" i="10"/>
  <c r="AA1894" i="10"/>
  <c r="Z1894" i="10"/>
  <c r="Y1894" i="10"/>
  <c r="X1894" i="10"/>
  <c r="W1894" i="10"/>
  <c r="V1894" i="10"/>
  <c r="U1894" i="10"/>
  <c r="T1894" i="10"/>
  <c r="S1894" i="10"/>
  <c r="R1894" i="10"/>
  <c r="AD1893" i="10"/>
  <c r="AC1893" i="10"/>
  <c r="AB1893" i="10"/>
  <c r="AA1893" i="10"/>
  <c r="Z1893" i="10"/>
  <c r="Y1893" i="10"/>
  <c r="X1893" i="10"/>
  <c r="W1893" i="10"/>
  <c r="V1893" i="10"/>
  <c r="U1893" i="10"/>
  <c r="T1893" i="10"/>
  <c r="S1893" i="10"/>
  <c r="R1893" i="10"/>
  <c r="AE1893" i="10"/>
  <c r="AD1892" i="10"/>
  <c r="AC1892" i="10"/>
  <c r="AB1892" i="10"/>
  <c r="AA1892" i="10"/>
  <c r="Z1892" i="10"/>
  <c r="Y1892" i="10"/>
  <c r="X1892" i="10"/>
  <c r="W1892" i="10"/>
  <c r="R1892" i="10"/>
  <c r="S1892" i="10"/>
  <c r="T1892" i="10"/>
  <c r="U1892" i="10"/>
  <c r="V1892" i="10"/>
  <c r="AE1892" i="10"/>
  <c r="AD1891" i="10"/>
  <c r="AC1891" i="10"/>
  <c r="AB1891" i="10"/>
  <c r="AA1891" i="10"/>
  <c r="Z1891" i="10"/>
  <c r="Y1891" i="10"/>
  <c r="X1891" i="10"/>
  <c r="W1891" i="10"/>
  <c r="R1891" i="10"/>
  <c r="S1891" i="10"/>
  <c r="T1891" i="10"/>
  <c r="U1891" i="10"/>
  <c r="V1891" i="10"/>
  <c r="AE1891" i="10"/>
  <c r="AD1890" i="10"/>
  <c r="AC1890" i="10"/>
  <c r="AB1890" i="10"/>
  <c r="AA1890" i="10"/>
  <c r="Z1890" i="10"/>
  <c r="Y1890" i="10"/>
  <c r="X1890" i="10"/>
  <c r="W1890" i="10"/>
  <c r="V1890" i="10"/>
  <c r="U1890" i="10"/>
  <c r="T1890" i="10"/>
  <c r="S1890" i="10"/>
  <c r="R1890" i="10"/>
  <c r="AD1889" i="10"/>
  <c r="AC1889" i="10"/>
  <c r="AB1889" i="10"/>
  <c r="AA1889" i="10"/>
  <c r="Z1889" i="10"/>
  <c r="Y1889" i="10"/>
  <c r="X1889" i="10"/>
  <c r="W1889" i="10"/>
  <c r="V1889" i="10"/>
  <c r="U1889" i="10"/>
  <c r="T1889" i="10"/>
  <c r="S1889" i="10"/>
  <c r="R1889" i="10"/>
  <c r="AE1889" i="10"/>
  <c r="AD1888" i="10"/>
  <c r="AC1888" i="10"/>
  <c r="AB1888" i="10"/>
  <c r="AA1888" i="10"/>
  <c r="Z1888" i="10"/>
  <c r="Y1888" i="10"/>
  <c r="X1888" i="10"/>
  <c r="W1888" i="10"/>
  <c r="V1888" i="10"/>
  <c r="U1888" i="10"/>
  <c r="T1888" i="10"/>
  <c r="S1888" i="10"/>
  <c r="R1888" i="10"/>
  <c r="AD1887" i="10"/>
  <c r="AC1887" i="10"/>
  <c r="AB1887" i="10"/>
  <c r="AA1887" i="10"/>
  <c r="Z1887" i="10"/>
  <c r="Y1887" i="10"/>
  <c r="X1887" i="10"/>
  <c r="W1887" i="10"/>
  <c r="V1887" i="10"/>
  <c r="U1887" i="10"/>
  <c r="T1887" i="10"/>
  <c r="S1887" i="10"/>
  <c r="R1887" i="10"/>
  <c r="AD1886" i="10"/>
  <c r="AC1886" i="10"/>
  <c r="AB1886" i="10"/>
  <c r="AA1886" i="10"/>
  <c r="Z1886" i="10"/>
  <c r="Y1886" i="10"/>
  <c r="X1886" i="10"/>
  <c r="W1886" i="10"/>
  <c r="V1886" i="10"/>
  <c r="U1886" i="10"/>
  <c r="T1886" i="10"/>
  <c r="S1886" i="10"/>
  <c r="R1886" i="10"/>
  <c r="AD1885" i="10"/>
  <c r="AC1885" i="10"/>
  <c r="AB1885" i="10"/>
  <c r="AA1885" i="10"/>
  <c r="Z1885" i="10"/>
  <c r="Y1885" i="10"/>
  <c r="X1885" i="10"/>
  <c r="W1885" i="10"/>
  <c r="V1885" i="10"/>
  <c r="U1885" i="10"/>
  <c r="T1885" i="10"/>
  <c r="S1885" i="10"/>
  <c r="R1885" i="10"/>
  <c r="AD1884" i="10"/>
  <c r="AC1884" i="10"/>
  <c r="AB1884" i="10"/>
  <c r="AA1884" i="10"/>
  <c r="Z1884" i="10"/>
  <c r="Y1884" i="10"/>
  <c r="X1884" i="10"/>
  <c r="W1884" i="10"/>
  <c r="R1884" i="10"/>
  <c r="S1884" i="10"/>
  <c r="T1884" i="10"/>
  <c r="U1884" i="10"/>
  <c r="V1884" i="10"/>
  <c r="AE1884" i="10"/>
  <c r="AD1883" i="10"/>
  <c r="AC1883" i="10"/>
  <c r="AB1883" i="10"/>
  <c r="AA1883" i="10"/>
  <c r="Z1883" i="10"/>
  <c r="Y1883" i="10"/>
  <c r="X1883" i="10"/>
  <c r="W1883" i="10"/>
  <c r="V1883" i="10"/>
  <c r="U1883" i="10"/>
  <c r="T1883" i="10"/>
  <c r="S1883" i="10"/>
  <c r="R1883" i="10"/>
  <c r="AE1883" i="10"/>
  <c r="AD1882" i="10"/>
  <c r="AC1882" i="10"/>
  <c r="AB1882" i="10"/>
  <c r="AA1882" i="10"/>
  <c r="Z1882" i="10"/>
  <c r="Y1882" i="10"/>
  <c r="X1882" i="10"/>
  <c r="W1882" i="10"/>
  <c r="V1882" i="10"/>
  <c r="U1882" i="10"/>
  <c r="T1882" i="10"/>
  <c r="S1882" i="10"/>
  <c r="R1882" i="10"/>
  <c r="AD1881" i="10"/>
  <c r="AC1881" i="10"/>
  <c r="AB1881" i="10"/>
  <c r="AA1881" i="10"/>
  <c r="Z1881" i="10"/>
  <c r="Y1881" i="10"/>
  <c r="X1881" i="10"/>
  <c r="W1881" i="10"/>
  <c r="V1881" i="10"/>
  <c r="U1881" i="10"/>
  <c r="T1881" i="10"/>
  <c r="R1881" i="10"/>
  <c r="S1881" i="10"/>
  <c r="AE1881" i="10"/>
  <c r="AD1880" i="10"/>
  <c r="AC1880" i="10"/>
  <c r="AB1880" i="10"/>
  <c r="AA1880" i="10"/>
  <c r="Z1880" i="10"/>
  <c r="Y1880" i="10"/>
  <c r="X1880" i="10"/>
  <c r="W1880" i="10"/>
  <c r="V1880" i="10"/>
  <c r="U1880" i="10"/>
  <c r="T1880" i="10"/>
  <c r="S1880" i="10"/>
  <c r="R1880" i="10"/>
  <c r="AE1880" i="10"/>
  <c r="AD1879" i="10"/>
  <c r="AC1879" i="10"/>
  <c r="AB1879" i="10"/>
  <c r="AA1879" i="10"/>
  <c r="Z1879" i="10"/>
  <c r="Y1879" i="10"/>
  <c r="X1879" i="10"/>
  <c r="W1879" i="10"/>
  <c r="V1879" i="10"/>
  <c r="U1879" i="10"/>
  <c r="T1879" i="10"/>
  <c r="S1879" i="10"/>
  <c r="R1879" i="10"/>
  <c r="AE1879" i="10"/>
  <c r="AD1878" i="10"/>
  <c r="AC1878" i="10"/>
  <c r="AB1878" i="10"/>
  <c r="AA1878" i="10"/>
  <c r="Z1878" i="10"/>
  <c r="Y1878" i="10"/>
  <c r="X1878" i="10"/>
  <c r="W1878" i="10"/>
  <c r="V1878" i="10"/>
  <c r="U1878" i="10"/>
  <c r="T1878" i="10"/>
  <c r="S1878" i="10"/>
  <c r="R1878" i="10"/>
  <c r="AE1878" i="10"/>
  <c r="AD1877" i="10"/>
  <c r="AC1877" i="10"/>
  <c r="AB1877" i="10"/>
  <c r="AA1877" i="10"/>
  <c r="Z1877" i="10"/>
  <c r="Y1877" i="10"/>
  <c r="X1877" i="10"/>
  <c r="W1877" i="10"/>
  <c r="V1877" i="10"/>
  <c r="U1877" i="10"/>
  <c r="T1877" i="10"/>
  <c r="S1877" i="10"/>
  <c r="R1877" i="10"/>
  <c r="AD1876" i="10"/>
  <c r="AC1876" i="10"/>
  <c r="AB1876" i="10"/>
  <c r="AA1876" i="10"/>
  <c r="Z1876" i="10"/>
  <c r="Y1876" i="10"/>
  <c r="X1876" i="10"/>
  <c r="W1876" i="10"/>
  <c r="V1876" i="10"/>
  <c r="U1876" i="10"/>
  <c r="T1876" i="10"/>
  <c r="S1876" i="10"/>
  <c r="R1876" i="10"/>
  <c r="AE1876" i="10"/>
  <c r="AD1875" i="10"/>
  <c r="AC1875" i="10"/>
  <c r="AB1875" i="10"/>
  <c r="AA1875" i="10"/>
  <c r="Z1875" i="10"/>
  <c r="Y1875" i="10"/>
  <c r="X1875" i="10"/>
  <c r="W1875" i="10"/>
  <c r="V1875" i="10"/>
  <c r="U1875" i="10"/>
  <c r="T1875" i="10"/>
  <c r="S1875" i="10"/>
  <c r="R1875" i="10"/>
  <c r="AE1875" i="10"/>
  <c r="AD1874" i="10"/>
  <c r="AC1874" i="10"/>
  <c r="AB1874" i="10"/>
  <c r="AA1874" i="10"/>
  <c r="Z1874" i="10"/>
  <c r="Y1874" i="10"/>
  <c r="X1874" i="10"/>
  <c r="W1874" i="10"/>
  <c r="R1874" i="10"/>
  <c r="S1874" i="10"/>
  <c r="T1874" i="10"/>
  <c r="U1874" i="10"/>
  <c r="V1874" i="10"/>
  <c r="AE1874" i="10"/>
  <c r="AD1873" i="10"/>
  <c r="AC1873" i="10"/>
  <c r="AB1873" i="10"/>
  <c r="AA1873" i="10"/>
  <c r="Z1873" i="10"/>
  <c r="Y1873" i="10"/>
  <c r="X1873" i="10"/>
  <c r="W1873" i="10"/>
  <c r="V1873" i="10"/>
  <c r="U1873" i="10"/>
  <c r="T1873" i="10"/>
  <c r="S1873" i="10"/>
  <c r="R1873" i="10"/>
  <c r="AE1873" i="10"/>
  <c r="AD1872" i="10"/>
  <c r="AC1872" i="10"/>
  <c r="AB1872" i="10"/>
  <c r="AA1872" i="10"/>
  <c r="Z1872" i="10"/>
  <c r="Y1872" i="10"/>
  <c r="X1872" i="10"/>
  <c r="W1872" i="10"/>
  <c r="V1872" i="10"/>
  <c r="U1872" i="10"/>
  <c r="T1872" i="10"/>
  <c r="S1872" i="10"/>
  <c r="R1872" i="10"/>
  <c r="AE1872" i="10"/>
  <c r="AD1871" i="10"/>
  <c r="AC1871" i="10"/>
  <c r="AB1871" i="10"/>
  <c r="AA1871" i="10"/>
  <c r="Z1871" i="10"/>
  <c r="Y1871" i="10"/>
  <c r="X1871" i="10"/>
  <c r="W1871" i="10"/>
  <c r="V1871" i="10"/>
  <c r="U1871" i="10"/>
  <c r="T1871" i="10"/>
  <c r="R1871" i="10"/>
  <c r="S1871" i="10"/>
  <c r="AE1871" i="10"/>
  <c r="AD1870" i="10"/>
  <c r="AC1870" i="10"/>
  <c r="AB1870" i="10"/>
  <c r="AA1870" i="10"/>
  <c r="Z1870" i="10"/>
  <c r="Y1870" i="10"/>
  <c r="X1870" i="10"/>
  <c r="W1870" i="10"/>
  <c r="V1870" i="10"/>
  <c r="U1870" i="10"/>
  <c r="T1870" i="10"/>
  <c r="S1870" i="10"/>
  <c r="R1870" i="10"/>
  <c r="AE1870" i="10"/>
  <c r="AD1869" i="10"/>
  <c r="AC1869" i="10"/>
  <c r="AB1869" i="10"/>
  <c r="AA1869" i="10"/>
  <c r="Z1869" i="10"/>
  <c r="Y1869" i="10"/>
  <c r="X1869" i="10"/>
  <c r="W1869" i="10"/>
  <c r="V1869" i="10"/>
  <c r="U1869" i="10"/>
  <c r="T1869" i="10"/>
  <c r="S1869" i="10"/>
  <c r="R1869" i="10"/>
  <c r="AD1868" i="10"/>
  <c r="AC1868" i="10"/>
  <c r="AB1868" i="10"/>
  <c r="AA1868" i="10"/>
  <c r="Z1868" i="10"/>
  <c r="Y1868" i="10"/>
  <c r="X1868" i="10"/>
  <c r="W1868" i="10"/>
  <c r="V1868" i="10"/>
  <c r="U1868" i="10"/>
  <c r="T1868" i="10"/>
  <c r="S1868" i="10"/>
  <c r="R1868" i="10"/>
  <c r="AE1868" i="10"/>
  <c r="AD1867" i="10"/>
  <c r="AC1867" i="10"/>
  <c r="AB1867" i="10"/>
  <c r="AA1867" i="10"/>
  <c r="Z1867" i="10"/>
  <c r="Y1867" i="10"/>
  <c r="X1867" i="10"/>
  <c r="W1867" i="10"/>
  <c r="V1867" i="10"/>
  <c r="U1867" i="10"/>
  <c r="T1867" i="10"/>
  <c r="R1867" i="10"/>
  <c r="S1867" i="10"/>
  <c r="AE1867" i="10"/>
  <c r="AD1866" i="10"/>
  <c r="AC1866" i="10"/>
  <c r="AB1866" i="10"/>
  <c r="AA1866" i="10"/>
  <c r="Z1866" i="10"/>
  <c r="Y1866" i="10"/>
  <c r="X1866" i="10"/>
  <c r="W1866" i="10"/>
  <c r="V1866" i="10"/>
  <c r="U1866" i="10"/>
  <c r="T1866" i="10"/>
  <c r="S1866" i="10"/>
  <c r="R1866" i="10"/>
  <c r="AD1865" i="10"/>
  <c r="AC1865" i="10"/>
  <c r="AB1865" i="10"/>
  <c r="AA1865" i="10"/>
  <c r="Z1865" i="10"/>
  <c r="Y1865" i="10"/>
  <c r="X1865" i="10"/>
  <c r="W1865" i="10"/>
  <c r="V1865" i="10"/>
  <c r="U1865" i="10"/>
  <c r="T1865" i="10"/>
  <c r="S1865" i="10"/>
  <c r="R1865" i="10"/>
  <c r="AE1865" i="10"/>
  <c r="AD1864" i="10"/>
  <c r="AC1864" i="10"/>
  <c r="AB1864" i="10"/>
  <c r="AA1864" i="10"/>
  <c r="Z1864" i="10"/>
  <c r="Y1864" i="10"/>
  <c r="X1864" i="10"/>
  <c r="W1864" i="10"/>
  <c r="V1864" i="10"/>
  <c r="U1864" i="10"/>
  <c r="T1864" i="10"/>
  <c r="S1864" i="10"/>
  <c r="R1864" i="10"/>
  <c r="AE1864" i="10"/>
  <c r="AD1863" i="10"/>
  <c r="AC1863" i="10"/>
  <c r="AB1863" i="10"/>
  <c r="AA1863" i="10"/>
  <c r="Z1863" i="10"/>
  <c r="Y1863" i="10"/>
  <c r="X1863" i="10"/>
  <c r="W1863" i="10"/>
  <c r="V1863" i="10"/>
  <c r="U1863" i="10"/>
  <c r="T1863" i="10"/>
  <c r="S1863" i="10"/>
  <c r="R1863" i="10"/>
  <c r="AE1863" i="10"/>
  <c r="AD1862" i="10"/>
  <c r="AC1862" i="10"/>
  <c r="AB1862" i="10"/>
  <c r="AA1862" i="10"/>
  <c r="Z1862" i="10"/>
  <c r="Y1862" i="10"/>
  <c r="X1862" i="10"/>
  <c r="W1862" i="10"/>
  <c r="R1862" i="10"/>
  <c r="S1862" i="10"/>
  <c r="T1862" i="10"/>
  <c r="U1862" i="10"/>
  <c r="V1862" i="10"/>
  <c r="AE1862" i="10"/>
  <c r="AD1861" i="10"/>
  <c r="AC1861" i="10"/>
  <c r="AB1861" i="10"/>
  <c r="AA1861" i="10"/>
  <c r="Z1861" i="10"/>
  <c r="Y1861" i="10"/>
  <c r="X1861" i="10"/>
  <c r="W1861" i="10"/>
  <c r="V1861" i="10"/>
  <c r="U1861" i="10"/>
  <c r="T1861" i="10"/>
  <c r="S1861" i="10"/>
  <c r="R1861" i="10"/>
  <c r="AD1860" i="10"/>
  <c r="AC1860" i="10"/>
  <c r="AB1860" i="10"/>
  <c r="AA1860" i="10"/>
  <c r="Z1860" i="10"/>
  <c r="Y1860" i="10"/>
  <c r="X1860" i="10"/>
  <c r="W1860" i="10"/>
  <c r="V1860" i="10"/>
  <c r="U1860" i="10"/>
  <c r="T1860" i="10"/>
  <c r="R1860" i="10"/>
  <c r="S1860" i="10"/>
  <c r="AE1860" i="10"/>
  <c r="AD1859" i="10"/>
  <c r="AC1859" i="10"/>
  <c r="AB1859" i="10"/>
  <c r="AA1859" i="10"/>
  <c r="Z1859" i="10"/>
  <c r="Y1859" i="10"/>
  <c r="X1859" i="10"/>
  <c r="W1859" i="10"/>
  <c r="V1859" i="10"/>
  <c r="U1859" i="10"/>
  <c r="T1859" i="10"/>
  <c r="S1859" i="10"/>
  <c r="R1859" i="10"/>
  <c r="AE1859" i="10"/>
  <c r="AD1858" i="10"/>
  <c r="AC1858" i="10"/>
  <c r="AB1858" i="10"/>
  <c r="AA1858" i="10"/>
  <c r="Z1858" i="10"/>
  <c r="Y1858" i="10"/>
  <c r="X1858" i="10"/>
  <c r="W1858" i="10"/>
  <c r="V1858" i="10"/>
  <c r="U1858" i="10"/>
  <c r="T1858" i="10"/>
  <c r="S1858" i="10"/>
  <c r="R1858" i="10"/>
  <c r="AE1858" i="10"/>
  <c r="AD1857" i="10"/>
  <c r="AC1857" i="10"/>
  <c r="AB1857" i="10"/>
  <c r="AA1857" i="10"/>
  <c r="Z1857" i="10"/>
  <c r="Y1857" i="10"/>
  <c r="X1857" i="10"/>
  <c r="W1857" i="10"/>
  <c r="V1857" i="10"/>
  <c r="U1857" i="10"/>
  <c r="T1857" i="10"/>
  <c r="S1857" i="10"/>
  <c r="R1857" i="10"/>
  <c r="AE1857" i="10"/>
  <c r="AD1856" i="10"/>
  <c r="AC1856" i="10"/>
  <c r="AB1856" i="10"/>
  <c r="AA1856" i="10"/>
  <c r="Z1856" i="10"/>
  <c r="Y1856" i="10"/>
  <c r="X1856" i="10"/>
  <c r="W1856" i="10"/>
  <c r="V1856" i="10"/>
  <c r="U1856" i="10"/>
  <c r="T1856" i="10"/>
  <c r="S1856" i="10"/>
  <c r="R1856" i="10"/>
  <c r="AD1855" i="10"/>
  <c r="AC1855" i="10"/>
  <c r="AB1855" i="10"/>
  <c r="AA1855" i="10"/>
  <c r="Z1855" i="10"/>
  <c r="Y1855" i="10"/>
  <c r="X1855" i="10"/>
  <c r="W1855" i="10"/>
  <c r="R1855" i="10"/>
  <c r="S1855" i="10"/>
  <c r="T1855" i="10"/>
  <c r="U1855" i="10"/>
  <c r="V1855" i="10"/>
  <c r="AE1855" i="10"/>
  <c r="AD1854" i="10"/>
  <c r="AC1854" i="10"/>
  <c r="AB1854" i="10"/>
  <c r="AA1854" i="10"/>
  <c r="Z1854" i="10"/>
  <c r="Y1854" i="10"/>
  <c r="X1854" i="10"/>
  <c r="W1854" i="10"/>
  <c r="V1854" i="10"/>
  <c r="U1854" i="10"/>
  <c r="T1854" i="10"/>
  <c r="S1854" i="10"/>
  <c r="R1854" i="10"/>
  <c r="AE1854" i="10"/>
  <c r="AD1853" i="10"/>
  <c r="AC1853" i="10"/>
  <c r="AB1853" i="10"/>
  <c r="AA1853" i="10"/>
  <c r="Z1853" i="10"/>
  <c r="Y1853" i="10"/>
  <c r="X1853" i="10"/>
  <c r="W1853" i="10"/>
  <c r="V1853" i="10"/>
  <c r="U1853" i="10"/>
  <c r="T1853" i="10"/>
  <c r="S1853" i="10"/>
  <c r="R1853" i="10"/>
  <c r="AD1852" i="10"/>
  <c r="AC1852" i="10"/>
  <c r="AB1852" i="10"/>
  <c r="AA1852" i="10"/>
  <c r="Z1852" i="10"/>
  <c r="Y1852" i="10"/>
  <c r="X1852" i="10"/>
  <c r="W1852" i="10"/>
  <c r="V1852" i="10"/>
  <c r="U1852" i="10"/>
  <c r="T1852" i="10"/>
  <c r="S1852" i="10"/>
  <c r="R1852" i="10"/>
  <c r="AD1851" i="10"/>
  <c r="AC1851" i="10"/>
  <c r="AB1851" i="10"/>
  <c r="AA1851" i="10"/>
  <c r="Z1851" i="10"/>
  <c r="Y1851" i="10"/>
  <c r="X1851" i="10"/>
  <c r="W1851" i="10"/>
  <c r="V1851" i="10"/>
  <c r="U1851" i="10"/>
  <c r="T1851" i="10"/>
  <c r="S1851" i="10"/>
  <c r="R1851" i="10"/>
  <c r="AE1851" i="10"/>
  <c r="AD1850" i="10"/>
  <c r="AC1850" i="10"/>
  <c r="AB1850" i="10"/>
  <c r="AA1850" i="10"/>
  <c r="Z1850" i="10"/>
  <c r="Y1850" i="10"/>
  <c r="X1850" i="10"/>
  <c r="W1850" i="10"/>
  <c r="V1850" i="10"/>
  <c r="U1850" i="10"/>
  <c r="T1850" i="10"/>
  <c r="S1850" i="10"/>
  <c r="R1850" i="10"/>
  <c r="AE1850" i="10"/>
  <c r="AD1849" i="10"/>
  <c r="AC1849" i="10"/>
  <c r="AB1849" i="10"/>
  <c r="AA1849" i="10"/>
  <c r="Z1849" i="10"/>
  <c r="Y1849" i="10"/>
  <c r="X1849" i="10"/>
  <c r="W1849" i="10"/>
  <c r="V1849" i="10"/>
  <c r="U1849" i="10"/>
  <c r="R1849" i="10"/>
  <c r="S1849" i="10"/>
  <c r="T1849" i="10"/>
  <c r="AE1849" i="10"/>
  <c r="AD1848" i="10"/>
  <c r="AC1848" i="10"/>
  <c r="AB1848" i="10"/>
  <c r="AA1848" i="10"/>
  <c r="Z1848" i="10"/>
  <c r="Y1848" i="10"/>
  <c r="X1848" i="10"/>
  <c r="W1848" i="10"/>
  <c r="R1848" i="10"/>
  <c r="S1848" i="10"/>
  <c r="T1848" i="10"/>
  <c r="U1848" i="10"/>
  <c r="V1848" i="10"/>
  <c r="AE1848" i="10"/>
  <c r="AD1847" i="10"/>
  <c r="AC1847" i="10"/>
  <c r="AB1847" i="10"/>
  <c r="AA1847" i="10"/>
  <c r="Z1847" i="10"/>
  <c r="Y1847" i="10"/>
  <c r="X1847" i="10"/>
  <c r="W1847" i="10"/>
  <c r="V1847" i="10"/>
  <c r="U1847" i="10"/>
  <c r="T1847" i="10"/>
  <c r="S1847" i="10"/>
  <c r="R1847" i="10"/>
  <c r="AE1847" i="10"/>
  <c r="AD1846" i="10"/>
  <c r="AC1846" i="10"/>
  <c r="AB1846" i="10"/>
  <c r="AA1846" i="10"/>
  <c r="Z1846" i="10"/>
  <c r="Y1846" i="10"/>
  <c r="X1846" i="10"/>
  <c r="W1846" i="10"/>
  <c r="V1846" i="10"/>
  <c r="U1846" i="10"/>
  <c r="T1846" i="10"/>
  <c r="S1846" i="10"/>
  <c r="R1846" i="10"/>
  <c r="AD1845" i="10"/>
  <c r="AC1845" i="10"/>
  <c r="AB1845" i="10"/>
  <c r="AA1845" i="10"/>
  <c r="Z1845" i="10"/>
  <c r="Y1845" i="10"/>
  <c r="X1845" i="10"/>
  <c r="W1845" i="10"/>
  <c r="V1845" i="10"/>
  <c r="U1845" i="10"/>
  <c r="T1845" i="10"/>
  <c r="S1845" i="10"/>
  <c r="R1845" i="10"/>
  <c r="AD1844" i="10"/>
  <c r="AC1844" i="10"/>
  <c r="AB1844" i="10"/>
  <c r="AA1844" i="10"/>
  <c r="Z1844" i="10"/>
  <c r="Y1844" i="10"/>
  <c r="X1844" i="10"/>
  <c r="W1844" i="10"/>
  <c r="V1844" i="10"/>
  <c r="U1844" i="10"/>
  <c r="T1844" i="10"/>
  <c r="S1844" i="10"/>
  <c r="R1844" i="10"/>
  <c r="AE1844" i="10"/>
  <c r="AD1843" i="10"/>
  <c r="AC1843" i="10"/>
  <c r="AB1843" i="10"/>
  <c r="AA1843" i="10"/>
  <c r="Z1843" i="10"/>
  <c r="Y1843" i="10"/>
  <c r="X1843" i="10"/>
  <c r="W1843" i="10"/>
  <c r="V1843" i="10"/>
  <c r="U1843" i="10"/>
  <c r="T1843" i="10"/>
  <c r="S1843" i="10"/>
  <c r="R1843" i="10"/>
  <c r="AE1843" i="10"/>
  <c r="AD1842" i="10"/>
  <c r="AC1842" i="10"/>
  <c r="AB1842" i="10"/>
  <c r="AA1842" i="10"/>
  <c r="Z1842" i="10"/>
  <c r="Y1842" i="10"/>
  <c r="X1842" i="10"/>
  <c r="W1842" i="10"/>
  <c r="V1842" i="10"/>
  <c r="U1842" i="10"/>
  <c r="T1842" i="10"/>
  <c r="S1842" i="10"/>
  <c r="R1842" i="10"/>
  <c r="AD1841" i="10"/>
  <c r="AC1841" i="10"/>
  <c r="AB1841" i="10"/>
  <c r="AA1841" i="10"/>
  <c r="Z1841" i="10"/>
  <c r="Y1841" i="10"/>
  <c r="X1841" i="10"/>
  <c r="W1841" i="10"/>
  <c r="R1841" i="10"/>
  <c r="S1841" i="10"/>
  <c r="T1841" i="10"/>
  <c r="U1841" i="10"/>
  <c r="V1841" i="10"/>
  <c r="AE1841" i="10"/>
  <c r="AD1840" i="10"/>
  <c r="AC1840" i="10"/>
  <c r="AB1840" i="10"/>
  <c r="AA1840" i="10"/>
  <c r="Z1840" i="10"/>
  <c r="Y1840" i="10"/>
  <c r="X1840" i="10"/>
  <c r="W1840" i="10"/>
  <c r="V1840" i="10"/>
  <c r="U1840" i="10"/>
  <c r="T1840" i="10"/>
  <c r="S1840" i="10"/>
  <c r="R1840" i="10"/>
  <c r="AE1840" i="10"/>
  <c r="AD1839" i="10"/>
  <c r="AC1839" i="10"/>
  <c r="AB1839" i="10"/>
  <c r="AA1839" i="10"/>
  <c r="Z1839" i="10"/>
  <c r="Y1839" i="10"/>
  <c r="X1839" i="10"/>
  <c r="W1839" i="10"/>
  <c r="V1839" i="10"/>
  <c r="U1839" i="10"/>
  <c r="T1839" i="10"/>
  <c r="S1839" i="10"/>
  <c r="R1839" i="10"/>
  <c r="AE1839" i="10"/>
  <c r="AD1838" i="10"/>
  <c r="AC1838" i="10"/>
  <c r="AB1838" i="10"/>
  <c r="AA1838" i="10"/>
  <c r="Z1838" i="10"/>
  <c r="Y1838" i="10"/>
  <c r="X1838" i="10"/>
  <c r="W1838" i="10"/>
  <c r="V1838" i="10"/>
  <c r="U1838" i="10"/>
  <c r="T1838" i="10"/>
  <c r="S1838" i="10"/>
  <c r="R1838" i="10"/>
  <c r="AE1838" i="10"/>
  <c r="AD1837" i="10"/>
  <c r="AC1837" i="10"/>
  <c r="AB1837" i="10"/>
  <c r="AA1837" i="10"/>
  <c r="Z1837" i="10"/>
  <c r="Y1837" i="10"/>
  <c r="X1837" i="10"/>
  <c r="W1837" i="10"/>
  <c r="V1837" i="10"/>
  <c r="U1837" i="10"/>
  <c r="T1837" i="10"/>
  <c r="S1837" i="10"/>
  <c r="R1837" i="10"/>
  <c r="AD1836" i="10"/>
  <c r="AC1836" i="10"/>
  <c r="AB1836" i="10"/>
  <c r="AA1836" i="10"/>
  <c r="Z1836" i="10"/>
  <c r="Y1836" i="10"/>
  <c r="X1836" i="10"/>
  <c r="W1836" i="10"/>
  <c r="V1836" i="10"/>
  <c r="U1836" i="10"/>
  <c r="T1836" i="10"/>
  <c r="S1836" i="10"/>
  <c r="R1836" i="10"/>
  <c r="AE1836" i="10"/>
  <c r="AD1835" i="10"/>
  <c r="AC1835" i="10"/>
  <c r="AB1835" i="10"/>
  <c r="AA1835" i="10"/>
  <c r="Z1835" i="10"/>
  <c r="Y1835" i="10"/>
  <c r="X1835" i="10"/>
  <c r="W1835" i="10"/>
  <c r="R1835" i="10"/>
  <c r="S1835" i="10"/>
  <c r="T1835" i="10"/>
  <c r="U1835" i="10"/>
  <c r="V1835" i="10"/>
  <c r="AE1835" i="10"/>
  <c r="AD1834" i="10"/>
  <c r="AC1834" i="10"/>
  <c r="AB1834" i="10"/>
  <c r="AA1834" i="10"/>
  <c r="Z1834" i="10"/>
  <c r="Y1834" i="10"/>
  <c r="X1834" i="10"/>
  <c r="W1834" i="10"/>
  <c r="R1834" i="10"/>
  <c r="S1834" i="10"/>
  <c r="T1834" i="10"/>
  <c r="U1834" i="10"/>
  <c r="V1834" i="10"/>
  <c r="AE1834" i="10"/>
  <c r="AD1833" i="10"/>
  <c r="AC1833" i="10"/>
  <c r="AB1833" i="10"/>
  <c r="AA1833" i="10"/>
  <c r="Z1833" i="10"/>
  <c r="Y1833" i="10"/>
  <c r="X1833" i="10"/>
  <c r="W1833" i="10"/>
  <c r="V1833" i="10"/>
  <c r="U1833" i="10"/>
  <c r="T1833" i="10"/>
  <c r="S1833" i="10"/>
  <c r="R1833" i="10"/>
  <c r="AD1832" i="10"/>
  <c r="AC1832" i="10"/>
  <c r="AB1832" i="10"/>
  <c r="AA1832" i="10"/>
  <c r="Z1832" i="10"/>
  <c r="Y1832" i="10"/>
  <c r="X1832" i="10"/>
  <c r="W1832" i="10"/>
  <c r="V1832" i="10"/>
  <c r="U1832" i="10"/>
  <c r="T1832" i="10"/>
  <c r="S1832" i="10"/>
  <c r="R1832" i="10"/>
  <c r="AD1831" i="10"/>
  <c r="AC1831" i="10"/>
  <c r="AB1831" i="10"/>
  <c r="AA1831" i="10"/>
  <c r="Z1831" i="10"/>
  <c r="Y1831" i="10"/>
  <c r="X1831" i="10"/>
  <c r="W1831" i="10"/>
  <c r="V1831" i="10"/>
  <c r="U1831" i="10"/>
  <c r="T1831" i="10"/>
  <c r="S1831" i="10"/>
  <c r="R1831" i="10"/>
  <c r="AD1830" i="10"/>
  <c r="AC1830" i="10"/>
  <c r="AB1830" i="10"/>
  <c r="AA1830" i="10"/>
  <c r="Z1830" i="10"/>
  <c r="Y1830" i="10"/>
  <c r="X1830" i="10"/>
  <c r="W1830" i="10"/>
  <c r="V1830" i="10"/>
  <c r="U1830" i="10"/>
  <c r="T1830" i="10"/>
  <c r="S1830" i="10"/>
  <c r="R1830" i="10"/>
  <c r="AE1830" i="10"/>
  <c r="AD1829" i="10"/>
  <c r="AC1829" i="10"/>
  <c r="AB1829" i="10"/>
  <c r="AA1829" i="10"/>
  <c r="Z1829" i="10"/>
  <c r="Y1829" i="10"/>
  <c r="X1829" i="10"/>
  <c r="W1829" i="10"/>
  <c r="V1829" i="10"/>
  <c r="U1829" i="10"/>
  <c r="T1829" i="10"/>
  <c r="S1829" i="10"/>
  <c r="R1829" i="10"/>
  <c r="AE1829" i="10"/>
  <c r="AD1828" i="10"/>
  <c r="AC1828" i="10"/>
  <c r="AB1828" i="10"/>
  <c r="AA1828" i="10"/>
  <c r="Z1828" i="10"/>
  <c r="Y1828" i="10"/>
  <c r="X1828" i="10"/>
  <c r="W1828" i="10"/>
  <c r="V1828" i="10"/>
  <c r="U1828" i="10"/>
  <c r="T1828" i="10"/>
  <c r="S1828" i="10"/>
  <c r="R1828" i="10"/>
  <c r="AD1827" i="10"/>
  <c r="AC1827" i="10"/>
  <c r="AB1827" i="10"/>
  <c r="AA1827" i="10"/>
  <c r="Z1827" i="10"/>
  <c r="Y1827" i="10"/>
  <c r="X1827" i="10"/>
  <c r="W1827" i="10"/>
  <c r="R1827" i="10"/>
  <c r="S1827" i="10"/>
  <c r="T1827" i="10"/>
  <c r="U1827" i="10"/>
  <c r="V1827" i="10"/>
  <c r="AE1827" i="10"/>
  <c r="AD1826" i="10"/>
  <c r="AC1826" i="10"/>
  <c r="AB1826" i="10"/>
  <c r="AA1826" i="10"/>
  <c r="Z1826" i="10"/>
  <c r="Y1826" i="10"/>
  <c r="X1826" i="10"/>
  <c r="W1826" i="10"/>
  <c r="V1826" i="10"/>
  <c r="U1826" i="10"/>
  <c r="T1826" i="10"/>
  <c r="S1826" i="10"/>
  <c r="R1826" i="10"/>
  <c r="AE1826" i="10"/>
  <c r="AD1825" i="10"/>
  <c r="AC1825" i="10"/>
  <c r="AB1825" i="10"/>
  <c r="AA1825" i="10"/>
  <c r="Z1825" i="10"/>
  <c r="Y1825" i="10"/>
  <c r="X1825" i="10"/>
  <c r="W1825" i="10"/>
  <c r="V1825" i="10"/>
  <c r="U1825" i="10"/>
  <c r="T1825" i="10"/>
  <c r="S1825" i="10"/>
  <c r="R1825" i="10"/>
  <c r="AE1825" i="10"/>
  <c r="AD1824" i="10"/>
  <c r="AC1824" i="10"/>
  <c r="AB1824" i="10"/>
  <c r="AA1824" i="10"/>
  <c r="Z1824" i="10"/>
  <c r="Y1824" i="10"/>
  <c r="X1824" i="10"/>
  <c r="W1824" i="10"/>
  <c r="V1824" i="10"/>
  <c r="U1824" i="10"/>
  <c r="T1824" i="10"/>
  <c r="S1824" i="10"/>
  <c r="R1824" i="10"/>
  <c r="AE1824" i="10"/>
  <c r="AD1823" i="10"/>
  <c r="AC1823" i="10"/>
  <c r="AB1823" i="10"/>
  <c r="AA1823" i="10"/>
  <c r="Z1823" i="10"/>
  <c r="Y1823" i="10"/>
  <c r="X1823" i="10"/>
  <c r="W1823" i="10"/>
  <c r="V1823" i="10"/>
  <c r="U1823" i="10"/>
  <c r="T1823" i="10"/>
  <c r="S1823" i="10"/>
  <c r="R1823" i="10"/>
  <c r="AD1822" i="10"/>
  <c r="AC1822" i="10"/>
  <c r="AB1822" i="10"/>
  <c r="AA1822" i="10"/>
  <c r="Z1822" i="10"/>
  <c r="Y1822" i="10"/>
  <c r="X1822" i="10"/>
  <c r="W1822" i="10"/>
  <c r="V1822" i="10"/>
  <c r="U1822" i="10"/>
  <c r="T1822" i="10"/>
  <c r="S1822" i="10"/>
  <c r="R1822" i="10"/>
  <c r="AD1821" i="10"/>
  <c r="AC1821" i="10"/>
  <c r="AB1821" i="10"/>
  <c r="AA1821" i="10"/>
  <c r="Z1821" i="10"/>
  <c r="Y1821" i="10"/>
  <c r="X1821" i="10"/>
  <c r="W1821" i="10"/>
  <c r="V1821" i="10"/>
  <c r="U1821" i="10"/>
  <c r="T1821" i="10"/>
  <c r="S1821" i="10"/>
  <c r="R1821" i="10"/>
  <c r="AD1820" i="10"/>
  <c r="AC1820" i="10"/>
  <c r="AB1820" i="10"/>
  <c r="AA1820" i="10"/>
  <c r="Z1820" i="10"/>
  <c r="Y1820" i="10"/>
  <c r="X1820" i="10"/>
  <c r="W1820" i="10"/>
  <c r="R1820" i="10"/>
  <c r="S1820" i="10"/>
  <c r="T1820" i="10"/>
  <c r="U1820" i="10"/>
  <c r="V1820" i="10"/>
  <c r="AE1820" i="10"/>
  <c r="AD1819" i="10"/>
  <c r="AC1819" i="10"/>
  <c r="AB1819" i="10"/>
  <c r="AA1819" i="10"/>
  <c r="Z1819" i="10"/>
  <c r="Y1819" i="10"/>
  <c r="X1819" i="10"/>
  <c r="W1819" i="10"/>
  <c r="V1819" i="10"/>
  <c r="U1819" i="10"/>
  <c r="T1819" i="10"/>
  <c r="S1819" i="10"/>
  <c r="R1819" i="10"/>
  <c r="AD1818" i="10"/>
  <c r="AC1818" i="10"/>
  <c r="AB1818" i="10"/>
  <c r="AA1818" i="10"/>
  <c r="Z1818" i="10"/>
  <c r="Y1818" i="10"/>
  <c r="X1818" i="10"/>
  <c r="W1818" i="10"/>
  <c r="V1818" i="10"/>
  <c r="U1818" i="10"/>
  <c r="T1818" i="10"/>
  <c r="S1818" i="10"/>
  <c r="R1818" i="10"/>
  <c r="AE1818" i="10"/>
  <c r="AD1817" i="10"/>
  <c r="AC1817" i="10"/>
  <c r="AB1817" i="10"/>
  <c r="AA1817" i="10"/>
  <c r="Z1817" i="10"/>
  <c r="Y1817" i="10"/>
  <c r="X1817" i="10"/>
  <c r="W1817" i="10"/>
  <c r="V1817" i="10"/>
  <c r="U1817" i="10"/>
  <c r="T1817" i="10"/>
  <c r="S1817" i="10"/>
  <c r="R1817" i="10"/>
  <c r="AE1817" i="10"/>
  <c r="AD1816" i="10"/>
  <c r="AC1816" i="10"/>
  <c r="AB1816" i="10"/>
  <c r="AA1816" i="10"/>
  <c r="Z1816" i="10"/>
  <c r="Y1816" i="10"/>
  <c r="X1816" i="10"/>
  <c r="W1816" i="10"/>
  <c r="V1816" i="10"/>
  <c r="U1816" i="10"/>
  <c r="T1816" i="10"/>
  <c r="S1816" i="10"/>
  <c r="R1816" i="10"/>
  <c r="AE1816" i="10"/>
  <c r="AD1815" i="10"/>
  <c r="AC1815" i="10"/>
  <c r="AB1815" i="10"/>
  <c r="AA1815" i="10"/>
  <c r="Z1815" i="10"/>
  <c r="Y1815" i="10"/>
  <c r="X1815" i="10"/>
  <c r="W1815" i="10"/>
  <c r="V1815" i="10"/>
  <c r="U1815" i="10"/>
  <c r="T1815" i="10"/>
  <c r="S1815" i="10"/>
  <c r="R1815" i="10"/>
  <c r="AE1815" i="10"/>
  <c r="AD1814" i="10"/>
  <c r="AC1814" i="10"/>
  <c r="AB1814" i="10"/>
  <c r="AA1814" i="10"/>
  <c r="Z1814" i="10"/>
  <c r="Y1814" i="10"/>
  <c r="X1814" i="10"/>
  <c r="W1814" i="10"/>
  <c r="V1814" i="10"/>
  <c r="U1814" i="10"/>
  <c r="T1814" i="10"/>
  <c r="S1814" i="10"/>
  <c r="R1814" i="10"/>
  <c r="AE1814" i="10"/>
  <c r="AD1813" i="10"/>
  <c r="AC1813" i="10"/>
  <c r="AB1813" i="10"/>
  <c r="AA1813" i="10"/>
  <c r="Z1813" i="10"/>
  <c r="Y1813" i="10"/>
  <c r="X1813" i="10"/>
  <c r="W1813" i="10"/>
  <c r="V1813" i="10"/>
  <c r="U1813" i="10"/>
  <c r="T1813" i="10"/>
  <c r="S1813" i="10"/>
  <c r="R1813" i="10"/>
  <c r="AD1812" i="10"/>
  <c r="AC1812" i="10"/>
  <c r="AB1812" i="10"/>
  <c r="AA1812" i="10"/>
  <c r="Z1812" i="10"/>
  <c r="Y1812" i="10"/>
  <c r="X1812" i="10"/>
  <c r="W1812" i="10"/>
  <c r="V1812" i="10"/>
  <c r="U1812" i="10"/>
  <c r="T1812" i="10"/>
  <c r="S1812" i="10"/>
  <c r="R1812" i="10"/>
  <c r="AE1812" i="10"/>
  <c r="AD1811" i="10"/>
  <c r="AC1811" i="10"/>
  <c r="AB1811" i="10"/>
  <c r="AA1811" i="10"/>
  <c r="Z1811" i="10"/>
  <c r="Y1811" i="10"/>
  <c r="X1811" i="10"/>
  <c r="W1811" i="10"/>
  <c r="V1811" i="10"/>
  <c r="U1811" i="10"/>
  <c r="T1811" i="10"/>
  <c r="S1811" i="10"/>
  <c r="R1811" i="10"/>
  <c r="AE1811" i="10"/>
  <c r="AD1810" i="10"/>
  <c r="AC1810" i="10"/>
  <c r="AB1810" i="10"/>
  <c r="AA1810" i="10"/>
  <c r="Z1810" i="10"/>
  <c r="Y1810" i="10"/>
  <c r="X1810" i="10"/>
  <c r="W1810" i="10"/>
  <c r="V1810" i="10"/>
  <c r="U1810" i="10"/>
  <c r="T1810" i="10"/>
  <c r="S1810" i="10"/>
  <c r="R1810" i="10"/>
  <c r="AE1810" i="10"/>
  <c r="AD1809" i="10"/>
  <c r="AC1809" i="10"/>
  <c r="AB1809" i="10"/>
  <c r="AA1809" i="10"/>
  <c r="Z1809" i="10"/>
  <c r="Y1809" i="10"/>
  <c r="X1809" i="10"/>
  <c r="W1809" i="10"/>
  <c r="V1809" i="10"/>
  <c r="U1809" i="10"/>
  <c r="T1809" i="10"/>
  <c r="S1809" i="10"/>
  <c r="R1809" i="10"/>
  <c r="AE1809" i="10"/>
  <c r="AD1808" i="10"/>
  <c r="AC1808" i="10"/>
  <c r="AB1808" i="10"/>
  <c r="AA1808" i="10"/>
  <c r="Z1808" i="10"/>
  <c r="Y1808" i="10"/>
  <c r="X1808" i="10"/>
  <c r="W1808" i="10"/>
  <c r="R1808" i="10"/>
  <c r="S1808" i="10"/>
  <c r="T1808" i="10"/>
  <c r="U1808" i="10"/>
  <c r="V1808" i="10"/>
  <c r="AE1808" i="10"/>
  <c r="AD1807" i="10"/>
  <c r="AC1807" i="10"/>
  <c r="AB1807" i="10"/>
  <c r="AA1807" i="10"/>
  <c r="Z1807" i="10"/>
  <c r="Y1807" i="10"/>
  <c r="X1807" i="10"/>
  <c r="W1807" i="10"/>
  <c r="V1807" i="10"/>
  <c r="U1807" i="10"/>
  <c r="T1807" i="10"/>
  <c r="R1807" i="10"/>
  <c r="S1807" i="10"/>
  <c r="AE1807" i="10"/>
  <c r="AD1806" i="10"/>
  <c r="AC1806" i="10"/>
  <c r="AB1806" i="10"/>
  <c r="AA1806" i="10"/>
  <c r="Z1806" i="10"/>
  <c r="Y1806" i="10"/>
  <c r="X1806" i="10"/>
  <c r="W1806" i="10"/>
  <c r="V1806" i="10"/>
  <c r="U1806" i="10"/>
  <c r="T1806" i="10"/>
  <c r="S1806" i="10"/>
  <c r="R1806" i="10"/>
  <c r="AE1806" i="10"/>
  <c r="AD1805" i="10"/>
  <c r="AC1805" i="10"/>
  <c r="AB1805" i="10"/>
  <c r="AA1805" i="10"/>
  <c r="Z1805" i="10"/>
  <c r="Y1805" i="10"/>
  <c r="X1805" i="10"/>
  <c r="W1805" i="10"/>
  <c r="V1805" i="10"/>
  <c r="U1805" i="10"/>
  <c r="T1805" i="10"/>
  <c r="S1805" i="10"/>
  <c r="R1805" i="10"/>
  <c r="AD1804" i="10"/>
  <c r="AC1804" i="10"/>
  <c r="AB1804" i="10"/>
  <c r="AA1804" i="10"/>
  <c r="Z1804" i="10"/>
  <c r="Y1804" i="10"/>
  <c r="X1804" i="10"/>
  <c r="W1804" i="10"/>
  <c r="V1804" i="10"/>
  <c r="U1804" i="10"/>
  <c r="T1804" i="10"/>
  <c r="S1804" i="10"/>
  <c r="R1804" i="10"/>
  <c r="AD1803" i="10"/>
  <c r="AC1803" i="10"/>
  <c r="AB1803" i="10"/>
  <c r="AA1803" i="10"/>
  <c r="Z1803" i="10"/>
  <c r="Y1803" i="10"/>
  <c r="X1803" i="10"/>
  <c r="W1803" i="10"/>
  <c r="V1803" i="10"/>
  <c r="U1803" i="10"/>
  <c r="T1803" i="10"/>
  <c r="S1803" i="10"/>
  <c r="R1803" i="10"/>
  <c r="AD1802" i="10"/>
  <c r="AC1802" i="10"/>
  <c r="AB1802" i="10"/>
  <c r="AA1802" i="10"/>
  <c r="Z1802" i="10"/>
  <c r="Y1802" i="10"/>
  <c r="X1802" i="10"/>
  <c r="W1802" i="10"/>
  <c r="V1802" i="10"/>
  <c r="U1802" i="10"/>
  <c r="T1802" i="10"/>
  <c r="S1802" i="10"/>
  <c r="R1802" i="10"/>
  <c r="AD1801" i="10"/>
  <c r="AC1801" i="10"/>
  <c r="AB1801" i="10"/>
  <c r="AA1801" i="10"/>
  <c r="Z1801" i="10"/>
  <c r="Y1801" i="10"/>
  <c r="X1801" i="10"/>
  <c r="W1801" i="10"/>
  <c r="V1801" i="10"/>
  <c r="U1801" i="10"/>
  <c r="T1801" i="10"/>
  <c r="S1801" i="10"/>
  <c r="R1801" i="10"/>
  <c r="AE1801" i="10"/>
  <c r="AD1800" i="10"/>
  <c r="AC1800" i="10"/>
  <c r="AB1800" i="10"/>
  <c r="AA1800" i="10"/>
  <c r="Z1800" i="10"/>
  <c r="Y1800" i="10"/>
  <c r="X1800" i="10"/>
  <c r="W1800" i="10"/>
  <c r="V1800" i="10"/>
  <c r="U1800" i="10"/>
  <c r="T1800" i="10"/>
  <c r="S1800" i="10"/>
  <c r="R1800" i="10"/>
  <c r="AE1800" i="10"/>
  <c r="AD1799" i="10"/>
  <c r="AC1799" i="10"/>
  <c r="AB1799" i="10"/>
  <c r="AA1799" i="10"/>
  <c r="Z1799" i="10"/>
  <c r="Y1799" i="10"/>
  <c r="X1799" i="10"/>
  <c r="W1799" i="10"/>
  <c r="V1799" i="10"/>
  <c r="U1799" i="10"/>
  <c r="T1799" i="10"/>
  <c r="S1799" i="10"/>
  <c r="R1799" i="10"/>
  <c r="AD1798" i="10"/>
  <c r="AC1798" i="10"/>
  <c r="AB1798" i="10"/>
  <c r="AA1798" i="10"/>
  <c r="Z1798" i="10"/>
  <c r="Y1798" i="10"/>
  <c r="X1798" i="10"/>
  <c r="W1798" i="10"/>
  <c r="R1798" i="10"/>
  <c r="S1798" i="10"/>
  <c r="T1798" i="10"/>
  <c r="U1798" i="10"/>
  <c r="V1798" i="10"/>
  <c r="AE1798" i="10"/>
  <c r="AD1797" i="10"/>
  <c r="AC1797" i="10"/>
  <c r="AB1797" i="10"/>
  <c r="AA1797" i="10"/>
  <c r="Z1797" i="10"/>
  <c r="Y1797" i="10"/>
  <c r="X1797" i="10"/>
  <c r="W1797" i="10"/>
  <c r="V1797" i="10"/>
  <c r="U1797" i="10"/>
  <c r="T1797" i="10"/>
  <c r="S1797" i="10"/>
  <c r="R1797" i="10"/>
  <c r="AD1796" i="10"/>
  <c r="AC1796" i="10"/>
  <c r="AB1796" i="10"/>
  <c r="AA1796" i="10"/>
  <c r="Z1796" i="10"/>
  <c r="Y1796" i="10"/>
  <c r="X1796" i="10"/>
  <c r="W1796" i="10"/>
  <c r="V1796" i="10"/>
  <c r="U1796" i="10"/>
  <c r="T1796" i="10"/>
  <c r="S1796" i="10"/>
  <c r="R1796" i="10"/>
  <c r="AE1796" i="10"/>
  <c r="AD1795" i="10"/>
  <c r="AC1795" i="10"/>
  <c r="AB1795" i="10"/>
  <c r="AA1795" i="10"/>
  <c r="Z1795" i="10"/>
  <c r="Y1795" i="10"/>
  <c r="X1795" i="10"/>
  <c r="W1795" i="10"/>
  <c r="V1795" i="10"/>
  <c r="U1795" i="10"/>
  <c r="T1795" i="10"/>
  <c r="S1795" i="10"/>
  <c r="R1795" i="10"/>
  <c r="AE1795" i="10"/>
  <c r="AD1794" i="10"/>
  <c r="AC1794" i="10"/>
  <c r="AB1794" i="10"/>
  <c r="AA1794" i="10"/>
  <c r="Z1794" i="10"/>
  <c r="Y1794" i="10"/>
  <c r="X1794" i="10"/>
  <c r="W1794" i="10"/>
  <c r="V1794" i="10"/>
  <c r="U1794" i="10"/>
  <c r="T1794" i="10"/>
  <c r="S1794" i="10"/>
  <c r="R1794" i="10"/>
  <c r="AE1794" i="10"/>
  <c r="AD1793" i="10"/>
  <c r="AC1793" i="10"/>
  <c r="AB1793" i="10"/>
  <c r="AA1793" i="10"/>
  <c r="Z1793" i="10"/>
  <c r="Y1793" i="10"/>
  <c r="X1793" i="10"/>
  <c r="W1793" i="10"/>
  <c r="V1793" i="10"/>
  <c r="U1793" i="10"/>
  <c r="T1793" i="10"/>
  <c r="S1793" i="10"/>
  <c r="R1793" i="10"/>
  <c r="AE1793" i="10"/>
  <c r="AD1792" i="10"/>
  <c r="AC1792" i="10"/>
  <c r="AB1792" i="10"/>
  <c r="AA1792" i="10"/>
  <c r="Z1792" i="10"/>
  <c r="Y1792" i="10"/>
  <c r="X1792" i="10"/>
  <c r="W1792" i="10"/>
  <c r="V1792" i="10"/>
  <c r="U1792" i="10"/>
  <c r="T1792" i="10"/>
  <c r="S1792" i="10"/>
  <c r="R1792" i="10"/>
  <c r="AD1791" i="10"/>
  <c r="AC1791" i="10"/>
  <c r="AB1791" i="10"/>
  <c r="AA1791" i="10"/>
  <c r="Z1791" i="10"/>
  <c r="Y1791" i="10"/>
  <c r="X1791" i="10"/>
  <c r="W1791" i="10"/>
  <c r="R1791" i="10"/>
  <c r="S1791" i="10"/>
  <c r="T1791" i="10"/>
  <c r="U1791" i="10"/>
  <c r="V1791" i="10"/>
  <c r="AE1791" i="10"/>
  <c r="AD1790" i="10"/>
  <c r="AC1790" i="10"/>
  <c r="AB1790" i="10"/>
  <c r="AA1790" i="10"/>
  <c r="Z1790" i="10"/>
  <c r="Y1790" i="10"/>
  <c r="X1790" i="10"/>
  <c r="W1790" i="10"/>
  <c r="V1790" i="10"/>
  <c r="U1790" i="10"/>
  <c r="T1790" i="10"/>
  <c r="S1790" i="10"/>
  <c r="R1790" i="10"/>
  <c r="AD1789" i="10"/>
  <c r="AC1789" i="10"/>
  <c r="AB1789" i="10"/>
  <c r="AA1789" i="10"/>
  <c r="Z1789" i="10"/>
  <c r="Y1789" i="10"/>
  <c r="X1789" i="10"/>
  <c r="W1789" i="10"/>
  <c r="V1789" i="10"/>
  <c r="U1789" i="10"/>
  <c r="T1789" i="10"/>
  <c r="S1789" i="10"/>
  <c r="R1789" i="10"/>
  <c r="AD1788" i="10"/>
  <c r="AC1788" i="10"/>
  <c r="AB1788" i="10"/>
  <c r="AA1788" i="10"/>
  <c r="Z1788" i="10"/>
  <c r="Y1788" i="10"/>
  <c r="X1788" i="10"/>
  <c r="W1788" i="10"/>
  <c r="V1788" i="10"/>
  <c r="U1788" i="10"/>
  <c r="T1788" i="10"/>
  <c r="S1788" i="10"/>
  <c r="R1788" i="10"/>
  <c r="AE1788" i="10"/>
  <c r="AD1787" i="10"/>
  <c r="AC1787" i="10"/>
  <c r="AB1787" i="10"/>
  <c r="AA1787" i="10"/>
  <c r="Z1787" i="10"/>
  <c r="Y1787" i="10"/>
  <c r="X1787" i="10"/>
  <c r="W1787" i="10"/>
  <c r="V1787" i="10"/>
  <c r="U1787" i="10"/>
  <c r="T1787" i="10"/>
  <c r="S1787" i="10"/>
  <c r="R1787" i="10"/>
  <c r="AE1787" i="10"/>
  <c r="AD1786" i="10"/>
  <c r="AC1786" i="10"/>
  <c r="AB1786" i="10"/>
  <c r="AA1786" i="10"/>
  <c r="Z1786" i="10"/>
  <c r="Y1786" i="10"/>
  <c r="X1786" i="10"/>
  <c r="W1786" i="10"/>
  <c r="V1786" i="10"/>
  <c r="U1786" i="10"/>
  <c r="T1786" i="10"/>
  <c r="S1786" i="10"/>
  <c r="R1786" i="10"/>
  <c r="AE1786" i="10"/>
  <c r="AD1785" i="10"/>
  <c r="AC1785" i="10"/>
  <c r="AB1785" i="10"/>
  <c r="AA1785" i="10"/>
  <c r="Z1785" i="10"/>
  <c r="Y1785" i="10"/>
  <c r="X1785" i="10"/>
  <c r="W1785" i="10"/>
  <c r="V1785" i="10"/>
  <c r="U1785" i="10"/>
  <c r="T1785" i="10"/>
  <c r="S1785" i="10"/>
  <c r="R1785" i="10"/>
  <c r="AD1784" i="10"/>
  <c r="AC1784" i="10"/>
  <c r="AB1784" i="10"/>
  <c r="AA1784" i="10"/>
  <c r="Z1784" i="10"/>
  <c r="Y1784" i="10"/>
  <c r="X1784" i="10"/>
  <c r="W1784" i="10"/>
  <c r="R1784" i="10"/>
  <c r="S1784" i="10"/>
  <c r="T1784" i="10"/>
  <c r="U1784" i="10"/>
  <c r="V1784" i="10"/>
  <c r="AE1784" i="10"/>
  <c r="AD1783" i="10"/>
  <c r="AC1783" i="10"/>
  <c r="AB1783" i="10"/>
  <c r="AA1783" i="10"/>
  <c r="Z1783" i="10"/>
  <c r="Y1783" i="10"/>
  <c r="X1783" i="10"/>
  <c r="W1783" i="10"/>
  <c r="V1783" i="10"/>
  <c r="U1783" i="10"/>
  <c r="T1783" i="10"/>
  <c r="S1783" i="10"/>
  <c r="R1783" i="10"/>
  <c r="AD1782" i="10"/>
  <c r="AC1782" i="10"/>
  <c r="AB1782" i="10"/>
  <c r="AA1782" i="10"/>
  <c r="Z1782" i="10"/>
  <c r="Y1782" i="10"/>
  <c r="X1782" i="10"/>
  <c r="W1782" i="10"/>
  <c r="V1782" i="10"/>
  <c r="U1782" i="10"/>
  <c r="T1782" i="10"/>
  <c r="S1782" i="10"/>
  <c r="R1782" i="10"/>
  <c r="AE1782" i="10"/>
  <c r="AD1781" i="10"/>
  <c r="AC1781" i="10"/>
  <c r="AB1781" i="10"/>
  <c r="AA1781" i="10"/>
  <c r="Z1781" i="10"/>
  <c r="Y1781" i="10"/>
  <c r="X1781" i="10"/>
  <c r="W1781" i="10"/>
  <c r="V1781" i="10"/>
  <c r="U1781" i="10"/>
  <c r="T1781" i="10"/>
  <c r="S1781" i="10"/>
  <c r="R1781" i="10"/>
  <c r="AD1780" i="10"/>
  <c r="AC1780" i="10"/>
  <c r="AB1780" i="10"/>
  <c r="AA1780" i="10"/>
  <c r="Z1780" i="10"/>
  <c r="Y1780" i="10"/>
  <c r="X1780" i="10"/>
  <c r="W1780" i="10"/>
  <c r="V1780" i="10"/>
  <c r="U1780" i="10"/>
  <c r="T1780" i="10"/>
  <c r="S1780" i="10"/>
  <c r="R1780" i="10"/>
  <c r="AE1780" i="10"/>
  <c r="AD1779" i="10"/>
  <c r="AC1779" i="10"/>
  <c r="AB1779" i="10"/>
  <c r="AA1779" i="10"/>
  <c r="Z1779" i="10"/>
  <c r="Y1779" i="10"/>
  <c r="X1779" i="10"/>
  <c r="W1779" i="10"/>
  <c r="V1779" i="10"/>
  <c r="U1779" i="10"/>
  <c r="T1779" i="10"/>
  <c r="S1779" i="10"/>
  <c r="R1779" i="10"/>
  <c r="AE1779" i="10"/>
  <c r="AD1778" i="10"/>
  <c r="AC1778" i="10"/>
  <c r="AB1778" i="10"/>
  <c r="AA1778" i="10"/>
  <c r="Z1778" i="10"/>
  <c r="Y1778" i="10"/>
  <c r="X1778" i="10"/>
  <c r="W1778" i="10"/>
  <c r="V1778" i="10"/>
  <c r="U1778" i="10"/>
  <c r="R1778" i="10"/>
  <c r="S1778" i="10"/>
  <c r="T1778" i="10"/>
  <c r="AE1778" i="10"/>
  <c r="AD1777" i="10"/>
  <c r="AC1777" i="10"/>
  <c r="AB1777" i="10"/>
  <c r="AA1777" i="10"/>
  <c r="Z1777" i="10"/>
  <c r="Y1777" i="10"/>
  <c r="X1777" i="10"/>
  <c r="W1777" i="10"/>
  <c r="R1777" i="10"/>
  <c r="S1777" i="10"/>
  <c r="T1777" i="10"/>
  <c r="U1777" i="10"/>
  <c r="V1777" i="10"/>
  <c r="AE1777" i="10"/>
  <c r="AD1776" i="10"/>
  <c r="AC1776" i="10"/>
  <c r="AB1776" i="10"/>
  <c r="AA1776" i="10"/>
  <c r="Z1776" i="10"/>
  <c r="Y1776" i="10"/>
  <c r="X1776" i="10"/>
  <c r="W1776" i="10"/>
  <c r="V1776" i="10"/>
  <c r="U1776" i="10"/>
  <c r="T1776" i="10"/>
  <c r="S1776" i="10"/>
  <c r="R1776" i="10"/>
  <c r="AD1775" i="10"/>
  <c r="AC1775" i="10"/>
  <c r="AB1775" i="10"/>
  <c r="AA1775" i="10"/>
  <c r="Z1775" i="10"/>
  <c r="Y1775" i="10"/>
  <c r="X1775" i="10"/>
  <c r="W1775" i="10"/>
  <c r="V1775" i="10"/>
  <c r="U1775" i="10"/>
  <c r="T1775" i="10"/>
  <c r="S1775" i="10"/>
  <c r="R1775" i="10"/>
  <c r="AE1775" i="10"/>
  <c r="AD1774" i="10"/>
  <c r="AC1774" i="10"/>
  <c r="AB1774" i="10"/>
  <c r="AA1774" i="10"/>
  <c r="Z1774" i="10"/>
  <c r="Y1774" i="10"/>
  <c r="X1774" i="10"/>
  <c r="W1774" i="10"/>
  <c r="V1774" i="10"/>
  <c r="U1774" i="10"/>
  <c r="T1774" i="10"/>
  <c r="R1774" i="10"/>
  <c r="S1774" i="10"/>
  <c r="AE1774" i="10"/>
  <c r="AD1773" i="10"/>
  <c r="AC1773" i="10"/>
  <c r="AB1773" i="10"/>
  <c r="AA1773" i="10"/>
  <c r="Z1773" i="10"/>
  <c r="Y1773" i="10"/>
  <c r="X1773" i="10"/>
  <c r="W1773" i="10"/>
  <c r="V1773" i="10"/>
  <c r="U1773" i="10"/>
  <c r="T1773" i="10"/>
  <c r="S1773" i="10"/>
  <c r="R1773" i="10"/>
  <c r="AD1772" i="10"/>
  <c r="AC1772" i="10"/>
  <c r="AB1772" i="10"/>
  <c r="AA1772" i="10"/>
  <c r="Z1772" i="10"/>
  <c r="Y1772" i="10"/>
  <c r="X1772" i="10"/>
  <c r="W1772" i="10"/>
  <c r="V1772" i="10"/>
  <c r="U1772" i="10"/>
  <c r="T1772" i="10"/>
  <c r="S1772" i="10"/>
  <c r="R1772" i="10"/>
  <c r="AE1772" i="10"/>
  <c r="AD1771" i="10"/>
  <c r="AC1771" i="10"/>
  <c r="AB1771" i="10"/>
  <c r="AA1771" i="10"/>
  <c r="Z1771" i="10"/>
  <c r="Y1771" i="10"/>
  <c r="X1771" i="10"/>
  <c r="W1771" i="10"/>
  <c r="V1771" i="10"/>
  <c r="U1771" i="10"/>
  <c r="T1771" i="10"/>
  <c r="S1771" i="10"/>
  <c r="R1771" i="10"/>
  <c r="AD1770" i="10"/>
  <c r="AC1770" i="10"/>
  <c r="AB1770" i="10"/>
  <c r="AA1770" i="10"/>
  <c r="Z1770" i="10"/>
  <c r="Y1770" i="10"/>
  <c r="X1770" i="10"/>
  <c r="W1770" i="10"/>
  <c r="R1770" i="10"/>
  <c r="S1770" i="10"/>
  <c r="T1770" i="10"/>
  <c r="U1770" i="10"/>
  <c r="V1770" i="10"/>
  <c r="AE1770" i="10"/>
  <c r="AD1769" i="10"/>
  <c r="AC1769" i="10"/>
  <c r="AB1769" i="10"/>
  <c r="AA1769" i="10"/>
  <c r="Z1769" i="10"/>
  <c r="Y1769" i="10"/>
  <c r="X1769" i="10"/>
  <c r="W1769" i="10"/>
  <c r="V1769" i="10"/>
  <c r="U1769" i="10"/>
  <c r="T1769" i="10"/>
  <c r="S1769" i="10"/>
  <c r="R1769" i="10"/>
  <c r="AD1768" i="10"/>
  <c r="AC1768" i="10"/>
  <c r="AB1768" i="10"/>
  <c r="AA1768" i="10"/>
  <c r="Z1768" i="10"/>
  <c r="Y1768" i="10"/>
  <c r="X1768" i="10"/>
  <c r="W1768" i="10"/>
  <c r="V1768" i="10"/>
  <c r="U1768" i="10"/>
  <c r="T1768" i="10"/>
  <c r="S1768" i="10"/>
  <c r="R1768" i="10"/>
  <c r="AD1767" i="10"/>
  <c r="AC1767" i="10"/>
  <c r="AB1767" i="10"/>
  <c r="AA1767" i="10"/>
  <c r="Z1767" i="10"/>
  <c r="Y1767" i="10"/>
  <c r="X1767" i="10"/>
  <c r="W1767" i="10"/>
  <c r="V1767" i="10"/>
  <c r="U1767" i="10"/>
  <c r="T1767" i="10"/>
  <c r="R1767" i="10"/>
  <c r="S1767" i="10"/>
  <c r="AE1767" i="10"/>
  <c r="AD1766" i="10"/>
  <c r="AC1766" i="10"/>
  <c r="AB1766" i="10"/>
  <c r="AA1766" i="10"/>
  <c r="Z1766" i="10"/>
  <c r="Y1766" i="10"/>
  <c r="X1766" i="10"/>
  <c r="W1766" i="10"/>
  <c r="V1766" i="10"/>
  <c r="U1766" i="10"/>
  <c r="T1766" i="10"/>
  <c r="S1766" i="10"/>
  <c r="R1766" i="10"/>
  <c r="AE1766" i="10"/>
  <c r="AD1765" i="10"/>
  <c r="AC1765" i="10"/>
  <c r="AB1765" i="10"/>
  <c r="AA1765" i="10"/>
  <c r="Z1765" i="10"/>
  <c r="Y1765" i="10"/>
  <c r="X1765" i="10"/>
  <c r="W1765" i="10"/>
  <c r="V1765" i="10"/>
  <c r="U1765" i="10"/>
  <c r="T1765" i="10"/>
  <c r="S1765" i="10"/>
  <c r="R1765" i="10"/>
  <c r="AE1765" i="10"/>
  <c r="AD1764" i="10"/>
  <c r="AC1764" i="10"/>
  <c r="AB1764" i="10"/>
  <c r="AA1764" i="10"/>
  <c r="Z1764" i="10"/>
  <c r="Y1764" i="10"/>
  <c r="X1764" i="10"/>
  <c r="W1764" i="10"/>
  <c r="V1764" i="10"/>
  <c r="U1764" i="10"/>
  <c r="T1764" i="10"/>
  <c r="S1764" i="10"/>
  <c r="R1764" i="10"/>
  <c r="AE1764" i="10"/>
  <c r="AD1763" i="10"/>
  <c r="AC1763" i="10"/>
  <c r="AB1763" i="10"/>
  <c r="AA1763" i="10"/>
  <c r="Z1763" i="10"/>
  <c r="Y1763" i="10"/>
  <c r="X1763" i="10"/>
  <c r="W1763" i="10"/>
  <c r="R1763" i="10"/>
  <c r="S1763" i="10"/>
  <c r="T1763" i="10"/>
  <c r="U1763" i="10"/>
  <c r="V1763" i="10"/>
  <c r="AE1763" i="10"/>
  <c r="AD1762" i="10"/>
  <c r="AC1762" i="10"/>
  <c r="AB1762" i="10"/>
  <c r="AA1762" i="10"/>
  <c r="Z1762" i="10"/>
  <c r="Y1762" i="10"/>
  <c r="X1762" i="10"/>
  <c r="W1762" i="10"/>
  <c r="V1762" i="10"/>
  <c r="U1762" i="10"/>
  <c r="T1762" i="10"/>
  <c r="S1762" i="10"/>
  <c r="R1762" i="10"/>
  <c r="AE1762" i="10"/>
  <c r="AD1761" i="10"/>
  <c r="AC1761" i="10"/>
  <c r="AB1761" i="10"/>
  <c r="AA1761" i="10"/>
  <c r="Z1761" i="10"/>
  <c r="Y1761" i="10"/>
  <c r="X1761" i="10"/>
  <c r="W1761" i="10"/>
  <c r="V1761" i="10"/>
  <c r="U1761" i="10"/>
  <c r="T1761" i="10"/>
  <c r="S1761" i="10"/>
  <c r="R1761" i="10"/>
  <c r="AD1760" i="10"/>
  <c r="AC1760" i="10"/>
  <c r="AB1760" i="10"/>
  <c r="AA1760" i="10"/>
  <c r="Z1760" i="10"/>
  <c r="Y1760" i="10"/>
  <c r="X1760" i="10"/>
  <c r="W1760" i="10"/>
  <c r="V1760" i="10"/>
  <c r="U1760" i="10"/>
  <c r="T1760" i="10"/>
  <c r="R1760" i="10"/>
  <c r="S1760" i="10"/>
  <c r="AE1760" i="10"/>
  <c r="AD1759" i="10"/>
  <c r="AC1759" i="10"/>
  <c r="AB1759" i="10"/>
  <c r="AA1759" i="10"/>
  <c r="Z1759" i="10"/>
  <c r="Y1759" i="10"/>
  <c r="X1759" i="10"/>
  <c r="W1759" i="10"/>
  <c r="V1759" i="10"/>
  <c r="U1759" i="10"/>
  <c r="T1759" i="10"/>
  <c r="S1759" i="10"/>
  <c r="R1759" i="10"/>
  <c r="AD1758" i="10"/>
  <c r="AC1758" i="10"/>
  <c r="AB1758" i="10"/>
  <c r="AA1758" i="10"/>
  <c r="Z1758" i="10"/>
  <c r="Y1758" i="10"/>
  <c r="X1758" i="10"/>
  <c r="W1758" i="10"/>
  <c r="V1758" i="10"/>
  <c r="U1758" i="10"/>
  <c r="T1758" i="10"/>
  <c r="S1758" i="10"/>
  <c r="R1758" i="10"/>
  <c r="AD1757" i="10"/>
  <c r="AC1757" i="10"/>
  <c r="AB1757" i="10"/>
  <c r="AA1757" i="10"/>
  <c r="Z1757" i="10"/>
  <c r="Y1757" i="10"/>
  <c r="X1757" i="10"/>
  <c r="W1757" i="10"/>
  <c r="V1757" i="10"/>
  <c r="U1757" i="10"/>
  <c r="T1757" i="10"/>
  <c r="S1757" i="10"/>
  <c r="R1757" i="10"/>
  <c r="AD1756" i="10"/>
  <c r="AC1756" i="10"/>
  <c r="AB1756" i="10"/>
  <c r="AA1756" i="10"/>
  <c r="Z1756" i="10"/>
  <c r="Y1756" i="10"/>
  <c r="X1756" i="10"/>
  <c r="W1756" i="10"/>
  <c r="R1756" i="10"/>
  <c r="S1756" i="10"/>
  <c r="T1756" i="10"/>
  <c r="U1756" i="10"/>
  <c r="V1756" i="10"/>
  <c r="AE1756" i="10"/>
  <c r="AD1755" i="10"/>
  <c r="AC1755" i="10"/>
  <c r="AB1755" i="10"/>
  <c r="AA1755" i="10"/>
  <c r="Z1755" i="10"/>
  <c r="Y1755" i="10"/>
  <c r="X1755" i="10"/>
  <c r="W1755" i="10"/>
  <c r="V1755" i="10"/>
  <c r="U1755" i="10"/>
  <c r="T1755" i="10"/>
  <c r="S1755" i="10"/>
  <c r="R1755" i="10"/>
  <c r="AE1755" i="10"/>
  <c r="AD1754" i="10"/>
  <c r="AC1754" i="10"/>
  <c r="AB1754" i="10"/>
  <c r="AA1754" i="10"/>
  <c r="Z1754" i="10"/>
  <c r="Y1754" i="10"/>
  <c r="X1754" i="10"/>
  <c r="W1754" i="10"/>
  <c r="V1754" i="10"/>
  <c r="U1754" i="10"/>
  <c r="T1754" i="10"/>
  <c r="S1754" i="10"/>
  <c r="R1754" i="10"/>
  <c r="AE1754" i="10"/>
  <c r="AD1753" i="10"/>
  <c r="AC1753" i="10"/>
  <c r="AB1753" i="10"/>
  <c r="AA1753" i="10"/>
  <c r="Z1753" i="10"/>
  <c r="Y1753" i="10"/>
  <c r="X1753" i="10"/>
  <c r="W1753" i="10"/>
  <c r="V1753" i="10"/>
  <c r="U1753" i="10"/>
  <c r="T1753" i="10"/>
  <c r="R1753" i="10"/>
  <c r="S1753" i="10"/>
  <c r="AE1753" i="10"/>
  <c r="AD1752" i="10"/>
  <c r="AC1752" i="10"/>
  <c r="AB1752" i="10"/>
  <c r="AA1752" i="10"/>
  <c r="Z1752" i="10"/>
  <c r="Y1752" i="10"/>
  <c r="X1752" i="10"/>
  <c r="W1752" i="10"/>
  <c r="V1752" i="10"/>
  <c r="U1752" i="10"/>
  <c r="T1752" i="10"/>
  <c r="S1752" i="10"/>
  <c r="R1752" i="10"/>
  <c r="AE1752" i="10"/>
  <c r="AD1751" i="10"/>
  <c r="AC1751" i="10"/>
  <c r="AB1751" i="10"/>
  <c r="AA1751" i="10"/>
  <c r="Z1751" i="10"/>
  <c r="Y1751" i="10"/>
  <c r="X1751" i="10"/>
  <c r="W1751" i="10"/>
  <c r="V1751" i="10"/>
  <c r="U1751" i="10"/>
  <c r="T1751" i="10"/>
  <c r="S1751" i="10"/>
  <c r="R1751" i="10"/>
  <c r="AE1751" i="10"/>
  <c r="AD1750" i="10"/>
  <c r="AC1750" i="10"/>
  <c r="AB1750" i="10"/>
  <c r="AA1750" i="10"/>
  <c r="Z1750" i="10"/>
  <c r="Y1750" i="10"/>
  <c r="X1750" i="10"/>
  <c r="W1750" i="10"/>
  <c r="V1750" i="10"/>
  <c r="U1750" i="10"/>
  <c r="T1750" i="10"/>
  <c r="S1750" i="10"/>
  <c r="R1750" i="10"/>
  <c r="AE1750" i="10"/>
  <c r="AD1749" i="10"/>
  <c r="AC1749" i="10"/>
  <c r="AB1749" i="10"/>
  <c r="AA1749" i="10"/>
  <c r="Z1749" i="10"/>
  <c r="Y1749" i="10"/>
  <c r="X1749" i="10"/>
  <c r="W1749" i="10"/>
  <c r="V1749" i="10"/>
  <c r="U1749" i="10"/>
  <c r="T1749" i="10"/>
  <c r="S1749" i="10"/>
  <c r="R1749" i="10"/>
  <c r="AD1748" i="10"/>
  <c r="AC1748" i="10"/>
  <c r="AB1748" i="10"/>
  <c r="AA1748" i="10"/>
  <c r="Z1748" i="10"/>
  <c r="Y1748" i="10"/>
  <c r="X1748" i="10"/>
  <c r="W1748" i="10"/>
  <c r="V1748" i="10"/>
  <c r="U1748" i="10"/>
  <c r="T1748" i="10"/>
  <c r="S1748" i="10"/>
  <c r="R1748" i="10"/>
  <c r="AE1748" i="10"/>
  <c r="AD1747" i="10"/>
  <c r="AC1747" i="10"/>
  <c r="AB1747" i="10"/>
  <c r="AA1747" i="10"/>
  <c r="Z1747" i="10"/>
  <c r="Y1747" i="10"/>
  <c r="X1747" i="10"/>
  <c r="W1747" i="10"/>
  <c r="V1747" i="10"/>
  <c r="U1747" i="10"/>
  <c r="T1747" i="10"/>
  <c r="S1747" i="10"/>
  <c r="R1747" i="10"/>
  <c r="AE1747" i="10"/>
  <c r="AD1746" i="10"/>
  <c r="AC1746" i="10"/>
  <c r="AB1746" i="10"/>
  <c r="AA1746" i="10"/>
  <c r="Z1746" i="10"/>
  <c r="Y1746" i="10"/>
  <c r="X1746" i="10"/>
  <c r="W1746" i="10"/>
  <c r="R1746" i="10"/>
  <c r="S1746" i="10"/>
  <c r="T1746" i="10"/>
  <c r="U1746" i="10"/>
  <c r="V1746" i="10"/>
  <c r="AE1746" i="10"/>
  <c r="AD1745" i="10"/>
  <c r="AC1745" i="10"/>
  <c r="AB1745" i="10"/>
  <c r="AA1745" i="10"/>
  <c r="Z1745" i="10"/>
  <c r="Y1745" i="10"/>
  <c r="X1745" i="10"/>
  <c r="W1745" i="10"/>
  <c r="V1745" i="10"/>
  <c r="U1745" i="10"/>
  <c r="T1745" i="10"/>
  <c r="S1745" i="10"/>
  <c r="R1745" i="10"/>
  <c r="AE1745" i="10"/>
  <c r="AD1744" i="10"/>
  <c r="AC1744" i="10"/>
  <c r="AB1744" i="10"/>
  <c r="AA1744" i="10"/>
  <c r="Z1744" i="10"/>
  <c r="Y1744" i="10"/>
  <c r="X1744" i="10"/>
  <c r="W1744" i="10"/>
  <c r="V1744" i="10"/>
  <c r="U1744" i="10"/>
  <c r="R1744" i="10"/>
  <c r="S1744" i="10"/>
  <c r="T1744" i="10"/>
  <c r="AE1744" i="10"/>
  <c r="AD1743" i="10"/>
  <c r="AC1743" i="10"/>
  <c r="AB1743" i="10"/>
  <c r="AA1743" i="10"/>
  <c r="Z1743" i="10"/>
  <c r="Y1743" i="10"/>
  <c r="X1743" i="10"/>
  <c r="W1743" i="10"/>
  <c r="V1743" i="10"/>
  <c r="U1743" i="10"/>
  <c r="T1743" i="10"/>
  <c r="R1743" i="10"/>
  <c r="S1743" i="10"/>
  <c r="AE1743" i="10"/>
  <c r="AD1742" i="10"/>
  <c r="AC1742" i="10"/>
  <c r="AB1742" i="10"/>
  <c r="AA1742" i="10"/>
  <c r="Z1742" i="10"/>
  <c r="Y1742" i="10"/>
  <c r="X1742" i="10"/>
  <c r="W1742" i="10"/>
  <c r="V1742" i="10"/>
  <c r="U1742" i="10"/>
  <c r="T1742" i="10"/>
  <c r="S1742" i="10"/>
  <c r="R1742" i="10"/>
  <c r="AE1742" i="10"/>
  <c r="AD1741" i="10"/>
  <c r="AC1741" i="10"/>
  <c r="AB1741" i="10"/>
  <c r="AA1741" i="10"/>
  <c r="Z1741" i="10"/>
  <c r="Y1741" i="10"/>
  <c r="X1741" i="10"/>
  <c r="W1741" i="10"/>
  <c r="V1741" i="10"/>
  <c r="U1741" i="10"/>
  <c r="T1741" i="10"/>
  <c r="S1741" i="10"/>
  <c r="R1741" i="10"/>
  <c r="AD1740" i="10"/>
  <c r="AC1740" i="10"/>
  <c r="AB1740" i="10"/>
  <c r="AA1740" i="10"/>
  <c r="Z1740" i="10"/>
  <c r="Y1740" i="10"/>
  <c r="X1740" i="10"/>
  <c r="W1740" i="10"/>
  <c r="V1740" i="10"/>
  <c r="U1740" i="10"/>
  <c r="T1740" i="10"/>
  <c r="S1740" i="10"/>
  <c r="R1740" i="10"/>
  <c r="AD1739" i="10"/>
  <c r="AC1739" i="10"/>
  <c r="AB1739" i="10"/>
  <c r="AA1739" i="10"/>
  <c r="Z1739" i="10"/>
  <c r="Y1739" i="10"/>
  <c r="X1739" i="10"/>
  <c r="W1739" i="10"/>
  <c r="V1739" i="10"/>
  <c r="U1739" i="10"/>
  <c r="T1739" i="10"/>
  <c r="R1739" i="10"/>
  <c r="S1739" i="10"/>
  <c r="AE1739" i="10"/>
  <c r="AD1738" i="10"/>
  <c r="AC1738" i="10"/>
  <c r="AB1738" i="10"/>
  <c r="AA1738" i="10"/>
  <c r="Z1738" i="10"/>
  <c r="Y1738" i="10"/>
  <c r="X1738" i="10"/>
  <c r="W1738" i="10"/>
  <c r="V1738" i="10"/>
  <c r="U1738" i="10"/>
  <c r="T1738" i="10"/>
  <c r="S1738" i="10"/>
  <c r="R1738" i="10"/>
  <c r="AD1737" i="10"/>
  <c r="AC1737" i="10"/>
  <c r="AB1737" i="10"/>
  <c r="AA1737" i="10"/>
  <c r="Z1737" i="10"/>
  <c r="Y1737" i="10"/>
  <c r="X1737" i="10"/>
  <c r="W1737" i="10"/>
  <c r="V1737" i="10"/>
  <c r="U1737" i="10"/>
  <c r="T1737" i="10"/>
  <c r="S1737" i="10"/>
  <c r="R1737" i="10"/>
  <c r="AE1737" i="10"/>
  <c r="AD1736" i="10"/>
  <c r="AC1736" i="10"/>
  <c r="AB1736" i="10"/>
  <c r="AA1736" i="10"/>
  <c r="Z1736" i="10"/>
  <c r="Y1736" i="10"/>
  <c r="X1736" i="10"/>
  <c r="W1736" i="10"/>
  <c r="V1736" i="10"/>
  <c r="U1736" i="10"/>
  <c r="T1736" i="10"/>
  <c r="S1736" i="10"/>
  <c r="R1736" i="10"/>
  <c r="AE1736" i="10"/>
  <c r="AD1735" i="10"/>
  <c r="AC1735" i="10"/>
  <c r="AB1735" i="10"/>
  <c r="AA1735" i="10"/>
  <c r="Z1735" i="10"/>
  <c r="Y1735" i="10"/>
  <c r="X1735" i="10"/>
  <c r="W1735" i="10"/>
  <c r="V1735" i="10"/>
  <c r="U1735" i="10"/>
  <c r="T1735" i="10"/>
  <c r="S1735" i="10"/>
  <c r="R1735" i="10"/>
  <c r="AE1735" i="10"/>
  <c r="AD1734" i="10"/>
  <c r="AC1734" i="10"/>
  <c r="AB1734" i="10"/>
  <c r="AA1734" i="10"/>
  <c r="Z1734" i="10"/>
  <c r="Y1734" i="10"/>
  <c r="X1734" i="10"/>
  <c r="W1734" i="10"/>
  <c r="R1734" i="10"/>
  <c r="S1734" i="10"/>
  <c r="T1734" i="10"/>
  <c r="U1734" i="10"/>
  <c r="V1734" i="10"/>
  <c r="AE1734" i="10"/>
  <c r="AD1733" i="10"/>
  <c r="AC1733" i="10"/>
  <c r="AB1733" i="10"/>
  <c r="AA1733" i="10"/>
  <c r="Z1733" i="10"/>
  <c r="Y1733" i="10"/>
  <c r="X1733" i="10"/>
  <c r="W1733" i="10"/>
  <c r="V1733" i="10"/>
  <c r="U1733" i="10"/>
  <c r="T1733" i="10"/>
  <c r="S1733" i="10"/>
  <c r="R1733" i="10"/>
  <c r="AD1732" i="10"/>
  <c r="AC1732" i="10"/>
  <c r="AB1732" i="10"/>
  <c r="AA1732" i="10"/>
  <c r="Z1732" i="10"/>
  <c r="Y1732" i="10"/>
  <c r="X1732" i="10"/>
  <c r="W1732" i="10"/>
  <c r="V1732" i="10"/>
  <c r="U1732" i="10"/>
  <c r="T1732" i="10"/>
  <c r="R1732" i="10"/>
  <c r="S1732" i="10"/>
  <c r="AE1732" i="10"/>
  <c r="AD1731" i="10"/>
  <c r="AC1731" i="10"/>
  <c r="AB1731" i="10"/>
  <c r="AA1731" i="10"/>
  <c r="Z1731" i="10"/>
  <c r="Y1731" i="10"/>
  <c r="X1731" i="10"/>
  <c r="W1731" i="10"/>
  <c r="V1731" i="10"/>
  <c r="U1731" i="10"/>
  <c r="T1731" i="10"/>
  <c r="S1731" i="10"/>
  <c r="R1731" i="10"/>
  <c r="AD1730" i="10"/>
  <c r="AC1730" i="10"/>
  <c r="AB1730" i="10"/>
  <c r="AA1730" i="10"/>
  <c r="Z1730" i="10"/>
  <c r="Y1730" i="10"/>
  <c r="X1730" i="10"/>
  <c r="W1730" i="10"/>
  <c r="V1730" i="10"/>
  <c r="U1730" i="10"/>
  <c r="T1730" i="10"/>
  <c r="S1730" i="10"/>
  <c r="R1730" i="10"/>
  <c r="AE1730" i="10"/>
  <c r="AD1729" i="10"/>
  <c r="AC1729" i="10"/>
  <c r="AB1729" i="10"/>
  <c r="AA1729" i="10"/>
  <c r="Z1729" i="10"/>
  <c r="Y1729" i="10"/>
  <c r="X1729" i="10"/>
  <c r="W1729" i="10"/>
  <c r="V1729" i="10"/>
  <c r="U1729" i="10"/>
  <c r="T1729" i="10"/>
  <c r="S1729" i="10"/>
  <c r="R1729" i="10"/>
  <c r="AE1729" i="10"/>
  <c r="AD1728" i="10"/>
  <c r="AC1728" i="10"/>
  <c r="AB1728" i="10"/>
  <c r="AA1728" i="10"/>
  <c r="Z1728" i="10"/>
  <c r="Y1728" i="10"/>
  <c r="X1728" i="10"/>
  <c r="W1728" i="10"/>
  <c r="V1728" i="10"/>
  <c r="U1728" i="10"/>
  <c r="T1728" i="10"/>
  <c r="S1728" i="10"/>
  <c r="R1728" i="10"/>
  <c r="AD1727" i="10"/>
  <c r="AC1727" i="10"/>
  <c r="AB1727" i="10"/>
  <c r="AA1727" i="10"/>
  <c r="Z1727" i="10"/>
  <c r="Y1727" i="10"/>
  <c r="X1727" i="10"/>
  <c r="W1727" i="10"/>
  <c r="R1727" i="10"/>
  <c r="S1727" i="10"/>
  <c r="T1727" i="10"/>
  <c r="U1727" i="10"/>
  <c r="V1727" i="10"/>
  <c r="AE1727" i="10"/>
  <c r="AD1726" i="10"/>
  <c r="AC1726" i="10"/>
  <c r="AB1726" i="10"/>
  <c r="AA1726" i="10"/>
  <c r="Z1726" i="10"/>
  <c r="Y1726" i="10"/>
  <c r="X1726" i="10"/>
  <c r="W1726" i="10"/>
  <c r="V1726" i="10"/>
  <c r="U1726" i="10"/>
  <c r="T1726" i="10"/>
  <c r="S1726" i="10"/>
  <c r="R1726" i="10"/>
  <c r="AD1725" i="10"/>
  <c r="AC1725" i="10"/>
  <c r="AB1725" i="10"/>
  <c r="AA1725" i="10"/>
  <c r="Z1725" i="10"/>
  <c r="Y1725" i="10"/>
  <c r="X1725" i="10"/>
  <c r="W1725" i="10"/>
  <c r="V1725" i="10"/>
  <c r="U1725" i="10"/>
  <c r="T1725" i="10"/>
  <c r="S1725" i="10"/>
  <c r="R1725" i="10"/>
  <c r="AD1724" i="10"/>
  <c r="AC1724" i="10"/>
  <c r="AB1724" i="10"/>
  <c r="AA1724" i="10"/>
  <c r="Z1724" i="10"/>
  <c r="Y1724" i="10"/>
  <c r="X1724" i="10"/>
  <c r="W1724" i="10"/>
  <c r="V1724" i="10"/>
  <c r="U1724" i="10"/>
  <c r="T1724" i="10"/>
  <c r="S1724" i="10"/>
  <c r="R1724" i="10"/>
  <c r="AE1724" i="10"/>
  <c r="AD1723" i="10"/>
  <c r="AC1723" i="10"/>
  <c r="AB1723" i="10"/>
  <c r="AA1723" i="10"/>
  <c r="Z1723" i="10"/>
  <c r="Y1723" i="10"/>
  <c r="X1723" i="10"/>
  <c r="W1723" i="10"/>
  <c r="V1723" i="10"/>
  <c r="U1723" i="10"/>
  <c r="T1723" i="10"/>
  <c r="S1723" i="10"/>
  <c r="R1723" i="10"/>
  <c r="AE1723" i="10"/>
  <c r="AD1722" i="10"/>
  <c r="AC1722" i="10"/>
  <c r="AB1722" i="10"/>
  <c r="AA1722" i="10"/>
  <c r="Z1722" i="10"/>
  <c r="Y1722" i="10"/>
  <c r="X1722" i="10"/>
  <c r="W1722" i="10"/>
  <c r="V1722" i="10"/>
  <c r="U1722" i="10"/>
  <c r="T1722" i="10"/>
  <c r="S1722" i="10"/>
  <c r="R1722" i="10"/>
  <c r="AE1722" i="10"/>
  <c r="AD1721" i="10"/>
  <c r="AC1721" i="10"/>
  <c r="AB1721" i="10"/>
  <c r="AA1721" i="10"/>
  <c r="Z1721" i="10"/>
  <c r="Y1721" i="10"/>
  <c r="X1721" i="10"/>
  <c r="W1721" i="10"/>
  <c r="V1721" i="10"/>
  <c r="U1721" i="10"/>
  <c r="R1721" i="10"/>
  <c r="S1721" i="10"/>
  <c r="T1721" i="10"/>
  <c r="AE1721" i="10"/>
  <c r="AD1720" i="10"/>
  <c r="AC1720" i="10"/>
  <c r="AB1720" i="10"/>
  <c r="AA1720" i="10"/>
  <c r="Z1720" i="10"/>
  <c r="Y1720" i="10"/>
  <c r="X1720" i="10"/>
  <c r="W1720" i="10"/>
  <c r="R1720" i="10"/>
  <c r="S1720" i="10"/>
  <c r="T1720" i="10"/>
  <c r="U1720" i="10"/>
  <c r="V1720" i="10"/>
  <c r="AE1720" i="10"/>
  <c r="AD1719" i="10"/>
  <c r="AC1719" i="10"/>
  <c r="AB1719" i="10"/>
  <c r="AA1719" i="10"/>
  <c r="Z1719" i="10"/>
  <c r="Y1719" i="10"/>
  <c r="X1719" i="10"/>
  <c r="W1719" i="10"/>
  <c r="V1719" i="10"/>
  <c r="U1719" i="10"/>
  <c r="T1719" i="10"/>
  <c r="S1719" i="10"/>
  <c r="R1719" i="10"/>
  <c r="AD1718" i="10"/>
  <c r="AC1718" i="10"/>
  <c r="AB1718" i="10"/>
  <c r="AA1718" i="10"/>
  <c r="Z1718" i="10"/>
  <c r="Y1718" i="10"/>
  <c r="X1718" i="10"/>
  <c r="W1718" i="10"/>
  <c r="V1718" i="10"/>
  <c r="U1718" i="10"/>
  <c r="T1718" i="10"/>
  <c r="S1718" i="10"/>
  <c r="R1718" i="10"/>
  <c r="AD1717" i="10"/>
  <c r="AC1717" i="10"/>
  <c r="AB1717" i="10"/>
  <c r="AA1717" i="10"/>
  <c r="Z1717" i="10"/>
  <c r="Y1717" i="10"/>
  <c r="X1717" i="10"/>
  <c r="W1717" i="10"/>
  <c r="V1717" i="10"/>
  <c r="U1717" i="10"/>
  <c r="T1717" i="10"/>
  <c r="S1717" i="10"/>
  <c r="R1717" i="10"/>
  <c r="AD1716" i="10"/>
  <c r="AC1716" i="10"/>
  <c r="AB1716" i="10"/>
  <c r="AA1716" i="10"/>
  <c r="Z1716" i="10"/>
  <c r="Y1716" i="10"/>
  <c r="X1716" i="10"/>
  <c r="W1716" i="10"/>
  <c r="V1716" i="10"/>
  <c r="U1716" i="10"/>
  <c r="T1716" i="10"/>
  <c r="S1716" i="10"/>
  <c r="R1716" i="10"/>
  <c r="AE1716" i="10"/>
  <c r="AD1715" i="10"/>
  <c r="AC1715" i="10"/>
  <c r="AB1715" i="10"/>
  <c r="AA1715" i="10"/>
  <c r="Z1715" i="10"/>
  <c r="Y1715" i="10"/>
  <c r="X1715" i="10"/>
  <c r="W1715" i="10"/>
  <c r="V1715" i="10"/>
  <c r="U1715" i="10"/>
  <c r="T1715" i="10"/>
  <c r="S1715" i="10"/>
  <c r="R1715" i="10"/>
  <c r="AE1715" i="10"/>
  <c r="AD1714" i="10"/>
  <c r="AC1714" i="10"/>
  <c r="AB1714" i="10"/>
  <c r="AA1714" i="10"/>
  <c r="Z1714" i="10"/>
  <c r="Y1714" i="10"/>
  <c r="X1714" i="10"/>
  <c r="W1714" i="10"/>
  <c r="V1714" i="10"/>
  <c r="U1714" i="10"/>
  <c r="T1714" i="10"/>
  <c r="S1714" i="10"/>
  <c r="R1714" i="10"/>
  <c r="AD1713" i="10"/>
  <c r="AC1713" i="10"/>
  <c r="AB1713" i="10"/>
  <c r="AA1713" i="10"/>
  <c r="Z1713" i="10"/>
  <c r="Y1713" i="10"/>
  <c r="X1713" i="10"/>
  <c r="W1713" i="10"/>
  <c r="R1713" i="10"/>
  <c r="S1713" i="10"/>
  <c r="T1713" i="10"/>
  <c r="U1713" i="10"/>
  <c r="V1713" i="10"/>
  <c r="AE1713" i="10"/>
  <c r="AD1712" i="10"/>
  <c r="AC1712" i="10"/>
  <c r="AB1712" i="10"/>
  <c r="AA1712" i="10"/>
  <c r="Z1712" i="10"/>
  <c r="Y1712" i="10"/>
  <c r="X1712" i="10"/>
  <c r="W1712" i="10"/>
  <c r="V1712" i="10"/>
  <c r="U1712" i="10"/>
  <c r="T1712" i="10"/>
  <c r="S1712" i="10"/>
  <c r="R1712" i="10"/>
  <c r="AE1712" i="10"/>
  <c r="AD1711" i="10"/>
  <c r="AC1711" i="10"/>
  <c r="AB1711" i="10"/>
  <c r="AA1711" i="10"/>
  <c r="Z1711" i="10"/>
  <c r="Y1711" i="10"/>
  <c r="X1711" i="10"/>
  <c r="W1711" i="10"/>
  <c r="V1711" i="10"/>
  <c r="U1711" i="10"/>
  <c r="T1711" i="10"/>
  <c r="S1711" i="10"/>
  <c r="R1711" i="10"/>
  <c r="AE1711" i="10"/>
  <c r="AD1710" i="10"/>
  <c r="AC1710" i="10"/>
  <c r="AB1710" i="10"/>
  <c r="AA1710" i="10"/>
  <c r="Z1710" i="10"/>
  <c r="Y1710" i="10"/>
  <c r="X1710" i="10"/>
  <c r="W1710" i="10"/>
  <c r="V1710" i="10"/>
  <c r="U1710" i="10"/>
  <c r="T1710" i="10"/>
  <c r="R1710" i="10"/>
  <c r="S1710" i="10"/>
  <c r="AE1710" i="10"/>
  <c r="AD1709" i="10"/>
  <c r="AC1709" i="10"/>
  <c r="AB1709" i="10"/>
  <c r="AA1709" i="10"/>
  <c r="Z1709" i="10"/>
  <c r="Y1709" i="10"/>
  <c r="X1709" i="10"/>
  <c r="W1709" i="10"/>
  <c r="V1709" i="10"/>
  <c r="U1709" i="10"/>
  <c r="T1709" i="10"/>
  <c r="S1709" i="10"/>
  <c r="R1709" i="10"/>
  <c r="AD1708" i="10"/>
  <c r="AC1708" i="10"/>
  <c r="AB1708" i="10"/>
  <c r="AA1708" i="10"/>
  <c r="Z1708" i="10"/>
  <c r="Y1708" i="10"/>
  <c r="X1708" i="10"/>
  <c r="W1708" i="10"/>
  <c r="V1708" i="10"/>
  <c r="U1708" i="10"/>
  <c r="T1708" i="10"/>
  <c r="S1708" i="10"/>
  <c r="R1708" i="10"/>
  <c r="AE1708" i="10"/>
  <c r="AD1707" i="10"/>
  <c r="AC1707" i="10"/>
  <c r="AB1707" i="10"/>
  <c r="AA1707" i="10"/>
  <c r="Z1707" i="10"/>
  <c r="Y1707" i="10"/>
  <c r="X1707" i="10"/>
  <c r="W1707" i="10"/>
  <c r="V1707" i="10"/>
  <c r="U1707" i="10"/>
  <c r="T1707" i="10"/>
  <c r="S1707" i="10"/>
  <c r="R1707" i="10"/>
  <c r="AD1706" i="10"/>
  <c r="AC1706" i="10"/>
  <c r="AB1706" i="10"/>
  <c r="AA1706" i="10"/>
  <c r="Z1706" i="10"/>
  <c r="Y1706" i="10"/>
  <c r="X1706" i="10"/>
  <c r="W1706" i="10"/>
  <c r="R1706" i="10"/>
  <c r="S1706" i="10"/>
  <c r="T1706" i="10"/>
  <c r="U1706" i="10"/>
  <c r="V1706" i="10"/>
  <c r="AE1706" i="10"/>
  <c r="AD1705" i="10"/>
  <c r="AC1705" i="10"/>
  <c r="AB1705" i="10"/>
  <c r="AA1705" i="10"/>
  <c r="Z1705" i="10"/>
  <c r="Y1705" i="10"/>
  <c r="X1705" i="10"/>
  <c r="W1705" i="10"/>
  <c r="V1705" i="10"/>
  <c r="U1705" i="10"/>
  <c r="T1705" i="10"/>
  <c r="S1705" i="10"/>
  <c r="R1705" i="10"/>
  <c r="AD1704" i="10"/>
  <c r="AC1704" i="10"/>
  <c r="AB1704" i="10"/>
  <c r="AA1704" i="10"/>
  <c r="Z1704" i="10"/>
  <c r="Y1704" i="10"/>
  <c r="X1704" i="10"/>
  <c r="W1704" i="10"/>
  <c r="V1704" i="10"/>
  <c r="U1704" i="10"/>
  <c r="T1704" i="10"/>
  <c r="S1704" i="10"/>
  <c r="R1704" i="10"/>
  <c r="AD1703" i="10"/>
  <c r="AC1703" i="10"/>
  <c r="AB1703" i="10"/>
  <c r="AA1703" i="10"/>
  <c r="Z1703" i="10"/>
  <c r="Y1703" i="10"/>
  <c r="X1703" i="10"/>
  <c r="W1703" i="10"/>
  <c r="V1703" i="10"/>
  <c r="U1703" i="10"/>
  <c r="T1703" i="10"/>
  <c r="R1703" i="10"/>
  <c r="S1703" i="10"/>
  <c r="AE1703" i="10"/>
  <c r="AD1702" i="10"/>
  <c r="AC1702" i="10"/>
  <c r="AB1702" i="10"/>
  <c r="AA1702" i="10"/>
  <c r="Z1702" i="10"/>
  <c r="Y1702" i="10"/>
  <c r="X1702" i="10"/>
  <c r="W1702" i="10"/>
  <c r="V1702" i="10"/>
  <c r="U1702" i="10"/>
  <c r="T1702" i="10"/>
  <c r="S1702" i="10"/>
  <c r="R1702" i="10"/>
  <c r="AE1702" i="10"/>
  <c r="AD1701" i="10"/>
  <c r="AC1701" i="10"/>
  <c r="AB1701" i="10"/>
  <c r="AA1701" i="10"/>
  <c r="Z1701" i="10"/>
  <c r="Y1701" i="10"/>
  <c r="X1701" i="10"/>
  <c r="W1701" i="10"/>
  <c r="V1701" i="10"/>
  <c r="U1701" i="10"/>
  <c r="T1701" i="10"/>
  <c r="S1701" i="10"/>
  <c r="R1701" i="10"/>
  <c r="AE1701" i="10"/>
  <c r="AD1700" i="10"/>
  <c r="AC1700" i="10"/>
  <c r="AB1700" i="10"/>
  <c r="AA1700" i="10"/>
  <c r="Z1700" i="10"/>
  <c r="Y1700" i="10"/>
  <c r="X1700" i="10"/>
  <c r="W1700" i="10"/>
  <c r="V1700" i="10"/>
  <c r="U1700" i="10"/>
  <c r="T1700" i="10"/>
  <c r="S1700" i="10"/>
  <c r="R1700" i="10"/>
  <c r="AE1700" i="10"/>
  <c r="AD1699" i="10"/>
  <c r="AC1699" i="10"/>
  <c r="AB1699" i="10"/>
  <c r="AA1699" i="10"/>
  <c r="Z1699" i="10"/>
  <c r="Y1699" i="10"/>
  <c r="X1699" i="10"/>
  <c r="W1699" i="10"/>
  <c r="R1699" i="10"/>
  <c r="S1699" i="10"/>
  <c r="T1699" i="10"/>
  <c r="U1699" i="10"/>
  <c r="V1699" i="10"/>
  <c r="AE1699" i="10"/>
  <c r="AD1698" i="10"/>
  <c r="AC1698" i="10"/>
  <c r="AB1698" i="10"/>
  <c r="AA1698" i="10"/>
  <c r="Z1698" i="10"/>
  <c r="Y1698" i="10"/>
  <c r="X1698" i="10"/>
  <c r="W1698" i="10"/>
  <c r="V1698" i="10"/>
  <c r="U1698" i="10"/>
  <c r="T1698" i="10"/>
  <c r="S1698" i="10"/>
  <c r="R1698" i="10"/>
  <c r="AE1698" i="10"/>
  <c r="AD1697" i="10"/>
  <c r="AC1697" i="10"/>
  <c r="AB1697" i="10"/>
  <c r="AA1697" i="10"/>
  <c r="Z1697" i="10"/>
  <c r="Y1697" i="10"/>
  <c r="X1697" i="10"/>
  <c r="W1697" i="10"/>
  <c r="V1697" i="10"/>
  <c r="U1697" i="10"/>
  <c r="T1697" i="10"/>
  <c r="S1697" i="10"/>
  <c r="R1697" i="10"/>
  <c r="AE1697" i="10"/>
  <c r="AD1696" i="10"/>
  <c r="AC1696" i="10"/>
  <c r="AB1696" i="10"/>
  <c r="AA1696" i="10"/>
  <c r="Z1696" i="10"/>
  <c r="Y1696" i="10"/>
  <c r="X1696" i="10"/>
  <c r="W1696" i="10"/>
  <c r="V1696" i="10"/>
  <c r="U1696" i="10"/>
  <c r="T1696" i="10"/>
  <c r="R1696" i="10"/>
  <c r="S1696" i="10"/>
  <c r="AE1696" i="10"/>
  <c r="AD1695" i="10"/>
  <c r="AC1695" i="10"/>
  <c r="AB1695" i="10"/>
  <c r="AA1695" i="10"/>
  <c r="Z1695" i="10"/>
  <c r="Y1695" i="10"/>
  <c r="X1695" i="10"/>
  <c r="W1695" i="10"/>
  <c r="V1695" i="10"/>
  <c r="U1695" i="10"/>
  <c r="T1695" i="10"/>
  <c r="S1695" i="10"/>
  <c r="R1695" i="10"/>
  <c r="AD1694" i="10"/>
  <c r="AC1694" i="10"/>
  <c r="AB1694" i="10"/>
  <c r="AA1694" i="10"/>
  <c r="Z1694" i="10"/>
  <c r="Y1694" i="10"/>
  <c r="X1694" i="10"/>
  <c r="W1694" i="10"/>
  <c r="V1694" i="10"/>
  <c r="U1694" i="10"/>
  <c r="T1694" i="10"/>
  <c r="S1694" i="10"/>
  <c r="R1694" i="10"/>
  <c r="AE1694" i="10"/>
  <c r="AD1693" i="10"/>
  <c r="AC1693" i="10"/>
  <c r="AB1693" i="10"/>
  <c r="AA1693" i="10"/>
  <c r="Z1693" i="10"/>
  <c r="Y1693" i="10"/>
  <c r="X1693" i="10"/>
  <c r="W1693" i="10"/>
  <c r="V1693" i="10"/>
  <c r="U1693" i="10"/>
  <c r="T1693" i="10"/>
  <c r="S1693" i="10"/>
  <c r="R1693" i="10"/>
  <c r="AD1692" i="10"/>
  <c r="AC1692" i="10"/>
  <c r="AB1692" i="10"/>
  <c r="AA1692" i="10"/>
  <c r="Z1692" i="10"/>
  <c r="Y1692" i="10"/>
  <c r="X1692" i="10"/>
  <c r="W1692" i="10"/>
  <c r="R1692" i="10"/>
  <c r="S1692" i="10"/>
  <c r="T1692" i="10"/>
  <c r="U1692" i="10"/>
  <c r="V1692" i="10"/>
  <c r="AE1692" i="10"/>
  <c r="AD1691" i="10"/>
  <c r="AC1691" i="10"/>
  <c r="AB1691" i="10"/>
  <c r="AA1691" i="10"/>
  <c r="Z1691" i="10"/>
  <c r="Y1691" i="10"/>
  <c r="X1691" i="10"/>
  <c r="W1691" i="10"/>
  <c r="V1691" i="10"/>
  <c r="U1691" i="10"/>
  <c r="T1691" i="10"/>
  <c r="S1691" i="10"/>
  <c r="R1691" i="10"/>
  <c r="AD1690" i="10"/>
  <c r="AC1690" i="10"/>
  <c r="AB1690" i="10"/>
  <c r="AA1690" i="10"/>
  <c r="Z1690" i="10"/>
  <c r="Y1690" i="10"/>
  <c r="X1690" i="10"/>
  <c r="W1690" i="10"/>
  <c r="V1690" i="10"/>
  <c r="U1690" i="10"/>
  <c r="T1690" i="10"/>
  <c r="S1690" i="10"/>
  <c r="R1690" i="10"/>
  <c r="AE1690" i="10"/>
  <c r="AD1689" i="10"/>
  <c r="AC1689" i="10"/>
  <c r="AB1689" i="10"/>
  <c r="AA1689" i="10"/>
  <c r="Z1689" i="10"/>
  <c r="Y1689" i="10"/>
  <c r="X1689" i="10"/>
  <c r="W1689" i="10"/>
  <c r="V1689" i="10"/>
  <c r="U1689" i="10"/>
  <c r="T1689" i="10"/>
  <c r="R1689" i="10"/>
  <c r="S1689" i="10"/>
  <c r="AE1689" i="10"/>
  <c r="AD1688" i="10"/>
  <c r="AC1688" i="10"/>
  <c r="AB1688" i="10"/>
  <c r="AA1688" i="10"/>
  <c r="Z1688" i="10"/>
  <c r="Y1688" i="10"/>
  <c r="X1688" i="10"/>
  <c r="W1688" i="10"/>
  <c r="V1688" i="10"/>
  <c r="U1688" i="10"/>
  <c r="T1688" i="10"/>
  <c r="S1688" i="10"/>
  <c r="R1688" i="10"/>
  <c r="AD1687" i="10"/>
  <c r="AC1687" i="10"/>
  <c r="AB1687" i="10"/>
  <c r="AA1687" i="10"/>
  <c r="Z1687" i="10"/>
  <c r="Y1687" i="10"/>
  <c r="X1687" i="10"/>
  <c r="W1687" i="10"/>
  <c r="V1687" i="10"/>
  <c r="U1687" i="10"/>
  <c r="T1687" i="10"/>
  <c r="S1687" i="10"/>
  <c r="R1687" i="10"/>
  <c r="AE1687" i="10"/>
  <c r="AD1686" i="10"/>
  <c r="AC1686" i="10"/>
  <c r="AB1686" i="10"/>
  <c r="AA1686" i="10"/>
  <c r="Z1686" i="10"/>
  <c r="Y1686" i="10"/>
  <c r="X1686" i="10"/>
  <c r="W1686" i="10"/>
  <c r="V1686" i="10"/>
  <c r="U1686" i="10"/>
  <c r="T1686" i="10"/>
  <c r="S1686" i="10"/>
  <c r="R1686" i="10"/>
  <c r="AE1686" i="10"/>
  <c r="AD1685" i="10"/>
  <c r="AC1685" i="10"/>
  <c r="AB1685" i="10"/>
  <c r="AA1685" i="10"/>
  <c r="Z1685" i="10"/>
  <c r="Y1685" i="10"/>
  <c r="X1685" i="10"/>
  <c r="W1685" i="10"/>
  <c r="V1685" i="10"/>
  <c r="U1685" i="10"/>
  <c r="T1685" i="10"/>
  <c r="S1685" i="10"/>
  <c r="R1685" i="10"/>
  <c r="AD1684" i="10"/>
  <c r="AC1684" i="10"/>
  <c r="AB1684" i="10"/>
  <c r="AA1684" i="10"/>
  <c r="Z1684" i="10"/>
  <c r="Y1684" i="10"/>
  <c r="X1684" i="10"/>
  <c r="W1684" i="10"/>
  <c r="V1684" i="10"/>
  <c r="U1684" i="10"/>
  <c r="T1684" i="10"/>
  <c r="S1684" i="10"/>
  <c r="R1684" i="10"/>
  <c r="AE1684" i="10"/>
  <c r="AD1683" i="10"/>
  <c r="AC1683" i="10"/>
  <c r="AB1683" i="10"/>
  <c r="AA1683" i="10"/>
  <c r="Z1683" i="10"/>
  <c r="Y1683" i="10"/>
  <c r="X1683" i="10"/>
  <c r="W1683" i="10"/>
  <c r="V1683" i="10"/>
  <c r="U1683" i="10"/>
  <c r="T1683" i="10"/>
  <c r="S1683" i="10"/>
  <c r="R1683" i="10"/>
  <c r="AE1683" i="10"/>
  <c r="AD1682" i="10"/>
  <c r="AC1682" i="10"/>
  <c r="AB1682" i="10"/>
  <c r="AA1682" i="10"/>
  <c r="Z1682" i="10"/>
  <c r="Y1682" i="10"/>
  <c r="X1682" i="10"/>
  <c r="W1682" i="10"/>
  <c r="R1682" i="10"/>
  <c r="S1682" i="10"/>
  <c r="T1682" i="10"/>
  <c r="U1682" i="10"/>
  <c r="V1682" i="10"/>
  <c r="AE1682" i="10"/>
  <c r="AD1681" i="10"/>
  <c r="AC1681" i="10"/>
  <c r="AB1681" i="10"/>
  <c r="AA1681" i="10"/>
  <c r="Z1681" i="10"/>
  <c r="Y1681" i="10"/>
  <c r="X1681" i="10"/>
  <c r="W1681" i="10"/>
  <c r="V1681" i="10"/>
  <c r="U1681" i="10"/>
  <c r="T1681" i="10"/>
  <c r="S1681" i="10"/>
  <c r="R1681" i="10"/>
  <c r="AE1681" i="10"/>
  <c r="AD1680" i="10"/>
  <c r="AC1680" i="10"/>
  <c r="AB1680" i="10"/>
  <c r="AA1680" i="10"/>
  <c r="Z1680" i="10"/>
  <c r="Y1680" i="10"/>
  <c r="X1680" i="10"/>
  <c r="W1680" i="10"/>
  <c r="V1680" i="10"/>
  <c r="U1680" i="10"/>
  <c r="R1680" i="10"/>
  <c r="S1680" i="10"/>
  <c r="T1680" i="10"/>
  <c r="AE1680" i="10"/>
  <c r="AD1679" i="10"/>
  <c r="AC1679" i="10"/>
  <c r="AB1679" i="10"/>
  <c r="AA1679" i="10"/>
  <c r="Z1679" i="10"/>
  <c r="Y1679" i="10"/>
  <c r="X1679" i="10"/>
  <c r="W1679" i="10"/>
  <c r="V1679" i="10"/>
  <c r="U1679" i="10"/>
  <c r="T1679" i="10"/>
  <c r="R1679" i="10"/>
  <c r="S1679" i="10"/>
  <c r="AE1679" i="10"/>
  <c r="AD1678" i="10"/>
  <c r="AC1678" i="10"/>
  <c r="AB1678" i="10"/>
  <c r="AA1678" i="10"/>
  <c r="Z1678" i="10"/>
  <c r="Y1678" i="10"/>
  <c r="X1678" i="10"/>
  <c r="W1678" i="10"/>
  <c r="V1678" i="10"/>
  <c r="U1678" i="10"/>
  <c r="T1678" i="10"/>
  <c r="S1678" i="10"/>
  <c r="R1678" i="10"/>
  <c r="AE1678" i="10"/>
  <c r="AD1677" i="10"/>
  <c r="AC1677" i="10"/>
  <c r="AB1677" i="10"/>
  <c r="AA1677" i="10"/>
  <c r="Z1677" i="10"/>
  <c r="Y1677" i="10"/>
  <c r="X1677" i="10"/>
  <c r="W1677" i="10"/>
  <c r="V1677" i="10"/>
  <c r="U1677" i="10"/>
  <c r="T1677" i="10"/>
  <c r="S1677" i="10"/>
  <c r="R1677" i="10"/>
  <c r="AD1676" i="10"/>
  <c r="AC1676" i="10"/>
  <c r="AB1676" i="10"/>
  <c r="AA1676" i="10"/>
  <c r="Z1676" i="10"/>
  <c r="Y1676" i="10"/>
  <c r="X1676" i="10"/>
  <c r="W1676" i="10"/>
  <c r="V1676" i="10"/>
  <c r="U1676" i="10"/>
  <c r="T1676" i="10"/>
  <c r="S1676" i="10"/>
  <c r="R1676" i="10"/>
  <c r="AD1675" i="10"/>
  <c r="AC1675" i="10"/>
  <c r="AB1675" i="10"/>
  <c r="AA1675" i="10"/>
  <c r="Z1675" i="10"/>
  <c r="Y1675" i="10"/>
  <c r="X1675" i="10"/>
  <c r="W1675" i="10"/>
  <c r="V1675" i="10"/>
  <c r="U1675" i="10"/>
  <c r="T1675" i="10"/>
  <c r="R1675" i="10"/>
  <c r="S1675" i="10"/>
  <c r="AE1675" i="10"/>
  <c r="AD1674" i="10"/>
  <c r="AC1674" i="10"/>
  <c r="AB1674" i="10"/>
  <c r="AA1674" i="10"/>
  <c r="Z1674" i="10"/>
  <c r="Y1674" i="10"/>
  <c r="X1674" i="10"/>
  <c r="W1674" i="10"/>
  <c r="V1674" i="10"/>
  <c r="U1674" i="10"/>
  <c r="T1674" i="10"/>
  <c r="S1674" i="10"/>
  <c r="R1674" i="10"/>
  <c r="AD1673" i="10"/>
  <c r="AC1673" i="10"/>
  <c r="AB1673" i="10"/>
  <c r="AA1673" i="10"/>
  <c r="Z1673" i="10"/>
  <c r="Y1673" i="10"/>
  <c r="X1673" i="10"/>
  <c r="W1673" i="10"/>
  <c r="V1673" i="10"/>
  <c r="U1673" i="10"/>
  <c r="T1673" i="10"/>
  <c r="S1673" i="10"/>
  <c r="R1673" i="10"/>
  <c r="AE1673" i="10"/>
  <c r="AD1672" i="10"/>
  <c r="AC1672" i="10"/>
  <c r="AB1672" i="10"/>
  <c r="AA1672" i="10"/>
  <c r="Z1672" i="10"/>
  <c r="Y1672" i="10"/>
  <c r="X1672" i="10"/>
  <c r="W1672" i="10"/>
  <c r="V1672" i="10"/>
  <c r="U1672" i="10"/>
  <c r="T1672" i="10"/>
  <c r="S1672" i="10"/>
  <c r="R1672" i="10"/>
  <c r="AE1672" i="10"/>
  <c r="AD1671" i="10"/>
  <c r="AC1671" i="10"/>
  <c r="AB1671" i="10"/>
  <c r="AA1671" i="10"/>
  <c r="Z1671" i="10"/>
  <c r="Y1671" i="10"/>
  <c r="X1671" i="10"/>
  <c r="W1671" i="10"/>
  <c r="V1671" i="10"/>
  <c r="U1671" i="10"/>
  <c r="T1671" i="10"/>
  <c r="S1671" i="10"/>
  <c r="R1671" i="10"/>
  <c r="AE1671" i="10"/>
  <c r="AD1670" i="10"/>
  <c r="AC1670" i="10"/>
  <c r="AB1670" i="10"/>
  <c r="AA1670" i="10"/>
  <c r="Z1670" i="10"/>
  <c r="Y1670" i="10"/>
  <c r="X1670" i="10"/>
  <c r="W1670" i="10"/>
  <c r="R1670" i="10"/>
  <c r="S1670" i="10"/>
  <c r="T1670" i="10"/>
  <c r="U1670" i="10"/>
  <c r="V1670" i="10"/>
  <c r="AE1670" i="10"/>
  <c r="AD1669" i="10"/>
  <c r="AC1669" i="10"/>
  <c r="AB1669" i="10"/>
  <c r="AA1669" i="10"/>
  <c r="Z1669" i="10"/>
  <c r="Y1669" i="10"/>
  <c r="X1669" i="10"/>
  <c r="W1669" i="10"/>
  <c r="V1669" i="10"/>
  <c r="U1669" i="10"/>
  <c r="T1669" i="10"/>
  <c r="S1669" i="10"/>
  <c r="R1669" i="10"/>
  <c r="AD1668" i="10"/>
  <c r="AC1668" i="10"/>
  <c r="AB1668" i="10"/>
  <c r="AA1668" i="10"/>
  <c r="Z1668" i="10"/>
  <c r="Y1668" i="10"/>
  <c r="X1668" i="10"/>
  <c r="W1668" i="10"/>
  <c r="V1668" i="10"/>
  <c r="U1668" i="10"/>
  <c r="T1668" i="10"/>
  <c r="R1668" i="10"/>
  <c r="S1668" i="10"/>
  <c r="AE1668" i="10"/>
  <c r="AD1667" i="10"/>
  <c r="AC1667" i="10"/>
  <c r="AB1667" i="10"/>
  <c r="AA1667" i="10"/>
  <c r="Z1667" i="10"/>
  <c r="Y1667" i="10"/>
  <c r="X1667" i="10"/>
  <c r="W1667" i="10"/>
  <c r="V1667" i="10"/>
  <c r="U1667" i="10"/>
  <c r="T1667" i="10"/>
  <c r="S1667" i="10"/>
  <c r="R1667" i="10"/>
  <c r="AD1666" i="10"/>
  <c r="AC1666" i="10"/>
  <c r="AB1666" i="10"/>
  <c r="AA1666" i="10"/>
  <c r="Z1666" i="10"/>
  <c r="Y1666" i="10"/>
  <c r="X1666" i="10"/>
  <c r="W1666" i="10"/>
  <c r="V1666" i="10"/>
  <c r="U1666" i="10"/>
  <c r="T1666" i="10"/>
  <c r="S1666" i="10"/>
  <c r="R1666" i="10"/>
  <c r="AE1666" i="10"/>
  <c r="AD1665" i="10"/>
  <c r="AC1665" i="10"/>
  <c r="AB1665" i="10"/>
  <c r="AA1665" i="10"/>
  <c r="Z1665" i="10"/>
  <c r="Y1665" i="10"/>
  <c r="X1665" i="10"/>
  <c r="W1665" i="10"/>
  <c r="V1665" i="10"/>
  <c r="U1665" i="10"/>
  <c r="T1665" i="10"/>
  <c r="S1665" i="10"/>
  <c r="R1665" i="10"/>
  <c r="AE1665" i="10"/>
  <c r="AD1664" i="10"/>
  <c r="AC1664" i="10"/>
  <c r="AB1664" i="10"/>
  <c r="AA1664" i="10"/>
  <c r="Z1664" i="10"/>
  <c r="Y1664" i="10"/>
  <c r="X1664" i="10"/>
  <c r="W1664" i="10"/>
  <c r="V1664" i="10"/>
  <c r="U1664" i="10"/>
  <c r="T1664" i="10"/>
  <c r="S1664" i="10"/>
  <c r="R1664" i="10"/>
  <c r="AD1663" i="10"/>
  <c r="AC1663" i="10"/>
  <c r="AB1663" i="10"/>
  <c r="AA1663" i="10"/>
  <c r="Z1663" i="10"/>
  <c r="Y1663" i="10"/>
  <c r="X1663" i="10"/>
  <c r="W1663" i="10"/>
  <c r="R1663" i="10"/>
  <c r="S1663" i="10"/>
  <c r="T1663" i="10"/>
  <c r="U1663" i="10"/>
  <c r="V1663" i="10"/>
  <c r="AE1663" i="10"/>
  <c r="AD1662" i="10"/>
  <c r="AC1662" i="10"/>
  <c r="AB1662" i="10"/>
  <c r="AA1662" i="10"/>
  <c r="Z1662" i="10"/>
  <c r="Y1662" i="10"/>
  <c r="X1662" i="10"/>
  <c r="W1662" i="10"/>
  <c r="V1662" i="10"/>
  <c r="U1662" i="10"/>
  <c r="T1662" i="10"/>
  <c r="S1662" i="10"/>
  <c r="R1662" i="10"/>
  <c r="AD1661" i="10"/>
  <c r="AC1661" i="10"/>
  <c r="AB1661" i="10"/>
  <c r="AA1661" i="10"/>
  <c r="Z1661" i="10"/>
  <c r="Y1661" i="10"/>
  <c r="X1661" i="10"/>
  <c r="W1661" i="10"/>
  <c r="V1661" i="10"/>
  <c r="U1661" i="10"/>
  <c r="T1661" i="10"/>
  <c r="S1661" i="10"/>
  <c r="R1661" i="10"/>
  <c r="AD1660" i="10"/>
  <c r="AC1660" i="10"/>
  <c r="AB1660" i="10"/>
  <c r="AA1660" i="10"/>
  <c r="Z1660" i="10"/>
  <c r="Y1660" i="10"/>
  <c r="X1660" i="10"/>
  <c r="W1660" i="10"/>
  <c r="V1660" i="10"/>
  <c r="U1660" i="10"/>
  <c r="T1660" i="10"/>
  <c r="S1660" i="10"/>
  <c r="R1660" i="10"/>
  <c r="AE1660" i="10"/>
  <c r="AD1659" i="10"/>
  <c r="AC1659" i="10"/>
  <c r="AB1659" i="10"/>
  <c r="AA1659" i="10"/>
  <c r="Z1659" i="10"/>
  <c r="Y1659" i="10"/>
  <c r="X1659" i="10"/>
  <c r="W1659" i="10"/>
  <c r="V1659" i="10"/>
  <c r="U1659" i="10"/>
  <c r="T1659" i="10"/>
  <c r="S1659" i="10"/>
  <c r="R1659" i="10"/>
  <c r="AE1659" i="10"/>
  <c r="AD1658" i="10"/>
  <c r="AC1658" i="10"/>
  <c r="AB1658" i="10"/>
  <c r="AA1658" i="10"/>
  <c r="Z1658" i="10"/>
  <c r="Y1658" i="10"/>
  <c r="X1658" i="10"/>
  <c r="W1658" i="10"/>
  <c r="V1658" i="10"/>
  <c r="U1658" i="10"/>
  <c r="T1658" i="10"/>
  <c r="S1658" i="10"/>
  <c r="R1658" i="10"/>
  <c r="AE1658" i="10"/>
  <c r="AD1657" i="10"/>
  <c r="AC1657" i="10"/>
  <c r="AB1657" i="10"/>
  <c r="AA1657" i="10"/>
  <c r="Z1657" i="10"/>
  <c r="Y1657" i="10"/>
  <c r="X1657" i="10"/>
  <c r="W1657" i="10"/>
  <c r="V1657" i="10"/>
  <c r="U1657" i="10"/>
  <c r="T1657" i="10"/>
  <c r="S1657" i="10"/>
  <c r="R1657" i="10"/>
  <c r="AD1656" i="10"/>
  <c r="AC1656" i="10"/>
  <c r="AB1656" i="10"/>
  <c r="AA1656" i="10"/>
  <c r="Z1656" i="10"/>
  <c r="Y1656" i="10"/>
  <c r="X1656" i="10"/>
  <c r="W1656" i="10"/>
  <c r="R1656" i="10"/>
  <c r="S1656" i="10"/>
  <c r="T1656" i="10"/>
  <c r="U1656" i="10"/>
  <c r="V1656" i="10"/>
  <c r="AE1656" i="10"/>
  <c r="AD1655" i="10"/>
  <c r="AC1655" i="10"/>
  <c r="AB1655" i="10"/>
  <c r="AA1655" i="10"/>
  <c r="Z1655" i="10"/>
  <c r="Y1655" i="10"/>
  <c r="X1655" i="10"/>
  <c r="W1655" i="10"/>
  <c r="V1655" i="10"/>
  <c r="U1655" i="10"/>
  <c r="T1655" i="10"/>
  <c r="S1655" i="10"/>
  <c r="R1655" i="10"/>
  <c r="AD1654" i="10"/>
  <c r="AC1654" i="10"/>
  <c r="AB1654" i="10"/>
  <c r="AA1654" i="10"/>
  <c r="Z1654" i="10"/>
  <c r="Y1654" i="10"/>
  <c r="X1654" i="10"/>
  <c r="W1654" i="10"/>
  <c r="V1654" i="10"/>
  <c r="U1654" i="10"/>
  <c r="T1654" i="10"/>
  <c r="S1654" i="10"/>
  <c r="R1654" i="10"/>
  <c r="AD1653" i="10"/>
  <c r="AC1653" i="10"/>
  <c r="AB1653" i="10"/>
  <c r="AA1653" i="10"/>
  <c r="Z1653" i="10"/>
  <c r="Y1653" i="10"/>
  <c r="X1653" i="10"/>
  <c r="W1653" i="10"/>
  <c r="V1653" i="10"/>
  <c r="U1653" i="10"/>
  <c r="T1653" i="10"/>
  <c r="S1653" i="10"/>
  <c r="R1653" i="10"/>
  <c r="AD1652" i="10"/>
  <c r="AC1652" i="10"/>
  <c r="AB1652" i="10"/>
  <c r="AA1652" i="10"/>
  <c r="Z1652" i="10"/>
  <c r="Y1652" i="10"/>
  <c r="X1652" i="10"/>
  <c r="W1652" i="10"/>
  <c r="V1652" i="10"/>
  <c r="U1652" i="10"/>
  <c r="T1652" i="10"/>
  <c r="S1652" i="10"/>
  <c r="R1652" i="10"/>
  <c r="AE1652" i="10"/>
  <c r="AD1651" i="10"/>
  <c r="AC1651" i="10"/>
  <c r="AB1651" i="10"/>
  <c r="AA1651" i="10"/>
  <c r="Z1651" i="10"/>
  <c r="Y1651" i="10"/>
  <c r="X1651" i="10"/>
  <c r="W1651" i="10"/>
  <c r="V1651" i="10"/>
  <c r="U1651" i="10"/>
  <c r="T1651" i="10"/>
  <c r="S1651" i="10"/>
  <c r="R1651" i="10"/>
  <c r="AE1651" i="10"/>
  <c r="AD1650" i="10"/>
  <c r="AC1650" i="10"/>
  <c r="AB1650" i="10"/>
  <c r="AA1650" i="10"/>
  <c r="Z1650" i="10"/>
  <c r="Y1650" i="10"/>
  <c r="X1650" i="10"/>
  <c r="W1650" i="10"/>
  <c r="V1650" i="10"/>
  <c r="U1650" i="10"/>
  <c r="T1650" i="10"/>
  <c r="S1650" i="10"/>
  <c r="R1650" i="10"/>
  <c r="AE1650" i="10"/>
  <c r="AD1649" i="10"/>
  <c r="AC1649" i="10"/>
  <c r="AB1649" i="10"/>
  <c r="AA1649" i="10"/>
  <c r="Z1649" i="10"/>
  <c r="Y1649" i="10"/>
  <c r="X1649" i="10"/>
  <c r="W1649" i="10"/>
  <c r="R1649" i="10"/>
  <c r="S1649" i="10"/>
  <c r="T1649" i="10"/>
  <c r="U1649" i="10"/>
  <c r="V1649" i="10"/>
  <c r="AE1649" i="10"/>
  <c r="AD1648" i="10"/>
  <c r="AC1648" i="10"/>
  <c r="AB1648" i="10"/>
  <c r="AA1648" i="10"/>
  <c r="Z1648" i="10"/>
  <c r="Y1648" i="10"/>
  <c r="X1648" i="10"/>
  <c r="W1648" i="10"/>
  <c r="V1648" i="10"/>
  <c r="U1648" i="10"/>
  <c r="T1648" i="10"/>
  <c r="S1648" i="10"/>
  <c r="R1648" i="10"/>
  <c r="AE1648" i="10"/>
  <c r="AD1647" i="10"/>
  <c r="AC1647" i="10"/>
  <c r="AB1647" i="10"/>
  <c r="AA1647" i="10"/>
  <c r="Z1647" i="10"/>
  <c r="Y1647" i="10"/>
  <c r="X1647" i="10"/>
  <c r="W1647" i="10"/>
  <c r="V1647" i="10"/>
  <c r="U1647" i="10"/>
  <c r="T1647" i="10"/>
  <c r="S1647" i="10"/>
  <c r="R1647" i="10"/>
  <c r="AE1647" i="10"/>
  <c r="AD1646" i="10"/>
  <c r="AC1646" i="10"/>
  <c r="AB1646" i="10"/>
  <c r="AA1646" i="10"/>
  <c r="Z1646" i="10"/>
  <c r="Y1646" i="10"/>
  <c r="X1646" i="10"/>
  <c r="W1646" i="10"/>
  <c r="V1646" i="10"/>
  <c r="U1646" i="10"/>
  <c r="T1646" i="10"/>
  <c r="R1646" i="10"/>
  <c r="S1646" i="10"/>
  <c r="AE1646" i="10"/>
  <c r="AD1645" i="10"/>
  <c r="AC1645" i="10"/>
  <c r="AB1645" i="10"/>
  <c r="AA1645" i="10"/>
  <c r="Z1645" i="10"/>
  <c r="Y1645" i="10"/>
  <c r="X1645" i="10"/>
  <c r="W1645" i="10"/>
  <c r="V1645" i="10"/>
  <c r="U1645" i="10"/>
  <c r="T1645" i="10"/>
  <c r="S1645" i="10"/>
  <c r="R1645" i="10"/>
  <c r="AD1644" i="10"/>
  <c r="AC1644" i="10"/>
  <c r="AB1644" i="10"/>
  <c r="AA1644" i="10"/>
  <c r="Z1644" i="10"/>
  <c r="Y1644" i="10"/>
  <c r="X1644" i="10"/>
  <c r="W1644" i="10"/>
  <c r="V1644" i="10"/>
  <c r="U1644" i="10"/>
  <c r="T1644" i="10"/>
  <c r="S1644" i="10"/>
  <c r="R1644" i="10"/>
  <c r="AE1644" i="10"/>
  <c r="AD1643" i="10"/>
  <c r="AC1643" i="10"/>
  <c r="AB1643" i="10"/>
  <c r="AA1643" i="10"/>
  <c r="Z1643" i="10"/>
  <c r="Y1643" i="10"/>
  <c r="X1643" i="10"/>
  <c r="W1643" i="10"/>
  <c r="V1643" i="10"/>
  <c r="U1643" i="10"/>
  <c r="T1643" i="10"/>
  <c r="S1643" i="10"/>
  <c r="R1643" i="10"/>
  <c r="AD1642" i="10"/>
  <c r="AC1642" i="10"/>
  <c r="AB1642" i="10"/>
  <c r="AA1642" i="10"/>
  <c r="Z1642" i="10"/>
  <c r="Y1642" i="10"/>
  <c r="X1642" i="10"/>
  <c r="W1642" i="10"/>
  <c r="R1642" i="10"/>
  <c r="S1642" i="10"/>
  <c r="T1642" i="10"/>
  <c r="U1642" i="10"/>
  <c r="V1642" i="10"/>
  <c r="AE1642" i="10"/>
  <c r="AD1641" i="10"/>
  <c r="AC1641" i="10"/>
  <c r="AB1641" i="10"/>
  <c r="AA1641" i="10"/>
  <c r="Z1641" i="10"/>
  <c r="Y1641" i="10"/>
  <c r="X1641" i="10"/>
  <c r="W1641" i="10"/>
  <c r="V1641" i="10"/>
  <c r="U1641" i="10"/>
  <c r="T1641" i="10"/>
  <c r="S1641" i="10"/>
  <c r="R1641" i="10"/>
  <c r="AD1640" i="10"/>
  <c r="AC1640" i="10"/>
  <c r="AB1640" i="10"/>
  <c r="AA1640" i="10"/>
  <c r="Z1640" i="10"/>
  <c r="Y1640" i="10"/>
  <c r="X1640" i="10"/>
  <c r="W1640" i="10"/>
  <c r="V1640" i="10"/>
  <c r="U1640" i="10"/>
  <c r="T1640" i="10"/>
  <c r="S1640" i="10"/>
  <c r="R1640" i="10"/>
  <c r="AE1640" i="10"/>
  <c r="AD1639" i="10"/>
  <c r="AC1639" i="10"/>
  <c r="AB1639" i="10"/>
  <c r="AA1639" i="10"/>
  <c r="Z1639" i="10"/>
  <c r="Y1639" i="10"/>
  <c r="X1639" i="10"/>
  <c r="W1639" i="10"/>
  <c r="V1639" i="10"/>
  <c r="U1639" i="10"/>
  <c r="T1639" i="10"/>
  <c r="R1639" i="10"/>
  <c r="S1639" i="10"/>
  <c r="AE1639" i="10"/>
  <c r="AD1638" i="10"/>
  <c r="AC1638" i="10"/>
  <c r="AB1638" i="10"/>
  <c r="AA1638" i="10"/>
  <c r="Z1638" i="10"/>
  <c r="Y1638" i="10"/>
  <c r="X1638" i="10"/>
  <c r="W1638" i="10"/>
  <c r="V1638" i="10"/>
  <c r="U1638" i="10"/>
  <c r="T1638" i="10"/>
  <c r="S1638" i="10"/>
  <c r="R1638" i="10"/>
  <c r="AE1638" i="10"/>
  <c r="AD1637" i="10"/>
  <c r="AC1637" i="10"/>
  <c r="AB1637" i="10"/>
  <c r="AA1637" i="10"/>
  <c r="Z1637" i="10"/>
  <c r="Y1637" i="10"/>
  <c r="X1637" i="10"/>
  <c r="W1637" i="10"/>
  <c r="V1637" i="10"/>
  <c r="U1637" i="10"/>
  <c r="T1637" i="10"/>
  <c r="S1637" i="10"/>
  <c r="R1637" i="10"/>
  <c r="AE1637" i="10"/>
  <c r="AD1636" i="10"/>
  <c r="AC1636" i="10"/>
  <c r="AB1636" i="10"/>
  <c r="AA1636" i="10"/>
  <c r="Z1636" i="10"/>
  <c r="Y1636" i="10"/>
  <c r="X1636" i="10"/>
  <c r="W1636" i="10"/>
  <c r="V1636" i="10"/>
  <c r="U1636" i="10"/>
  <c r="T1636" i="10"/>
  <c r="S1636" i="10"/>
  <c r="R1636" i="10"/>
  <c r="AE1636" i="10"/>
  <c r="AD1635" i="10"/>
  <c r="AC1635" i="10"/>
  <c r="AB1635" i="10"/>
  <c r="AA1635" i="10"/>
  <c r="Z1635" i="10"/>
  <c r="Y1635" i="10"/>
  <c r="X1635" i="10"/>
  <c r="W1635" i="10"/>
  <c r="R1635" i="10"/>
  <c r="S1635" i="10"/>
  <c r="T1635" i="10"/>
  <c r="U1635" i="10"/>
  <c r="V1635" i="10"/>
  <c r="AE1635" i="10"/>
  <c r="AD1634" i="10"/>
  <c r="AC1634" i="10"/>
  <c r="AB1634" i="10"/>
  <c r="AA1634" i="10"/>
  <c r="Z1634" i="10"/>
  <c r="Y1634" i="10"/>
  <c r="X1634" i="10"/>
  <c r="W1634" i="10"/>
  <c r="V1634" i="10"/>
  <c r="U1634" i="10"/>
  <c r="T1634" i="10"/>
  <c r="S1634" i="10"/>
  <c r="R1634" i="10"/>
  <c r="AE1634" i="10"/>
  <c r="AD1633" i="10"/>
  <c r="AC1633" i="10"/>
  <c r="AB1633" i="10"/>
  <c r="AA1633" i="10"/>
  <c r="Z1633" i="10"/>
  <c r="Y1633" i="10"/>
  <c r="X1633" i="10"/>
  <c r="W1633" i="10"/>
  <c r="V1633" i="10"/>
  <c r="U1633" i="10"/>
  <c r="T1633" i="10"/>
  <c r="S1633" i="10"/>
  <c r="R1633" i="10"/>
  <c r="AD1632" i="10"/>
  <c r="AC1632" i="10"/>
  <c r="AB1632" i="10"/>
  <c r="AA1632" i="10"/>
  <c r="Z1632" i="10"/>
  <c r="Y1632" i="10"/>
  <c r="X1632" i="10"/>
  <c r="W1632" i="10"/>
  <c r="V1632" i="10"/>
  <c r="U1632" i="10"/>
  <c r="T1632" i="10"/>
  <c r="R1632" i="10"/>
  <c r="S1632" i="10"/>
  <c r="AE1632" i="10"/>
  <c r="AD1631" i="10"/>
  <c r="AC1631" i="10"/>
  <c r="AB1631" i="10"/>
  <c r="AA1631" i="10"/>
  <c r="Z1631" i="10"/>
  <c r="Y1631" i="10"/>
  <c r="X1631" i="10"/>
  <c r="W1631" i="10"/>
  <c r="V1631" i="10"/>
  <c r="U1631" i="10"/>
  <c r="T1631" i="10"/>
  <c r="S1631" i="10"/>
  <c r="R1631" i="10"/>
  <c r="AE1631" i="10"/>
  <c r="AD1630" i="10"/>
  <c r="AC1630" i="10"/>
  <c r="AB1630" i="10"/>
  <c r="AA1630" i="10"/>
  <c r="Z1630" i="10"/>
  <c r="Y1630" i="10"/>
  <c r="X1630" i="10"/>
  <c r="W1630" i="10"/>
  <c r="V1630" i="10"/>
  <c r="U1630" i="10"/>
  <c r="T1630" i="10"/>
  <c r="S1630" i="10"/>
  <c r="R1630" i="10"/>
  <c r="AE1630" i="10"/>
  <c r="AD1629" i="10"/>
  <c r="AC1629" i="10"/>
  <c r="AB1629" i="10"/>
  <c r="AA1629" i="10"/>
  <c r="Z1629" i="10"/>
  <c r="Y1629" i="10"/>
  <c r="X1629" i="10"/>
  <c r="W1629" i="10"/>
  <c r="V1629" i="10"/>
  <c r="U1629" i="10"/>
  <c r="T1629" i="10"/>
  <c r="S1629" i="10"/>
  <c r="R1629" i="10"/>
  <c r="AD1628" i="10"/>
  <c r="AC1628" i="10"/>
  <c r="AB1628" i="10"/>
  <c r="AA1628" i="10"/>
  <c r="Z1628" i="10"/>
  <c r="Y1628" i="10"/>
  <c r="X1628" i="10"/>
  <c r="W1628" i="10"/>
  <c r="R1628" i="10"/>
  <c r="S1628" i="10"/>
  <c r="T1628" i="10"/>
  <c r="U1628" i="10"/>
  <c r="V1628" i="10"/>
  <c r="AE1628" i="10"/>
  <c r="AD1627" i="10"/>
  <c r="AC1627" i="10"/>
  <c r="AB1627" i="10"/>
  <c r="AA1627" i="10"/>
  <c r="Z1627" i="10"/>
  <c r="Y1627" i="10"/>
  <c r="X1627" i="10"/>
  <c r="W1627" i="10"/>
  <c r="V1627" i="10"/>
  <c r="U1627" i="10"/>
  <c r="T1627" i="10"/>
  <c r="S1627" i="10"/>
  <c r="R1627" i="10"/>
  <c r="AE1627" i="10"/>
  <c r="AD1626" i="10"/>
  <c r="AC1626" i="10"/>
  <c r="AB1626" i="10"/>
  <c r="AA1626" i="10"/>
  <c r="Z1626" i="10"/>
  <c r="Y1626" i="10"/>
  <c r="X1626" i="10"/>
  <c r="W1626" i="10"/>
  <c r="V1626" i="10"/>
  <c r="U1626" i="10"/>
  <c r="T1626" i="10"/>
  <c r="S1626" i="10"/>
  <c r="R1626" i="10"/>
  <c r="AE1626" i="10"/>
  <c r="AD1625" i="10"/>
  <c r="AC1625" i="10"/>
  <c r="AB1625" i="10"/>
  <c r="AA1625" i="10"/>
  <c r="Z1625" i="10"/>
  <c r="Y1625" i="10"/>
  <c r="X1625" i="10"/>
  <c r="W1625" i="10"/>
  <c r="V1625" i="10"/>
  <c r="U1625" i="10"/>
  <c r="T1625" i="10"/>
  <c r="R1625" i="10"/>
  <c r="S1625" i="10"/>
  <c r="AE1625" i="10"/>
  <c r="AD1624" i="10"/>
  <c r="AC1624" i="10"/>
  <c r="AB1624" i="10"/>
  <c r="AA1624" i="10"/>
  <c r="Z1624" i="10"/>
  <c r="Y1624" i="10"/>
  <c r="X1624" i="10"/>
  <c r="W1624" i="10"/>
  <c r="V1624" i="10"/>
  <c r="U1624" i="10"/>
  <c r="T1624" i="10"/>
  <c r="S1624" i="10"/>
  <c r="R1624" i="10"/>
  <c r="AD1623" i="10"/>
  <c r="AC1623" i="10"/>
  <c r="AB1623" i="10"/>
  <c r="AA1623" i="10"/>
  <c r="Z1623" i="10"/>
  <c r="Y1623" i="10"/>
  <c r="X1623" i="10"/>
  <c r="W1623" i="10"/>
  <c r="V1623" i="10"/>
  <c r="U1623" i="10"/>
  <c r="T1623" i="10"/>
  <c r="S1623" i="10"/>
  <c r="R1623" i="10"/>
  <c r="AE1623" i="10"/>
  <c r="AD1622" i="10"/>
  <c r="AC1622" i="10"/>
  <c r="AB1622" i="10"/>
  <c r="AA1622" i="10"/>
  <c r="Z1622" i="10"/>
  <c r="Y1622" i="10"/>
  <c r="X1622" i="10"/>
  <c r="W1622" i="10"/>
  <c r="V1622" i="10"/>
  <c r="U1622" i="10"/>
  <c r="T1622" i="10"/>
  <c r="S1622" i="10"/>
  <c r="R1622" i="10"/>
  <c r="AE1622" i="10"/>
  <c r="AD1621" i="10"/>
  <c r="AC1621" i="10"/>
  <c r="AB1621" i="10"/>
  <c r="AA1621" i="10"/>
  <c r="Z1621" i="10"/>
  <c r="Y1621" i="10"/>
  <c r="X1621" i="10"/>
  <c r="W1621" i="10"/>
  <c r="V1621" i="10"/>
  <c r="U1621" i="10"/>
  <c r="T1621" i="10"/>
  <c r="S1621" i="10"/>
  <c r="R1621" i="10"/>
  <c r="AD1620" i="10"/>
  <c r="AC1620" i="10"/>
  <c r="AB1620" i="10"/>
  <c r="AA1620" i="10"/>
  <c r="Z1620" i="10"/>
  <c r="Y1620" i="10"/>
  <c r="X1620" i="10"/>
  <c r="W1620" i="10"/>
  <c r="V1620" i="10"/>
  <c r="U1620" i="10"/>
  <c r="T1620" i="10"/>
  <c r="S1620" i="10"/>
  <c r="R1620" i="10"/>
  <c r="AE1620" i="10"/>
  <c r="AD1619" i="10"/>
  <c r="AC1619" i="10"/>
  <c r="AB1619" i="10"/>
  <c r="AA1619" i="10"/>
  <c r="Z1619" i="10"/>
  <c r="Y1619" i="10"/>
  <c r="X1619" i="10"/>
  <c r="W1619" i="10"/>
  <c r="V1619" i="10"/>
  <c r="U1619" i="10"/>
  <c r="T1619" i="10"/>
  <c r="S1619" i="10"/>
  <c r="R1619" i="10"/>
  <c r="AE1619" i="10"/>
  <c r="AD1618" i="10"/>
  <c r="AC1618" i="10"/>
  <c r="AB1618" i="10"/>
  <c r="AA1618" i="10"/>
  <c r="Z1618" i="10"/>
  <c r="Y1618" i="10"/>
  <c r="X1618" i="10"/>
  <c r="W1618" i="10"/>
  <c r="R1618" i="10"/>
  <c r="S1618" i="10"/>
  <c r="T1618" i="10"/>
  <c r="U1618" i="10"/>
  <c r="V1618" i="10"/>
  <c r="AE1618" i="10"/>
  <c r="AD1617" i="10"/>
  <c r="AC1617" i="10"/>
  <c r="AB1617" i="10"/>
  <c r="AA1617" i="10"/>
  <c r="Z1617" i="10"/>
  <c r="Y1617" i="10"/>
  <c r="X1617" i="10"/>
  <c r="W1617" i="10"/>
  <c r="V1617" i="10"/>
  <c r="U1617" i="10"/>
  <c r="T1617" i="10"/>
  <c r="S1617" i="10"/>
  <c r="R1617" i="10"/>
  <c r="AE1617" i="10"/>
  <c r="AD1616" i="10"/>
  <c r="AC1616" i="10"/>
  <c r="AB1616" i="10"/>
  <c r="AA1616" i="10"/>
  <c r="Z1616" i="10"/>
  <c r="Y1616" i="10"/>
  <c r="X1616" i="10"/>
  <c r="W1616" i="10"/>
  <c r="V1616" i="10"/>
  <c r="U1616" i="10"/>
  <c r="R1616" i="10"/>
  <c r="S1616" i="10"/>
  <c r="T1616" i="10"/>
  <c r="AE1616" i="10"/>
  <c r="AD1615" i="10"/>
  <c r="AC1615" i="10"/>
  <c r="AB1615" i="10"/>
  <c r="AA1615" i="10"/>
  <c r="Z1615" i="10"/>
  <c r="Y1615" i="10"/>
  <c r="X1615" i="10"/>
  <c r="W1615" i="10"/>
  <c r="V1615" i="10"/>
  <c r="U1615" i="10"/>
  <c r="T1615" i="10"/>
  <c r="R1615" i="10"/>
  <c r="S1615" i="10"/>
  <c r="AE1615" i="10"/>
  <c r="AD1614" i="10"/>
  <c r="AC1614" i="10"/>
  <c r="AB1614" i="10"/>
  <c r="AA1614" i="10"/>
  <c r="Z1614" i="10"/>
  <c r="Y1614" i="10"/>
  <c r="X1614" i="10"/>
  <c r="W1614" i="10"/>
  <c r="V1614" i="10"/>
  <c r="U1614" i="10"/>
  <c r="T1614" i="10"/>
  <c r="S1614" i="10"/>
  <c r="R1614" i="10"/>
  <c r="AE1614" i="10"/>
  <c r="AD1613" i="10"/>
  <c r="AC1613" i="10"/>
  <c r="AB1613" i="10"/>
  <c r="AA1613" i="10"/>
  <c r="Z1613" i="10"/>
  <c r="Y1613" i="10"/>
  <c r="X1613" i="10"/>
  <c r="W1613" i="10"/>
  <c r="V1613" i="10"/>
  <c r="U1613" i="10"/>
  <c r="T1613" i="10"/>
  <c r="S1613" i="10"/>
  <c r="R1613" i="10"/>
  <c r="AD1612" i="10"/>
  <c r="AC1612" i="10"/>
  <c r="AB1612" i="10"/>
  <c r="AA1612" i="10"/>
  <c r="Z1612" i="10"/>
  <c r="Y1612" i="10"/>
  <c r="X1612" i="10"/>
  <c r="W1612" i="10"/>
  <c r="V1612" i="10"/>
  <c r="U1612" i="10"/>
  <c r="T1612" i="10"/>
  <c r="S1612" i="10"/>
  <c r="R1612" i="10"/>
  <c r="AD1611" i="10"/>
  <c r="AC1611" i="10"/>
  <c r="AB1611" i="10"/>
  <c r="AA1611" i="10"/>
  <c r="Z1611" i="10"/>
  <c r="Y1611" i="10"/>
  <c r="X1611" i="10"/>
  <c r="W1611" i="10"/>
  <c r="V1611" i="10"/>
  <c r="U1611" i="10"/>
  <c r="T1611" i="10"/>
  <c r="R1611" i="10"/>
  <c r="S1611" i="10"/>
  <c r="AE1611" i="10"/>
  <c r="AD1610" i="10"/>
  <c r="AC1610" i="10"/>
  <c r="AB1610" i="10"/>
  <c r="AA1610" i="10"/>
  <c r="Z1610" i="10"/>
  <c r="Y1610" i="10"/>
  <c r="X1610" i="10"/>
  <c r="W1610" i="10"/>
  <c r="V1610" i="10"/>
  <c r="U1610" i="10"/>
  <c r="T1610" i="10"/>
  <c r="S1610" i="10"/>
  <c r="R1610" i="10"/>
  <c r="AE1610" i="10"/>
  <c r="AD1609" i="10"/>
  <c r="AC1609" i="10"/>
  <c r="AB1609" i="10"/>
  <c r="AA1609" i="10"/>
  <c r="Z1609" i="10"/>
  <c r="Y1609" i="10"/>
  <c r="X1609" i="10"/>
  <c r="W1609" i="10"/>
  <c r="V1609" i="10"/>
  <c r="U1609" i="10"/>
  <c r="T1609" i="10"/>
  <c r="S1609" i="10"/>
  <c r="R1609" i="10"/>
  <c r="AE1609" i="10"/>
  <c r="AD1608" i="10"/>
  <c r="AC1608" i="10"/>
  <c r="AB1608" i="10"/>
  <c r="AA1608" i="10"/>
  <c r="Z1608" i="10"/>
  <c r="Y1608" i="10"/>
  <c r="X1608" i="10"/>
  <c r="W1608" i="10"/>
  <c r="V1608" i="10"/>
  <c r="U1608" i="10"/>
  <c r="T1608" i="10"/>
  <c r="S1608" i="10"/>
  <c r="R1608" i="10"/>
  <c r="AE1608" i="10"/>
  <c r="AD1607" i="10"/>
  <c r="AC1607" i="10"/>
  <c r="AB1607" i="10"/>
  <c r="AA1607" i="10"/>
  <c r="Z1607" i="10"/>
  <c r="Y1607" i="10"/>
  <c r="X1607" i="10"/>
  <c r="W1607" i="10"/>
  <c r="V1607" i="10"/>
  <c r="U1607" i="10"/>
  <c r="T1607" i="10"/>
  <c r="S1607" i="10"/>
  <c r="R1607" i="10"/>
  <c r="AE1607" i="10"/>
  <c r="AD1606" i="10"/>
  <c r="AC1606" i="10"/>
  <c r="AB1606" i="10"/>
  <c r="AA1606" i="10"/>
  <c r="Z1606" i="10"/>
  <c r="Y1606" i="10"/>
  <c r="X1606" i="10"/>
  <c r="W1606" i="10"/>
  <c r="R1606" i="10"/>
  <c r="S1606" i="10"/>
  <c r="T1606" i="10"/>
  <c r="U1606" i="10"/>
  <c r="V1606" i="10"/>
  <c r="AE1606" i="10"/>
  <c r="AD1605" i="10"/>
  <c r="AC1605" i="10"/>
  <c r="AB1605" i="10"/>
  <c r="AA1605" i="10"/>
  <c r="Z1605" i="10"/>
  <c r="Y1605" i="10"/>
  <c r="X1605" i="10"/>
  <c r="W1605" i="10"/>
  <c r="V1605" i="10"/>
  <c r="U1605" i="10"/>
  <c r="T1605" i="10"/>
  <c r="S1605" i="10"/>
  <c r="R1605" i="10"/>
  <c r="AD1604" i="10"/>
  <c r="AC1604" i="10"/>
  <c r="AB1604" i="10"/>
  <c r="AA1604" i="10"/>
  <c r="Z1604" i="10"/>
  <c r="Y1604" i="10"/>
  <c r="X1604" i="10"/>
  <c r="W1604" i="10"/>
  <c r="V1604" i="10"/>
  <c r="U1604" i="10"/>
  <c r="T1604" i="10"/>
  <c r="R1604" i="10"/>
  <c r="S1604" i="10"/>
  <c r="AE1604" i="10"/>
  <c r="AD1603" i="10"/>
  <c r="AC1603" i="10"/>
  <c r="AB1603" i="10"/>
  <c r="AA1603" i="10"/>
  <c r="Z1603" i="10"/>
  <c r="Y1603" i="10"/>
  <c r="X1603" i="10"/>
  <c r="W1603" i="10"/>
  <c r="V1603" i="10"/>
  <c r="U1603" i="10"/>
  <c r="T1603" i="10"/>
  <c r="S1603" i="10"/>
  <c r="R1603" i="10"/>
  <c r="AD1602" i="10"/>
  <c r="AC1602" i="10"/>
  <c r="AB1602" i="10"/>
  <c r="AA1602" i="10"/>
  <c r="Z1602" i="10"/>
  <c r="Y1602" i="10"/>
  <c r="X1602" i="10"/>
  <c r="W1602" i="10"/>
  <c r="V1602" i="10"/>
  <c r="U1602" i="10"/>
  <c r="T1602" i="10"/>
  <c r="S1602" i="10"/>
  <c r="R1602" i="10"/>
  <c r="AE1602" i="10"/>
  <c r="AD1601" i="10"/>
  <c r="AC1601" i="10"/>
  <c r="AB1601" i="10"/>
  <c r="AA1601" i="10"/>
  <c r="Z1601" i="10"/>
  <c r="Y1601" i="10"/>
  <c r="X1601" i="10"/>
  <c r="W1601" i="10"/>
  <c r="V1601" i="10"/>
  <c r="U1601" i="10"/>
  <c r="T1601" i="10"/>
  <c r="S1601" i="10"/>
  <c r="R1601" i="10"/>
  <c r="AE1601" i="10"/>
  <c r="AD1600" i="10"/>
  <c r="AC1600" i="10"/>
  <c r="AB1600" i="10"/>
  <c r="AA1600" i="10"/>
  <c r="Z1600" i="10"/>
  <c r="Y1600" i="10"/>
  <c r="X1600" i="10"/>
  <c r="W1600" i="10"/>
  <c r="V1600" i="10"/>
  <c r="U1600" i="10"/>
  <c r="T1600" i="10"/>
  <c r="S1600" i="10"/>
  <c r="R1600" i="10"/>
  <c r="AE1600" i="10"/>
  <c r="AD1599" i="10"/>
  <c r="AC1599" i="10"/>
  <c r="AB1599" i="10"/>
  <c r="AA1599" i="10"/>
  <c r="Z1599" i="10"/>
  <c r="Y1599" i="10"/>
  <c r="X1599" i="10"/>
  <c r="W1599" i="10"/>
  <c r="R1599" i="10"/>
  <c r="S1599" i="10"/>
  <c r="T1599" i="10"/>
  <c r="U1599" i="10"/>
  <c r="V1599" i="10"/>
  <c r="AE1599" i="10"/>
  <c r="AD1598" i="10"/>
  <c r="AC1598" i="10"/>
  <c r="AB1598" i="10"/>
  <c r="AA1598" i="10"/>
  <c r="Z1598" i="10"/>
  <c r="Y1598" i="10"/>
  <c r="X1598" i="10"/>
  <c r="W1598" i="10"/>
  <c r="V1598" i="10"/>
  <c r="U1598" i="10"/>
  <c r="T1598" i="10"/>
  <c r="S1598" i="10"/>
  <c r="R1598" i="10"/>
  <c r="AE1598" i="10"/>
  <c r="AD1597" i="10"/>
  <c r="AC1597" i="10"/>
  <c r="AB1597" i="10"/>
  <c r="AA1597" i="10"/>
  <c r="Z1597" i="10"/>
  <c r="Y1597" i="10"/>
  <c r="X1597" i="10"/>
  <c r="W1597" i="10"/>
  <c r="V1597" i="10"/>
  <c r="U1597" i="10"/>
  <c r="T1597" i="10"/>
  <c r="S1597" i="10"/>
  <c r="R1597" i="10"/>
  <c r="AD1596" i="10"/>
  <c r="AC1596" i="10"/>
  <c r="AB1596" i="10"/>
  <c r="AA1596" i="10"/>
  <c r="Z1596" i="10"/>
  <c r="Y1596" i="10"/>
  <c r="X1596" i="10"/>
  <c r="W1596" i="10"/>
  <c r="V1596" i="10"/>
  <c r="U1596" i="10"/>
  <c r="T1596" i="10"/>
  <c r="S1596" i="10"/>
  <c r="R1596" i="10"/>
  <c r="AD1595" i="10"/>
  <c r="AC1595" i="10"/>
  <c r="AB1595" i="10"/>
  <c r="AA1595" i="10"/>
  <c r="Z1595" i="10"/>
  <c r="Y1595" i="10"/>
  <c r="X1595" i="10"/>
  <c r="W1595" i="10"/>
  <c r="V1595" i="10"/>
  <c r="U1595" i="10"/>
  <c r="T1595" i="10"/>
  <c r="S1595" i="10"/>
  <c r="R1595" i="10"/>
  <c r="AE1595" i="10"/>
  <c r="AD1594" i="10"/>
  <c r="AC1594" i="10"/>
  <c r="AB1594" i="10"/>
  <c r="AA1594" i="10"/>
  <c r="Z1594" i="10"/>
  <c r="Y1594" i="10"/>
  <c r="X1594" i="10"/>
  <c r="W1594" i="10"/>
  <c r="V1594" i="10"/>
  <c r="U1594" i="10"/>
  <c r="T1594" i="10"/>
  <c r="S1594" i="10"/>
  <c r="R1594" i="10"/>
  <c r="AE1594" i="10"/>
  <c r="AD1593" i="10"/>
  <c r="AC1593" i="10"/>
  <c r="AB1593" i="10"/>
  <c r="AA1593" i="10"/>
  <c r="Z1593" i="10"/>
  <c r="Y1593" i="10"/>
  <c r="X1593" i="10"/>
  <c r="W1593" i="10"/>
  <c r="V1593" i="10"/>
  <c r="U1593" i="10"/>
  <c r="T1593" i="10"/>
  <c r="S1593" i="10"/>
  <c r="R1593" i="10"/>
  <c r="AD1592" i="10"/>
  <c r="AC1592" i="10"/>
  <c r="AB1592" i="10"/>
  <c r="AA1592" i="10"/>
  <c r="Z1592" i="10"/>
  <c r="Y1592" i="10"/>
  <c r="X1592" i="10"/>
  <c r="W1592" i="10"/>
  <c r="R1592" i="10"/>
  <c r="S1592" i="10"/>
  <c r="T1592" i="10"/>
  <c r="U1592" i="10"/>
  <c r="V1592" i="10"/>
  <c r="AE1592" i="10"/>
  <c r="AD1591" i="10"/>
  <c r="AC1591" i="10"/>
  <c r="AB1591" i="10"/>
  <c r="AA1591" i="10"/>
  <c r="Z1591" i="10"/>
  <c r="Y1591" i="10"/>
  <c r="X1591" i="10"/>
  <c r="W1591" i="10"/>
  <c r="V1591" i="10"/>
  <c r="U1591" i="10"/>
  <c r="T1591" i="10"/>
  <c r="S1591" i="10"/>
  <c r="R1591" i="10"/>
  <c r="AD1590" i="10"/>
  <c r="AC1590" i="10"/>
  <c r="AB1590" i="10"/>
  <c r="AA1590" i="10"/>
  <c r="Z1590" i="10"/>
  <c r="Y1590" i="10"/>
  <c r="X1590" i="10"/>
  <c r="W1590" i="10"/>
  <c r="V1590" i="10"/>
  <c r="U1590" i="10"/>
  <c r="T1590" i="10"/>
  <c r="S1590" i="10"/>
  <c r="R1590" i="10"/>
  <c r="AD1589" i="10"/>
  <c r="AC1589" i="10"/>
  <c r="AB1589" i="10"/>
  <c r="AA1589" i="10"/>
  <c r="Z1589" i="10"/>
  <c r="Y1589" i="10"/>
  <c r="X1589" i="10"/>
  <c r="W1589" i="10"/>
  <c r="V1589" i="10"/>
  <c r="U1589" i="10"/>
  <c r="T1589" i="10"/>
  <c r="S1589" i="10"/>
  <c r="R1589" i="10"/>
  <c r="AD1588" i="10"/>
  <c r="AC1588" i="10"/>
  <c r="AB1588" i="10"/>
  <c r="AA1588" i="10"/>
  <c r="Z1588" i="10"/>
  <c r="Y1588" i="10"/>
  <c r="X1588" i="10"/>
  <c r="W1588" i="10"/>
  <c r="V1588" i="10"/>
  <c r="U1588" i="10"/>
  <c r="T1588" i="10"/>
  <c r="S1588" i="10"/>
  <c r="R1588" i="10"/>
  <c r="AE1588" i="10"/>
  <c r="AD1587" i="10"/>
  <c r="AC1587" i="10"/>
  <c r="AB1587" i="10"/>
  <c r="AA1587" i="10"/>
  <c r="Z1587" i="10"/>
  <c r="Y1587" i="10"/>
  <c r="X1587" i="10"/>
  <c r="W1587" i="10"/>
  <c r="V1587" i="10"/>
  <c r="U1587" i="10"/>
  <c r="T1587" i="10"/>
  <c r="S1587" i="10"/>
  <c r="R1587" i="10"/>
  <c r="AE1587" i="10"/>
  <c r="AD1586" i="10"/>
  <c r="AC1586" i="10"/>
  <c r="AB1586" i="10"/>
  <c r="AA1586" i="10"/>
  <c r="Z1586" i="10"/>
  <c r="Y1586" i="10"/>
  <c r="X1586" i="10"/>
  <c r="W1586" i="10"/>
  <c r="V1586" i="10"/>
  <c r="U1586" i="10"/>
  <c r="T1586" i="10"/>
  <c r="S1586" i="10"/>
  <c r="R1586" i="10"/>
  <c r="AE1586" i="10"/>
  <c r="AD1585" i="10"/>
  <c r="AC1585" i="10"/>
  <c r="AB1585" i="10"/>
  <c r="AA1585" i="10"/>
  <c r="Z1585" i="10"/>
  <c r="Y1585" i="10"/>
  <c r="X1585" i="10"/>
  <c r="W1585" i="10"/>
  <c r="R1585" i="10"/>
  <c r="S1585" i="10"/>
  <c r="T1585" i="10"/>
  <c r="U1585" i="10"/>
  <c r="V1585" i="10"/>
  <c r="AE1585" i="10"/>
  <c r="AD1584" i="10"/>
  <c r="AC1584" i="10"/>
  <c r="AB1584" i="10"/>
  <c r="AA1584" i="10"/>
  <c r="Z1584" i="10"/>
  <c r="Y1584" i="10"/>
  <c r="X1584" i="10"/>
  <c r="W1584" i="10"/>
  <c r="V1584" i="10"/>
  <c r="U1584" i="10"/>
  <c r="T1584" i="10"/>
  <c r="S1584" i="10"/>
  <c r="R1584" i="10"/>
  <c r="AE1584" i="10"/>
  <c r="AD1583" i="10"/>
  <c r="AC1583" i="10"/>
  <c r="AB1583" i="10"/>
  <c r="AA1583" i="10"/>
  <c r="Z1583" i="10"/>
  <c r="Y1583" i="10"/>
  <c r="X1583" i="10"/>
  <c r="W1583" i="10"/>
  <c r="V1583" i="10"/>
  <c r="U1583" i="10"/>
  <c r="T1583" i="10"/>
  <c r="S1583" i="10"/>
  <c r="R1583" i="10"/>
  <c r="AD1582" i="10"/>
  <c r="AC1582" i="10"/>
  <c r="AB1582" i="10"/>
  <c r="AA1582" i="10"/>
  <c r="Z1582" i="10"/>
  <c r="Y1582" i="10"/>
  <c r="X1582" i="10"/>
  <c r="W1582" i="10"/>
  <c r="V1582" i="10"/>
  <c r="U1582" i="10"/>
  <c r="T1582" i="10"/>
  <c r="R1582" i="10"/>
  <c r="S1582" i="10"/>
  <c r="AE1582" i="10"/>
  <c r="AD1581" i="10"/>
  <c r="AC1581" i="10"/>
  <c r="AB1581" i="10"/>
  <c r="AA1581" i="10"/>
  <c r="Z1581" i="10"/>
  <c r="Y1581" i="10"/>
  <c r="X1581" i="10"/>
  <c r="W1581" i="10"/>
  <c r="V1581" i="10"/>
  <c r="U1581" i="10"/>
  <c r="T1581" i="10"/>
  <c r="S1581" i="10"/>
  <c r="R1581" i="10"/>
  <c r="AD1580" i="10"/>
  <c r="AC1580" i="10"/>
  <c r="AB1580" i="10"/>
  <c r="AA1580" i="10"/>
  <c r="Z1580" i="10"/>
  <c r="Y1580" i="10"/>
  <c r="X1580" i="10"/>
  <c r="W1580" i="10"/>
  <c r="V1580" i="10"/>
  <c r="U1580" i="10"/>
  <c r="T1580" i="10"/>
  <c r="S1580" i="10"/>
  <c r="R1580" i="10"/>
  <c r="AE1580" i="10"/>
  <c r="AD1579" i="10"/>
  <c r="AC1579" i="10"/>
  <c r="AB1579" i="10"/>
  <c r="AA1579" i="10"/>
  <c r="Z1579" i="10"/>
  <c r="Y1579" i="10"/>
  <c r="X1579" i="10"/>
  <c r="W1579" i="10"/>
  <c r="V1579" i="10"/>
  <c r="U1579" i="10"/>
  <c r="T1579" i="10"/>
  <c r="S1579" i="10"/>
  <c r="R1579" i="10"/>
  <c r="AD1578" i="10"/>
  <c r="AC1578" i="10"/>
  <c r="AB1578" i="10"/>
  <c r="AA1578" i="10"/>
  <c r="Z1578" i="10"/>
  <c r="Y1578" i="10"/>
  <c r="X1578" i="10"/>
  <c r="W1578" i="10"/>
  <c r="R1578" i="10"/>
  <c r="S1578" i="10"/>
  <c r="T1578" i="10"/>
  <c r="U1578" i="10"/>
  <c r="V1578" i="10"/>
  <c r="AE1578" i="10"/>
  <c r="AD1577" i="10"/>
  <c r="AC1577" i="10"/>
  <c r="AB1577" i="10"/>
  <c r="AA1577" i="10"/>
  <c r="Z1577" i="10"/>
  <c r="Y1577" i="10"/>
  <c r="X1577" i="10"/>
  <c r="W1577" i="10"/>
  <c r="V1577" i="10"/>
  <c r="U1577" i="10"/>
  <c r="T1577" i="10"/>
  <c r="S1577" i="10"/>
  <c r="R1577" i="10"/>
  <c r="AE1577" i="10"/>
  <c r="AD1576" i="10"/>
  <c r="AC1576" i="10"/>
  <c r="AB1576" i="10"/>
  <c r="AA1576" i="10"/>
  <c r="Z1576" i="10"/>
  <c r="Y1576" i="10"/>
  <c r="X1576" i="10"/>
  <c r="W1576" i="10"/>
  <c r="V1576" i="10"/>
  <c r="U1576" i="10"/>
  <c r="T1576" i="10"/>
  <c r="S1576" i="10"/>
  <c r="R1576" i="10"/>
  <c r="AE1576" i="10"/>
  <c r="AD1575" i="10"/>
  <c r="AC1575" i="10"/>
  <c r="AB1575" i="10"/>
  <c r="AA1575" i="10"/>
  <c r="Z1575" i="10"/>
  <c r="Y1575" i="10"/>
  <c r="X1575" i="10"/>
  <c r="W1575" i="10"/>
  <c r="V1575" i="10"/>
  <c r="U1575" i="10"/>
  <c r="T1575" i="10"/>
  <c r="R1575" i="10"/>
  <c r="S1575" i="10"/>
  <c r="AE1575" i="10"/>
  <c r="AD1574" i="10"/>
  <c r="AC1574" i="10"/>
  <c r="AB1574" i="10"/>
  <c r="AA1574" i="10"/>
  <c r="Z1574" i="10"/>
  <c r="Y1574" i="10"/>
  <c r="X1574" i="10"/>
  <c r="W1574" i="10"/>
  <c r="V1574" i="10"/>
  <c r="U1574" i="10"/>
  <c r="T1574" i="10"/>
  <c r="S1574" i="10"/>
  <c r="R1574" i="10"/>
  <c r="AD1573" i="10"/>
  <c r="AC1573" i="10"/>
  <c r="AB1573" i="10"/>
  <c r="AA1573" i="10"/>
  <c r="Z1573" i="10"/>
  <c r="Y1573" i="10"/>
  <c r="X1573" i="10"/>
  <c r="W1573" i="10"/>
  <c r="V1573" i="10"/>
  <c r="U1573" i="10"/>
  <c r="T1573" i="10"/>
  <c r="S1573" i="10"/>
  <c r="R1573" i="10"/>
  <c r="AE1573" i="10"/>
  <c r="AD1572" i="10"/>
  <c r="AC1572" i="10"/>
  <c r="AB1572" i="10"/>
  <c r="AA1572" i="10"/>
  <c r="Z1572" i="10"/>
  <c r="Y1572" i="10"/>
  <c r="X1572" i="10"/>
  <c r="W1572" i="10"/>
  <c r="V1572" i="10"/>
  <c r="U1572" i="10"/>
  <c r="T1572" i="10"/>
  <c r="S1572" i="10"/>
  <c r="R1572" i="10"/>
  <c r="AE1572" i="10"/>
  <c r="AD1571" i="10"/>
  <c r="AC1571" i="10"/>
  <c r="AB1571" i="10"/>
  <c r="AA1571" i="10"/>
  <c r="Z1571" i="10"/>
  <c r="Y1571" i="10"/>
  <c r="X1571" i="10"/>
  <c r="W1571" i="10"/>
  <c r="R1571" i="10"/>
  <c r="S1571" i="10"/>
  <c r="T1571" i="10"/>
  <c r="U1571" i="10"/>
  <c r="V1571" i="10"/>
  <c r="AE1571" i="10"/>
  <c r="AD1570" i="10"/>
  <c r="AC1570" i="10"/>
  <c r="AB1570" i="10"/>
  <c r="AA1570" i="10"/>
  <c r="Z1570" i="10"/>
  <c r="Y1570" i="10"/>
  <c r="X1570" i="10"/>
  <c r="W1570" i="10"/>
  <c r="V1570" i="10"/>
  <c r="U1570" i="10"/>
  <c r="T1570" i="10"/>
  <c r="S1570" i="10"/>
  <c r="R1570" i="10"/>
  <c r="AD1569" i="10"/>
  <c r="AC1569" i="10"/>
  <c r="AB1569" i="10"/>
  <c r="AA1569" i="10"/>
  <c r="Z1569" i="10"/>
  <c r="Y1569" i="10"/>
  <c r="X1569" i="10"/>
  <c r="W1569" i="10"/>
  <c r="V1569" i="10"/>
  <c r="U1569" i="10"/>
  <c r="T1569" i="10"/>
  <c r="S1569" i="10"/>
  <c r="R1569" i="10"/>
  <c r="AD1568" i="10"/>
  <c r="AC1568" i="10"/>
  <c r="AB1568" i="10"/>
  <c r="AA1568" i="10"/>
  <c r="Z1568" i="10"/>
  <c r="Y1568" i="10"/>
  <c r="X1568" i="10"/>
  <c r="W1568" i="10"/>
  <c r="V1568" i="10"/>
  <c r="U1568" i="10"/>
  <c r="T1568" i="10"/>
  <c r="R1568" i="10"/>
  <c r="S1568" i="10"/>
  <c r="AE1568" i="10"/>
  <c r="AD1567" i="10"/>
  <c r="AC1567" i="10"/>
  <c r="AB1567" i="10"/>
  <c r="AA1567" i="10"/>
  <c r="Z1567" i="10"/>
  <c r="Y1567" i="10"/>
  <c r="X1567" i="10"/>
  <c r="W1567" i="10"/>
  <c r="V1567" i="10"/>
  <c r="U1567" i="10"/>
  <c r="T1567" i="10"/>
  <c r="S1567" i="10"/>
  <c r="R1567" i="10"/>
  <c r="AE1567" i="10"/>
  <c r="AD1566" i="10"/>
  <c r="AC1566" i="10"/>
  <c r="AB1566" i="10"/>
  <c r="AA1566" i="10"/>
  <c r="Z1566" i="10"/>
  <c r="Y1566" i="10"/>
  <c r="X1566" i="10"/>
  <c r="W1566" i="10"/>
  <c r="V1566" i="10"/>
  <c r="U1566" i="10"/>
  <c r="T1566" i="10"/>
  <c r="S1566" i="10"/>
  <c r="R1566" i="10"/>
  <c r="AD1565" i="10"/>
  <c r="AC1565" i="10"/>
  <c r="AB1565" i="10"/>
  <c r="AA1565" i="10"/>
  <c r="Z1565" i="10"/>
  <c r="Y1565" i="10"/>
  <c r="X1565" i="10"/>
  <c r="W1565" i="10"/>
  <c r="V1565" i="10"/>
  <c r="U1565" i="10"/>
  <c r="T1565" i="10"/>
  <c r="S1565" i="10"/>
  <c r="R1565" i="10"/>
  <c r="AD1564" i="10"/>
  <c r="AC1564" i="10"/>
  <c r="AB1564" i="10"/>
  <c r="AA1564" i="10"/>
  <c r="Z1564" i="10"/>
  <c r="Y1564" i="10"/>
  <c r="X1564" i="10"/>
  <c r="W1564" i="10"/>
  <c r="R1564" i="10"/>
  <c r="S1564" i="10"/>
  <c r="T1564" i="10"/>
  <c r="U1564" i="10"/>
  <c r="V1564" i="10"/>
  <c r="AE1564" i="10"/>
  <c r="AD1563" i="10"/>
  <c r="AC1563" i="10"/>
  <c r="AB1563" i="10"/>
  <c r="AA1563" i="10"/>
  <c r="Z1563" i="10"/>
  <c r="Y1563" i="10"/>
  <c r="X1563" i="10"/>
  <c r="W1563" i="10"/>
  <c r="V1563" i="10"/>
  <c r="U1563" i="10"/>
  <c r="T1563" i="10"/>
  <c r="S1563" i="10"/>
  <c r="R1563" i="10"/>
  <c r="AE1563" i="10"/>
  <c r="AD1562" i="10"/>
  <c r="AC1562" i="10"/>
  <c r="AB1562" i="10"/>
  <c r="AA1562" i="10"/>
  <c r="Z1562" i="10"/>
  <c r="Y1562" i="10"/>
  <c r="X1562" i="10"/>
  <c r="W1562" i="10"/>
  <c r="V1562" i="10"/>
  <c r="U1562" i="10"/>
  <c r="T1562" i="10"/>
  <c r="S1562" i="10"/>
  <c r="R1562" i="10"/>
  <c r="AE1562" i="10"/>
  <c r="AD1561" i="10"/>
  <c r="AC1561" i="10"/>
  <c r="AB1561" i="10"/>
  <c r="AA1561" i="10"/>
  <c r="Z1561" i="10"/>
  <c r="Y1561" i="10"/>
  <c r="X1561" i="10"/>
  <c r="W1561" i="10"/>
  <c r="V1561" i="10"/>
  <c r="U1561" i="10"/>
  <c r="T1561" i="10"/>
  <c r="R1561" i="10"/>
  <c r="S1561" i="10"/>
  <c r="AE1561" i="10"/>
  <c r="AD1560" i="10"/>
  <c r="AC1560" i="10"/>
  <c r="AB1560" i="10"/>
  <c r="AA1560" i="10"/>
  <c r="Z1560" i="10"/>
  <c r="Y1560" i="10"/>
  <c r="X1560" i="10"/>
  <c r="W1560" i="10"/>
  <c r="V1560" i="10"/>
  <c r="U1560" i="10"/>
  <c r="T1560" i="10"/>
  <c r="S1560" i="10"/>
  <c r="R1560" i="10"/>
  <c r="AD1559" i="10"/>
  <c r="AC1559" i="10"/>
  <c r="AB1559" i="10"/>
  <c r="AA1559" i="10"/>
  <c r="Z1559" i="10"/>
  <c r="Y1559" i="10"/>
  <c r="X1559" i="10"/>
  <c r="W1559" i="10"/>
  <c r="V1559" i="10"/>
  <c r="U1559" i="10"/>
  <c r="T1559" i="10"/>
  <c r="S1559" i="10"/>
  <c r="R1559" i="10"/>
  <c r="AE1559" i="10"/>
  <c r="AD1558" i="10"/>
  <c r="AC1558" i="10"/>
  <c r="AB1558" i="10"/>
  <c r="AA1558" i="10"/>
  <c r="Z1558" i="10"/>
  <c r="Y1558" i="10"/>
  <c r="X1558" i="10"/>
  <c r="W1558" i="10"/>
  <c r="V1558" i="10"/>
  <c r="U1558" i="10"/>
  <c r="T1558" i="10"/>
  <c r="S1558" i="10"/>
  <c r="R1558" i="10"/>
  <c r="AE1558" i="10"/>
  <c r="AD1557" i="10"/>
  <c r="AC1557" i="10"/>
  <c r="AB1557" i="10"/>
  <c r="AA1557" i="10"/>
  <c r="Z1557" i="10"/>
  <c r="Y1557" i="10"/>
  <c r="X1557" i="10"/>
  <c r="W1557" i="10"/>
  <c r="V1557" i="10"/>
  <c r="U1557" i="10"/>
  <c r="T1557" i="10"/>
  <c r="S1557" i="10"/>
  <c r="R1557" i="10"/>
  <c r="AD1556" i="10"/>
  <c r="AC1556" i="10"/>
  <c r="AB1556" i="10"/>
  <c r="AA1556" i="10"/>
  <c r="Z1556" i="10"/>
  <c r="Y1556" i="10"/>
  <c r="X1556" i="10"/>
  <c r="W1556" i="10"/>
  <c r="V1556" i="10"/>
  <c r="U1556" i="10"/>
  <c r="T1556" i="10"/>
  <c r="S1556" i="10"/>
  <c r="R1556" i="10"/>
  <c r="AE1556" i="10"/>
  <c r="AD1555" i="10"/>
  <c r="AC1555" i="10"/>
  <c r="AB1555" i="10"/>
  <c r="AA1555" i="10"/>
  <c r="Z1555" i="10"/>
  <c r="Y1555" i="10"/>
  <c r="X1555" i="10"/>
  <c r="W1555" i="10"/>
  <c r="V1555" i="10"/>
  <c r="U1555" i="10"/>
  <c r="T1555" i="10"/>
  <c r="S1555" i="10"/>
  <c r="R1555" i="10"/>
  <c r="AE1555" i="10"/>
  <c r="AD1554" i="10"/>
  <c r="AC1554" i="10"/>
  <c r="AB1554" i="10"/>
  <c r="AA1554" i="10"/>
  <c r="Z1554" i="10"/>
  <c r="Y1554" i="10"/>
  <c r="X1554" i="10"/>
  <c r="W1554" i="10"/>
  <c r="R1554" i="10"/>
  <c r="S1554" i="10"/>
  <c r="T1554" i="10"/>
  <c r="U1554" i="10"/>
  <c r="V1554" i="10"/>
  <c r="AE1554" i="10"/>
  <c r="AD1553" i="10"/>
  <c r="AC1553" i="10"/>
  <c r="AB1553" i="10"/>
  <c r="AA1553" i="10"/>
  <c r="Z1553" i="10"/>
  <c r="Y1553" i="10"/>
  <c r="X1553" i="10"/>
  <c r="W1553" i="10"/>
  <c r="V1553" i="10"/>
  <c r="U1553" i="10"/>
  <c r="T1553" i="10"/>
  <c r="S1553" i="10"/>
  <c r="R1553" i="10"/>
  <c r="AE1553" i="10"/>
  <c r="AD1552" i="10"/>
  <c r="AC1552" i="10"/>
  <c r="AB1552" i="10"/>
  <c r="AA1552" i="10"/>
  <c r="Z1552" i="10"/>
  <c r="Y1552" i="10"/>
  <c r="X1552" i="10"/>
  <c r="W1552" i="10"/>
  <c r="V1552" i="10"/>
  <c r="U1552" i="10"/>
  <c r="R1552" i="10"/>
  <c r="S1552" i="10"/>
  <c r="T1552" i="10"/>
  <c r="AE1552" i="10"/>
  <c r="AD1551" i="10"/>
  <c r="AC1551" i="10"/>
  <c r="AB1551" i="10"/>
  <c r="AA1551" i="10"/>
  <c r="Z1551" i="10"/>
  <c r="Y1551" i="10"/>
  <c r="X1551" i="10"/>
  <c r="W1551" i="10"/>
  <c r="V1551" i="10"/>
  <c r="U1551" i="10"/>
  <c r="T1551" i="10"/>
  <c r="R1551" i="10"/>
  <c r="S1551" i="10"/>
  <c r="AE1551" i="10"/>
  <c r="AD1550" i="10"/>
  <c r="AC1550" i="10"/>
  <c r="AB1550" i="10"/>
  <c r="AA1550" i="10"/>
  <c r="Z1550" i="10"/>
  <c r="Y1550" i="10"/>
  <c r="X1550" i="10"/>
  <c r="W1550" i="10"/>
  <c r="V1550" i="10"/>
  <c r="U1550" i="10"/>
  <c r="T1550" i="10"/>
  <c r="S1550" i="10"/>
  <c r="R1550" i="10"/>
  <c r="AE1550" i="10"/>
  <c r="AD1549" i="10"/>
  <c r="AC1549" i="10"/>
  <c r="AB1549" i="10"/>
  <c r="AA1549" i="10"/>
  <c r="Z1549" i="10"/>
  <c r="Y1549" i="10"/>
  <c r="X1549" i="10"/>
  <c r="W1549" i="10"/>
  <c r="V1549" i="10"/>
  <c r="U1549" i="10"/>
  <c r="T1549" i="10"/>
  <c r="S1549" i="10"/>
  <c r="R1549" i="10"/>
  <c r="AD1548" i="10"/>
  <c r="AC1548" i="10"/>
  <c r="AB1548" i="10"/>
  <c r="AA1548" i="10"/>
  <c r="Z1548" i="10"/>
  <c r="Y1548" i="10"/>
  <c r="X1548" i="10"/>
  <c r="W1548" i="10"/>
  <c r="V1548" i="10"/>
  <c r="U1548" i="10"/>
  <c r="T1548" i="10"/>
  <c r="S1548" i="10"/>
  <c r="R1548" i="10"/>
  <c r="AD1547" i="10"/>
  <c r="AC1547" i="10"/>
  <c r="AB1547" i="10"/>
  <c r="AA1547" i="10"/>
  <c r="Z1547" i="10"/>
  <c r="Y1547" i="10"/>
  <c r="X1547" i="10"/>
  <c r="W1547" i="10"/>
  <c r="V1547" i="10"/>
  <c r="U1547" i="10"/>
  <c r="T1547" i="10"/>
  <c r="R1547" i="10"/>
  <c r="S1547" i="10"/>
  <c r="AE1547" i="10"/>
  <c r="AD1546" i="10"/>
  <c r="AC1546" i="10"/>
  <c r="AB1546" i="10"/>
  <c r="AA1546" i="10"/>
  <c r="Z1546" i="10"/>
  <c r="Y1546" i="10"/>
  <c r="X1546" i="10"/>
  <c r="W1546" i="10"/>
  <c r="V1546" i="10"/>
  <c r="U1546" i="10"/>
  <c r="T1546" i="10"/>
  <c r="S1546" i="10"/>
  <c r="R1546" i="10"/>
  <c r="AE1546" i="10"/>
  <c r="AD1545" i="10"/>
  <c r="AC1545" i="10"/>
  <c r="AB1545" i="10"/>
  <c r="AA1545" i="10"/>
  <c r="Z1545" i="10"/>
  <c r="Y1545" i="10"/>
  <c r="X1545" i="10"/>
  <c r="W1545" i="10"/>
  <c r="V1545" i="10"/>
  <c r="U1545" i="10"/>
  <c r="T1545" i="10"/>
  <c r="S1545" i="10"/>
  <c r="R1545" i="10"/>
  <c r="AE1545" i="10"/>
  <c r="AD1544" i="10"/>
  <c r="AC1544" i="10"/>
  <c r="AB1544" i="10"/>
  <c r="AA1544" i="10"/>
  <c r="Z1544" i="10"/>
  <c r="Y1544" i="10"/>
  <c r="X1544" i="10"/>
  <c r="W1544" i="10"/>
  <c r="V1544" i="10"/>
  <c r="U1544" i="10"/>
  <c r="T1544" i="10"/>
  <c r="S1544" i="10"/>
  <c r="R1544" i="10"/>
  <c r="AE1544" i="10"/>
  <c r="AD1543" i="10"/>
  <c r="AC1543" i="10"/>
  <c r="AB1543" i="10"/>
  <c r="AA1543" i="10"/>
  <c r="Z1543" i="10"/>
  <c r="Y1543" i="10"/>
  <c r="X1543" i="10"/>
  <c r="W1543" i="10"/>
  <c r="V1543" i="10"/>
  <c r="U1543" i="10"/>
  <c r="T1543" i="10"/>
  <c r="S1543" i="10"/>
  <c r="R1543" i="10"/>
  <c r="AE1543" i="10"/>
  <c r="AD1542" i="10"/>
  <c r="AC1542" i="10"/>
  <c r="AB1542" i="10"/>
  <c r="AA1542" i="10"/>
  <c r="Z1542" i="10"/>
  <c r="Y1542" i="10"/>
  <c r="X1542" i="10"/>
  <c r="W1542" i="10"/>
  <c r="R1542" i="10"/>
  <c r="S1542" i="10"/>
  <c r="T1542" i="10"/>
  <c r="U1542" i="10"/>
  <c r="V1542" i="10"/>
  <c r="AE1542" i="10"/>
  <c r="AD1541" i="10"/>
  <c r="AC1541" i="10"/>
  <c r="AB1541" i="10"/>
  <c r="AA1541" i="10"/>
  <c r="Z1541" i="10"/>
  <c r="Y1541" i="10"/>
  <c r="X1541" i="10"/>
  <c r="W1541" i="10"/>
  <c r="V1541" i="10"/>
  <c r="U1541" i="10"/>
  <c r="T1541" i="10"/>
  <c r="S1541" i="10"/>
  <c r="R1541" i="10"/>
  <c r="AD1540" i="10"/>
  <c r="AC1540" i="10"/>
  <c r="AB1540" i="10"/>
  <c r="AA1540" i="10"/>
  <c r="Z1540" i="10"/>
  <c r="Y1540" i="10"/>
  <c r="X1540" i="10"/>
  <c r="W1540" i="10"/>
  <c r="V1540" i="10"/>
  <c r="U1540" i="10"/>
  <c r="T1540" i="10"/>
  <c r="R1540" i="10"/>
  <c r="S1540" i="10"/>
  <c r="AE1540" i="10"/>
  <c r="AD1539" i="10"/>
  <c r="AC1539" i="10"/>
  <c r="AB1539" i="10"/>
  <c r="AA1539" i="10"/>
  <c r="Z1539" i="10"/>
  <c r="Y1539" i="10"/>
  <c r="X1539" i="10"/>
  <c r="W1539" i="10"/>
  <c r="V1539" i="10"/>
  <c r="U1539" i="10"/>
  <c r="T1539" i="10"/>
  <c r="S1539" i="10"/>
  <c r="R1539" i="10"/>
  <c r="AD1538" i="10"/>
  <c r="AC1538" i="10"/>
  <c r="AB1538" i="10"/>
  <c r="AA1538" i="10"/>
  <c r="Z1538" i="10"/>
  <c r="Y1538" i="10"/>
  <c r="X1538" i="10"/>
  <c r="W1538" i="10"/>
  <c r="V1538" i="10"/>
  <c r="U1538" i="10"/>
  <c r="T1538" i="10"/>
  <c r="S1538" i="10"/>
  <c r="R1538" i="10"/>
  <c r="AE1538" i="10"/>
  <c r="AD1537" i="10"/>
  <c r="AC1537" i="10"/>
  <c r="AB1537" i="10"/>
  <c r="AA1537" i="10"/>
  <c r="Z1537" i="10"/>
  <c r="Y1537" i="10"/>
  <c r="X1537" i="10"/>
  <c r="W1537" i="10"/>
  <c r="V1537" i="10"/>
  <c r="U1537" i="10"/>
  <c r="T1537" i="10"/>
  <c r="S1537" i="10"/>
  <c r="R1537" i="10"/>
  <c r="AE1537" i="10"/>
  <c r="AD1536" i="10"/>
  <c r="AC1536" i="10"/>
  <c r="AB1536" i="10"/>
  <c r="AA1536" i="10"/>
  <c r="Z1536" i="10"/>
  <c r="Y1536" i="10"/>
  <c r="X1536" i="10"/>
  <c r="W1536" i="10"/>
  <c r="V1536" i="10"/>
  <c r="U1536" i="10"/>
  <c r="T1536" i="10"/>
  <c r="S1536" i="10"/>
  <c r="R1536" i="10"/>
  <c r="AD1535" i="10"/>
  <c r="AC1535" i="10"/>
  <c r="AB1535" i="10"/>
  <c r="AA1535" i="10"/>
  <c r="Z1535" i="10"/>
  <c r="Y1535" i="10"/>
  <c r="X1535" i="10"/>
  <c r="W1535" i="10"/>
  <c r="R1535" i="10"/>
  <c r="S1535" i="10"/>
  <c r="T1535" i="10"/>
  <c r="U1535" i="10"/>
  <c r="V1535" i="10"/>
  <c r="AE1535" i="10"/>
  <c r="AD1534" i="10"/>
  <c r="AC1534" i="10"/>
  <c r="AB1534" i="10"/>
  <c r="AA1534" i="10"/>
  <c r="Z1534" i="10"/>
  <c r="Y1534" i="10"/>
  <c r="X1534" i="10"/>
  <c r="W1534" i="10"/>
  <c r="V1534" i="10"/>
  <c r="U1534" i="10"/>
  <c r="T1534" i="10"/>
  <c r="S1534" i="10"/>
  <c r="R1534" i="10"/>
  <c r="AE1534" i="10"/>
  <c r="AD1533" i="10"/>
  <c r="AC1533" i="10"/>
  <c r="AB1533" i="10"/>
  <c r="AA1533" i="10"/>
  <c r="Z1533" i="10"/>
  <c r="Y1533" i="10"/>
  <c r="X1533" i="10"/>
  <c r="W1533" i="10"/>
  <c r="V1533" i="10"/>
  <c r="U1533" i="10"/>
  <c r="T1533" i="10"/>
  <c r="S1533" i="10"/>
  <c r="R1533" i="10"/>
  <c r="AD1532" i="10"/>
  <c r="AC1532" i="10"/>
  <c r="AB1532" i="10"/>
  <c r="AA1532" i="10"/>
  <c r="Z1532" i="10"/>
  <c r="Y1532" i="10"/>
  <c r="X1532" i="10"/>
  <c r="W1532" i="10"/>
  <c r="V1532" i="10"/>
  <c r="U1532" i="10"/>
  <c r="T1532" i="10"/>
  <c r="S1532" i="10"/>
  <c r="R1532" i="10"/>
  <c r="AE1532" i="10"/>
  <c r="AD1531" i="10"/>
  <c r="AC1531" i="10"/>
  <c r="AB1531" i="10"/>
  <c r="AA1531" i="10"/>
  <c r="Z1531" i="10"/>
  <c r="Y1531" i="10"/>
  <c r="X1531" i="10"/>
  <c r="W1531" i="10"/>
  <c r="V1531" i="10"/>
  <c r="U1531" i="10"/>
  <c r="T1531" i="10"/>
  <c r="S1531" i="10"/>
  <c r="R1531" i="10"/>
  <c r="AE1531" i="10"/>
  <c r="AD1530" i="10"/>
  <c r="AC1530" i="10"/>
  <c r="AB1530" i="10"/>
  <c r="AA1530" i="10"/>
  <c r="Z1530" i="10"/>
  <c r="Y1530" i="10"/>
  <c r="X1530" i="10"/>
  <c r="W1530" i="10"/>
  <c r="V1530" i="10"/>
  <c r="U1530" i="10"/>
  <c r="T1530" i="10"/>
  <c r="S1530" i="10"/>
  <c r="R1530" i="10"/>
  <c r="AE1530" i="10"/>
  <c r="AD1529" i="10"/>
  <c r="AC1529" i="10"/>
  <c r="AB1529" i="10"/>
  <c r="AA1529" i="10"/>
  <c r="Z1529" i="10"/>
  <c r="Y1529" i="10"/>
  <c r="X1529" i="10"/>
  <c r="W1529" i="10"/>
  <c r="V1529" i="10"/>
  <c r="U1529" i="10"/>
  <c r="T1529" i="10"/>
  <c r="S1529" i="10"/>
  <c r="R1529" i="10"/>
  <c r="AD1528" i="10"/>
  <c r="AC1528" i="10"/>
  <c r="AB1528" i="10"/>
  <c r="AA1528" i="10"/>
  <c r="Z1528" i="10"/>
  <c r="Y1528" i="10"/>
  <c r="X1528" i="10"/>
  <c r="W1528" i="10"/>
  <c r="R1528" i="10"/>
  <c r="S1528" i="10"/>
  <c r="T1528" i="10"/>
  <c r="U1528" i="10"/>
  <c r="V1528" i="10"/>
  <c r="AE1528" i="10"/>
  <c r="AD1527" i="10"/>
  <c r="AC1527" i="10"/>
  <c r="AB1527" i="10"/>
  <c r="AA1527" i="10"/>
  <c r="Z1527" i="10"/>
  <c r="Y1527" i="10"/>
  <c r="X1527" i="10"/>
  <c r="W1527" i="10"/>
  <c r="V1527" i="10"/>
  <c r="U1527" i="10"/>
  <c r="T1527" i="10"/>
  <c r="S1527" i="10"/>
  <c r="R1527" i="10"/>
  <c r="AD1526" i="10"/>
  <c r="AC1526" i="10"/>
  <c r="AB1526" i="10"/>
  <c r="AA1526" i="10"/>
  <c r="Z1526" i="10"/>
  <c r="Y1526" i="10"/>
  <c r="X1526" i="10"/>
  <c r="W1526" i="10"/>
  <c r="V1526" i="10"/>
  <c r="U1526" i="10"/>
  <c r="T1526" i="10"/>
  <c r="S1526" i="10"/>
  <c r="R1526" i="10"/>
  <c r="AE1526" i="10"/>
  <c r="AD1525" i="10"/>
  <c r="AC1525" i="10"/>
  <c r="AB1525" i="10"/>
  <c r="AA1525" i="10"/>
  <c r="Z1525" i="10"/>
  <c r="Y1525" i="10"/>
  <c r="X1525" i="10"/>
  <c r="W1525" i="10"/>
  <c r="V1525" i="10"/>
  <c r="U1525" i="10"/>
  <c r="T1525" i="10"/>
  <c r="S1525" i="10"/>
  <c r="R1525" i="10"/>
  <c r="AD1524" i="10"/>
  <c r="AC1524" i="10"/>
  <c r="AB1524" i="10"/>
  <c r="AA1524" i="10"/>
  <c r="Z1524" i="10"/>
  <c r="Y1524" i="10"/>
  <c r="X1524" i="10"/>
  <c r="W1524" i="10"/>
  <c r="V1524" i="10"/>
  <c r="U1524" i="10"/>
  <c r="T1524" i="10"/>
  <c r="S1524" i="10"/>
  <c r="R1524" i="10"/>
  <c r="AE1524" i="10"/>
  <c r="AD1523" i="10"/>
  <c r="AC1523" i="10"/>
  <c r="AB1523" i="10"/>
  <c r="AA1523" i="10"/>
  <c r="Z1523" i="10"/>
  <c r="Y1523" i="10"/>
  <c r="X1523" i="10"/>
  <c r="W1523" i="10"/>
  <c r="V1523" i="10"/>
  <c r="U1523" i="10"/>
  <c r="T1523" i="10"/>
  <c r="S1523" i="10"/>
  <c r="R1523" i="10"/>
  <c r="AE1523" i="10"/>
  <c r="AD1522" i="10"/>
  <c r="AC1522" i="10"/>
  <c r="AB1522" i="10"/>
  <c r="AA1522" i="10"/>
  <c r="Z1522" i="10"/>
  <c r="Y1522" i="10"/>
  <c r="X1522" i="10"/>
  <c r="W1522" i="10"/>
  <c r="V1522" i="10"/>
  <c r="U1522" i="10"/>
  <c r="T1522" i="10"/>
  <c r="S1522" i="10"/>
  <c r="R1522" i="10"/>
  <c r="AE1522" i="10"/>
  <c r="AD1521" i="10"/>
  <c r="AC1521" i="10"/>
  <c r="AB1521" i="10"/>
  <c r="AA1521" i="10"/>
  <c r="Z1521" i="10"/>
  <c r="Y1521" i="10"/>
  <c r="X1521" i="10"/>
  <c r="W1521" i="10"/>
  <c r="R1521" i="10"/>
  <c r="S1521" i="10"/>
  <c r="T1521" i="10"/>
  <c r="U1521" i="10"/>
  <c r="V1521" i="10"/>
  <c r="AE1521" i="10"/>
  <c r="AD1520" i="10"/>
  <c r="AC1520" i="10"/>
  <c r="AB1520" i="10"/>
  <c r="AA1520" i="10"/>
  <c r="Z1520" i="10"/>
  <c r="Y1520" i="10"/>
  <c r="X1520" i="10"/>
  <c r="W1520" i="10"/>
  <c r="V1520" i="10"/>
  <c r="U1520" i="10"/>
  <c r="T1520" i="10"/>
  <c r="S1520" i="10"/>
  <c r="R1520" i="10"/>
  <c r="AE1520" i="10"/>
  <c r="AD1519" i="10"/>
  <c r="AC1519" i="10"/>
  <c r="AB1519" i="10"/>
  <c r="AA1519" i="10"/>
  <c r="Z1519" i="10"/>
  <c r="Y1519" i="10"/>
  <c r="X1519" i="10"/>
  <c r="W1519" i="10"/>
  <c r="V1519" i="10"/>
  <c r="U1519" i="10"/>
  <c r="T1519" i="10"/>
  <c r="S1519" i="10"/>
  <c r="R1519" i="10"/>
  <c r="AD1518" i="10"/>
  <c r="AC1518" i="10"/>
  <c r="AB1518" i="10"/>
  <c r="AA1518" i="10"/>
  <c r="Z1518" i="10"/>
  <c r="Y1518" i="10"/>
  <c r="X1518" i="10"/>
  <c r="W1518" i="10"/>
  <c r="V1518" i="10"/>
  <c r="U1518" i="10"/>
  <c r="T1518" i="10"/>
  <c r="R1518" i="10"/>
  <c r="S1518" i="10"/>
  <c r="AE1518" i="10"/>
  <c r="AD1517" i="10"/>
  <c r="AC1517" i="10"/>
  <c r="AB1517" i="10"/>
  <c r="AA1517" i="10"/>
  <c r="Z1517" i="10"/>
  <c r="Y1517" i="10"/>
  <c r="X1517" i="10"/>
  <c r="W1517" i="10"/>
  <c r="V1517" i="10"/>
  <c r="U1517" i="10"/>
  <c r="T1517" i="10"/>
  <c r="S1517" i="10"/>
  <c r="R1517" i="10"/>
  <c r="AD1516" i="10"/>
  <c r="AC1516" i="10"/>
  <c r="AB1516" i="10"/>
  <c r="AA1516" i="10"/>
  <c r="Z1516" i="10"/>
  <c r="Y1516" i="10"/>
  <c r="X1516" i="10"/>
  <c r="W1516" i="10"/>
  <c r="V1516" i="10"/>
  <c r="U1516" i="10"/>
  <c r="T1516" i="10"/>
  <c r="S1516" i="10"/>
  <c r="R1516" i="10"/>
  <c r="AE1516" i="10"/>
  <c r="AD1515" i="10"/>
  <c r="AC1515" i="10"/>
  <c r="AB1515" i="10"/>
  <c r="AA1515" i="10"/>
  <c r="Z1515" i="10"/>
  <c r="Y1515" i="10"/>
  <c r="X1515" i="10"/>
  <c r="W1515" i="10"/>
  <c r="V1515" i="10"/>
  <c r="U1515" i="10"/>
  <c r="T1515" i="10"/>
  <c r="S1515" i="10"/>
  <c r="R1515" i="10"/>
  <c r="AE1515" i="10"/>
  <c r="AD1514" i="10"/>
  <c r="AC1514" i="10"/>
  <c r="AB1514" i="10"/>
  <c r="AA1514" i="10"/>
  <c r="Z1514" i="10"/>
  <c r="Y1514" i="10"/>
  <c r="X1514" i="10"/>
  <c r="W1514" i="10"/>
  <c r="R1514" i="10"/>
  <c r="S1514" i="10"/>
  <c r="T1514" i="10"/>
  <c r="U1514" i="10"/>
  <c r="V1514" i="10"/>
  <c r="AE1514" i="10"/>
  <c r="AD1513" i="10"/>
  <c r="AC1513" i="10"/>
  <c r="AB1513" i="10"/>
  <c r="AA1513" i="10"/>
  <c r="Z1513" i="10"/>
  <c r="Y1513" i="10"/>
  <c r="X1513" i="10"/>
  <c r="W1513" i="10"/>
  <c r="V1513" i="10"/>
  <c r="U1513" i="10"/>
  <c r="T1513" i="10"/>
  <c r="S1513" i="10"/>
  <c r="R1513" i="10"/>
  <c r="AD1512" i="10"/>
  <c r="AC1512" i="10"/>
  <c r="AB1512" i="10"/>
  <c r="AA1512" i="10"/>
  <c r="Z1512" i="10"/>
  <c r="Y1512" i="10"/>
  <c r="X1512" i="10"/>
  <c r="W1512" i="10"/>
  <c r="V1512" i="10"/>
  <c r="U1512" i="10"/>
  <c r="T1512" i="10"/>
  <c r="S1512" i="10"/>
  <c r="R1512" i="10"/>
  <c r="AE1512" i="10"/>
  <c r="AD1511" i="10"/>
  <c r="AC1511" i="10"/>
  <c r="AB1511" i="10"/>
  <c r="AA1511" i="10"/>
  <c r="Z1511" i="10"/>
  <c r="Y1511" i="10"/>
  <c r="X1511" i="10"/>
  <c r="W1511" i="10"/>
  <c r="V1511" i="10"/>
  <c r="U1511" i="10"/>
  <c r="T1511" i="10"/>
  <c r="R1511" i="10"/>
  <c r="S1511" i="10"/>
  <c r="AE1511" i="10"/>
  <c r="AD1510" i="10"/>
  <c r="AC1510" i="10"/>
  <c r="AB1510" i="10"/>
  <c r="AA1510" i="10"/>
  <c r="Z1510" i="10"/>
  <c r="Y1510" i="10"/>
  <c r="X1510" i="10"/>
  <c r="W1510" i="10"/>
  <c r="V1510" i="10"/>
  <c r="U1510" i="10"/>
  <c r="T1510" i="10"/>
  <c r="S1510" i="10"/>
  <c r="R1510" i="10"/>
  <c r="AE1510" i="10"/>
  <c r="AD1509" i="10"/>
  <c r="AC1509" i="10"/>
  <c r="AB1509" i="10"/>
  <c r="AA1509" i="10"/>
  <c r="Z1509" i="10"/>
  <c r="Y1509" i="10"/>
  <c r="X1509" i="10"/>
  <c r="W1509" i="10"/>
  <c r="V1509" i="10"/>
  <c r="U1509" i="10"/>
  <c r="T1509" i="10"/>
  <c r="S1509" i="10"/>
  <c r="R1509" i="10"/>
  <c r="AE1509" i="10"/>
  <c r="AD1508" i="10"/>
  <c r="AC1508" i="10"/>
  <c r="AB1508" i="10"/>
  <c r="AA1508" i="10"/>
  <c r="Z1508" i="10"/>
  <c r="Y1508" i="10"/>
  <c r="X1508" i="10"/>
  <c r="W1508" i="10"/>
  <c r="V1508" i="10"/>
  <c r="U1508" i="10"/>
  <c r="T1508" i="10"/>
  <c r="S1508" i="10"/>
  <c r="R1508" i="10"/>
  <c r="AD1507" i="10"/>
  <c r="AC1507" i="10"/>
  <c r="AB1507" i="10"/>
  <c r="AA1507" i="10"/>
  <c r="Z1507" i="10"/>
  <c r="Y1507" i="10"/>
  <c r="X1507" i="10"/>
  <c r="W1507" i="10"/>
  <c r="R1507" i="10"/>
  <c r="S1507" i="10"/>
  <c r="T1507" i="10"/>
  <c r="U1507" i="10"/>
  <c r="V1507" i="10"/>
  <c r="AE1507" i="10"/>
  <c r="AD1506" i="10"/>
  <c r="AC1506" i="10"/>
  <c r="AB1506" i="10"/>
  <c r="AA1506" i="10"/>
  <c r="Z1506" i="10"/>
  <c r="Y1506" i="10"/>
  <c r="X1506" i="10"/>
  <c r="W1506" i="10"/>
  <c r="V1506" i="10"/>
  <c r="U1506" i="10"/>
  <c r="T1506" i="10"/>
  <c r="S1506" i="10"/>
  <c r="R1506" i="10"/>
  <c r="AD1505" i="10"/>
  <c r="AC1505" i="10"/>
  <c r="AB1505" i="10"/>
  <c r="AA1505" i="10"/>
  <c r="Z1505" i="10"/>
  <c r="Y1505" i="10"/>
  <c r="X1505" i="10"/>
  <c r="W1505" i="10"/>
  <c r="V1505" i="10"/>
  <c r="U1505" i="10"/>
  <c r="T1505" i="10"/>
  <c r="S1505" i="10"/>
  <c r="R1505" i="10"/>
  <c r="AD1504" i="10"/>
  <c r="AC1504" i="10"/>
  <c r="AB1504" i="10"/>
  <c r="AA1504" i="10"/>
  <c r="Z1504" i="10"/>
  <c r="Y1504" i="10"/>
  <c r="X1504" i="10"/>
  <c r="W1504" i="10"/>
  <c r="V1504" i="10"/>
  <c r="U1504" i="10"/>
  <c r="T1504" i="10"/>
  <c r="R1504" i="10"/>
  <c r="S1504" i="10"/>
  <c r="AE1504" i="10"/>
  <c r="AD1503" i="10"/>
  <c r="AC1503" i="10"/>
  <c r="AB1503" i="10"/>
  <c r="AA1503" i="10"/>
  <c r="Z1503" i="10"/>
  <c r="Y1503" i="10"/>
  <c r="X1503" i="10"/>
  <c r="W1503" i="10"/>
  <c r="V1503" i="10"/>
  <c r="U1503" i="10"/>
  <c r="T1503" i="10"/>
  <c r="S1503" i="10"/>
  <c r="R1503" i="10"/>
  <c r="AD1502" i="10"/>
  <c r="AC1502" i="10"/>
  <c r="AB1502" i="10"/>
  <c r="AA1502" i="10"/>
  <c r="Z1502" i="10"/>
  <c r="Y1502" i="10"/>
  <c r="X1502" i="10"/>
  <c r="W1502" i="10"/>
  <c r="V1502" i="10"/>
  <c r="U1502" i="10"/>
  <c r="T1502" i="10"/>
  <c r="S1502" i="10"/>
  <c r="R1502" i="10"/>
  <c r="AE1502" i="10"/>
  <c r="AD1501" i="10"/>
  <c r="AC1501" i="10"/>
  <c r="AB1501" i="10"/>
  <c r="AA1501" i="10"/>
  <c r="Z1501" i="10"/>
  <c r="Y1501" i="10"/>
  <c r="X1501" i="10"/>
  <c r="W1501" i="10"/>
  <c r="V1501" i="10"/>
  <c r="U1501" i="10"/>
  <c r="T1501" i="10"/>
  <c r="S1501" i="10"/>
  <c r="R1501" i="10"/>
  <c r="AD1500" i="10"/>
  <c r="AC1500" i="10"/>
  <c r="AB1500" i="10"/>
  <c r="AA1500" i="10"/>
  <c r="Z1500" i="10"/>
  <c r="Y1500" i="10"/>
  <c r="X1500" i="10"/>
  <c r="W1500" i="10"/>
  <c r="R1500" i="10"/>
  <c r="S1500" i="10"/>
  <c r="T1500" i="10"/>
  <c r="U1500" i="10"/>
  <c r="V1500" i="10"/>
  <c r="AE1500" i="10"/>
  <c r="AD1499" i="10"/>
  <c r="AC1499" i="10"/>
  <c r="AB1499" i="10"/>
  <c r="AA1499" i="10"/>
  <c r="Z1499" i="10"/>
  <c r="Y1499" i="10"/>
  <c r="X1499" i="10"/>
  <c r="W1499" i="10"/>
  <c r="V1499" i="10"/>
  <c r="U1499" i="10"/>
  <c r="T1499" i="10"/>
  <c r="S1499" i="10"/>
  <c r="R1499" i="10"/>
  <c r="AE1499" i="10"/>
  <c r="AD1498" i="10"/>
  <c r="AC1498" i="10"/>
  <c r="AB1498" i="10"/>
  <c r="AA1498" i="10"/>
  <c r="Z1498" i="10"/>
  <c r="Y1498" i="10"/>
  <c r="X1498" i="10"/>
  <c r="W1498" i="10"/>
  <c r="V1498" i="10"/>
  <c r="U1498" i="10"/>
  <c r="T1498" i="10"/>
  <c r="S1498" i="10"/>
  <c r="R1498" i="10"/>
  <c r="AE1498" i="10"/>
  <c r="AD1497" i="10"/>
  <c r="AC1497" i="10"/>
  <c r="AB1497" i="10"/>
  <c r="AA1497" i="10"/>
  <c r="Z1497" i="10"/>
  <c r="Y1497" i="10"/>
  <c r="X1497" i="10"/>
  <c r="W1497" i="10"/>
  <c r="V1497" i="10"/>
  <c r="U1497" i="10"/>
  <c r="T1497" i="10"/>
  <c r="R1497" i="10"/>
  <c r="S1497" i="10"/>
  <c r="AE1497" i="10"/>
  <c r="AD1496" i="10"/>
  <c r="AC1496" i="10"/>
  <c r="AB1496" i="10"/>
  <c r="AA1496" i="10"/>
  <c r="Z1496" i="10"/>
  <c r="Y1496" i="10"/>
  <c r="X1496" i="10"/>
  <c r="W1496" i="10"/>
  <c r="V1496" i="10"/>
  <c r="U1496" i="10"/>
  <c r="T1496" i="10"/>
  <c r="S1496" i="10"/>
  <c r="R1496" i="10"/>
  <c r="AD1495" i="10"/>
  <c r="AC1495" i="10"/>
  <c r="AB1495" i="10"/>
  <c r="AA1495" i="10"/>
  <c r="Z1495" i="10"/>
  <c r="Y1495" i="10"/>
  <c r="X1495" i="10"/>
  <c r="W1495" i="10"/>
  <c r="V1495" i="10"/>
  <c r="U1495" i="10"/>
  <c r="T1495" i="10"/>
  <c r="S1495" i="10"/>
  <c r="R1495" i="10"/>
  <c r="AE1495" i="10"/>
  <c r="AD1494" i="10"/>
  <c r="AC1494" i="10"/>
  <c r="AB1494" i="10"/>
  <c r="AA1494" i="10"/>
  <c r="Z1494" i="10"/>
  <c r="Y1494" i="10"/>
  <c r="X1494" i="10"/>
  <c r="W1494" i="10"/>
  <c r="V1494" i="10"/>
  <c r="U1494" i="10"/>
  <c r="T1494" i="10"/>
  <c r="S1494" i="10"/>
  <c r="R1494" i="10"/>
  <c r="AE1494" i="10"/>
  <c r="AD1493" i="10"/>
  <c r="AC1493" i="10"/>
  <c r="AB1493" i="10"/>
  <c r="AA1493" i="10"/>
  <c r="Z1493" i="10"/>
  <c r="Y1493" i="10"/>
  <c r="X1493" i="10"/>
  <c r="W1493" i="10"/>
  <c r="V1493" i="10"/>
  <c r="U1493" i="10"/>
  <c r="T1493" i="10"/>
  <c r="S1493" i="10"/>
  <c r="R1493" i="10"/>
  <c r="AD1492" i="10"/>
  <c r="AC1492" i="10"/>
  <c r="AB1492" i="10"/>
  <c r="AA1492" i="10"/>
  <c r="Z1492" i="10"/>
  <c r="Y1492" i="10"/>
  <c r="X1492" i="10"/>
  <c r="W1492" i="10"/>
  <c r="V1492" i="10"/>
  <c r="U1492" i="10"/>
  <c r="T1492" i="10"/>
  <c r="S1492" i="10"/>
  <c r="R1492" i="10"/>
  <c r="AE1492" i="10"/>
  <c r="AD1491" i="10"/>
  <c r="AC1491" i="10"/>
  <c r="AB1491" i="10"/>
  <c r="AA1491" i="10"/>
  <c r="Z1491" i="10"/>
  <c r="Y1491" i="10"/>
  <c r="X1491" i="10"/>
  <c r="W1491" i="10"/>
  <c r="V1491" i="10"/>
  <c r="U1491" i="10"/>
  <c r="T1491" i="10"/>
  <c r="S1491" i="10"/>
  <c r="R1491" i="10"/>
  <c r="AE1491" i="10"/>
  <c r="AD1490" i="10"/>
  <c r="AC1490" i="10"/>
  <c r="AB1490" i="10"/>
  <c r="AA1490" i="10"/>
  <c r="Z1490" i="10"/>
  <c r="Y1490" i="10"/>
  <c r="X1490" i="10"/>
  <c r="W1490" i="10"/>
  <c r="R1490" i="10"/>
  <c r="S1490" i="10"/>
  <c r="T1490" i="10"/>
  <c r="U1490" i="10"/>
  <c r="V1490" i="10"/>
  <c r="AE1490" i="10"/>
  <c r="AD1489" i="10"/>
  <c r="AC1489" i="10"/>
  <c r="AB1489" i="10"/>
  <c r="AA1489" i="10"/>
  <c r="Z1489" i="10"/>
  <c r="Y1489" i="10"/>
  <c r="X1489" i="10"/>
  <c r="W1489" i="10"/>
  <c r="V1489" i="10"/>
  <c r="U1489" i="10"/>
  <c r="T1489" i="10"/>
  <c r="S1489" i="10"/>
  <c r="R1489" i="10"/>
  <c r="AE1489" i="10"/>
  <c r="AD1488" i="10"/>
  <c r="AC1488" i="10"/>
  <c r="AB1488" i="10"/>
  <c r="AA1488" i="10"/>
  <c r="Z1488" i="10"/>
  <c r="Y1488" i="10"/>
  <c r="X1488" i="10"/>
  <c r="W1488" i="10"/>
  <c r="V1488" i="10"/>
  <c r="U1488" i="10"/>
  <c r="R1488" i="10"/>
  <c r="S1488" i="10"/>
  <c r="T1488" i="10"/>
  <c r="AE1488" i="10"/>
  <c r="AD1487" i="10"/>
  <c r="AC1487" i="10"/>
  <c r="AB1487" i="10"/>
  <c r="AA1487" i="10"/>
  <c r="Z1487" i="10"/>
  <c r="Y1487" i="10"/>
  <c r="X1487" i="10"/>
  <c r="W1487" i="10"/>
  <c r="V1487" i="10"/>
  <c r="U1487" i="10"/>
  <c r="T1487" i="10"/>
  <c r="R1487" i="10"/>
  <c r="S1487" i="10"/>
  <c r="AE1487" i="10"/>
  <c r="AD1486" i="10"/>
  <c r="AC1486" i="10"/>
  <c r="AB1486" i="10"/>
  <c r="AA1486" i="10"/>
  <c r="Z1486" i="10"/>
  <c r="Y1486" i="10"/>
  <c r="X1486" i="10"/>
  <c r="W1486" i="10"/>
  <c r="V1486" i="10"/>
  <c r="U1486" i="10"/>
  <c r="T1486" i="10"/>
  <c r="S1486" i="10"/>
  <c r="R1486" i="10"/>
  <c r="AE1486" i="10"/>
  <c r="AD1485" i="10"/>
  <c r="AC1485" i="10"/>
  <c r="AB1485" i="10"/>
  <c r="AA1485" i="10"/>
  <c r="Z1485" i="10"/>
  <c r="Y1485" i="10"/>
  <c r="X1485" i="10"/>
  <c r="W1485" i="10"/>
  <c r="V1485" i="10"/>
  <c r="U1485" i="10"/>
  <c r="T1485" i="10"/>
  <c r="S1485" i="10"/>
  <c r="R1485" i="10"/>
  <c r="AD1484" i="10"/>
  <c r="AC1484" i="10"/>
  <c r="AB1484" i="10"/>
  <c r="AA1484" i="10"/>
  <c r="Z1484" i="10"/>
  <c r="Y1484" i="10"/>
  <c r="X1484" i="10"/>
  <c r="W1484" i="10"/>
  <c r="V1484" i="10"/>
  <c r="U1484" i="10"/>
  <c r="T1484" i="10"/>
  <c r="S1484" i="10"/>
  <c r="R1484" i="10"/>
  <c r="AD1483" i="10"/>
  <c r="AC1483" i="10"/>
  <c r="AB1483" i="10"/>
  <c r="AA1483" i="10"/>
  <c r="Z1483" i="10"/>
  <c r="Y1483" i="10"/>
  <c r="X1483" i="10"/>
  <c r="W1483" i="10"/>
  <c r="V1483" i="10"/>
  <c r="U1483" i="10"/>
  <c r="T1483" i="10"/>
  <c r="R1483" i="10"/>
  <c r="S1483" i="10"/>
  <c r="AE1483" i="10"/>
  <c r="AD1482" i="10"/>
  <c r="AC1482" i="10"/>
  <c r="AB1482" i="10"/>
  <c r="AA1482" i="10"/>
  <c r="Z1482" i="10"/>
  <c r="Y1482" i="10"/>
  <c r="X1482" i="10"/>
  <c r="W1482" i="10"/>
  <c r="V1482" i="10"/>
  <c r="U1482" i="10"/>
  <c r="T1482" i="10"/>
  <c r="S1482" i="10"/>
  <c r="R1482" i="10"/>
  <c r="AD1481" i="10"/>
  <c r="AC1481" i="10"/>
  <c r="AB1481" i="10"/>
  <c r="AA1481" i="10"/>
  <c r="Z1481" i="10"/>
  <c r="Y1481" i="10"/>
  <c r="X1481" i="10"/>
  <c r="W1481" i="10"/>
  <c r="V1481" i="10"/>
  <c r="U1481" i="10"/>
  <c r="T1481" i="10"/>
  <c r="S1481" i="10"/>
  <c r="R1481" i="10"/>
  <c r="AE1481" i="10"/>
  <c r="AD1480" i="10"/>
  <c r="AC1480" i="10"/>
  <c r="AB1480" i="10"/>
  <c r="AA1480" i="10"/>
  <c r="Z1480" i="10"/>
  <c r="Y1480" i="10"/>
  <c r="X1480" i="10"/>
  <c r="W1480" i="10"/>
  <c r="V1480" i="10"/>
  <c r="U1480" i="10"/>
  <c r="T1480" i="10"/>
  <c r="S1480" i="10"/>
  <c r="R1480" i="10"/>
  <c r="AE1480" i="10"/>
  <c r="AD1479" i="10"/>
  <c r="AC1479" i="10"/>
  <c r="AB1479" i="10"/>
  <c r="AA1479" i="10"/>
  <c r="Z1479" i="10"/>
  <c r="Y1479" i="10"/>
  <c r="X1479" i="10"/>
  <c r="W1479" i="10"/>
  <c r="V1479" i="10"/>
  <c r="U1479" i="10"/>
  <c r="T1479" i="10"/>
  <c r="S1479" i="10"/>
  <c r="R1479" i="10"/>
  <c r="AD1478" i="10"/>
  <c r="AC1478" i="10"/>
  <c r="AB1478" i="10"/>
  <c r="AA1478" i="10"/>
  <c r="Z1478" i="10"/>
  <c r="Y1478" i="10"/>
  <c r="X1478" i="10"/>
  <c r="W1478" i="10"/>
  <c r="R1478" i="10"/>
  <c r="S1478" i="10"/>
  <c r="T1478" i="10"/>
  <c r="U1478" i="10"/>
  <c r="V1478" i="10"/>
  <c r="AE1478" i="10"/>
  <c r="AD1477" i="10"/>
  <c r="AC1477" i="10"/>
  <c r="AB1477" i="10"/>
  <c r="AA1477" i="10"/>
  <c r="Z1477" i="10"/>
  <c r="Y1477" i="10"/>
  <c r="X1477" i="10"/>
  <c r="W1477" i="10"/>
  <c r="V1477" i="10"/>
  <c r="U1477" i="10"/>
  <c r="T1477" i="10"/>
  <c r="S1477" i="10"/>
  <c r="R1477" i="10"/>
  <c r="AD1476" i="10"/>
  <c r="AC1476" i="10"/>
  <c r="AB1476" i="10"/>
  <c r="AA1476" i="10"/>
  <c r="Z1476" i="10"/>
  <c r="Y1476" i="10"/>
  <c r="X1476" i="10"/>
  <c r="W1476" i="10"/>
  <c r="V1476" i="10"/>
  <c r="U1476" i="10"/>
  <c r="T1476" i="10"/>
  <c r="R1476" i="10"/>
  <c r="S1476" i="10"/>
  <c r="AE1476" i="10"/>
  <c r="AD1475" i="10"/>
  <c r="AC1475" i="10"/>
  <c r="AB1475" i="10"/>
  <c r="AA1475" i="10"/>
  <c r="Z1475" i="10"/>
  <c r="Y1475" i="10"/>
  <c r="X1475" i="10"/>
  <c r="W1475" i="10"/>
  <c r="V1475" i="10"/>
  <c r="U1475" i="10"/>
  <c r="T1475" i="10"/>
  <c r="S1475" i="10"/>
  <c r="R1475" i="10"/>
  <c r="AD1474" i="10"/>
  <c r="AC1474" i="10"/>
  <c r="AB1474" i="10"/>
  <c r="AA1474" i="10"/>
  <c r="Z1474" i="10"/>
  <c r="Y1474" i="10"/>
  <c r="X1474" i="10"/>
  <c r="W1474" i="10"/>
  <c r="V1474" i="10"/>
  <c r="U1474" i="10"/>
  <c r="T1474" i="10"/>
  <c r="S1474" i="10"/>
  <c r="R1474" i="10"/>
  <c r="AE1474" i="10"/>
  <c r="AD1473" i="10"/>
  <c r="AC1473" i="10"/>
  <c r="AB1473" i="10"/>
  <c r="AA1473" i="10"/>
  <c r="Z1473" i="10"/>
  <c r="Y1473" i="10"/>
  <c r="X1473" i="10"/>
  <c r="W1473" i="10"/>
  <c r="V1473" i="10"/>
  <c r="U1473" i="10"/>
  <c r="T1473" i="10"/>
  <c r="S1473" i="10"/>
  <c r="R1473" i="10"/>
  <c r="AE1473" i="10"/>
  <c r="AD1472" i="10"/>
  <c r="AC1472" i="10"/>
  <c r="AB1472" i="10"/>
  <c r="AA1472" i="10"/>
  <c r="Z1472" i="10"/>
  <c r="Y1472" i="10"/>
  <c r="X1472" i="10"/>
  <c r="W1472" i="10"/>
  <c r="V1472" i="10"/>
  <c r="U1472" i="10"/>
  <c r="T1472" i="10"/>
  <c r="S1472" i="10"/>
  <c r="R1472" i="10"/>
  <c r="AE1472" i="10"/>
  <c r="AD1471" i="10"/>
  <c r="AC1471" i="10"/>
  <c r="AB1471" i="10"/>
  <c r="AA1471" i="10"/>
  <c r="Z1471" i="10"/>
  <c r="Y1471" i="10"/>
  <c r="X1471" i="10"/>
  <c r="W1471" i="10"/>
  <c r="R1471" i="10"/>
  <c r="S1471" i="10"/>
  <c r="T1471" i="10"/>
  <c r="U1471" i="10"/>
  <c r="V1471" i="10"/>
  <c r="AE1471" i="10"/>
  <c r="AD1470" i="10"/>
  <c r="AC1470" i="10"/>
  <c r="AB1470" i="10"/>
  <c r="AA1470" i="10"/>
  <c r="Z1470" i="10"/>
  <c r="Y1470" i="10"/>
  <c r="X1470" i="10"/>
  <c r="W1470" i="10"/>
  <c r="V1470" i="10"/>
  <c r="U1470" i="10"/>
  <c r="T1470" i="10"/>
  <c r="S1470" i="10"/>
  <c r="R1470" i="10"/>
  <c r="AE1470" i="10"/>
  <c r="AD1469" i="10"/>
  <c r="AC1469" i="10"/>
  <c r="AB1469" i="10"/>
  <c r="AA1469" i="10"/>
  <c r="Z1469" i="10"/>
  <c r="Y1469" i="10"/>
  <c r="X1469" i="10"/>
  <c r="W1469" i="10"/>
  <c r="V1469" i="10"/>
  <c r="U1469" i="10"/>
  <c r="T1469" i="10"/>
  <c r="S1469" i="10"/>
  <c r="R1469" i="10"/>
  <c r="AD1468" i="10"/>
  <c r="AC1468" i="10"/>
  <c r="AB1468" i="10"/>
  <c r="AA1468" i="10"/>
  <c r="Z1468" i="10"/>
  <c r="Y1468" i="10"/>
  <c r="X1468" i="10"/>
  <c r="W1468" i="10"/>
  <c r="V1468" i="10"/>
  <c r="U1468" i="10"/>
  <c r="T1468" i="10"/>
  <c r="S1468" i="10"/>
  <c r="R1468" i="10"/>
  <c r="AE1468" i="10"/>
  <c r="AD1467" i="10"/>
  <c r="AC1467" i="10"/>
  <c r="AB1467" i="10"/>
  <c r="AA1467" i="10"/>
  <c r="Z1467" i="10"/>
  <c r="Y1467" i="10"/>
  <c r="X1467" i="10"/>
  <c r="W1467" i="10"/>
  <c r="V1467" i="10"/>
  <c r="U1467" i="10"/>
  <c r="T1467" i="10"/>
  <c r="S1467" i="10"/>
  <c r="R1467" i="10"/>
  <c r="AE1467" i="10"/>
  <c r="AD1466" i="10"/>
  <c r="AC1466" i="10"/>
  <c r="AB1466" i="10"/>
  <c r="AA1466" i="10"/>
  <c r="Z1466" i="10"/>
  <c r="Y1466" i="10"/>
  <c r="X1466" i="10"/>
  <c r="W1466" i="10"/>
  <c r="V1466" i="10"/>
  <c r="U1466" i="10"/>
  <c r="T1466" i="10"/>
  <c r="S1466" i="10"/>
  <c r="R1466" i="10"/>
  <c r="AE1466" i="10"/>
  <c r="AD1465" i="10"/>
  <c r="AC1465" i="10"/>
  <c r="AB1465" i="10"/>
  <c r="AA1465" i="10"/>
  <c r="Z1465" i="10"/>
  <c r="Y1465" i="10"/>
  <c r="X1465" i="10"/>
  <c r="W1465" i="10"/>
  <c r="V1465" i="10"/>
  <c r="U1465" i="10"/>
  <c r="T1465" i="10"/>
  <c r="S1465" i="10"/>
  <c r="R1465" i="10"/>
  <c r="AD1464" i="10"/>
  <c r="AC1464" i="10"/>
  <c r="AB1464" i="10"/>
  <c r="AA1464" i="10"/>
  <c r="Z1464" i="10"/>
  <c r="Y1464" i="10"/>
  <c r="X1464" i="10"/>
  <c r="W1464" i="10"/>
  <c r="R1464" i="10"/>
  <c r="S1464" i="10"/>
  <c r="T1464" i="10"/>
  <c r="U1464" i="10"/>
  <c r="V1464" i="10"/>
  <c r="AE1464" i="10"/>
  <c r="AD1463" i="10"/>
  <c r="AC1463" i="10"/>
  <c r="AB1463" i="10"/>
  <c r="AA1463" i="10"/>
  <c r="Z1463" i="10"/>
  <c r="Y1463" i="10"/>
  <c r="X1463" i="10"/>
  <c r="W1463" i="10"/>
  <c r="V1463" i="10"/>
  <c r="U1463" i="10"/>
  <c r="T1463" i="10"/>
  <c r="S1463" i="10"/>
  <c r="R1463" i="10"/>
  <c r="AD1462" i="10"/>
  <c r="AC1462" i="10"/>
  <c r="AB1462" i="10"/>
  <c r="AA1462" i="10"/>
  <c r="Z1462" i="10"/>
  <c r="Y1462" i="10"/>
  <c r="X1462" i="10"/>
  <c r="W1462" i="10"/>
  <c r="V1462" i="10"/>
  <c r="U1462" i="10"/>
  <c r="T1462" i="10"/>
  <c r="S1462" i="10"/>
  <c r="R1462" i="10"/>
  <c r="AE1462" i="10"/>
  <c r="AD1461" i="10"/>
  <c r="AC1461" i="10"/>
  <c r="AB1461" i="10"/>
  <c r="AA1461" i="10"/>
  <c r="Z1461" i="10"/>
  <c r="Y1461" i="10"/>
  <c r="X1461" i="10"/>
  <c r="W1461" i="10"/>
  <c r="V1461" i="10"/>
  <c r="U1461" i="10"/>
  <c r="T1461" i="10"/>
  <c r="S1461" i="10"/>
  <c r="R1461" i="10"/>
  <c r="AD1460" i="10"/>
  <c r="AC1460" i="10"/>
  <c r="AB1460" i="10"/>
  <c r="AA1460" i="10"/>
  <c r="Z1460" i="10"/>
  <c r="Y1460" i="10"/>
  <c r="X1460" i="10"/>
  <c r="W1460" i="10"/>
  <c r="V1460" i="10"/>
  <c r="U1460" i="10"/>
  <c r="T1460" i="10"/>
  <c r="S1460" i="10"/>
  <c r="R1460" i="10"/>
  <c r="AD1459" i="10"/>
  <c r="AC1459" i="10"/>
  <c r="AB1459" i="10"/>
  <c r="AA1459" i="10"/>
  <c r="Z1459" i="10"/>
  <c r="Y1459" i="10"/>
  <c r="X1459" i="10"/>
  <c r="W1459" i="10"/>
  <c r="V1459" i="10"/>
  <c r="U1459" i="10"/>
  <c r="T1459" i="10"/>
  <c r="S1459" i="10"/>
  <c r="R1459" i="10"/>
  <c r="AD1458" i="10"/>
  <c r="AC1458" i="10"/>
  <c r="AB1458" i="10"/>
  <c r="AA1458" i="10"/>
  <c r="Z1458" i="10"/>
  <c r="Y1458" i="10"/>
  <c r="X1458" i="10"/>
  <c r="W1458" i="10"/>
  <c r="V1458" i="10"/>
  <c r="U1458" i="10"/>
  <c r="T1458" i="10"/>
  <c r="S1458" i="10"/>
  <c r="R1458" i="10"/>
  <c r="AE1458" i="10"/>
  <c r="AD1457" i="10"/>
  <c r="AC1457" i="10"/>
  <c r="AB1457" i="10"/>
  <c r="AA1457" i="10"/>
  <c r="Z1457" i="10"/>
  <c r="Y1457" i="10"/>
  <c r="X1457" i="10"/>
  <c r="W1457" i="10"/>
  <c r="V1457" i="10"/>
  <c r="U1457" i="10"/>
  <c r="T1457" i="10"/>
  <c r="S1457" i="10"/>
  <c r="R1457" i="10"/>
  <c r="AE1457" i="10"/>
  <c r="AD1456" i="10"/>
  <c r="AC1456" i="10"/>
  <c r="AB1456" i="10"/>
  <c r="AA1456" i="10"/>
  <c r="Z1456" i="10"/>
  <c r="Y1456" i="10"/>
  <c r="X1456" i="10"/>
  <c r="W1456" i="10"/>
  <c r="V1456" i="10"/>
  <c r="U1456" i="10"/>
  <c r="T1456" i="10"/>
  <c r="S1456" i="10"/>
  <c r="R1456" i="10"/>
  <c r="AD1455" i="10"/>
  <c r="AC1455" i="10"/>
  <c r="AB1455" i="10"/>
  <c r="AA1455" i="10"/>
  <c r="Z1455" i="10"/>
  <c r="Y1455" i="10"/>
  <c r="X1455" i="10"/>
  <c r="W1455" i="10"/>
  <c r="V1455" i="10"/>
  <c r="U1455" i="10"/>
  <c r="T1455" i="10"/>
  <c r="S1455" i="10"/>
  <c r="R1455" i="10"/>
  <c r="AD1454" i="10"/>
  <c r="AC1454" i="10"/>
  <c r="AB1454" i="10"/>
  <c r="AA1454" i="10"/>
  <c r="Z1454" i="10"/>
  <c r="Y1454" i="10"/>
  <c r="X1454" i="10"/>
  <c r="W1454" i="10"/>
  <c r="V1454" i="10"/>
  <c r="U1454" i="10"/>
  <c r="T1454" i="10"/>
  <c r="R1454" i="10"/>
  <c r="S1454" i="10"/>
  <c r="AE1454" i="10"/>
  <c r="AD1453" i="10"/>
  <c r="AC1453" i="10"/>
  <c r="AB1453" i="10"/>
  <c r="AA1453" i="10"/>
  <c r="Z1453" i="10"/>
  <c r="Y1453" i="10"/>
  <c r="X1453" i="10"/>
  <c r="W1453" i="10"/>
  <c r="V1453" i="10"/>
  <c r="U1453" i="10"/>
  <c r="T1453" i="10"/>
  <c r="S1453" i="10"/>
  <c r="R1453" i="10"/>
  <c r="AD1452" i="10"/>
  <c r="AC1452" i="10"/>
  <c r="AB1452" i="10"/>
  <c r="AA1452" i="10"/>
  <c r="Z1452" i="10"/>
  <c r="Y1452" i="10"/>
  <c r="X1452" i="10"/>
  <c r="W1452" i="10"/>
  <c r="V1452" i="10"/>
  <c r="U1452" i="10"/>
  <c r="T1452" i="10"/>
  <c r="S1452" i="10"/>
  <c r="R1452" i="10"/>
  <c r="AE1452" i="10"/>
  <c r="AD1451" i="10"/>
  <c r="AC1451" i="10"/>
  <c r="AB1451" i="10"/>
  <c r="AA1451" i="10"/>
  <c r="Z1451" i="10"/>
  <c r="Y1451" i="10"/>
  <c r="X1451" i="10"/>
  <c r="W1451" i="10"/>
  <c r="V1451" i="10"/>
  <c r="U1451" i="10"/>
  <c r="T1451" i="10"/>
  <c r="S1451" i="10"/>
  <c r="R1451" i="10"/>
  <c r="AE1451" i="10"/>
  <c r="AD1450" i="10"/>
  <c r="AC1450" i="10"/>
  <c r="AB1450" i="10"/>
  <c r="AA1450" i="10"/>
  <c r="Z1450" i="10"/>
  <c r="Y1450" i="10"/>
  <c r="X1450" i="10"/>
  <c r="W1450" i="10"/>
  <c r="V1450" i="10"/>
  <c r="U1450" i="10"/>
  <c r="T1450" i="10"/>
  <c r="S1450" i="10"/>
  <c r="R1450" i="10"/>
  <c r="AE1450" i="10"/>
  <c r="AD1449" i="10"/>
  <c r="AC1449" i="10"/>
  <c r="AB1449" i="10"/>
  <c r="AA1449" i="10"/>
  <c r="Z1449" i="10"/>
  <c r="Y1449" i="10"/>
  <c r="X1449" i="10"/>
  <c r="W1449" i="10"/>
  <c r="V1449" i="10"/>
  <c r="U1449" i="10"/>
  <c r="T1449" i="10"/>
  <c r="S1449" i="10"/>
  <c r="R1449" i="10"/>
  <c r="AD1448" i="10"/>
  <c r="AC1448" i="10"/>
  <c r="AB1448" i="10"/>
  <c r="AA1448" i="10"/>
  <c r="Z1448" i="10"/>
  <c r="Y1448" i="10"/>
  <c r="X1448" i="10"/>
  <c r="W1448" i="10"/>
  <c r="V1448" i="10"/>
  <c r="U1448" i="10"/>
  <c r="T1448" i="10"/>
  <c r="S1448" i="10"/>
  <c r="R1448" i="10"/>
  <c r="AE1448" i="10"/>
  <c r="AD1447" i="10"/>
  <c r="AC1447" i="10"/>
  <c r="AB1447" i="10"/>
  <c r="AA1447" i="10"/>
  <c r="Z1447" i="10"/>
  <c r="Y1447" i="10"/>
  <c r="X1447" i="10"/>
  <c r="W1447" i="10"/>
  <c r="R1447" i="10"/>
  <c r="S1447" i="10"/>
  <c r="T1447" i="10"/>
  <c r="U1447" i="10"/>
  <c r="V1447" i="10"/>
  <c r="AE1447" i="10"/>
  <c r="AD1446" i="10"/>
  <c r="AC1446" i="10"/>
  <c r="AB1446" i="10"/>
  <c r="AA1446" i="10"/>
  <c r="Z1446" i="10"/>
  <c r="Y1446" i="10"/>
  <c r="X1446" i="10"/>
  <c r="W1446" i="10"/>
  <c r="V1446" i="10"/>
  <c r="U1446" i="10"/>
  <c r="T1446" i="10"/>
  <c r="S1446" i="10"/>
  <c r="R1446" i="10"/>
  <c r="AD1445" i="10"/>
  <c r="AC1445" i="10"/>
  <c r="AB1445" i="10"/>
  <c r="AA1445" i="10"/>
  <c r="Z1445" i="10"/>
  <c r="Y1445" i="10"/>
  <c r="X1445" i="10"/>
  <c r="W1445" i="10"/>
  <c r="V1445" i="10"/>
  <c r="U1445" i="10"/>
  <c r="T1445" i="10"/>
  <c r="S1445" i="10"/>
  <c r="R1445" i="10"/>
  <c r="AD1444" i="10"/>
  <c r="AC1444" i="10"/>
  <c r="AB1444" i="10"/>
  <c r="AA1444" i="10"/>
  <c r="Z1444" i="10"/>
  <c r="Y1444" i="10"/>
  <c r="X1444" i="10"/>
  <c r="W1444" i="10"/>
  <c r="V1444" i="10"/>
  <c r="U1444" i="10"/>
  <c r="T1444" i="10"/>
  <c r="S1444" i="10"/>
  <c r="R1444" i="10"/>
  <c r="AE1444" i="10"/>
  <c r="AD1443" i="10"/>
  <c r="AC1443" i="10"/>
  <c r="AB1443" i="10"/>
  <c r="AA1443" i="10"/>
  <c r="Z1443" i="10"/>
  <c r="Y1443" i="10"/>
  <c r="X1443" i="10"/>
  <c r="W1443" i="10"/>
  <c r="V1443" i="10"/>
  <c r="U1443" i="10"/>
  <c r="T1443" i="10"/>
  <c r="S1443" i="10"/>
  <c r="R1443" i="10"/>
  <c r="AE1443" i="10"/>
  <c r="AD1442" i="10"/>
  <c r="AC1442" i="10"/>
  <c r="AB1442" i="10"/>
  <c r="AA1442" i="10"/>
  <c r="Z1442" i="10"/>
  <c r="Y1442" i="10"/>
  <c r="X1442" i="10"/>
  <c r="W1442" i="10"/>
  <c r="V1442" i="10"/>
  <c r="U1442" i="10"/>
  <c r="T1442" i="10"/>
  <c r="S1442" i="10"/>
  <c r="R1442" i="10"/>
  <c r="AD1441" i="10"/>
  <c r="AC1441" i="10"/>
  <c r="AB1441" i="10"/>
  <c r="AA1441" i="10"/>
  <c r="Z1441" i="10"/>
  <c r="Y1441" i="10"/>
  <c r="X1441" i="10"/>
  <c r="W1441" i="10"/>
  <c r="V1441" i="10"/>
  <c r="U1441" i="10"/>
  <c r="T1441" i="10"/>
  <c r="S1441" i="10"/>
  <c r="R1441" i="10"/>
  <c r="AD1440" i="10"/>
  <c r="AC1440" i="10"/>
  <c r="AB1440" i="10"/>
  <c r="AA1440" i="10"/>
  <c r="Z1440" i="10"/>
  <c r="Y1440" i="10"/>
  <c r="X1440" i="10"/>
  <c r="W1440" i="10"/>
  <c r="V1440" i="10"/>
  <c r="U1440" i="10"/>
  <c r="T1440" i="10"/>
  <c r="R1440" i="10"/>
  <c r="S1440" i="10"/>
  <c r="AE1440" i="10"/>
  <c r="AD1439" i="10"/>
  <c r="AC1439" i="10"/>
  <c r="AB1439" i="10"/>
  <c r="AA1439" i="10"/>
  <c r="Z1439" i="10"/>
  <c r="Y1439" i="10"/>
  <c r="X1439" i="10"/>
  <c r="W1439" i="10"/>
  <c r="V1439" i="10"/>
  <c r="U1439" i="10"/>
  <c r="T1439" i="10"/>
  <c r="S1439" i="10"/>
  <c r="R1439" i="10"/>
  <c r="AE1439" i="10"/>
  <c r="AD1438" i="10"/>
  <c r="AC1438" i="10"/>
  <c r="AB1438" i="10"/>
  <c r="AA1438" i="10"/>
  <c r="Z1438" i="10"/>
  <c r="Y1438" i="10"/>
  <c r="X1438" i="10"/>
  <c r="W1438" i="10"/>
  <c r="V1438" i="10"/>
  <c r="U1438" i="10"/>
  <c r="T1438" i="10"/>
  <c r="S1438" i="10"/>
  <c r="R1438" i="10"/>
  <c r="AE1438" i="10"/>
  <c r="AD1437" i="10"/>
  <c r="AC1437" i="10"/>
  <c r="AB1437" i="10"/>
  <c r="AA1437" i="10"/>
  <c r="Z1437" i="10"/>
  <c r="Y1437" i="10"/>
  <c r="X1437" i="10"/>
  <c r="W1437" i="10"/>
  <c r="V1437" i="10"/>
  <c r="U1437" i="10"/>
  <c r="T1437" i="10"/>
  <c r="S1437" i="10"/>
  <c r="R1437" i="10"/>
  <c r="AD1436" i="10"/>
  <c r="AC1436" i="10"/>
  <c r="AB1436" i="10"/>
  <c r="AA1436" i="10"/>
  <c r="Z1436" i="10"/>
  <c r="Y1436" i="10"/>
  <c r="X1436" i="10"/>
  <c r="W1436" i="10"/>
  <c r="V1436" i="10"/>
  <c r="U1436" i="10"/>
  <c r="T1436" i="10"/>
  <c r="S1436" i="10"/>
  <c r="R1436" i="10"/>
  <c r="AE1436" i="10"/>
  <c r="AD1435" i="10"/>
  <c r="AC1435" i="10"/>
  <c r="AB1435" i="10"/>
  <c r="AA1435" i="10"/>
  <c r="Z1435" i="10"/>
  <c r="Y1435" i="10"/>
  <c r="X1435" i="10"/>
  <c r="W1435" i="10"/>
  <c r="V1435" i="10"/>
  <c r="U1435" i="10"/>
  <c r="T1435" i="10"/>
  <c r="S1435" i="10"/>
  <c r="R1435" i="10"/>
  <c r="AD1434" i="10"/>
  <c r="AC1434" i="10"/>
  <c r="AB1434" i="10"/>
  <c r="AA1434" i="10"/>
  <c r="Z1434" i="10"/>
  <c r="Y1434" i="10"/>
  <c r="X1434" i="10"/>
  <c r="W1434" i="10"/>
  <c r="V1434" i="10"/>
  <c r="U1434" i="10"/>
  <c r="T1434" i="10"/>
  <c r="S1434" i="10"/>
  <c r="R1434" i="10"/>
  <c r="AE1434" i="10"/>
  <c r="AD1433" i="10"/>
  <c r="AC1433" i="10"/>
  <c r="AB1433" i="10"/>
  <c r="AA1433" i="10"/>
  <c r="Z1433" i="10"/>
  <c r="Y1433" i="10"/>
  <c r="X1433" i="10"/>
  <c r="W1433" i="10"/>
  <c r="R1433" i="10"/>
  <c r="S1433" i="10"/>
  <c r="T1433" i="10"/>
  <c r="U1433" i="10"/>
  <c r="V1433" i="10"/>
  <c r="AE1433" i="10"/>
  <c r="AD1432" i="10"/>
  <c r="AC1432" i="10"/>
  <c r="AB1432" i="10"/>
  <c r="AA1432" i="10"/>
  <c r="Z1432" i="10"/>
  <c r="Y1432" i="10"/>
  <c r="X1432" i="10"/>
  <c r="W1432" i="10"/>
  <c r="V1432" i="10"/>
  <c r="U1432" i="10"/>
  <c r="T1432" i="10"/>
  <c r="S1432" i="10"/>
  <c r="R1432" i="10"/>
  <c r="AD1431" i="10"/>
  <c r="AC1431" i="10"/>
  <c r="AB1431" i="10"/>
  <c r="AA1431" i="10"/>
  <c r="Z1431" i="10"/>
  <c r="Y1431" i="10"/>
  <c r="X1431" i="10"/>
  <c r="W1431" i="10"/>
  <c r="V1431" i="10"/>
  <c r="U1431" i="10"/>
  <c r="T1431" i="10"/>
  <c r="S1431" i="10"/>
  <c r="R1431" i="10"/>
  <c r="AD1430" i="10"/>
  <c r="AC1430" i="10"/>
  <c r="AB1430" i="10"/>
  <c r="AA1430" i="10"/>
  <c r="Z1430" i="10"/>
  <c r="Y1430" i="10"/>
  <c r="X1430" i="10"/>
  <c r="W1430" i="10"/>
  <c r="V1430" i="10"/>
  <c r="U1430" i="10"/>
  <c r="T1430" i="10"/>
  <c r="S1430" i="10"/>
  <c r="R1430" i="10"/>
  <c r="AE1430" i="10"/>
  <c r="AD1429" i="10"/>
  <c r="AC1429" i="10"/>
  <c r="AB1429" i="10"/>
  <c r="AA1429" i="10"/>
  <c r="Z1429" i="10"/>
  <c r="Y1429" i="10"/>
  <c r="X1429" i="10"/>
  <c r="W1429" i="10"/>
  <c r="V1429" i="10"/>
  <c r="U1429" i="10"/>
  <c r="T1429" i="10"/>
  <c r="S1429" i="10"/>
  <c r="R1429" i="10"/>
  <c r="AD1428" i="10"/>
  <c r="AC1428" i="10"/>
  <c r="AB1428" i="10"/>
  <c r="AA1428" i="10"/>
  <c r="Z1428" i="10"/>
  <c r="Y1428" i="10"/>
  <c r="X1428" i="10"/>
  <c r="W1428" i="10"/>
  <c r="V1428" i="10"/>
  <c r="U1428" i="10"/>
  <c r="T1428" i="10"/>
  <c r="S1428" i="10"/>
  <c r="R1428" i="10"/>
  <c r="AE1428" i="10"/>
  <c r="AD1427" i="10"/>
  <c r="AC1427" i="10"/>
  <c r="AB1427" i="10"/>
  <c r="AA1427" i="10"/>
  <c r="Z1427" i="10"/>
  <c r="Y1427" i="10"/>
  <c r="X1427" i="10"/>
  <c r="W1427" i="10"/>
  <c r="V1427" i="10"/>
  <c r="U1427" i="10"/>
  <c r="T1427" i="10"/>
  <c r="S1427" i="10"/>
  <c r="R1427" i="10"/>
  <c r="AE1427" i="10"/>
  <c r="AD1426" i="10"/>
  <c r="AC1426" i="10"/>
  <c r="AB1426" i="10"/>
  <c r="AA1426" i="10"/>
  <c r="Z1426" i="10"/>
  <c r="Y1426" i="10"/>
  <c r="X1426" i="10"/>
  <c r="W1426" i="10"/>
  <c r="R1426" i="10"/>
  <c r="S1426" i="10"/>
  <c r="T1426" i="10"/>
  <c r="U1426" i="10"/>
  <c r="V1426" i="10"/>
  <c r="AE1426" i="10"/>
  <c r="AD1425" i="10"/>
  <c r="AC1425" i="10"/>
  <c r="AB1425" i="10"/>
  <c r="AA1425" i="10"/>
  <c r="Z1425" i="10"/>
  <c r="Y1425" i="10"/>
  <c r="X1425" i="10"/>
  <c r="W1425" i="10"/>
  <c r="V1425" i="10"/>
  <c r="U1425" i="10"/>
  <c r="T1425" i="10"/>
  <c r="S1425" i="10"/>
  <c r="R1425" i="10"/>
  <c r="AE1425" i="10"/>
  <c r="AD1424" i="10"/>
  <c r="AC1424" i="10"/>
  <c r="AB1424" i="10"/>
  <c r="AA1424" i="10"/>
  <c r="Z1424" i="10"/>
  <c r="Y1424" i="10"/>
  <c r="X1424" i="10"/>
  <c r="W1424" i="10"/>
  <c r="V1424" i="10"/>
  <c r="U1424" i="10"/>
  <c r="R1424" i="10"/>
  <c r="S1424" i="10"/>
  <c r="T1424" i="10"/>
  <c r="AE1424" i="10"/>
  <c r="AD1423" i="10"/>
  <c r="AC1423" i="10"/>
  <c r="AB1423" i="10"/>
  <c r="AA1423" i="10"/>
  <c r="Z1423" i="10"/>
  <c r="Y1423" i="10"/>
  <c r="X1423" i="10"/>
  <c r="W1423" i="10"/>
  <c r="V1423" i="10"/>
  <c r="U1423" i="10"/>
  <c r="T1423" i="10"/>
  <c r="R1423" i="10"/>
  <c r="S1423" i="10"/>
  <c r="AE1423" i="10"/>
  <c r="AD1422" i="10"/>
  <c r="AC1422" i="10"/>
  <c r="AB1422" i="10"/>
  <c r="AA1422" i="10"/>
  <c r="Z1422" i="10"/>
  <c r="Y1422" i="10"/>
  <c r="X1422" i="10"/>
  <c r="W1422" i="10"/>
  <c r="V1422" i="10"/>
  <c r="U1422" i="10"/>
  <c r="T1422" i="10"/>
  <c r="S1422" i="10"/>
  <c r="R1422" i="10"/>
  <c r="AE1422" i="10"/>
  <c r="AD1421" i="10"/>
  <c r="AC1421" i="10"/>
  <c r="AB1421" i="10"/>
  <c r="AA1421" i="10"/>
  <c r="Z1421" i="10"/>
  <c r="Y1421" i="10"/>
  <c r="X1421" i="10"/>
  <c r="W1421" i="10"/>
  <c r="V1421" i="10"/>
  <c r="U1421" i="10"/>
  <c r="T1421" i="10"/>
  <c r="S1421" i="10"/>
  <c r="R1421" i="10"/>
  <c r="AE1421" i="10"/>
  <c r="AD1420" i="10"/>
  <c r="AC1420" i="10"/>
  <c r="AB1420" i="10"/>
  <c r="AA1420" i="10"/>
  <c r="Z1420" i="10"/>
  <c r="Y1420" i="10"/>
  <c r="X1420" i="10"/>
  <c r="W1420" i="10"/>
  <c r="V1420" i="10"/>
  <c r="U1420" i="10"/>
  <c r="T1420" i="10"/>
  <c r="S1420" i="10"/>
  <c r="R1420" i="10"/>
  <c r="AD1419" i="10"/>
  <c r="AC1419" i="10"/>
  <c r="AB1419" i="10"/>
  <c r="AA1419" i="10"/>
  <c r="Z1419" i="10"/>
  <c r="Y1419" i="10"/>
  <c r="X1419" i="10"/>
  <c r="W1419" i="10"/>
  <c r="R1419" i="10"/>
  <c r="S1419" i="10"/>
  <c r="T1419" i="10"/>
  <c r="U1419" i="10"/>
  <c r="V1419" i="10"/>
  <c r="AE1419" i="10"/>
  <c r="AD1418" i="10"/>
  <c r="AC1418" i="10"/>
  <c r="AB1418" i="10"/>
  <c r="AA1418" i="10"/>
  <c r="Z1418" i="10"/>
  <c r="Y1418" i="10"/>
  <c r="X1418" i="10"/>
  <c r="W1418" i="10"/>
  <c r="V1418" i="10"/>
  <c r="U1418" i="10"/>
  <c r="T1418" i="10"/>
  <c r="S1418" i="10"/>
  <c r="R1418" i="10"/>
  <c r="AD1417" i="10"/>
  <c r="AC1417" i="10"/>
  <c r="AB1417" i="10"/>
  <c r="AA1417" i="10"/>
  <c r="Z1417" i="10"/>
  <c r="Y1417" i="10"/>
  <c r="X1417" i="10"/>
  <c r="W1417" i="10"/>
  <c r="V1417" i="10"/>
  <c r="U1417" i="10"/>
  <c r="T1417" i="10"/>
  <c r="S1417" i="10"/>
  <c r="R1417" i="10"/>
  <c r="AE1417" i="10"/>
  <c r="AD1416" i="10"/>
  <c r="AC1416" i="10"/>
  <c r="AB1416" i="10"/>
  <c r="AA1416" i="10"/>
  <c r="Z1416" i="10"/>
  <c r="Y1416" i="10"/>
  <c r="X1416" i="10"/>
  <c r="W1416" i="10"/>
  <c r="V1416" i="10"/>
  <c r="U1416" i="10"/>
  <c r="T1416" i="10"/>
  <c r="S1416" i="10"/>
  <c r="R1416" i="10"/>
  <c r="AE1416" i="10"/>
  <c r="AD1415" i="10"/>
  <c r="AC1415" i="10"/>
  <c r="AB1415" i="10"/>
  <c r="AA1415" i="10"/>
  <c r="Z1415" i="10"/>
  <c r="Y1415" i="10"/>
  <c r="X1415" i="10"/>
  <c r="W1415" i="10"/>
  <c r="V1415" i="10"/>
  <c r="U1415" i="10"/>
  <c r="T1415" i="10"/>
  <c r="S1415" i="10"/>
  <c r="R1415" i="10"/>
  <c r="AE1415" i="10"/>
  <c r="AD1414" i="10"/>
  <c r="AC1414" i="10"/>
  <c r="AB1414" i="10"/>
  <c r="AA1414" i="10"/>
  <c r="Z1414" i="10"/>
  <c r="Y1414" i="10"/>
  <c r="X1414" i="10"/>
  <c r="W1414" i="10"/>
  <c r="V1414" i="10"/>
  <c r="U1414" i="10"/>
  <c r="T1414" i="10"/>
  <c r="S1414" i="10"/>
  <c r="R1414" i="10"/>
  <c r="AE1414" i="10"/>
  <c r="AD1413" i="10"/>
  <c r="AC1413" i="10"/>
  <c r="AB1413" i="10"/>
  <c r="AA1413" i="10"/>
  <c r="Z1413" i="10"/>
  <c r="Y1413" i="10"/>
  <c r="X1413" i="10"/>
  <c r="W1413" i="10"/>
  <c r="V1413" i="10"/>
  <c r="U1413" i="10"/>
  <c r="T1413" i="10"/>
  <c r="S1413" i="10"/>
  <c r="R1413" i="10"/>
  <c r="AD1412" i="10"/>
  <c r="AC1412" i="10"/>
  <c r="AB1412" i="10"/>
  <c r="AA1412" i="10"/>
  <c r="Z1412" i="10"/>
  <c r="Y1412" i="10"/>
  <c r="X1412" i="10"/>
  <c r="W1412" i="10"/>
  <c r="R1412" i="10"/>
  <c r="S1412" i="10"/>
  <c r="T1412" i="10"/>
  <c r="U1412" i="10"/>
  <c r="V1412" i="10"/>
  <c r="AE1412" i="10"/>
  <c r="AD1411" i="10"/>
  <c r="AC1411" i="10"/>
  <c r="AB1411" i="10"/>
  <c r="AA1411" i="10"/>
  <c r="Z1411" i="10"/>
  <c r="Y1411" i="10"/>
  <c r="X1411" i="10"/>
  <c r="W1411" i="10"/>
  <c r="V1411" i="10"/>
  <c r="U1411" i="10"/>
  <c r="T1411" i="10"/>
  <c r="S1411" i="10"/>
  <c r="R1411" i="10"/>
  <c r="AE1411" i="10"/>
  <c r="AD1410" i="10"/>
  <c r="AC1410" i="10"/>
  <c r="AB1410" i="10"/>
  <c r="AA1410" i="10"/>
  <c r="Z1410" i="10"/>
  <c r="Y1410" i="10"/>
  <c r="X1410" i="10"/>
  <c r="W1410" i="10"/>
  <c r="V1410" i="10"/>
  <c r="U1410" i="10"/>
  <c r="T1410" i="10"/>
  <c r="S1410" i="10"/>
  <c r="R1410" i="10"/>
  <c r="AD1409" i="10"/>
  <c r="AC1409" i="10"/>
  <c r="AB1409" i="10"/>
  <c r="AA1409" i="10"/>
  <c r="Z1409" i="10"/>
  <c r="Y1409" i="10"/>
  <c r="X1409" i="10"/>
  <c r="W1409" i="10"/>
  <c r="V1409" i="10"/>
  <c r="U1409" i="10"/>
  <c r="T1409" i="10"/>
  <c r="S1409" i="10"/>
  <c r="R1409" i="10"/>
  <c r="AD1408" i="10"/>
  <c r="AC1408" i="10"/>
  <c r="AB1408" i="10"/>
  <c r="AA1408" i="10"/>
  <c r="Z1408" i="10"/>
  <c r="Y1408" i="10"/>
  <c r="X1408" i="10"/>
  <c r="W1408" i="10"/>
  <c r="V1408" i="10"/>
  <c r="U1408" i="10"/>
  <c r="T1408" i="10"/>
  <c r="S1408" i="10"/>
  <c r="R1408" i="10"/>
  <c r="AE1408" i="10"/>
  <c r="AD1407" i="10"/>
  <c r="AC1407" i="10"/>
  <c r="AB1407" i="10"/>
  <c r="AA1407" i="10"/>
  <c r="Z1407" i="10"/>
  <c r="Y1407" i="10"/>
  <c r="X1407" i="10"/>
  <c r="W1407" i="10"/>
  <c r="V1407" i="10"/>
  <c r="U1407" i="10"/>
  <c r="T1407" i="10"/>
  <c r="S1407" i="10"/>
  <c r="R1407" i="10"/>
  <c r="AE1407" i="10"/>
  <c r="AD1406" i="10"/>
  <c r="AC1406" i="10"/>
  <c r="AB1406" i="10"/>
  <c r="AA1406" i="10"/>
  <c r="Z1406" i="10"/>
  <c r="Y1406" i="10"/>
  <c r="X1406" i="10"/>
  <c r="W1406" i="10"/>
  <c r="V1406" i="10"/>
  <c r="U1406" i="10"/>
  <c r="T1406" i="10"/>
  <c r="S1406" i="10"/>
  <c r="R1406" i="10"/>
  <c r="AD1405" i="10"/>
  <c r="AC1405" i="10"/>
  <c r="AB1405" i="10"/>
  <c r="AA1405" i="10"/>
  <c r="Z1405" i="10"/>
  <c r="Y1405" i="10"/>
  <c r="X1405" i="10"/>
  <c r="W1405" i="10"/>
  <c r="V1405" i="10"/>
  <c r="U1405" i="10"/>
  <c r="T1405" i="10"/>
  <c r="S1405" i="10"/>
  <c r="R1405" i="10"/>
  <c r="AD1404" i="10"/>
  <c r="AC1404" i="10"/>
  <c r="AB1404" i="10"/>
  <c r="AA1404" i="10"/>
  <c r="Z1404" i="10"/>
  <c r="Y1404" i="10"/>
  <c r="X1404" i="10"/>
  <c r="W1404" i="10"/>
  <c r="V1404" i="10"/>
  <c r="U1404" i="10"/>
  <c r="T1404" i="10"/>
  <c r="S1404" i="10"/>
  <c r="R1404" i="10"/>
  <c r="AD1403" i="10"/>
  <c r="AC1403" i="10"/>
  <c r="AB1403" i="10"/>
  <c r="AA1403" i="10"/>
  <c r="Z1403" i="10"/>
  <c r="Y1403" i="10"/>
  <c r="X1403" i="10"/>
  <c r="W1403" i="10"/>
  <c r="V1403" i="10"/>
  <c r="U1403" i="10"/>
  <c r="T1403" i="10"/>
  <c r="S1403" i="10"/>
  <c r="R1403" i="10"/>
  <c r="AE1403" i="10"/>
  <c r="AD1402" i="10"/>
  <c r="AC1402" i="10"/>
  <c r="AB1402" i="10"/>
  <c r="AA1402" i="10"/>
  <c r="Z1402" i="10"/>
  <c r="Y1402" i="10"/>
  <c r="X1402" i="10"/>
  <c r="W1402" i="10"/>
  <c r="V1402" i="10"/>
  <c r="U1402" i="10"/>
  <c r="T1402" i="10"/>
  <c r="S1402" i="10"/>
  <c r="R1402" i="10"/>
  <c r="AE1402" i="10"/>
  <c r="AD1401" i="10"/>
  <c r="AC1401" i="10"/>
  <c r="AB1401" i="10"/>
  <c r="AA1401" i="10"/>
  <c r="Z1401" i="10"/>
  <c r="Y1401" i="10"/>
  <c r="X1401" i="10"/>
  <c r="W1401" i="10"/>
  <c r="V1401" i="10"/>
  <c r="U1401" i="10"/>
  <c r="T1401" i="10"/>
  <c r="R1401" i="10"/>
  <c r="S1401" i="10"/>
  <c r="AE1401" i="10"/>
  <c r="AD1400" i="10"/>
  <c r="AC1400" i="10"/>
  <c r="AB1400" i="10"/>
  <c r="AA1400" i="10"/>
  <c r="Z1400" i="10"/>
  <c r="Y1400" i="10"/>
  <c r="X1400" i="10"/>
  <c r="W1400" i="10"/>
  <c r="R1400" i="10"/>
  <c r="S1400" i="10"/>
  <c r="T1400" i="10"/>
  <c r="U1400" i="10"/>
  <c r="V1400" i="10"/>
  <c r="AE1400" i="10"/>
  <c r="AD1399" i="10"/>
  <c r="AC1399" i="10"/>
  <c r="AB1399" i="10"/>
  <c r="AA1399" i="10"/>
  <c r="Z1399" i="10"/>
  <c r="Y1399" i="10"/>
  <c r="X1399" i="10"/>
  <c r="W1399" i="10"/>
  <c r="V1399" i="10"/>
  <c r="U1399" i="10"/>
  <c r="T1399" i="10"/>
  <c r="S1399" i="10"/>
  <c r="R1399" i="10"/>
  <c r="AE1399" i="10"/>
  <c r="AD1398" i="10"/>
  <c r="AC1398" i="10"/>
  <c r="AB1398" i="10"/>
  <c r="AA1398" i="10"/>
  <c r="Z1398" i="10"/>
  <c r="Y1398" i="10"/>
  <c r="X1398" i="10"/>
  <c r="W1398" i="10"/>
  <c r="V1398" i="10"/>
  <c r="U1398" i="10"/>
  <c r="T1398" i="10"/>
  <c r="S1398" i="10"/>
  <c r="R1398" i="10"/>
  <c r="AE1398" i="10"/>
  <c r="AD1397" i="10"/>
  <c r="AC1397" i="10"/>
  <c r="AB1397" i="10"/>
  <c r="AA1397" i="10"/>
  <c r="Z1397" i="10"/>
  <c r="Y1397" i="10"/>
  <c r="X1397" i="10"/>
  <c r="W1397" i="10"/>
  <c r="V1397" i="10"/>
  <c r="U1397" i="10"/>
  <c r="T1397" i="10"/>
  <c r="S1397" i="10"/>
  <c r="R1397" i="10"/>
  <c r="AD1396" i="10"/>
  <c r="AC1396" i="10"/>
  <c r="AB1396" i="10"/>
  <c r="AA1396" i="10"/>
  <c r="Z1396" i="10"/>
  <c r="Y1396" i="10"/>
  <c r="X1396" i="10"/>
  <c r="W1396" i="10"/>
  <c r="V1396" i="10"/>
  <c r="U1396" i="10"/>
  <c r="T1396" i="10"/>
  <c r="S1396" i="10"/>
  <c r="R1396" i="10"/>
  <c r="AD1395" i="10"/>
  <c r="AC1395" i="10"/>
  <c r="AB1395" i="10"/>
  <c r="AA1395" i="10"/>
  <c r="Z1395" i="10"/>
  <c r="Y1395" i="10"/>
  <c r="X1395" i="10"/>
  <c r="W1395" i="10"/>
  <c r="V1395" i="10"/>
  <c r="U1395" i="10"/>
  <c r="T1395" i="10"/>
  <c r="S1395" i="10"/>
  <c r="R1395" i="10"/>
  <c r="AE1395" i="10"/>
  <c r="AD1394" i="10"/>
  <c r="AC1394" i="10"/>
  <c r="AB1394" i="10"/>
  <c r="AA1394" i="10"/>
  <c r="Z1394" i="10"/>
  <c r="Y1394" i="10"/>
  <c r="X1394" i="10"/>
  <c r="W1394" i="10"/>
  <c r="V1394" i="10"/>
  <c r="U1394" i="10"/>
  <c r="T1394" i="10"/>
  <c r="S1394" i="10"/>
  <c r="R1394" i="10"/>
  <c r="AD1393" i="10"/>
  <c r="AC1393" i="10"/>
  <c r="AB1393" i="10"/>
  <c r="AA1393" i="10"/>
  <c r="Z1393" i="10"/>
  <c r="Y1393" i="10"/>
  <c r="X1393" i="10"/>
  <c r="W1393" i="10"/>
  <c r="R1393" i="10"/>
  <c r="S1393" i="10"/>
  <c r="T1393" i="10"/>
  <c r="U1393" i="10"/>
  <c r="V1393" i="10"/>
  <c r="AE1393" i="10"/>
  <c r="AD1392" i="10"/>
  <c r="AC1392" i="10"/>
  <c r="AB1392" i="10"/>
  <c r="AA1392" i="10"/>
  <c r="Z1392" i="10"/>
  <c r="Y1392" i="10"/>
  <c r="X1392" i="10"/>
  <c r="W1392" i="10"/>
  <c r="V1392" i="10"/>
  <c r="U1392" i="10"/>
  <c r="T1392" i="10"/>
  <c r="S1392" i="10"/>
  <c r="R1392" i="10"/>
  <c r="AD1391" i="10"/>
  <c r="AC1391" i="10"/>
  <c r="AB1391" i="10"/>
  <c r="AA1391" i="10"/>
  <c r="Z1391" i="10"/>
  <c r="Y1391" i="10"/>
  <c r="X1391" i="10"/>
  <c r="W1391" i="10"/>
  <c r="V1391" i="10"/>
  <c r="U1391" i="10"/>
  <c r="T1391" i="10"/>
  <c r="S1391" i="10"/>
  <c r="R1391" i="10"/>
  <c r="AE1391" i="10"/>
  <c r="AD1390" i="10"/>
  <c r="AC1390" i="10"/>
  <c r="AB1390" i="10"/>
  <c r="AA1390" i="10"/>
  <c r="Z1390" i="10"/>
  <c r="Y1390" i="10"/>
  <c r="X1390" i="10"/>
  <c r="W1390" i="10"/>
  <c r="R1390" i="10"/>
  <c r="S1390" i="10"/>
  <c r="T1390" i="10"/>
  <c r="U1390" i="10"/>
  <c r="V1390" i="10"/>
  <c r="AE1390" i="10"/>
  <c r="AD1389" i="10"/>
  <c r="AC1389" i="10"/>
  <c r="AB1389" i="10"/>
  <c r="AA1389" i="10"/>
  <c r="Z1389" i="10"/>
  <c r="Y1389" i="10"/>
  <c r="X1389" i="10"/>
  <c r="W1389" i="10"/>
  <c r="V1389" i="10"/>
  <c r="U1389" i="10"/>
  <c r="T1389" i="10"/>
  <c r="S1389" i="10"/>
  <c r="R1389" i="10"/>
  <c r="AD1388" i="10"/>
  <c r="AC1388" i="10"/>
  <c r="AB1388" i="10"/>
  <c r="AA1388" i="10"/>
  <c r="Z1388" i="10"/>
  <c r="Y1388" i="10"/>
  <c r="X1388" i="10"/>
  <c r="W1388" i="10"/>
  <c r="V1388" i="10"/>
  <c r="U1388" i="10"/>
  <c r="T1388" i="10"/>
  <c r="S1388" i="10"/>
  <c r="R1388" i="10"/>
  <c r="AE1388" i="10"/>
  <c r="AD1387" i="10"/>
  <c r="AC1387" i="10"/>
  <c r="AB1387" i="10"/>
  <c r="AA1387" i="10"/>
  <c r="Z1387" i="10"/>
  <c r="Y1387" i="10"/>
  <c r="X1387" i="10"/>
  <c r="W1387" i="10"/>
  <c r="V1387" i="10"/>
  <c r="U1387" i="10"/>
  <c r="T1387" i="10"/>
  <c r="S1387" i="10"/>
  <c r="R1387" i="10"/>
  <c r="AE1387" i="10"/>
  <c r="AD1386" i="10"/>
  <c r="AC1386" i="10"/>
  <c r="AB1386" i="10"/>
  <c r="AA1386" i="10"/>
  <c r="Z1386" i="10"/>
  <c r="Y1386" i="10"/>
  <c r="X1386" i="10"/>
  <c r="W1386" i="10"/>
  <c r="V1386" i="10"/>
  <c r="U1386" i="10"/>
  <c r="T1386" i="10"/>
  <c r="S1386" i="10"/>
  <c r="R1386" i="10"/>
  <c r="AE1386" i="10"/>
  <c r="AD1385" i="10"/>
  <c r="AC1385" i="10"/>
  <c r="AB1385" i="10"/>
  <c r="AA1385" i="10"/>
  <c r="Z1385" i="10"/>
  <c r="Y1385" i="10"/>
  <c r="X1385" i="10"/>
  <c r="W1385" i="10"/>
  <c r="V1385" i="10"/>
  <c r="U1385" i="10"/>
  <c r="T1385" i="10"/>
  <c r="S1385" i="10"/>
  <c r="R1385" i="10"/>
  <c r="AE1385" i="10"/>
  <c r="AD1384" i="10"/>
  <c r="AC1384" i="10"/>
  <c r="AB1384" i="10"/>
  <c r="AA1384" i="10"/>
  <c r="Z1384" i="10"/>
  <c r="Y1384" i="10"/>
  <c r="X1384" i="10"/>
  <c r="W1384" i="10"/>
  <c r="V1384" i="10"/>
  <c r="U1384" i="10"/>
  <c r="T1384" i="10"/>
  <c r="S1384" i="10"/>
  <c r="R1384" i="10"/>
  <c r="AD1383" i="10"/>
  <c r="AC1383" i="10"/>
  <c r="AB1383" i="10"/>
  <c r="AA1383" i="10"/>
  <c r="Z1383" i="10"/>
  <c r="Y1383" i="10"/>
  <c r="X1383" i="10"/>
  <c r="W1383" i="10"/>
  <c r="R1383" i="10"/>
  <c r="S1383" i="10"/>
  <c r="T1383" i="10"/>
  <c r="U1383" i="10"/>
  <c r="V1383" i="10"/>
  <c r="AE1383" i="10"/>
  <c r="AD1382" i="10"/>
  <c r="AC1382" i="10"/>
  <c r="AB1382" i="10"/>
  <c r="AA1382" i="10"/>
  <c r="Z1382" i="10"/>
  <c r="Y1382" i="10"/>
  <c r="X1382" i="10"/>
  <c r="W1382" i="10"/>
  <c r="V1382" i="10"/>
  <c r="U1382" i="10"/>
  <c r="T1382" i="10"/>
  <c r="S1382" i="10"/>
  <c r="R1382" i="10"/>
  <c r="AD1381" i="10"/>
  <c r="AC1381" i="10"/>
  <c r="AB1381" i="10"/>
  <c r="AA1381" i="10"/>
  <c r="Z1381" i="10"/>
  <c r="Y1381" i="10"/>
  <c r="X1381" i="10"/>
  <c r="W1381" i="10"/>
  <c r="V1381" i="10"/>
  <c r="U1381" i="10"/>
  <c r="T1381" i="10"/>
  <c r="S1381" i="10"/>
  <c r="R1381" i="10"/>
  <c r="AE1381" i="10"/>
  <c r="AD1380" i="10"/>
  <c r="AC1380" i="10"/>
  <c r="AB1380" i="10"/>
  <c r="AA1380" i="10"/>
  <c r="Z1380" i="10"/>
  <c r="Y1380" i="10"/>
  <c r="X1380" i="10"/>
  <c r="W1380" i="10"/>
  <c r="V1380" i="10"/>
  <c r="U1380" i="10"/>
  <c r="T1380" i="10"/>
  <c r="S1380" i="10"/>
  <c r="R1380" i="10"/>
  <c r="AD1379" i="10"/>
  <c r="AC1379" i="10"/>
  <c r="AB1379" i="10"/>
  <c r="AA1379" i="10"/>
  <c r="Z1379" i="10"/>
  <c r="Y1379" i="10"/>
  <c r="X1379" i="10"/>
  <c r="W1379" i="10"/>
  <c r="R1379" i="10"/>
  <c r="S1379" i="10"/>
  <c r="T1379" i="10"/>
  <c r="U1379" i="10"/>
  <c r="V1379" i="10"/>
  <c r="AE1379" i="10"/>
  <c r="AD1378" i="10"/>
  <c r="AC1378" i="10"/>
  <c r="AB1378" i="10"/>
  <c r="AA1378" i="10"/>
  <c r="Z1378" i="10"/>
  <c r="Y1378" i="10"/>
  <c r="X1378" i="10"/>
  <c r="W1378" i="10"/>
  <c r="V1378" i="10"/>
  <c r="U1378" i="10"/>
  <c r="T1378" i="10"/>
  <c r="S1378" i="10"/>
  <c r="R1378" i="10"/>
  <c r="AD1377" i="10"/>
  <c r="AC1377" i="10"/>
  <c r="AB1377" i="10"/>
  <c r="AA1377" i="10"/>
  <c r="Z1377" i="10"/>
  <c r="Y1377" i="10"/>
  <c r="X1377" i="10"/>
  <c r="W1377" i="10"/>
  <c r="V1377" i="10"/>
  <c r="U1377" i="10"/>
  <c r="T1377" i="10"/>
  <c r="S1377" i="10"/>
  <c r="R1377" i="10"/>
  <c r="AD1376" i="10"/>
  <c r="AC1376" i="10"/>
  <c r="AB1376" i="10"/>
  <c r="AA1376" i="10"/>
  <c r="Z1376" i="10"/>
  <c r="Y1376" i="10"/>
  <c r="X1376" i="10"/>
  <c r="W1376" i="10"/>
  <c r="R1376" i="10"/>
  <c r="S1376" i="10"/>
  <c r="T1376" i="10"/>
  <c r="U1376" i="10"/>
  <c r="V1376" i="10"/>
  <c r="AE1376" i="10"/>
  <c r="AD1375" i="10"/>
  <c r="AC1375" i="10"/>
  <c r="AB1375" i="10"/>
  <c r="AA1375" i="10"/>
  <c r="Z1375" i="10"/>
  <c r="Y1375" i="10"/>
  <c r="X1375" i="10"/>
  <c r="W1375" i="10"/>
  <c r="V1375" i="10"/>
  <c r="U1375" i="10"/>
  <c r="T1375" i="10"/>
  <c r="S1375" i="10"/>
  <c r="R1375" i="10"/>
  <c r="AD1374" i="10"/>
  <c r="AC1374" i="10"/>
  <c r="AB1374" i="10"/>
  <c r="AA1374" i="10"/>
  <c r="Z1374" i="10"/>
  <c r="Y1374" i="10"/>
  <c r="X1374" i="10"/>
  <c r="W1374" i="10"/>
  <c r="V1374" i="10"/>
  <c r="U1374" i="10"/>
  <c r="T1374" i="10"/>
  <c r="S1374" i="10"/>
  <c r="R1374" i="10"/>
  <c r="AD1373" i="10"/>
  <c r="AC1373" i="10"/>
  <c r="AB1373" i="10"/>
  <c r="AA1373" i="10"/>
  <c r="Z1373" i="10"/>
  <c r="Y1373" i="10"/>
  <c r="X1373" i="10"/>
  <c r="W1373" i="10"/>
  <c r="V1373" i="10"/>
  <c r="U1373" i="10"/>
  <c r="T1373" i="10"/>
  <c r="S1373" i="10"/>
  <c r="R1373" i="10"/>
  <c r="AD1372" i="10"/>
  <c r="AC1372" i="10"/>
  <c r="AB1372" i="10"/>
  <c r="AA1372" i="10"/>
  <c r="Z1372" i="10"/>
  <c r="Y1372" i="10"/>
  <c r="X1372" i="10"/>
  <c r="W1372" i="10"/>
  <c r="V1372" i="10"/>
  <c r="U1372" i="10"/>
  <c r="T1372" i="10"/>
  <c r="S1372" i="10"/>
  <c r="R1372" i="10"/>
  <c r="AE1372" i="10"/>
  <c r="AD1371" i="10"/>
  <c r="AC1371" i="10"/>
  <c r="AB1371" i="10"/>
  <c r="AA1371" i="10"/>
  <c r="Z1371" i="10"/>
  <c r="Y1371" i="10"/>
  <c r="X1371" i="10"/>
  <c r="W1371" i="10"/>
  <c r="V1371" i="10"/>
  <c r="U1371" i="10"/>
  <c r="T1371" i="10"/>
  <c r="S1371" i="10"/>
  <c r="R1371" i="10"/>
  <c r="AE1371" i="10"/>
  <c r="AD1370" i="10"/>
  <c r="AC1370" i="10"/>
  <c r="AB1370" i="10"/>
  <c r="AA1370" i="10"/>
  <c r="Z1370" i="10"/>
  <c r="Y1370" i="10"/>
  <c r="X1370" i="10"/>
  <c r="W1370" i="10"/>
  <c r="V1370" i="10"/>
  <c r="U1370" i="10"/>
  <c r="T1370" i="10"/>
  <c r="S1370" i="10"/>
  <c r="R1370" i="10"/>
  <c r="AD1369" i="10"/>
  <c r="AC1369" i="10"/>
  <c r="AB1369" i="10"/>
  <c r="AA1369" i="10"/>
  <c r="Z1369" i="10"/>
  <c r="Y1369" i="10"/>
  <c r="X1369" i="10"/>
  <c r="W1369" i="10"/>
  <c r="R1369" i="10"/>
  <c r="S1369" i="10"/>
  <c r="T1369" i="10"/>
  <c r="U1369" i="10"/>
  <c r="V1369" i="10"/>
  <c r="AE1369" i="10"/>
  <c r="AD1368" i="10"/>
  <c r="AC1368" i="10"/>
  <c r="AB1368" i="10"/>
  <c r="AA1368" i="10"/>
  <c r="Z1368" i="10"/>
  <c r="Y1368" i="10"/>
  <c r="X1368" i="10"/>
  <c r="W1368" i="10"/>
  <c r="V1368" i="10"/>
  <c r="U1368" i="10"/>
  <c r="T1368" i="10"/>
  <c r="S1368" i="10"/>
  <c r="R1368" i="10"/>
  <c r="AD1367" i="10"/>
  <c r="AC1367" i="10"/>
  <c r="AB1367" i="10"/>
  <c r="AA1367" i="10"/>
  <c r="Z1367" i="10"/>
  <c r="Y1367" i="10"/>
  <c r="X1367" i="10"/>
  <c r="W1367" i="10"/>
  <c r="V1367" i="10"/>
  <c r="U1367" i="10"/>
  <c r="T1367" i="10"/>
  <c r="S1367" i="10"/>
  <c r="R1367" i="10"/>
  <c r="AE1367" i="10"/>
  <c r="AD1366" i="10"/>
  <c r="AC1366" i="10"/>
  <c r="AB1366" i="10"/>
  <c r="AA1366" i="10"/>
  <c r="Z1366" i="10"/>
  <c r="Y1366" i="10"/>
  <c r="X1366" i="10"/>
  <c r="W1366" i="10"/>
  <c r="V1366" i="10"/>
  <c r="U1366" i="10"/>
  <c r="T1366" i="10"/>
  <c r="S1366" i="10"/>
  <c r="R1366" i="10"/>
  <c r="AE1366" i="10"/>
  <c r="AD1365" i="10"/>
  <c r="AC1365" i="10"/>
  <c r="AB1365" i="10"/>
  <c r="AA1365" i="10"/>
  <c r="Z1365" i="10"/>
  <c r="Y1365" i="10"/>
  <c r="X1365" i="10"/>
  <c r="W1365" i="10"/>
  <c r="V1365" i="10"/>
  <c r="U1365" i="10"/>
  <c r="T1365" i="10"/>
  <c r="S1365" i="10"/>
  <c r="R1365" i="10"/>
  <c r="AD1364" i="10"/>
  <c r="AC1364" i="10"/>
  <c r="AB1364" i="10"/>
  <c r="AA1364" i="10"/>
  <c r="Z1364" i="10"/>
  <c r="Y1364" i="10"/>
  <c r="X1364" i="10"/>
  <c r="W1364" i="10"/>
  <c r="V1364" i="10"/>
  <c r="U1364" i="10"/>
  <c r="T1364" i="10"/>
  <c r="S1364" i="10"/>
  <c r="R1364" i="10"/>
  <c r="AE1364" i="10"/>
  <c r="AD1363" i="10"/>
  <c r="AC1363" i="10"/>
  <c r="AB1363" i="10"/>
  <c r="AA1363" i="10"/>
  <c r="Z1363" i="10"/>
  <c r="Y1363" i="10"/>
  <c r="X1363" i="10"/>
  <c r="W1363" i="10"/>
  <c r="V1363" i="10"/>
  <c r="U1363" i="10"/>
  <c r="T1363" i="10"/>
  <c r="S1363" i="10"/>
  <c r="R1363" i="10"/>
  <c r="AE1363" i="10"/>
  <c r="AD1362" i="10"/>
  <c r="AC1362" i="10"/>
  <c r="AB1362" i="10"/>
  <c r="AA1362" i="10"/>
  <c r="Z1362" i="10"/>
  <c r="Y1362" i="10"/>
  <c r="X1362" i="10"/>
  <c r="W1362" i="10"/>
  <c r="R1362" i="10"/>
  <c r="S1362" i="10"/>
  <c r="T1362" i="10"/>
  <c r="U1362" i="10"/>
  <c r="V1362" i="10"/>
  <c r="AE1362" i="10"/>
  <c r="AD1361" i="10"/>
  <c r="AC1361" i="10"/>
  <c r="AB1361" i="10"/>
  <c r="AA1361" i="10"/>
  <c r="Z1361" i="10"/>
  <c r="Y1361" i="10"/>
  <c r="X1361" i="10"/>
  <c r="W1361" i="10"/>
  <c r="V1361" i="10"/>
  <c r="U1361" i="10"/>
  <c r="T1361" i="10"/>
  <c r="S1361" i="10"/>
  <c r="R1361" i="10"/>
  <c r="AD1360" i="10"/>
  <c r="AC1360" i="10"/>
  <c r="AB1360" i="10"/>
  <c r="AA1360" i="10"/>
  <c r="Z1360" i="10"/>
  <c r="Y1360" i="10"/>
  <c r="X1360" i="10"/>
  <c r="W1360" i="10"/>
  <c r="V1360" i="10"/>
  <c r="U1360" i="10"/>
  <c r="R1360" i="10"/>
  <c r="S1360" i="10"/>
  <c r="T1360" i="10"/>
  <c r="AE1360" i="10"/>
  <c r="AD1359" i="10"/>
  <c r="AC1359" i="10"/>
  <c r="AB1359" i="10"/>
  <c r="AA1359" i="10"/>
  <c r="Z1359" i="10"/>
  <c r="Y1359" i="10"/>
  <c r="X1359" i="10"/>
  <c r="W1359" i="10"/>
  <c r="V1359" i="10"/>
  <c r="U1359" i="10"/>
  <c r="T1359" i="10"/>
  <c r="R1359" i="10"/>
  <c r="S1359" i="10"/>
  <c r="AE1359" i="10"/>
  <c r="AD1358" i="10"/>
  <c r="AC1358" i="10"/>
  <c r="AB1358" i="10"/>
  <c r="AA1358" i="10"/>
  <c r="Z1358" i="10"/>
  <c r="Y1358" i="10"/>
  <c r="X1358" i="10"/>
  <c r="W1358" i="10"/>
  <c r="V1358" i="10"/>
  <c r="U1358" i="10"/>
  <c r="T1358" i="10"/>
  <c r="S1358" i="10"/>
  <c r="R1358" i="10"/>
  <c r="AE1358" i="10"/>
  <c r="AD1357" i="10"/>
  <c r="AC1357" i="10"/>
  <c r="AB1357" i="10"/>
  <c r="AA1357" i="10"/>
  <c r="Z1357" i="10"/>
  <c r="Y1357" i="10"/>
  <c r="X1357" i="10"/>
  <c r="W1357" i="10"/>
  <c r="V1357" i="10"/>
  <c r="U1357" i="10"/>
  <c r="T1357" i="10"/>
  <c r="S1357" i="10"/>
  <c r="R1357" i="10"/>
  <c r="AE1357" i="10"/>
  <c r="AD1356" i="10"/>
  <c r="AC1356" i="10"/>
  <c r="AB1356" i="10"/>
  <c r="AA1356" i="10"/>
  <c r="Z1356" i="10"/>
  <c r="Y1356" i="10"/>
  <c r="X1356" i="10"/>
  <c r="W1356" i="10"/>
  <c r="V1356" i="10"/>
  <c r="U1356" i="10"/>
  <c r="T1356" i="10"/>
  <c r="S1356" i="10"/>
  <c r="R1356" i="10"/>
  <c r="AD1355" i="10"/>
  <c r="AC1355" i="10"/>
  <c r="AB1355" i="10"/>
  <c r="AA1355" i="10"/>
  <c r="Z1355" i="10"/>
  <c r="Y1355" i="10"/>
  <c r="X1355" i="10"/>
  <c r="W1355" i="10"/>
  <c r="V1355" i="10"/>
  <c r="U1355" i="10"/>
  <c r="T1355" i="10"/>
  <c r="S1355" i="10"/>
  <c r="R1355" i="10"/>
  <c r="AE1355" i="10"/>
  <c r="AD1354" i="10"/>
  <c r="AC1354" i="10"/>
  <c r="AB1354" i="10"/>
  <c r="AA1354" i="10"/>
  <c r="Z1354" i="10"/>
  <c r="Y1354" i="10"/>
  <c r="X1354" i="10"/>
  <c r="W1354" i="10"/>
  <c r="V1354" i="10"/>
  <c r="U1354" i="10"/>
  <c r="T1354" i="10"/>
  <c r="S1354" i="10"/>
  <c r="R1354" i="10"/>
  <c r="AD1353" i="10"/>
  <c r="AC1353" i="10"/>
  <c r="AB1353" i="10"/>
  <c r="AA1353" i="10"/>
  <c r="Z1353" i="10"/>
  <c r="Y1353" i="10"/>
  <c r="X1353" i="10"/>
  <c r="W1353" i="10"/>
  <c r="V1353" i="10"/>
  <c r="U1353" i="10"/>
  <c r="T1353" i="10"/>
  <c r="S1353" i="10"/>
  <c r="R1353" i="10"/>
  <c r="AE1353" i="10"/>
  <c r="AD1352" i="10"/>
  <c r="AC1352" i="10"/>
  <c r="AB1352" i="10"/>
  <c r="AA1352" i="10"/>
  <c r="Z1352" i="10"/>
  <c r="Y1352" i="10"/>
  <c r="X1352" i="10"/>
  <c r="W1352" i="10"/>
  <c r="V1352" i="10"/>
  <c r="U1352" i="10"/>
  <c r="T1352" i="10"/>
  <c r="S1352" i="10"/>
  <c r="R1352" i="10"/>
  <c r="AE1352" i="10"/>
  <c r="AD1351" i="10"/>
  <c r="AC1351" i="10"/>
  <c r="AB1351" i="10"/>
  <c r="AA1351" i="10"/>
  <c r="Z1351" i="10"/>
  <c r="Y1351" i="10"/>
  <c r="X1351" i="10"/>
  <c r="W1351" i="10"/>
  <c r="V1351" i="10"/>
  <c r="U1351" i="10"/>
  <c r="T1351" i="10"/>
  <c r="S1351" i="10"/>
  <c r="R1351" i="10"/>
  <c r="AD1350" i="10"/>
  <c r="AC1350" i="10"/>
  <c r="AB1350" i="10"/>
  <c r="AA1350" i="10"/>
  <c r="Z1350" i="10"/>
  <c r="Y1350" i="10"/>
  <c r="X1350" i="10"/>
  <c r="W1350" i="10"/>
  <c r="V1350" i="10"/>
  <c r="U1350" i="10"/>
  <c r="T1350" i="10"/>
  <c r="S1350" i="10"/>
  <c r="R1350" i="10"/>
  <c r="AD1349" i="10"/>
  <c r="AC1349" i="10"/>
  <c r="AB1349" i="10"/>
  <c r="AA1349" i="10"/>
  <c r="Z1349" i="10"/>
  <c r="Y1349" i="10"/>
  <c r="X1349" i="10"/>
  <c r="W1349" i="10"/>
  <c r="V1349" i="10"/>
  <c r="U1349" i="10"/>
  <c r="T1349" i="10"/>
  <c r="S1349" i="10"/>
  <c r="R1349" i="10"/>
  <c r="AD1348" i="10"/>
  <c r="AC1348" i="10"/>
  <c r="AB1348" i="10"/>
  <c r="AA1348" i="10"/>
  <c r="Z1348" i="10"/>
  <c r="Y1348" i="10"/>
  <c r="X1348" i="10"/>
  <c r="W1348" i="10"/>
  <c r="V1348" i="10"/>
  <c r="U1348" i="10"/>
  <c r="T1348" i="10"/>
  <c r="S1348" i="10"/>
  <c r="R1348" i="10"/>
  <c r="AE1348" i="10"/>
  <c r="AD1347" i="10"/>
  <c r="AC1347" i="10"/>
  <c r="AB1347" i="10"/>
  <c r="AA1347" i="10"/>
  <c r="Z1347" i="10"/>
  <c r="Y1347" i="10"/>
  <c r="X1347" i="10"/>
  <c r="W1347" i="10"/>
  <c r="V1347" i="10"/>
  <c r="U1347" i="10"/>
  <c r="T1347" i="10"/>
  <c r="S1347" i="10"/>
  <c r="R1347" i="10"/>
  <c r="AE1347" i="10"/>
  <c r="AD1346" i="10"/>
  <c r="AC1346" i="10"/>
  <c r="AB1346" i="10"/>
  <c r="AA1346" i="10"/>
  <c r="Z1346" i="10"/>
  <c r="Y1346" i="10"/>
  <c r="X1346" i="10"/>
  <c r="W1346" i="10"/>
  <c r="V1346" i="10"/>
  <c r="U1346" i="10"/>
  <c r="T1346" i="10"/>
  <c r="S1346" i="10"/>
  <c r="R1346" i="10"/>
  <c r="AD1345" i="10"/>
  <c r="AC1345" i="10"/>
  <c r="AB1345" i="10"/>
  <c r="AA1345" i="10"/>
  <c r="Z1345" i="10"/>
  <c r="Y1345" i="10"/>
  <c r="X1345" i="10"/>
  <c r="W1345" i="10"/>
  <c r="V1345" i="10"/>
  <c r="U1345" i="10"/>
  <c r="T1345" i="10"/>
  <c r="S1345" i="10"/>
  <c r="R1345" i="10"/>
  <c r="AD1344" i="10"/>
  <c r="AC1344" i="10"/>
  <c r="AB1344" i="10"/>
  <c r="AA1344" i="10"/>
  <c r="Z1344" i="10"/>
  <c r="Y1344" i="10"/>
  <c r="X1344" i="10"/>
  <c r="W1344" i="10"/>
  <c r="V1344" i="10"/>
  <c r="U1344" i="10"/>
  <c r="T1344" i="10"/>
  <c r="S1344" i="10"/>
  <c r="R1344" i="10"/>
  <c r="AE1344" i="10"/>
  <c r="AD1343" i="10"/>
  <c r="AC1343" i="10"/>
  <c r="AB1343" i="10"/>
  <c r="AA1343" i="10"/>
  <c r="Z1343" i="10"/>
  <c r="Y1343" i="10"/>
  <c r="X1343" i="10"/>
  <c r="W1343" i="10"/>
  <c r="V1343" i="10"/>
  <c r="U1343" i="10"/>
  <c r="T1343" i="10"/>
  <c r="S1343" i="10"/>
  <c r="R1343" i="10"/>
  <c r="AE1343" i="10"/>
  <c r="AD1342" i="10"/>
  <c r="AC1342" i="10"/>
  <c r="AB1342" i="10"/>
  <c r="AA1342" i="10"/>
  <c r="Z1342" i="10"/>
  <c r="Y1342" i="10"/>
  <c r="X1342" i="10"/>
  <c r="W1342" i="10"/>
  <c r="V1342" i="10"/>
  <c r="U1342" i="10"/>
  <c r="T1342" i="10"/>
  <c r="S1342" i="10"/>
  <c r="R1342" i="10"/>
  <c r="AE1342" i="10"/>
  <c r="AD1341" i="10"/>
  <c r="AC1341" i="10"/>
  <c r="AB1341" i="10"/>
  <c r="AA1341" i="10"/>
  <c r="Z1341" i="10"/>
  <c r="Y1341" i="10"/>
  <c r="X1341" i="10"/>
  <c r="W1341" i="10"/>
  <c r="V1341" i="10"/>
  <c r="U1341" i="10"/>
  <c r="T1341" i="10"/>
  <c r="S1341" i="10"/>
  <c r="R1341" i="10"/>
  <c r="AD1340" i="10"/>
  <c r="AC1340" i="10"/>
  <c r="AB1340" i="10"/>
  <c r="AA1340" i="10"/>
  <c r="Z1340" i="10"/>
  <c r="Y1340" i="10"/>
  <c r="X1340" i="10"/>
  <c r="W1340" i="10"/>
  <c r="V1340" i="10"/>
  <c r="U1340" i="10"/>
  <c r="T1340" i="10"/>
  <c r="S1340" i="10"/>
  <c r="R1340" i="10"/>
  <c r="AE1340" i="10"/>
  <c r="AD1339" i="10"/>
  <c r="AC1339" i="10"/>
  <c r="AB1339" i="10"/>
  <c r="AA1339" i="10"/>
  <c r="Z1339" i="10"/>
  <c r="Y1339" i="10"/>
  <c r="X1339" i="10"/>
  <c r="W1339" i="10"/>
  <c r="V1339" i="10"/>
  <c r="U1339" i="10"/>
  <c r="T1339" i="10"/>
  <c r="S1339" i="10"/>
  <c r="R1339" i="10"/>
  <c r="AE1339" i="10"/>
  <c r="AD1338" i="10"/>
  <c r="AC1338" i="10"/>
  <c r="AB1338" i="10"/>
  <c r="AA1338" i="10"/>
  <c r="Z1338" i="10"/>
  <c r="Y1338" i="10"/>
  <c r="X1338" i="10"/>
  <c r="W1338" i="10"/>
  <c r="V1338" i="10"/>
  <c r="U1338" i="10"/>
  <c r="R1338" i="10"/>
  <c r="S1338" i="10"/>
  <c r="T1338" i="10"/>
  <c r="AE1338" i="10"/>
  <c r="AD1337" i="10"/>
  <c r="AC1337" i="10"/>
  <c r="AB1337" i="10"/>
  <c r="AA1337" i="10"/>
  <c r="Z1337" i="10"/>
  <c r="Y1337" i="10"/>
  <c r="X1337" i="10"/>
  <c r="W1337" i="10"/>
  <c r="R1337" i="10"/>
  <c r="S1337" i="10"/>
  <c r="T1337" i="10"/>
  <c r="U1337" i="10"/>
  <c r="V1337" i="10"/>
  <c r="AE1337" i="10"/>
  <c r="AD1336" i="10"/>
  <c r="AC1336" i="10"/>
  <c r="AB1336" i="10"/>
  <c r="AA1336" i="10"/>
  <c r="Z1336" i="10"/>
  <c r="Y1336" i="10"/>
  <c r="X1336" i="10"/>
  <c r="W1336" i="10"/>
  <c r="V1336" i="10"/>
  <c r="U1336" i="10"/>
  <c r="T1336" i="10"/>
  <c r="S1336" i="10"/>
  <c r="R1336" i="10"/>
  <c r="AE1336" i="10"/>
  <c r="AD1335" i="10"/>
  <c r="AC1335" i="10"/>
  <c r="AB1335" i="10"/>
  <c r="AA1335" i="10"/>
  <c r="Z1335" i="10"/>
  <c r="Y1335" i="10"/>
  <c r="X1335" i="10"/>
  <c r="W1335" i="10"/>
  <c r="V1335" i="10"/>
  <c r="U1335" i="10"/>
  <c r="T1335" i="10"/>
  <c r="S1335" i="10"/>
  <c r="R1335" i="10"/>
  <c r="AD1334" i="10"/>
  <c r="AC1334" i="10"/>
  <c r="AB1334" i="10"/>
  <c r="AA1334" i="10"/>
  <c r="Z1334" i="10"/>
  <c r="Y1334" i="10"/>
  <c r="X1334" i="10"/>
  <c r="W1334" i="10"/>
  <c r="V1334" i="10"/>
  <c r="U1334" i="10"/>
  <c r="T1334" i="10"/>
  <c r="S1334" i="10"/>
  <c r="R1334" i="10"/>
  <c r="AD1333" i="10"/>
  <c r="AC1333" i="10"/>
  <c r="AB1333" i="10"/>
  <c r="AA1333" i="10"/>
  <c r="Z1333" i="10"/>
  <c r="Y1333" i="10"/>
  <c r="X1333" i="10"/>
  <c r="W1333" i="10"/>
  <c r="V1333" i="10"/>
  <c r="U1333" i="10"/>
  <c r="T1333" i="10"/>
  <c r="S1333" i="10"/>
  <c r="R1333" i="10"/>
  <c r="AD1332" i="10"/>
  <c r="AC1332" i="10"/>
  <c r="AB1332" i="10"/>
  <c r="AA1332" i="10"/>
  <c r="Z1332" i="10"/>
  <c r="Y1332" i="10"/>
  <c r="X1332" i="10"/>
  <c r="W1332" i="10"/>
  <c r="V1332" i="10"/>
  <c r="U1332" i="10"/>
  <c r="T1332" i="10"/>
  <c r="S1332" i="10"/>
  <c r="R1332" i="10"/>
  <c r="AD1331" i="10"/>
  <c r="AC1331" i="10"/>
  <c r="AB1331" i="10"/>
  <c r="AA1331" i="10"/>
  <c r="Z1331" i="10"/>
  <c r="Y1331" i="10"/>
  <c r="X1331" i="10"/>
  <c r="W1331" i="10"/>
  <c r="V1331" i="10"/>
  <c r="U1331" i="10"/>
  <c r="T1331" i="10"/>
  <c r="S1331" i="10"/>
  <c r="R1331" i="10"/>
  <c r="AE1331" i="10"/>
  <c r="AD1330" i="10"/>
  <c r="AC1330" i="10"/>
  <c r="AB1330" i="10"/>
  <c r="AA1330" i="10"/>
  <c r="Z1330" i="10"/>
  <c r="Y1330" i="10"/>
  <c r="X1330" i="10"/>
  <c r="W1330" i="10"/>
  <c r="V1330" i="10"/>
  <c r="U1330" i="10"/>
  <c r="T1330" i="10"/>
  <c r="S1330" i="10"/>
  <c r="R1330" i="10"/>
  <c r="AD1329" i="10"/>
  <c r="AC1329" i="10"/>
  <c r="AB1329" i="10"/>
  <c r="AA1329" i="10"/>
  <c r="Z1329" i="10"/>
  <c r="Y1329" i="10"/>
  <c r="X1329" i="10"/>
  <c r="W1329" i="10"/>
  <c r="R1329" i="10"/>
  <c r="S1329" i="10"/>
  <c r="T1329" i="10"/>
  <c r="U1329" i="10"/>
  <c r="V1329" i="10"/>
  <c r="AE1329" i="10"/>
  <c r="AD1328" i="10"/>
  <c r="AC1328" i="10"/>
  <c r="AB1328" i="10"/>
  <c r="AA1328" i="10"/>
  <c r="Z1328" i="10"/>
  <c r="Y1328" i="10"/>
  <c r="X1328" i="10"/>
  <c r="W1328" i="10"/>
  <c r="V1328" i="10"/>
  <c r="R1328" i="10"/>
  <c r="S1328" i="10"/>
  <c r="T1328" i="10"/>
  <c r="U1328" i="10"/>
  <c r="AE1328" i="10"/>
  <c r="AD1327" i="10"/>
  <c r="AC1327" i="10"/>
  <c r="AB1327" i="10"/>
  <c r="AA1327" i="10"/>
  <c r="Z1327" i="10"/>
  <c r="Y1327" i="10"/>
  <c r="X1327" i="10"/>
  <c r="W1327" i="10"/>
  <c r="V1327" i="10"/>
  <c r="U1327" i="10"/>
  <c r="T1327" i="10"/>
  <c r="S1327" i="10"/>
  <c r="R1327" i="10"/>
  <c r="AE1327" i="10"/>
  <c r="AD1326" i="10"/>
  <c r="AC1326" i="10"/>
  <c r="AB1326" i="10"/>
  <c r="AA1326" i="10"/>
  <c r="Z1326" i="10"/>
  <c r="Y1326" i="10"/>
  <c r="X1326" i="10"/>
  <c r="W1326" i="10"/>
  <c r="V1326" i="10"/>
  <c r="U1326" i="10"/>
  <c r="T1326" i="10"/>
  <c r="S1326" i="10"/>
  <c r="R1326" i="10"/>
  <c r="AE1326" i="10"/>
  <c r="AD1325" i="10"/>
  <c r="AC1325" i="10"/>
  <c r="AB1325" i="10"/>
  <c r="AA1325" i="10"/>
  <c r="Z1325" i="10"/>
  <c r="Y1325" i="10"/>
  <c r="X1325" i="10"/>
  <c r="W1325" i="10"/>
  <c r="V1325" i="10"/>
  <c r="U1325" i="10"/>
  <c r="T1325" i="10"/>
  <c r="S1325" i="10"/>
  <c r="R1325" i="10"/>
  <c r="AD1324" i="10"/>
  <c r="AC1324" i="10"/>
  <c r="AB1324" i="10"/>
  <c r="AA1324" i="10"/>
  <c r="Z1324" i="10"/>
  <c r="Y1324" i="10"/>
  <c r="X1324" i="10"/>
  <c r="W1324" i="10"/>
  <c r="V1324" i="10"/>
  <c r="U1324" i="10"/>
  <c r="T1324" i="10"/>
  <c r="S1324" i="10"/>
  <c r="R1324" i="10"/>
  <c r="AE1324" i="10"/>
  <c r="AD1323" i="10"/>
  <c r="AC1323" i="10"/>
  <c r="AB1323" i="10"/>
  <c r="AA1323" i="10"/>
  <c r="Z1323" i="10"/>
  <c r="Y1323" i="10"/>
  <c r="X1323" i="10"/>
  <c r="W1323" i="10"/>
  <c r="V1323" i="10"/>
  <c r="U1323" i="10"/>
  <c r="T1323" i="10"/>
  <c r="S1323" i="10"/>
  <c r="R1323" i="10"/>
  <c r="AE1323" i="10"/>
  <c r="AD1322" i="10"/>
  <c r="AC1322" i="10"/>
  <c r="AB1322" i="10"/>
  <c r="AA1322" i="10"/>
  <c r="Z1322" i="10"/>
  <c r="Y1322" i="10"/>
  <c r="X1322" i="10"/>
  <c r="W1322" i="10"/>
  <c r="V1322" i="10"/>
  <c r="U1322" i="10"/>
  <c r="T1322" i="10"/>
  <c r="S1322" i="10"/>
  <c r="R1322" i="10"/>
  <c r="AE1322" i="10"/>
  <c r="AD1321" i="10"/>
  <c r="AC1321" i="10"/>
  <c r="AB1321" i="10"/>
  <c r="AA1321" i="10"/>
  <c r="Z1321" i="10"/>
  <c r="Y1321" i="10"/>
  <c r="X1321" i="10"/>
  <c r="W1321" i="10"/>
  <c r="R1321" i="10"/>
  <c r="S1321" i="10"/>
  <c r="T1321" i="10"/>
  <c r="U1321" i="10"/>
  <c r="V1321" i="10"/>
  <c r="AE1321" i="10"/>
  <c r="AD1320" i="10"/>
  <c r="AC1320" i="10"/>
  <c r="AB1320" i="10"/>
  <c r="AA1320" i="10"/>
  <c r="Z1320" i="10"/>
  <c r="Y1320" i="10"/>
  <c r="X1320" i="10"/>
  <c r="W1320" i="10"/>
  <c r="V1320" i="10"/>
  <c r="R1320" i="10"/>
  <c r="S1320" i="10"/>
  <c r="T1320" i="10"/>
  <c r="U1320" i="10"/>
  <c r="AE1320" i="10"/>
  <c r="AD1319" i="10"/>
  <c r="AC1319" i="10"/>
  <c r="AB1319" i="10"/>
  <c r="AA1319" i="10"/>
  <c r="Z1319" i="10"/>
  <c r="Y1319" i="10"/>
  <c r="X1319" i="10"/>
  <c r="W1319" i="10"/>
  <c r="V1319" i="10"/>
  <c r="U1319" i="10"/>
  <c r="T1319" i="10"/>
  <c r="S1319" i="10"/>
  <c r="R1319" i="10"/>
  <c r="AE1319" i="10"/>
  <c r="AD1318" i="10"/>
  <c r="AC1318" i="10"/>
  <c r="AB1318" i="10"/>
  <c r="AA1318" i="10"/>
  <c r="Z1318" i="10"/>
  <c r="Y1318" i="10"/>
  <c r="X1318" i="10"/>
  <c r="W1318" i="10"/>
  <c r="V1318" i="10"/>
  <c r="U1318" i="10"/>
  <c r="T1318" i="10"/>
  <c r="S1318" i="10"/>
  <c r="R1318" i="10"/>
  <c r="AE1318" i="10"/>
  <c r="AD1317" i="10"/>
  <c r="AC1317" i="10"/>
  <c r="AB1317" i="10"/>
  <c r="AA1317" i="10"/>
  <c r="Z1317" i="10"/>
  <c r="Y1317" i="10"/>
  <c r="X1317" i="10"/>
  <c r="W1317" i="10"/>
  <c r="V1317" i="10"/>
  <c r="U1317" i="10"/>
  <c r="T1317" i="10"/>
  <c r="S1317" i="10"/>
  <c r="R1317" i="10"/>
  <c r="AD1316" i="10"/>
  <c r="AC1316" i="10"/>
  <c r="AB1316" i="10"/>
  <c r="AA1316" i="10"/>
  <c r="Z1316" i="10"/>
  <c r="Y1316" i="10"/>
  <c r="X1316" i="10"/>
  <c r="W1316" i="10"/>
  <c r="V1316" i="10"/>
  <c r="U1316" i="10"/>
  <c r="T1316" i="10"/>
  <c r="S1316" i="10"/>
  <c r="R1316" i="10"/>
  <c r="AD1315" i="10"/>
  <c r="AC1315" i="10"/>
  <c r="AB1315" i="10"/>
  <c r="AA1315" i="10"/>
  <c r="Z1315" i="10"/>
  <c r="Y1315" i="10"/>
  <c r="X1315" i="10"/>
  <c r="W1315" i="10"/>
  <c r="V1315" i="10"/>
  <c r="U1315" i="10"/>
  <c r="T1315" i="10"/>
  <c r="S1315" i="10"/>
  <c r="R1315" i="10"/>
  <c r="AE1315" i="10"/>
  <c r="AD1314" i="10"/>
  <c r="AC1314" i="10"/>
  <c r="AB1314" i="10"/>
  <c r="AA1314" i="10"/>
  <c r="Z1314" i="10"/>
  <c r="Y1314" i="10"/>
  <c r="X1314" i="10"/>
  <c r="W1314" i="10"/>
  <c r="V1314" i="10"/>
  <c r="U1314" i="10"/>
  <c r="T1314" i="10"/>
  <c r="S1314" i="10"/>
  <c r="R1314" i="10"/>
  <c r="AD1313" i="10"/>
  <c r="AC1313" i="10"/>
  <c r="AB1313" i="10"/>
  <c r="AA1313" i="10"/>
  <c r="Z1313" i="10"/>
  <c r="Y1313" i="10"/>
  <c r="X1313" i="10"/>
  <c r="W1313" i="10"/>
  <c r="R1313" i="10"/>
  <c r="S1313" i="10"/>
  <c r="T1313" i="10"/>
  <c r="U1313" i="10"/>
  <c r="V1313" i="10"/>
  <c r="AE1313" i="10"/>
  <c r="AD1312" i="10"/>
  <c r="AC1312" i="10"/>
  <c r="AB1312" i="10"/>
  <c r="AA1312" i="10"/>
  <c r="Z1312" i="10"/>
  <c r="Y1312" i="10"/>
  <c r="X1312" i="10"/>
  <c r="W1312" i="10"/>
  <c r="V1312" i="10"/>
  <c r="R1312" i="10"/>
  <c r="S1312" i="10"/>
  <c r="T1312" i="10"/>
  <c r="U1312" i="10"/>
  <c r="AE1312" i="10"/>
  <c r="AD1311" i="10"/>
  <c r="AC1311" i="10"/>
  <c r="AB1311" i="10"/>
  <c r="AA1311" i="10"/>
  <c r="Z1311" i="10"/>
  <c r="Y1311" i="10"/>
  <c r="X1311" i="10"/>
  <c r="W1311" i="10"/>
  <c r="V1311" i="10"/>
  <c r="U1311" i="10"/>
  <c r="T1311" i="10"/>
  <c r="S1311" i="10"/>
  <c r="R1311" i="10"/>
  <c r="AD1310" i="10"/>
  <c r="AC1310" i="10"/>
  <c r="AB1310" i="10"/>
  <c r="AA1310" i="10"/>
  <c r="Z1310" i="10"/>
  <c r="Y1310" i="10"/>
  <c r="X1310" i="10"/>
  <c r="W1310" i="10"/>
  <c r="V1310" i="10"/>
  <c r="U1310" i="10"/>
  <c r="T1310" i="10"/>
  <c r="S1310" i="10"/>
  <c r="R1310" i="10"/>
  <c r="AE1310" i="10"/>
  <c r="AD1309" i="10"/>
  <c r="AC1309" i="10"/>
  <c r="AB1309" i="10"/>
  <c r="AA1309" i="10"/>
  <c r="Z1309" i="10"/>
  <c r="Y1309" i="10"/>
  <c r="X1309" i="10"/>
  <c r="W1309" i="10"/>
  <c r="V1309" i="10"/>
  <c r="U1309" i="10"/>
  <c r="T1309" i="10"/>
  <c r="S1309" i="10"/>
  <c r="R1309" i="10"/>
  <c r="AE1309" i="10"/>
  <c r="AD1308" i="10"/>
  <c r="AC1308" i="10"/>
  <c r="AB1308" i="10"/>
  <c r="AA1308" i="10"/>
  <c r="Z1308" i="10"/>
  <c r="Y1308" i="10"/>
  <c r="X1308" i="10"/>
  <c r="W1308" i="10"/>
  <c r="V1308" i="10"/>
  <c r="U1308" i="10"/>
  <c r="T1308" i="10"/>
  <c r="S1308" i="10"/>
  <c r="R1308" i="10"/>
  <c r="AE1308" i="10"/>
  <c r="AD1307" i="10"/>
  <c r="AC1307" i="10"/>
  <c r="AB1307" i="10"/>
  <c r="AA1307" i="10"/>
  <c r="Z1307" i="10"/>
  <c r="Y1307" i="10"/>
  <c r="X1307" i="10"/>
  <c r="W1307" i="10"/>
  <c r="V1307" i="10"/>
  <c r="U1307" i="10"/>
  <c r="T1307" i="10"/>
  <c r="S1307" i="10"/>
  <c r="R1307" i="10"/>
  <c r="AE1307" i="10"/>
  <c r="AD1306" i="10"/>
  <c r="AC1306" i="10"/>
  <c r="AB1306" i="10"/>
  <c r="AA1306" i="10"/>
  <c r="Z1306" i="10"/>
  <c r="Y1306" i="10"/>
  <c r="X1306" i="10"/>
  <c r="W1306" i="10"/>
  <c r="V1306" i="10"/>
  <c r="U1306" i="10"/>
  <c r="T1306" i="10"/>
  <c r="S1306" i="10"/>
  <c r="R1306" i="10"/>
  <c r="AE1306" i="10"/>
  <c r="AD1305" i="10"/>
  <c r="AC1305" i="10"/>
  <c r="AB1305" i="10"/>
  <c r="AA1305" i="10"/>
  <c r="Z1305" i="10"/>
  <c r="Y1305" i="10"/>
  <c r="X1305" i="10"/>
  <c r="W1305" i="10"/>
  <c r="R1305" i="10"/>
  <c r="S1305" i="10"/>
  <c r="T1305" i="10"/>
  <c r="U1305" i="10"/>
  <c r="V1305" i="10"/>
  <c r="AE1305" i="10"/>
  <c r="AD1304" i="10"/>
  <c r="AC1304" i="10"/>
  <c r="AB1304" i="10"/>
  <c r="AA1304" i="10"/>
  <c r="Z1304" i="10"/>
  <c r="Y1304" i="10"/>
  <c r="X1304" i="10"/>
  <c r="W1304" i="10"/>
  <c r="V1304" i="10"/>
  <c r="R1304" i="10"/>
  <c r="S1304" i="10"/>
  <c r="T1304" i="10"/>
  <c r="U1304" i="10"/>
  <c r="AE1304" i="10"/>
  <c r="AD1303" i="10"/>
  <c r="AC1303" i="10"/>
  <c r="AB1303" i="10"/>
  <c r="AA1303" i="10"/>
  <c r="Z1303" i="10"/>
  <c r="Y1303" i="10"/>
  <c r="X1303" i="10"/>
  <c r="W1303" i="10"/>
  <c r="V1303" i="10"/>
  <c r="U1303" i="10"/>
  <c r="T1303" i="10"/>
  <c r="S1303" i="10"/>
  <c r="R1303" i="10"/>
  <c r="AD1302" i="10"/>
  <c r="AC1302" i="10"/>
  <c r="AB1302" i="10"/>
  <c r="AA1302" i="10"/>
  <c r="Z1302" i="10"/>
  <c r="Y1302" i="10"/>
  <c r="X1302" i="10"/>
  <c r="W1302" i="10"/>
  <c r="V1302" i="10"/>
  <c r="U1302" i="10"/>
  <c r="T1302" i="10"/>
  <c r="S1302" i="10"/>
  <c r="R1302" i="10"/>
  <c r="AD1301" i="10"/>
  <c r="AC1301" i="10"/>
  <c r="AB1301" i="10"/>
  <c r="AA1301" i="10"/>
  <c r="Z1301" i="10"/>
  <c r="Y1301" i="10"/>
  <c r="X1301" i="10"/>
  <c r="W1301" i="10"/>
  <c r="V1301" i="10"/>
  <c r="U1301" i="10"/>
  <c r="T1301" i="10"/>
  <c r="S1301" i="10"/>
  <c r="R1301" i="10"/>
  <c r="AE1301" i="10"/>
  <c r="AD1300" i="10"/>
  <c r="AC1300" i="10"/>
  <c r="AB1300" i="10"/>
  <c r="AA1300" i="10"/>
  <c r="Z1300" i="10"/>
  <c r="Y1300" i="10"/>
  <c r="X1300" i="10"/>
  <c r="W1300" i="10"/>
  <c r="V1300" i="10"/>
  <c r="U1300" i="10"/>
  <c r="T1300" i="10"/>
  <c r="S1300" i="10"/>
  <c r="R1300" i="10"/>
  <c r="AE1300" i="10"/>
  <c r="AD1299" i="10"/>
  <c r="AC1299" i="10"/>
  <c r="AB1299" i="10"/>
  <c r="AA1299" i="10"/>
  <c r="Z1299" i="10"/>
  <c r="Y1299" i="10"/>
  <c r="X1299" i="10"/>
  <c r="W1299" i="10"/>
  <c r="V1299" i="10"/>
  <c r="U1299" i="10"/>
  <c r="T1299" i="10"/>
  <c r="S1299" i="10"/>
  <c r="R1299" i="10"/>
  <c r="AE1299" i="10"/>
  <c r="AD1298" i="10"/>
  <c r="AC1298" i="10"/>
  <c r="AB1298" i="10"/>
  <c r="AA1298" i="10"/>
  <c r="Z1298" i="10"/>
  <c r="Y1298" i="10"/>
  <c r="X1298" i="10"/>
  <c r="W1298" i="10"/>
  <c r="V1298" i="10"/>
  <c r="U1298" i="10"/>
  <c r="T1298" i="10"/>
  <c r="S1298" i="10"/>
  <c r="R1298" i="10"/>
  <c r="AD1297" i="10"/>
  <c r="AC1297" i="10"/>
  <c r="AB1297" i="10"/>
  <c r="AA1297" i="10"/>
  <c r="Z1297" i="10"/>
  <c r="Y1297" i="10"/>
  <c r="X1297" i="10"/>
  <c r="W1297" i="10"/>
  <c r="R1297" i="10"/>
  <c r="S1297" i="10"/>
  <c r="T1297" i="10"/>
  <c r="U1297" i="10"/>
  <c r="V1297" i="10"/>
  <c r="AE1297" i="10"/>
  <c r="AD1296" i="10"/>
  <c r="AC1296" i="10"/>
  <c r="AB1296" i="10"/>
  <c r="AA1296" i="10"/>
  <c r="Z1296" i="10"/>
  <c r="Y1296" i="10"/>
  <c r="X1296" i="10"/>
  <c r="W1296" i="10"/>
  <c r="V1296" i="10"/>
  <c r="R1296" i="10"/>
  <c r="S1296" i="10"/>
  <c r="T1296" i="10"/>
  <c r="U1296" i="10"/>
  <c r="AE1296" i="10"/>
  <c r="AD1295" i="10"/>
  <c r="AC1295" i="10"/>
  <c r="AB1295" i="10"/>
  <c r="AA1295" i="10"/>
  <c r="Z1295" i="10"/>
  <c r="Y1295" i="10"/>
  <c r="X1295" i="10"/>
  <c r="W1295" i="10"/>
  <c r="V1295" i="10"/>
  <c r="U1295" i="10"/>
  <c r="T1295" i="10"/>
  <c r="S1295" i="10"/>
  <c r="R1295" i="10"/>
  <c r="AD1294" i="10"/>
  <c r="AC1294" i="10"/>
  <c r="AB1294" i="10"/>
  <c r="AA1294" i="10"/>
  <c r="Z1294" i="10"/>
  <c r="Y1294" i="10"/>
  <c r="X1294" i="10"/>
  <c r="W1294" i="10"/>
  <c r="V1294" i="10"/>
  <c r="U1294" i="10"/>
  <c r="T1294" i="10"/>
  <c r="S1294" i="10"/>
  <c r="R1294" i="10"/>
  <c r="AE1294" i="10"/>
  <c r="AD1293" i="10"/>
  <c r="AC1293" i="10"/>
  <c r="AB1293" i="10"/>
  <c r="AA1293" i="10"/>
  <c r="Z1293" i="10"/>
  <c r="Y1293" i="10"/>
  <c r="X1293" i="10"/>
  <c r="W1293" i="10"/>
  <c r="V1293" i="10"/>
  <c r="U1293" i="10"/>
  <c r="T1293" i="10"/>
  <c r="S1293" i="10"/>
  <c r="R1293" i="10"/>
  <c r="AD1292" i="10"/>
  <c r="AC1292" i="10"/>
  <c r="AB1292" i="10"/>
  <c r="AA1292" i="10"/>
  <c r="Z1292" i="10"/>
  <c r="Y1292" i="10"/>
  <c r="X1292" i="10"/>
  <c r="W1292" i="10"/>
  <c r="V1292" i="10"/>
  <c r="U1292" i="10"/>
  <c r="T1292" i="10"/>
  <c r="S1292" i="10"/>
  <c r="R1292" i="10"/>
  <c r="AE1292" i="10"/>
  <c r="AD1291" i="10"/>
  <c r="AC1291" i="10"/>
  <c r="AB1291" i="10"/>
  <c r="AA1291" i="10"/>
  <c r="Z1291" i="10"/>
  <c r="Y1291" i="10"/>
  <c r="X1291" i="10"/>
  <c r="W1291" i="10"/>
  <c r="V1291" i="10"/>
  <c r="U1291" i="10"/>
  <c r="T1291" i="10"/>
  <c r="S1291" i="10"/>
  <c r="R1291" i="10"/>
  <c r="AE1291" i="10"/>
  <c r="AD1290" i="10"/>
  <c r="AC1290" i="10"/>
  <c r="AB1290" i="10"/>
  <c r="AA1290" i="10"/>
  <c r="Z1290" i="10"/>
  <c r="Y1290" i="10"/>
  <c r="X1290" i="10"/>
  <c r="W1290" i="10"/>
  <c r="V1290" i="10"/>
  <c r="U1290" i="10"/>
  <c r="T1290" i="10"/>
  <c r="S1290" i="10"/>
  <c r="R1290" i="10"/>
  <c r="AE1290" i="10"/>
  <c r="AD1289" i="10"/>
  <c r="AC1289" i="10"/>
  <c r="AB1289" i="10"/>
  <c r="AA1289" i="10"/>
  <c r="Z1289" i="10"/>
  <c r="Y1289" i="10"/>
  <c r="X1289" i="10"/>
  <c r="W1289" i="10"/>
  <c r="R1289" i="10"/>
  <c r="S1289" i="10"/>
  <c r="T1289" i="10"/>
  <c r="U1289" i="10"/>
  <c r="V1289" i="10"/>
  <c r="AE1289" i="10"/>
  <c r="AD1288" i="10"/>
  <c r="AC1288" i="10"/>
  <c r="AB1288" i="10"/>
  <c r="AA1288" i="10"/>
  <c r="Z1288" i="10"/>
  <c r="Y1288" i="10"/>
  <c r="X1288" i="10"/>
  <c r="W1288" i="10"/>
  <c r="V1288" i="10"/>
  <c r="R1288" i="10"/>
  <c r="S1288" i="10"/>
  <c r="T1288" i="10"/>
  <c r="U1288" i="10"/>
  <c r="AE1288" i="10"/>
  <c r="AD1287" i="10"/>
  <c r="AC1287" i="10"/>
  <c r="AB1287" i="10"/>
  <c r="AA1287" i="10"/>
  <c r="Z1287" i="10"/>
  <c r="Y1287" i="10"/>
  <c r="X1287" i="10"/>
  <c r="W1287" i="10"/>
  <c r="V1287" i="10"/>
  <c r="U1287" i="10"/>
  <c r="T1287" i="10"/>
  <c r="S1287" i="10"/>
  <c r="R1287" i="10"/>
  <c r="AD1286" i="10"/>
  <c r="AC1286" i="10"/>
  <c r="AB1286" i="10"/>
  <c r="AA1286" i="10"/>
  <c r="Z1286" i="10"/>
  <c r="Y1286" i="10"/>
  <c r="X1286" i="10"/>
  <c r="W1286" i="10"/>
  <c r="V1286" i="10"/>
  <c r="U1286" i="10"/>
  <c r="T1286" i="10"/>
  <c r="S1286" i="10"/>
  <c r="R1286" i="10"/>
  <c r="AD1285" i="10"/>
  <c r="AC1285" i="10"/>
  <c r="AB1285" i="10"/>
  <c r="AA1285" i="10"/>
  <c r="Z1285" i="10"/>
  <c r="Y1285" i="10"/>
  <c r="X1285" i="10"/>
  <c r="W1285" i="10"/>
  <c r="V1285" i="10"/>
  <c r="U1285" i="10"/>
  <c r="T1285" i="10"/>
  <c r="S1285" i="10"/>
  <c r="R1285" i="10"/>
  <c r="AE1285" i="10"/>
  <c r="AD1284" i="10"/>
  <c r="AC1284" i="10"/>
  <c r="AB1284" i="10"/>
  <c r="AA1284" i="10"/>
  <c r="Z1284" i="10"/>
  <c r="Y1284" i="10"/>
  <c r="X1284" i="10"/>
  <c r="W1284" i="10"/>
  <c r="V1284" i="10"/>
  <c r="U1284" i="10"/>
  <c r="T1284" i="10"/>
  <c r="S1284" i="10"/>
  <c r="R1284" i="10"/>
  <c r="AD1283" i="10"/>
  <c r="AC1283" i="10"/>
  <c r="AB1283" i="10"/>
  <c r="AA1283" i="10"/>
  <c r="Z1283" i="10"/>
  <c r="Y1283" i="10"/>
  <c r="X1283" i="10"/>
  <c r="W1283" i="10"/>
  <c r="V1283" i="10"/>
  <c r="U1283" i="10"/>
  <c r="T1283" i="10"/>
  <c r="S1283" i="10"/>
  <c r="R1283" i="10"/>
  <c r="AE1283" i="10"/>
  <c r="AD1282" i="10"/>
  <c r="AC1282" i="10"/>
  <c r="AB1282" i="10"/>
  <c r="AA1282" i="10"/>
  <c r="Z1282" i="10"/>
  <c r="Y1282" i="10"/>
  <c r="X1282" i="10"/>
  <c r="W1282" i="10"/>
  <c r="V1282" i="10"/>
  <c r="U1282" i="10"/>
  <c r="T1282" i="10"/>
  <c r="S1282" i="10"/>
  <c r="R1282" i="10"/>
  <c r="AE1282" i="10"/>
  <c r="AD1281" i="10"/>
  <c r="AC1281" i="10"/>
  <c r="AB1281" i="10"/>
  <c r="AA1281" i="10"/>
  <c r="Z1281" i="10"/>
  <c r="Y1281" i="10"/>
  <c r="X1281" i="10"/>
  <c r="W1281" i="10"/>
  <c r="R1281" i="10"/>
  <c r="S1281" i="10"/>
  <c r="T1281" i="10"/>
  <c r="U1281" i="10"/>
  <c r="V1281" i="10"/>
  <c r="AE1281" i="10"/>
  <c r="AD1280" i="10"/>
  <c r="AC1280" i="10"/>
  <c r="AB1280" i="10"/>
  <c r="AA1280" i="10"/>
  <c r="Z1280" i="10"/>
  <c r="Y1280" i="10"/>
  <c r="X1280" i="10"/>
  <c r="W1280" i="10"/>
  <c r="V1280" i="10"/>
  <c r="R1280" i="10"/>
  <c r="S1280" i="10"/>
  <c r="T1280" i="10"/>
  <c r="U1280" i="10"/>
  <c r="AE1280" i="10"/>
  <c r="AD1279" i="10"/>
  <c r="AC1279" i="10"/>
  <c r="AB1279" i="10"/>
  <c r="AA1279" i="10"/>
  <c r="Z1279" i="10"/>
  <c r="Y1279" i="10"/>
  <c r="X1279" i="10"/>
  <c r="W1279" i="10"/>
  <c r="V1279" i="10"/>
  <c r="U1279" i="10"/>
  <c r="T1279" i="10"/>
  <c r="S1279" i="10"/>
  <c r="R1279" i="10"/>
  <c r="AE1279" i="10"/>
  <c r="AD1278" i="10"/>
  <c r="AC1278" i="10"/>
  <c r="AB1278" i="10"/>
  <c r="AA1278" i="10"/>
  <c r="Z1278" i="10"/>
  <c r="Y1278" i="10"/>
  <c r="X1278" i="10"/>
  <c r="W1278" i="10"/>
  <c r="V1278" i="10"/>
  <c r="U1278" i="10"/>
  <c r="T1278" i="10"/>
  <c r="S1278" i="10"/>
  <c r="R1278" i="10"/>
  <c r="AD1277" i="10"/>
  <c r="AC1277" i="10"/>
  <c r="AB1277" i="10"/>
  <c r="AA1277" i="10"/>
  <c r="Z1277" i="10"/>
  <c r="Y1277" i="10"/>
  <c r="X1277" i="10"/>
  <c r="W1277" i="10"/>
  <c r="V1277" i="10"/>
  <c r="U1277" i="10"/>
  <c r="T1277" i="10"/>
  <c r="S1277" i="10"/>
  <c r="R1277" i="10"/>
  <c r="AD1276" i="10"/>
  <c r="AC1276" i="10"/>
  <c r="AB1276" i="10"/>
  <c r="AA1276" i="10"/>
  <c r="Z1276" i="10"/>
  <c r="Y1276" i="10"/>
  <c r="X1276" i="10"/>
  <c r="W1276" i="10"/>
  <c r="V1276" i="10"/>
  <c r="U1276" i="10"/>
  <c r="T1276" i="10"/>
  <c r="S1276" i="10"/>
  <c r="R1276" i="10"/>
  <c r="AE1276" i="10"/>
  <c r="AD1275" i="10"/>
  <c r="AC1275" i="10"/>
  <c r="AB1275" i="10"/>
  <c r="AA1275" i="10"/>
  <c r="Z1275" i="10"/>
  <c r="Y1275" i="10"/>
  <c r="X1275" i="10"/>
  <c r="W1275" i="10"/>
  <c r="V1275" i="10"/>
  <c r="U1275" i="10"/>
  <c r="T1275" i="10"/>
  <c r="S1275" i="10"/>
  <c r="R1275" i="10"/>
  <c r="AE1275" i="10"/>
  <c r="AD1274" i="10"/>
  <c r="AC1274" i="10"/>
  <c r="AB1274" i="10"/>
  <c r="AA1274" i="10"/>
  <c r="Z1274" i="10"/>
  <c r="Y1274" i="10"/>
  <c r="X1274" i="10"/>
  <c r="W1274" i="10"/>
  <c r="V1274" i="10"/>
  <c r="U1274" i="10"/>
  <c r="T1274" i="10"/>
  <c r="S1274" i="10"/>
  <c r="R1274" i="10"/>
  <c r="AE1274" i="10"/>
  <c r="AD1273" i="10"/>
  <c r="AC1273" i="10"/>
  <c r="AB1273" i="10"/>
  <c r="AA1273" i="10"/>
  <c r="Z1273" i="10"/>
  <c r="Y1273" i="10"/>
  <c r="X1273" i="10"/>
  <c r="W1273" i="10"/>
  <c r="R1273" i="10"/>
  <c r="S1273" i="10"/>
  <c r="T1273" i="10"/>
  <c r="U1273" i="10"/>
  <c r="V1273" i="10"/>
  <c r="AE1273" i="10"/>
  <c r="AD1272" i="10"/>
  <c r="AC1272" i="10"/>
  <c r="AB1272" i="10"/>
  <c r="AA1272" i="10"/>
  <c r="Z1272" i="10"/>
  <c r="Y1272" i="10"/>
  <c r="X1272" i="10"/>
  <c r="W1272" i="10"/>
  <c r="V1272" i="10"/>
  <c r="R1272" i="10"/>
  <c r="S1272" i="10"/>
  <c r="T1272" i="10"/>
  <c r="U1272" i="10"/>
  <c r="AE1272" i="10"/>
  <c r="AD1271" i="10"/>
  <c r="AC1271" i="10"/>
  <c r="AB1271" i="10"/>
  <c r="AA1271" i="10"/>
  <c r="Z1271" i="10"/>
  <c r="Y1271" i="10"/>
  <c r="X1271" i="10"/>
  <c r="W1271" i="10"/>
  <c r="V1271" i="10"/>
  <c r="U1271" i="10"/>
  <c r="T1271" i="10"/>
  <c r="S1271" i="10"/>
  <c r="R1271" i="10"/>
  <c r="AE1271" i="10"/>
  <c r="AD1270" i="10"/>
  <c r="AC1270" i="10"/>
  <c r="AB1270" i="10"/>
  <c r="AA1270" i="10"/>
  <c r="Z1270" i="10"/>
  <c r="Y1270" i="10"/>
  <c r="X1270" i="10"/>
  <c r="W1270" i="10"/>
  <c r="V1270" i="10"/>
  <c r="U1270" i="10"/>
  <c r="T1270" i="10"/>
  <c r="S1270" i="10"/>
  <c r="R1270" i="10"/>
  <c r="AD1269" i="10"/>
  <c r="AC1269" i="10"/>
  <c r="AB1269" i="10"/>
  <c r="AA1269" i="10"/>
  <c r="Z1269" i="10"/>
  <c r="Y1269" i="10"/>
  <c r="X1269" i="10"/>
  <c r="W1269" i="10"/>
  <c r="V1269" i="10"/>
  <c r="U1269" i="10"/>
  <c r="T1269" i="10"/>
  <c r="S1269" i="10"/>
  <c r="R1269" i="10"/>
  <c r="AE1269" i="10"/>
  <c r="AD1268" i="10"/>
  <c r="AC1268" i="10"/>
  <c r="AB1268" i="10"/>
  <c r="AA1268" i="10"/>
  <c r="Z1268" i="10"/>
  <c r="Y1268" i="10"/>
  <c r="X1268" i="10"/>
  <c r="W1268" i="10"/>
  <c r="V1268" i="10"/>
  <c r="U1268" i="10"/>
  <c r="T1268" i="10"/>
  <c r="S1268" i="10"/>
  <c r="R1268" i="10"/>
  <c r="AD1267" i="10"/>
  <c r="AC1267" i="10"/>
  <c r="AB1267" i="10"/>
  <c r="AA1267" i="10"/>
  <c r="Z1267" i="10"/>
  <c r="Y1267" i="10"/>
  <c r="X1267" i="10"/>
  <c r="W1267" i="10"/>
  <c r="V1267" i="10"/>
  <c r="U1267" i="10"/>
  <c r="T1267" i="10"/>
  <c r="S1267" i="10"/>
  <c r="R1267" i="10"/>
  <c r="AE1267" i="10"/>
  <c r="AD1266" i="10"/>
  <c r="AC1266" i="10"/>
  <c r="AB1266" i="10"/>
  <c r="AA1266" i="10"/>
  <c r="Z1266" i="10"/>
  <c r="Y1266" i="10"/>
  <c r="X1266" i="10"/>
  <c r="W1266" i="10"/>
  <c r="V1266" i="10"/>
  <c r="U1266" i="10"/>
  <c r="T1266" i="10"/>
  <c r="S1266" i="10"/>
  <c r="R1266" i="10"/>
  <c r="AD1265" i="10"/>
  <c r="AC1265" i="10"/>
  <c r="AB1265" i="10"/>
  <c r="AA1265" i="10"/>
  <c r="Z1265" i="10"/>
  <c r="Y1265" i="10"/>
  <c r="X1265" i="10"/>
  <c r="W1265" i="10"/>
  <c r="R1265" i="10"/>
  <c r="S1265" i="10"/>
  <c r="T1265" i="10"/>
  <c r="U1265" i="10"/>
  <c r="V1265" i="10"/>
  <c r="AE1265" i="10"/>
  <c r="AD1264" i="10"/>
  <c r="AC1264" i="10"/>
  <c r="AB1264" i="10"/>
  <c r="AA1264" i="10"/>
  <c r="Z1264" i="10"/>
  <c r="Y1264" i="10"/>
  <c r="X1264" i="10"/>
  <c r="W1264" i="10"/>
  <c r="V1264" i="10"/>
  <c r="R1264" i="10"/>
  <c r="S1264" i="10"/>
  <c r="T1264" i="10"/>
  <c r="U1264" i="10"/>
  <c r="AE1264" i="10"/>
  <c r="AD1263" i="10"/>
  <c r="AC1263" i="10"/>
  <c r="AB1263" i="10"/>
  <c r="AA1263" i="10"/>
  <c r="Z1263" i="10"/>
  <c r="Y1263" i="10"/>
  <c r="X1263" i="10"/>
  <c r="W1263" i="10"/>
  <c r="V1263" i="10"/>
  <c r="U1263" i="10"/>
  <c r="T1263" i="10"/>
  <c r="S1263" i="10"/>
  <c r="R1263" i="10"/>
  <c r="AE1263" i="10"/>
  <c r="AD1262" i="10"/>
  <c r="AC1262" i="10"/>
  <c r="AB1262" i="10"/>
  <c r="AA1262" i="10"/>
  <c r="Z1262" i="10"/>
  <c r="Y1262" i="10"/>
  <c r="X1262" i="10"/>
  <c r="W1262" i="10"/>
  <c r="V1262" i="10"/>
  <c r="U1262" i="10"/>
  <c r="T1262" i="10"/>
  <c r="S1262" i="10"/>
  <c r="R1262" i="10"/>
  <c r="AE1262" i="10"/>
  <c r="AD1261" i="10"/>
  <c r="AC1261" i="10"/>
  <c r="AB1261" i="10"/>
  <c r="AA1261" i="10"/>
  <c r="Z1261" i="10"/>
  <c r="Y1261" i="10"/>
  <c r="X1261" i="10"/>
  <c r="W1261" i="10"/>
  <c r="V1261" i="10"/>
  <c r="U1261" i="10"/>
  <c r="T1261" i="10"/>
  <c r="S1261" i="10"/>
  <c r="R1261" i="10"/>
  <c r="AD1260" i="10"/>
  <c r="AC1260" i="10"/>
  <c r="AB1260" i="10"/>
  <c r="AA1260" i="10"/>
  <c r="Z1260" i="10"/>
  <c r="Y1260" i="10"/>
  <c r="X1260" i="10"/>
  <c r="W1260" i="10"/>
  <c r="V1260" i="10"/>
  <c r="U1260" i="10"/>
  <c r="T1260" i="10"/>
  <c r="S1260" i="10"/>
  <c r="R1260" i="10"/>
  <c r="AE1260" i="10"/>
  <c r="AD1259" i="10"/>
  <c r="AC1259" i="10"/>
  <c r="AB1259" i="10"/>
  <c r="AA1259" i="10"/>
  <c r="Z1259" i="10"/>
  <c r="Y1259" i="10"/>
  <c r="X1259" i="10"/>
  <c r="W1259" i="10"/>
  <c r="V1259" i="10"/>
  <c r="U1259" i="10"/>
  <c r="T1259" i="10"/>
  <c r="S1259" i="10"/>
  <c r="R1259" i="10"/>
  <c r="AE1259" i="10"/>
  <c r="AD1258" i="10"/>
  <c r="AC1258" i="10"/>
  <c r="AB1258" i="10"/>
  <c r="AA1258" i="10"/>
  <c r="Z1258" i="10"/>
  <c r="Y1258" i="10"/>
  <c r="X1258" i="10"/>
  <c r="W1258" i="10"/>
  <c r="V1258" i="10"/>
  <c r="U1258" i="10"/>
  <c r="T1258" i="10"/>
  <c r="S1258" i="10"/>
  <c r="R1258" i="10"/>
  <c r="AE1258" i="10"/>
  <c r="AD1257" i="10"/>
  <c r="AC1257" i="10"/>
  <c r="AB1257" i="10"/>
  <c r="AA1257" i="10"/>
  <c r="Z1257" i="10"/>
  <c r="Y1257" i="10"/>
  <c r="X1257" i="10"/>
  <c r="W1257" i="10"/>
  <c r="R1257" i="10"/>
  <c r="S1257" i="10"/>
  <c r="T1257" i="10"/>
  <c r="U1257" i="10"/>
  <c r="V1257" i="10"/>
  <c r="AE1257" i="10"/>
  <c r="AD1256" i="10"/>
  <c r="AC1256" i="10"/>
  <c r="AB1256" i="10"/>
  <c r="AA1256" i="10"/>
  <c r="Z1256" i="10"/>
  <c r="Y1256" i="10"/>
  <c r="X1256" i="10"/>
  <c r="W1256" i="10"/>
  <c r="V1256" i="10"/>
  <c r="R1256" i="10"/>
  <c r="S1256" i="10"/>
  <c r="T1256" i="10"/>
  <c r="U1256" i="10"/>
  <c r="AE1256" i="10"/>
  <c r="AD1255" i="10"/>
  <c r="AC1255" i="10"/>
  <c r="AB1255" i="10"/>
  <c r="AA1255" i="10"/>
  <c r="Z1255" i="10"/>
  <c r="Y1255" i="10"/>
  <c r="X1255" i="10"/>
  <c r="W1255" i="10"/>
  <c r="V1255" i="10"/>
  <c r="U1255" i="10"/>
  <c r="T1255" i="10"/>
  <c r="S1255" i="10"/>
  <c r="R1255" i="10"/>
  <c r="AE1255" i="10"/>
  <c r="AD1254" i="10"/>
  <c r="AC1254" i="10"/>
  <c r="AB1254" i="10"/>
  <c r="AA1254" i="10"/>
  <c r="Z1254" i="10"/>
  <c r="Y1254" i="10"/>
  <c r="X1254" i="10"/>
  <c r="W1254" i="10"/>
  <c r="V1254" i="10"/>
  <c r="U1254" i="10"/>
  <c r="T1254" i="10"/>
  <c r="S1254" i="10"/>
  <c r="R1254" i="10"/>
  <c r="AE1254" i="10"/>
  <c r="AD1253" i="10"/>
  <c r="AC1253" i="10"/>
  <c r="AB1253" i="10"/>
  <c r="AA1253" i="10"/>
  <c r="Z1253" i="10"/>
  <c r="Y1253" i="10"/>
  <c r="X1253" i="10"/>
  <c r="W1253" i="10"/>
  <c r="V1253" i="10"/>
  <c r="U1253" i="10"/>
  <c r="T1253" i="10"/>
  <c r="S1253" i="10"/>
  <c r="R1253" i="10"/>
  <c r="AE1253" i="10"/>
  <c r="AD1252" i="10"/>
  <c r="AC1252" i="10"/>
  <c r="AB1252" i="10"/>
  <c r="AA1252" i="10"/>
  <c r="Z1252" i="10"/>
  <c r="Y1252" i="10"/>
  <c r="X1252" i="10"/>
  <c r="W1252" i="10"/>
  <c r="V1252" i="10"/>
  <c r="U1252" i="10"/>
  <c r="T1252" i="10"/>
  <c r="S1252" i="10"/>
  <c r="R1252" i="10"/>
  <c r="AD1251" i="10"/>
  <c r="AC1251" i="10"/>
  <c r="AB1251" i="10"/>
  <c r="AA1251" i="10"/>
  <c r="Z1251" i="10"/>
  <c r="Y1251" i="10"/>
  <c r="X1251" i="10"/>
  <c r="W1251" i="10"/>
  <c r="V1251" i="10"/>
  <c r="U1251" i="10"/>
  <c r="T1251" i="10"/>
  <c r="S1251" i="10"/>
  <c r="R1251" i="10"/>
  <c r="AE1251" i="10"/>
  <c r="AD1250" i="10"/>
  <c r="AC1250" i="10"/>
  <c r="AB1250" i="10"/>
  <c r="AA1250" i="10"/>
  <c r="Z1250" i="10"/>
  <c r="Y1250" i="10"/>
  <c r="X1250" i="10"/>
  <c r="W1250" i="10"/>
  <c r="V1250" i="10"/>
  <c r="U1250" i="10"/>
  <c r="T1250" i="10"/>
  <c r="S1250" i="10"/>
  <c r="R1250" i="10"/>
  <c r="AD1249" i="10"/>
  <c r="AC1249" i="10"/>
  <c r="AB1249" i="10"/>
  <c r="AA1249" i="10"/>
  <c r="Z1249" i="10"/>
  <c r="Y1249" i="10"/>
  <c r="X1249" i="10"/>
  <c r="W1249" i="10"/>
  <c r="R1249" i="10"/>
  <c r="S1249" i="10"/>
  <c r="T1249" i="10"/>
  <c r="U1249" i="10"/>
  <c r="V1249" i="10"/>
  <c r="AE1249" i="10"/>
  <c r="AD1248" i="10"/>
  <c r="AC1248" i="10"/>
  <c r="AB1248" i="10"/>
  <c r="AA1248" i="10"/>
  <c r="Z1248" i="10"/>
  <c r="Y1248" i="10"/>
  <c r="X1248" i="10"/>
  <c r="W1248" i="10"/>
  <c r="V1248" i="10"/>
  <c r="R1248" i="10"/>
  <c r="S1248" i="10"/>
  <c r="T1248" i="10"/>
  <c r="U1248" i="10"/>
  <c r="AE1248" i="10"/>
  <c r="AD1247" i="10"/>
  <c r="AC1247" i="10"/>
  <c r="AB1247" i="10"/>
  <c r="AA1247" i="10"/>
  <c r="Z1247" i="10"/>
  <c r="Y1247" i="10"/>
  <c r="X1247" i="10"/>
  <c r="W1247" i="10"/>
  <c r="V1247" i="10"/>
  <c r="U1247" i="10"/>
  <c r="T1247" i="10"/>
  <c r="S1247" i="10"/>
  <c r="R1247" i="10"/>
  <c r="AD1246" i="10"/>
  <c r="AC1246" i="10"/>
  <c r="AB1246" i="10"/>
  <c r="AA1246" i="10"/>
  <c r="Z1246" i="10"/>
  <c r="Y1246" i="10"/>
  <c r="X1246" i="10"/>
  <c r="W1246" i="10"/>
  <c r="V1246" i="10"/>
  <c r="U1246" i="10"/>
  <c r="T1246" i="10"/>
  <c r="S1246" i="10"/>
  <c r="R1246" i="10"/>
  <c r="AE1246" i="10"/>
  <c r="AD1245" i="10"/>
  <c r="AC1245" i="10"/>
  <c r="AB1245" i="10"/>
  <c r="AA1245" i="10"/>
  <c r="Z1245" i="10"/>
  <c r="Y1245" i="10"/>
  <c r="X1245" i="10"/>
  <c r="W1245" i="10"/>
  <c r="V1245" i="10"/>
  <c r="U1245" i="10"/>
  <c r="T1245" i="10"/>
  <c r="S1245" i="10"/>
  <c r="R1245" i="10"/>
  <c r="AE1245" i="10"/>
  <c r="AD1244" i="10"/>
  <c r="AC1244" i="10"/>
  <c r="AB1244" i="10"/>
  <c r="AA1244" i="10"/>
  <c r="Z1244" i="10"/>
  <c r="Y1244" i="10"/>
  <c r="X1244" i="10"/>
  <c r="W1244" i="10"/>
  <c r="V1244" i="10"/>
  <c r="U1244" i="10"/>
  <c r="T1244" i="10"/>
  <c r="S1244" i="10"/>
  <c r="R1244" i="10"/>
  <c r="AE1244" i="10"/>
  <c r="AD1243" i="10"/>
  <c r="AC1243" i="10"/>
  <c r="AB1243" i="10"/>
  <c r="AA1243" i="10"/>
  <c r="Z1243" i="10"/>
  <c r="Y1243" i="10"/>
  <c r="X1243" i="10"/>
  <c r="W1243" i="10"/>
  <c r="V1243" i="10"/>
  <c r="U1243" i="10"/>
  <c r="T1243" i="10"/>
  <c r="S1243" i="10"/>
  <c r="R1243" i="10"/>
  <c r="AE1243" i="10"/>
  <c r="AD1242" i="10"/>
  <c r="AC1242" i="10"/>
  <c r="AB1242" i="10"/>
  <c r="AA1242" i="10"/>
  <c r="Z1242" i="10"/>
  <c r="Y1242" i="10"/>
  <c r="X1242" i="10"/>
  <c r="W1242" i="10"/>
  <c r="V1242" i="10"/>
  <c r="U1242" i="10"/>
  <c r="T1242" i="10"/>
  <c r="S1242" i="10"/>
  <c r="R1242" i="10"/>
  <c r="AE1242" i="10"/>
  <c r="AD1241" i="10"/>
  <c r="AC1241" i="10"/>
  <c r="AB1241" i="10"/>
  <c r="AA1241" i="10"/>
  <c r="Z1241" i="10"/>
  <c r="Y1241" i="10"/>
  <c r="X1241" i="10"/>
  <c r="W1241" i="10"/>
  <c r="R1241" i="10"/>
  <c r="S1241" i="10"/>
  <c r="T1241" i="10"/>
  <c r="U1241" i="10"/>
  <c r="V1241" i="10"/>
  <c r="AE1241" i="10"/>
  <c r="AD1240" i="10"/>
  <c r="AC1240" i="10"/>
  <c r="AB1240" i="10"/>
  <c r="AA1240" i="10"/>
  <c r="Z1240" i="10"/>
  <c r="Y1240" i="10"/>
  <c r="X1240" i="10"/>
  <c r="W1240" i="10"/>
  <c r="V1240" i="10"/>
  <c r="R1240" i="10"/>
  <c r="S1240" i="10"/>
  <c r="T1240" i="10"/>
  <c r="U1240" i="10"/>
  <c r="AE1240" i="10"/>
  <c r="AD1239" i="10"/>
  <c r="AC1239" i="10"/>
  <c r="AB1239" i="10"/>
  <c r="AA1239" i="10"/>
  <c r="Z1239" i="10"/>
  <c r="Y1239" i="10"/>
  <c r="X1239" i="10"/>
  <c r="W1239" i="10"/>
  <c r="V1239" i="10"/>
  <c r="U1239" i="10"/>
  <c r="T1239" i="10"/>
  <c r="S1239" i="10"/>
  <c r="R1239" i="10"/>
  <c r="AD1238" i="10"/>
  <c r="AC1238" i="10"/>
  <c r="AB1238" i="10"/>
  <c r="AA1238" i="10"/>
  <c r="Z1238" i="10"/>
  <c r="Y1238" i="10"/>
  <c r="X1238" i="10"/>
  <c r="W1238" i="10"/>
  <c r="V1238" i="10"/>
  <c r="U1238" i="10"/>
  <c r="T1238" i="10"/>
  <c r="S1238" i="10"/>
  <c r="R1238" i="10"/>
  <c r="AD1237" i="10"/>
  <c r="AC1237" i="10"/>
  <c r="AB1237" i="10"/>
  <c r="AA1237" i="10"/>
  <c r="Z1237" i="10"/>
  <c r="Y1237" i="10"/>
  <c r="X1237" i="10"/>
  <c r="W1237" i="10"/>
  <c r="V1237" i="10"/>
  <c r="U1237" i="10"/>
  <c r="T1237" i="10"/>
  <c r="S1237" i="10"/>
  <c r="R1237" i="10"/>
  <c r="AE1237" i="10"/>
  <c r="AD1236" i="10"/>
  <c r="AC1236" i="10"/>
  <c r="AB1236" i="10"/>
  <c r="AA1236" i="10"/>
  <c r="Z1236" i="10"/>
  <c r="Y1236" i="10"/>
  <c r="X1236" i="10"/>
  <c r="W1236" i="10"/>
  <c r="V1236" i="10"/>
  <c r="U1236" i="10"/>
  <c r="T1236" i="10"/>
  <c r="S1236" i="10"/>
  <c r="R1236" i="10"/>
  <c r="AE1236" i="10"/>
  <c r="AD1235" i="10"/>
  <c r="AC1235" i="10"/>
  <c r="AB1235" i="10"/>
  <c r="AA1235" i="10"/>
  <c r="Z1235" i="10"/>
  <c r="Y1235" i="10"/>
  <c r="X1235" i="10"/>
  <c r="W1235" i="10"/>
  <c r="V1235" i="10"/>
  <c r="U1235" i="10"/>
  <c r="T1235" i="10"/>
  <c r="S1235" i="10"/>
  <c r="R1235" i="10"/>
  <c r="AE1235" i="10"/>
  <c r="AD1234" i="10"/>
  <c r="AC1234" i="10"/>
  <c r="AB1234" i="10"/>
  <c r="AA1234" i="10"/>
  <c r="Z1234" i="10"/>
  <c r="Y1234" i="10"/>
  <c r="X1234" i="10"/>
  <c r="W1234" i="10"/>
  <c r="V1234" i="10"/>
  <c r="U1234" i="10"/>
  <c r="T1234" i="10"/>
  <c r="S1234" i="10"/>
  <c r="R1234" i="10"/>
  <c r="AD1233" i="10"/>
  <c r="AC1233" i="10"/>
  <c r="AB1233" i="10"/>
  <c r="AA1233" i="10"/>
  <c r="Z1233" i="10"/>
  <c r="Y1233" i="10"/>
  <c r="X1233" i="10"/>
  <c r="W1233" i="10"/>
  <c r="R1233" i="10"/>
  <c r="S1233" i="10"/>
  <c r="T1233" i="10"/>
  <c r="U1233" i="10"/>
  <c r="V1233" i="10"/>
  <c r="AE1233" i="10"/>
  <c r="AD1232" i="10"/>
  <c r="AC1232" i="10"/>
  <c r="AB1232" i="10"/>
  <c r="AA1232" i="10"/>
  <c r="Z1232" i="10"/>
  <c r="Y1232" i="10"/>
  <c r="X1232" i="10"/>
  <c r="W1232" i="10"/>
  <c r="V1232" i="10"/>
  <c r="R1232" i="10"/>
  <c r="S1232" i="10"/>
  <c r="T1232" i="10"/>
  <c r="U1232" i="10"/>
  <c r="AE1232" i="10"/>
  <c r="AD1231" i="10"/>
  <c r="AC1231" i="10"/>
  <c r="AB1231" i="10"/>
  <c r="AA1231" i="10"/>
  <c r="Z1231" i="10"/>
  <c r="Y1231" i="10"/>
  <c r="X1231" i="10"/>
  <c r="W1231" i="10"/>
  <c r="V1231" i="10"/>
  <c r="U1231" i="10"/>
  <c r="T1231" i="10"/>
  <c r="S1231" i="10"/>
  <c r="R1231" i="10"/>
  <c r="AD1230" i="10"/>
  <c r="AC1230" i="10"/>
  <c r="AB1230" i="10"/>
  <c r="AA1230" i="10"/>
  <c r="Z1230" i="10"/>
  <c r="Y1230" i="10"/>
  <c r="X1230" i="10"/>
  <c r="W1230" i="10"/>
  <c r="V1230" i="10"/>
  <c r="U1230" i="10"/>
  <c r="T1230" i="10"/>
  <c r="S1230" i="10"/>
  <c r="R1230" i="10"/>
  <c r="AE1230" i="10"/>
  <c r="AD1229" i="10"/>
  <c r="AC1229" i="10"/>
  <c r="AB1229" i="10"/>
  <c r="AA1229" i="10"/>
  <c r="Z1229" i="10"/>
  <c r="Y1229" i="10"/>
  <c r="X1229" i="10"/>
  <c r="W1229" i="10"/>
  <c r="V1229" i="10"/>
  <c r="U1229" i="10"/>
  <c r="T1229" i="10"/>
  <c r="S1229" i="10"/>
  <c r="R1229" i="10"/>
  <c r="AD1228" i="10"/>
  <c r="AC1228" i="10"/>
  <c r="AB1228" i="10"/>
  <c r="AA1228" i="10"/>
  <c r="Z1228" i="10"/>
  <c r="Y1228" i="10"/>
  <c r="X1228" i="10"/>
  <c r="W1228" i="10"/>
  <c r="V1228" i="10"/>
  <c r="U1228" i="10"/>
  <c r="T1228" i="10"/>
  <c r="S1228" i="10"/>
  <c r="R1228" i="10"/>
  <c r="AE1228" i="10"/>
  <c r="AD1227" i="10"/>
  <c r="AC1227" i="10"/>
  <c r="AB1227" i="10"/>
  <c r="AA1227" i="10"/>
  <c r="Z1227" i="10"/>
  <c r="Y1227" i="10"/>
  <c r="X1227" i="10"/>
  <c r="W1227" i="10"/>
  <c r="V1227" i="10"/>
  <c r="U1227" i="10"/>
  <c r="T1227" i="10"/>
  <c r="S1227" i="10"/>
  <c r="R1227" i="10"/>
  <c r="AE1227" i="10"/>
  <c r="AD1226" i="10"/>
  <c r="AC1226" i="10"/>
  <c r="AB1226" i="10"/>
  <c r="AA1226" i="10"/>
  <c r="Z1226" i="10"/>
  <c r="Y1226" i="10"/>
  <c r="X1226" i="10"/>
  <c r="W1226" i="10"/>
  <c r="V1226" i="10"/>
  <c r="U1226" i="10"/>
  <c r="T1226" i="10"/>
  <c r="S1226" i="10"/>
  <c r="R1226" i="10"/>
  <c r="AE1226" i="10"/>
  <c r="AD1225" i="10"/>
  <c r="AC1225" i="10"/>
  <c r="AB1225" i="10"/>
  <c r="AA1225" i="10"/>
  <c r="Z1225" i="10"/>
  <c r="Y1225" i="10"/>
  <c r="X1225" i="10"/>
  <c r="W1225" i="10"/>
  <c r="R1225" i="10"/>
  <c r="S1225" i="10"/>
  <c r="T1225" i="10"/>
  <c r="U1225" i="10"/>
  <c r="V1225" i="10"/>
  <c r="AE1225" i="10"/>
  <c r="AD1224" i="10"/>
  <c r="AC1224" i="10"/>
  <c r="AB1224" i="10"/>
  <c r="AA1224" i="10"/>
  <c r="Z1224" i="10"/>
  <c r="Y1224" i="10"/>
  <c r="X1224" i="10"/>
  <c r="W1224" i="10"/>
  <c r="V1224" i="10"/>
  <c r="R1224" i="10"/>
  <c r="S1224" i="10"/>
  <c r="T1224" i="10"/>
  <c r="U1224" i="10"/>
  <c r="AE1224" i="10"/>
  <c r="AD1223" i="10"/>
  <c r="AC1223" i="10"/>
  <c r="AB1223" i="10"/>
  <c r="AA1223" i="10"/>
  <c r="Z1223" i="10"/>
  <c r="Y1223" i="10"/>
  <c r="X1223" i="10"/>
  <c r="W1223" i="10"/>
  <c r="V1223" i="10"/>
  <c r="U1223" i="10"/>
  <c r="T1223" i="10"/>
  <c r="S1223" i="10"/>
  <c r="R1223" i="10"/>
  <c r="AD1222" i="10"/>
  <c r="AC1222" i="10"/>
  <c r="AB1222" i="10"/>
  <c r="AA1222" i="10"/>
  <c r="Z1222" i="10"/>
  <c r="Y1222" i="10"/>
  <c r="X1222" i="10"/>
  <c r="W1222" i="10"/>
  <c r="V1222" i="10"/>
  <c r="U1222" i="10"/>
  <c r="T1222" i="10"/>
  <c r="S1222" i="10"/>
  <c r="R1222" i="10"/>
  <c r="AD1221" i="10"/>
  <c r="AC1221" i="10"/>
  <c r="AB1221" i="10"/>
  <c r="AA1221" i="10"/>
  <c r="Z1221" i="10"/>
  <c r="Y1221" i="10"/>
  <c r="X1221" i="10"/>
  <c r="W1221" i="10"/>
  <c r="V1221" i="10"/>
  <c r="U1221" i="10"/>
  <c r="T1221" i="10"/>
  <c r="S1221" i="10"/>
  <c r="R1221" i="10"/>
  <c r="AE1221" i="10"/>
  <c r="AD1220" i="10"/>
  <c r="AC1220" i="10"/>
  <c r="AB1220" i="10"/>
  <c r="AA1220" i="10"/>
  <c r="Z1220" i="10"/>
  <c r="Y1220" i="10"/>
  <c r="X1220" i="10"/>
  <c r="W1220" i="10"/>
  <c r="V1220" i="10"/>
  <c r="U1220" i="10"/>
  <c r="T1220" i="10"/>
  <c r="S1220" i="10"/>
  <c r="R1220" i="10"/>
  <c r="AD1219" i="10"/>
  <c r="AC1219" i="10"/>
  <c r="AB1219" i="10"/>
  <c r="AA1219" i="10"/>
  <c r="Z1219" i="10"/>
  <c r="Y1219" i="10"/>
  <c r="X1219" i="10"/>
  <c r="W1219" i="10"/>
  <c r="V1219" i="10"/>
  <c r="U1219" i="10"/>
  <c r="T1219" i="10"/>
  <c r="S1219" i="10"/>
  <c r="R1219" i="10"/>
  <c r="AE1219" i="10"/>
  <c r="AD1218" i="10"/>
  <c r="AC1218" i="10"/>
  <c r="AB1218" i="10"/>
  <c r="AA1218" i="10"/>
  <c r="Z1218" i="10"/>
  <c r="Y1218" i="10"/>
  <c r="X1218" i="10"/>
  <c r="W1218" i="10"/>
  <c r="V1218" i="10"/>
  <c r="U1218" i="10"/>
  <c r="T1218" i="10"/>
  <c r="S1218" i="10"/>
  <c r="R1218" i="10"/>
  <c r="AE1218" i="10"/>
  <c r="AD1217" i="10"/>
  <c r="AC1217" i="10"/>
  <c r="AB1217" i="10"/>
  <c r="AA1217" i="10"/>
  <c r="Z1217" i="10"/>
  <c r="Y1217" i="10"/>
  <c r="X1217" i="10"/>
  <c r="W1217" i="10"/>
  <c r="R1217" i="10"/>
  <c r="S1217" i="10"/>
  <c r="T1217" i="10"/>
  <c r="U1217" i="10"/>
  <c r="V1217" i="10"/>
  <c r="AE1217" i="10"/>
  <c r="AD1216" i="10"/>
  <c r="AC1216" i="10"/>
  <c r="AB1216" i="10"/>
  <c r="AA1216" i="10"/>
  <c r="Z1216" i="10"/>
  <c r="Y1216" i="10"/>
  <c r="X1216" i="10"/>
  <c r="W1216" i="10"/>
  <c r="V1216" i="10"/>
  <c r="R1216" i="10"/>
  <c r="S1216" i="10"/>
  <c r="T1216" i="10"/>
  <c r="U1216" i="10"/>
  <c r="AE1216" i="10"/>
  <c r="AD1215" i="10"/>
  <c r="AC1215" i="10"/>
  <c r="AB1215" i="10"/>
  <c r="AA1215" i="10"/>
  <c r="Z1215" i="10"/>
  <c r="Y1215" i="10"/>
  <c r="X1215" i="10"/>
  <c r="W1215" i="10"/>
  <c r="V1215" i="10"/>
  <c r="U1215" i="10"/>
  <c r="T1215" i="10"/>
  <c r="S1215" i="10"/>
  <c r="R1215" i="10"/>
  <c r="AE1215" i="10"/>
  <c r="AD1214" i="10"/>
  <c r="AC1214" i="10"/>
  <c r="AB1214" i="10"/>
  <c r="AA1214" i="10"/>
  <c r="Z1214" i="10"/>
  <c r="Y1214" i="10"/>
  <c r="X1214" i="10"/>
  <c r="W1214" i="10"/>
  <c r="V1214" i="10"/>
  <c r="U1214" i="10"/>
  <c r="T1214" i="10"/>
  <c r="S1214" i="10"/>
  <c r="R1214" i="10"/>
  <c r="AD1213" i="10"/>
  <c r="AC1213" i="10"/>
  <c r="AB1213" i="10"/>
  <c r="AA1213" i="10"/>
  <c r="Z1213" i="10"/>
  <c r="Y1213" i="10"/>
  <c r="X1213" i="10"/>
  <c r="W1213" i="10"/>
  <c r="V1213" i="10"/>
  <c r="U1213" i="10"/>
  <c r="T1213" i="10"/>
  <c r="S1213" i="10"/>
  <c r="R1213" i="10"/>
  <c r="AD1212" i="10"/>
  <c r="AC1212" i="10"/>
  <c r="AB1212" i="10"/>
  <c r="AA1212" i="10"/>
  <c r="Z1212" i="10"/>
  <c r="Y1212" i="10"/>
  <c r="X1212" i="10"/>
  <c r="W1212" i="10"/>
  <c r="V1212" i="10"/>
  <c r="U1212" i="10"/>
  <c r="T1212" i="10"/>
  <c r="S1212" i="10"/>
  <c r="R1212" i="10"/>
  <c r="AE1212" i="10"/>
  <c r="AD1211" i="10"/>
  <c r="AC1211" i="10"/>
  <c r="AB1211" i="10"/>
  <c r="AA1211" i="10"/>
  <c r="Z1211" i="10"/>
  <c r="Y1211" i="10"/>
  <c r="X1211" i="10"/>
  <c r="W1211" i="10"/>
  <c r="V1211" i="10"/>
  <c r="U1211" i="10"/>
  <c r="T1211" i="10"/>
  <c r="S1211" i="10"/>
  <c r="R1211" i="10"/>
  <c r="AE1211" i="10"/>
  <c r="AD1210" i="10"/>
  <c r="AC1210" i="10"/>
  <c r="AB1210" i="10"/>
  <c r="AA1210" i="10"/>
  <c r="Z1210" i="10"/>
  <c r="Y1210" i="10"/>
  <c r="X1210" i="10"/>
  <c r="W1210" i="10"/>
  <c r="V1210" i="10"/>
  <c r="U1210" i="10"/>
  <c r="T1210" i="10"/>
  <c r="S1210" i="10"/>
  <c r="R1210" i="10"/>
  <c r="AD1209" i="10"/>
  <c r="AC1209" i="10"/>
  <c r="AB1209" i="10"/>
  <c r="AA1209" i="10"/>
  <c r="Z1209" i="10"/>
  <c r="Y1209" i="10"/>
  <c r="X1209" i="10"/>
  <c r="W1209" i="10"/>
  <c r="R1209" i="10"/>
  <c r="S1209" i="10"/>
  <c r="T1209" i="10"/>
  <c r="U1209" i="10"/>
  <c r="V1209" i="10"/>
  <c r="AE1209" i="10"/>
  <c r="AD1208" i="10"/>
  <c r="AC1208" i="10"/>
  <c r="AB1208" i="10"/>
  <c r="AA1208" i="10"/>
  <c r="Z1208" i="10"/>
  <c r="Y1208" i="10"/>
  <c r="X1208" i="10"/>
  <c r="W1208" i="10"/>
  <c r="V1208" i="10"/>
  <c r="R1208" i="10"/>
  <c r="S1208" i="10"/>
  <c r="T1208" i="10"/>
  <c r="U1208" i="10"/>
  <c r="AE1208" i="10"/>
  <c r="AD1207" i="10"/>
  <c r="AC1207" i="10"/>
  <c r="AB1207" i="10"/>
  <c r="AA1207" i="10"/>
  <c r="Z1207" i="10"/>
  <c r="Y1207" i="10"/>
  <c r="X1207" i="10"/>
  <c r="W1207" i="10"/>
  <c r="V1207" i="10"/>
  <c r="U1207" i="10"/>
  <c r="T1207" i="10"/>
  <c r="S1207" i="10"/>
  <c r="R1207" i="10"/>
  <c r="AE1207" i="10"/>
  <c r="AD1206" i="10"/>
  <c r="AC1206" i="10"/>
  <c r="AB1206" i="10"/>
  <c r="AA1206" i="10"/>
  <c r="Z1206" i="10"/>
  <c r="Y1206" i="10"/>
  <c r="X1206" i="10"/>
  <c r="W1206" i="10"/>
  <c r="V1206" i="10"/>
  <c r="U1206" i="10"/>
  <c r="T1206" i="10"/>
  <c r="S1206" i="10"/>
  <c r="R1206" i="10"/>
  <c r="AD1205" i="10"/>
  <c r="AC1205" i="10"/>
  <c r="AB1205" i="10"/>
  <c r="AA1205" i="10"/>
  <c r="Z1205" i="10"/>
  <c r="Y1205" i="10"/>
  <c r="X1205" i="10"/>
  <c r="W1205" i="10"/>
  <c r="V1205" i="10"/>
  <c r="U1205" i="10"/>
  <c r="T1205" i="10"/>
  <c r="S1205" i="10"/>
  <c r="R1205" i="10"/>
  <c r="AE1205" i="10"/>
  <c r="AD1204" i="10"/>
  <c r="AC1204" i="10"/>
  <c r="AB1204" i="10"/>
  <c r="AA1204" i="10"/>
  <c r="Z1204" i="10"/>
  <c r="Y1204" i="10"/>
  <c r="X1204" i="10"/>
  <c r="W1204" i="10"/>
  <c r="V1204" i="10"/>
  <c r="U1204" i="10"/>
  <c r="T1204" i="10"/>
  <c r="S1204" i="10"/>
  <c r="R1204" i="10"/>
  <c r="AD1203" i="10"/>
  <c r="AC1203" i="10"/>
  <c r="AB1203" i="10"/>
  <c r="AA1203" i="10"/>
  <c r="Z1203" i="10"/>
  <c r="Y1203" i="10"/>
  <c r="X1203" i="10"/>
  <c r="W1203" i="10"/>
  <c r="V1203" i="10"/>
  <c r="U1203" i="10"/>
  <c r="T1203" i="10"/>
  <c r="S1203" i="10"/>
  <c r="R1203" i="10"/>
  <c r="AE1203" i="10"/>
  <c r="AD1202" i="10"/>
  <c r="AC1202" i="10"/>
  <c r="AB1202" i="10"/>
  <c r="AA1202" i="10"/>
  <c r="Z1202" i="10"/>
  <c r="Y1202" i="10"/>
  <c r="X1202" i="10"/>
  <c r="W1202" i="10"/>
  <c r="V1202" i="10"/>
  <c r="U1202" i="10"/>
  <c r="T1202" i="10"/>
  <c r="S1202" i="10"/>
  <c r="R1202" i="10"/>
  <c r="AD1201" i="10"/>
  <c r="AC1201" i="10"/>
  <c r="AB1201" i="10"/>
  <c r="AA1201" i="10"/>
  <c r="Z1201" i="10"/>
  <c r="Y1201" i="10"/>
  <c r="X1201" i="10"/>
  <c r="W1201" i="10"/>
  <c r="R1201" i="10"/>
  <c r="S1201" i="10"/>
  <c r="T1201" i="10"/>
  <c r="U1201" i="10"/>
  <c r="V1201" i="10"/>
  <c r="AE1201" i="10"/>
  <c r="AD1200" i="10"/>
  <c r="AC1200" i="10"/>
  <c r="AB1200" i="10"/>
  <c r="AA1200" i="10"/>
  <c r="Z1200" i="10"/>
  <c r="Y1200" i="10"/>
  <c r="X1200" i="10"/>
  <c r="W1200" i="10"/>
  <c r="V1200" i="10"/>
  <c r="R1200" i="10"/>
  <c r="S1200" i="10"/>
  <c r="T1200" i="10"/>
  <c r="U1200" i="10"/>
  <c r="AE1200" i="10"/>
  <c r="AD1199" i="10"/>
  <c r="AC1199" i="10"/>
  <c r="AB1199" i="10"/>
  <c r="AA1199" i="10"/>
  <c r="Z1199" i="10"/>
  <c r="Y1199" i="10"/>
  <c r="X1199" i="10"/>
  <c r="W1199" i="10"/>
  <c r="V1199" i="10"/>
  <c r="U1199" i="10"/>
  <c r="T1199" i="10"/>
  <c r="S1199" i="10"/>
  <c r="R1199" i="10"/>
  <c r="AE1199" i="10"/>
  <c r="AD1198" i="10"/>
  <c r="AC1198" i="10"/>
  <c r="AB1198" i="10"/>
  <c r="AA1198" i="10"/>
  <c r="Z1198" i="10"/>
  <c r="Y1198" i="10"/>
  <c r="X1198" i="10"/>
  <c r="W1198" i="10"/>
  <c r="V1198" i="10"/>
  <c r="U1198" i="10"/>
  <c r="T1198" i="10"/>
  <c r="S1198" i="10"/>
  <c r="R1198" i="10"/>
  <c r="AE1198" i="10"/>
  <c r="AD1197" i="10"/>
  <c r="AC1197" i="10"/>
  <c r="AB1197" i="10"/>
  <c r="AA1197" i="10"/>
  <c r="Z1197" i="10"/>
  <c r="Y1197" i="10"/>
  <c r="X1197" i="10"/>
  <c r="W1197" i="10"/>
  <c r="V1197" i="10"/>
  <c r="U1197" i="10"/>
  <c r="T1197" i="10"/>
  <c r="S1197" i="10"/>
  <c r="R1197" i="10"/>
  <c r="AD1196" i="10"/>
  <c r="AC1196" i="10"/>
  <c r="AB1196" i="10"/>
  <c r="AA1196" i="10"/>
  <c r="Z1196" i="10"/>
  <c r="Y1196" i="10"/>
  <c r="X1196" i="10"/>
  <c r="W1196" i="10"/>
  <c r="V1196" i="10"/>
  <c r="U1196" i="10"/>
  <c r="T1196" i="10"/>
  <c r="S1196" i="10"/>
  <c r="R1196" i="10"/>
  <c r="AE1196" i="10"/>
  <c r="AD1195" i="10"/>
  <c r="AC1195" i="10"/>
  <c r="AB1195" i="10"/>
  <c r="AA1195" i="10"/>
  <c r="Z1195" i="10"/>
  <c r="Y1195" i="10"/>
  <c r="X1195" i="10"/>
  <c r="W1195" i="10"/>
  <c r="V1195" i="10"/>
  <c r="U1195" i="10"/>
  <c r="T1195" i="10"/>
  <c r="S1195" i="10"/>
  <c r="R1195" i="10"/>
  <c r="AE1195" i="10"/>
  <c r="AD1194" i="10"/>
  <c r="AC1194" i="10"/>
  <c r="AB1194" i="10"/>
  <c r="AA1194" i="10"/>
  <c r="Z1194" i="10"/>
  <c r="Y1194" i="10"/>
  <c r="X1194" i="10"/>
  <c r="W1194" i="10"/>
  <c r="V1194" i="10"/>
  <c r="U1194" i="10"/>
  <c r="T1194" i="10"/>
  <c r="S1194" i="10"/>
  <c r="R1194" i="10"/>
  <c r="AE1194" i="10"/>
  <c r="AD1193" i="10"/>
  <c r="AC1193" i="10"/>
  <c r="AB1193" i="10"/>
  <c r="AA1193" i="10"/>
  <c r="Z1193" i="10"/>
  <c r="Y1193" i="10"/>
  <c r="X1193" i="10"/>
  <c r="W1193" i="10"/>
  <c r="R1193" i="10"/>
  <c r="S1193" i="10"/>
  <c r="T1193" i="10"/>
  <c r="U1193" i="10"/>
  <c r="V1193" i="10"/>
  <c r="AE1193" i="10"/>
  <c r="AD1192" i="10"/>
  <c r="AC1192" i="10"/>
  <c r="AB1192" i="10"/>
  <c r="AA1192" i="10"/>
  <c r="Z1192" i="10"/>
  <c r="Y1192" i="10"/>
  <c r="X1192" i="10"/>
  <c r="W1192" i="10"/>
  <c r="V1192" i="10"/>
  <c r="R1192" i="10"/>
  <c r="S1192" i="10"/>
  <c r="T1192" i="10"/>
  <c r="U1192" i="10"/>
  <c r="AE1192" i="10"/>
  <c r="AD1191" i="10"/>
  <c r="AC1191" i="10"/>
  <c r="AB1191" i="10"/>
  <c r="AA1191" i="10"/>
  <c r="Z1191" i="10"/>
  <c r="Y1191" i="10"/>
  <c r="X1191" i="10"/>
  <c r="W1191" i="10"/>
  <c r="V1191" i="10"/>
  <c r="U1191" i="10"/>
  <c r="T1191" i="10"/>
  <c r="S1191" i="10"/>
  <c r="R1191" i="10"/>
  <c r="AE1191" i="10"/>
  <c r="AD1190" i="10"/>
  <c r="AC1190" i="10"/>
  <c r="AB1190" i="10"/>
  <c r="AA1190" i="10"/>
  <c r="Z1190" i="10"/>
  <c r="Y1190" i="10"/>
  <c r="X1190" i="10"/>
  <c r="W1190" i="10"/>
  <c r="V1190" i="10"/>
  <c r="U1190" i="10"/>
  <c r="T1190" i="10"/>
  <c r="S1190" i="10"/>
  <c r="R1190" i="10"/>
  <c r="AE1190" i="10"/>
  <c r="AD1189" i="10"/>
  <c r="AC1189" i="10"/>
  <c r="AB1189" i="10"/>
  <c r="AA1189" i="10"/>
  <c r="Z1189" i="10"/>
  <c r="Y1189" i="10"/>
  <c r="X1189" i="10"/>
  <c r="W1189" i="10"/>
  <c r="V1189" i="10"/>
  <c r="U1189" i="10"/>
  <c r="T1189" i="10"/>
  <c r="S1189" i="10"/>
  <c r="R1189" i="10"/>
  <c r="AE1189" i="10"/>
  <c r="AD1188" i="10"/>
  <c r="AC1188" i="10"/>
  <c r="AB1188" i="10"/>
  <c r="AA1188" i="10"/>
  <c r="Z1188" i="10"/>
  <c r="Y1188" i="10"/>
  <c r="X1188" i="10"/>
  <c r="W1188" i="10"/>
  <c r="V1188" i="10"/>
  <c r="U1188" i="10"/>
  <c r="T1188" i="10"/>
  <c r="S1188" i="10"/>
  <c r="R1188" i="10"/>
  <c r="AD1187" i="10"/>
  <c r="AC1187" i="10"/>
  <c r="AB1187" i="10"/>
  <c r="AA1187" i="10"/>
  <c r="Z1187" i="10"/>
  <c r="Y1187" i="10"/>
  <c r="X1187" i="10"/>
  <c r="W1187" i="10"/>
  <c r="V1187" i="10"/>
  <c r="U1187" i="10"/>
  <c r="T1187" i="10"/>
  <c r="S1187" i="10"/>
  <c r="R1187" i="10"/>
  <c r="AE1187" i="10"/>
  <c r="AD1186" i="10"/>
  <c r="AC1186" i="10"/>
  <c r="AB1186" i="10"/>
  <c r="AA1186" i="10"/>
  <c r="Z1186" i="10"/>
  <c r="Y1186" i="10"/>
  <c r="X1186" i="10"/>
  <c r="W1186" i="10"/>
  <c r="V1186" i="10"/>
  <c r="U1186" i="10"/>
  <c r="T1186" i="10"/>
  <c r="S1186" i="10"/>
  <c r="R1186" i="10"/>
  <c r="AD1185" i="10"/>
  <c r="AC1185" i="10"/>
  <c r="AB1185" i="10"/>
  <c r="AA1185" i="10"/>
  <c r="Z1185" i="10"/>
  <c r="Y1185" i="10"/>
  <c r="X1185" i="10"/>
  <c r="W1185" i="10"/>
  <c r="R1185" i="10"/>
  <c r="S1185" i="10"/>
  <c r="T1185" i="10"/>
  <c r="U1185" i="10"/>
  <c r="V1185" i="10"/>
  <c r="AE1185" i="10"/>
  <c r="AD1184" i="10"/>
  <c r="AC1184" i="10"/>
  <c r="AB1184" i="10"/>
  <c r="AA1184" i="10"/>
  <c r="Z1184" i="10"/>
  <c r="Y1184" i="10"/>
  <c r="X1184" i="10"/>
  <c r="W1184" i="10"/>
  <c r="V1184" i="10"/>
  <c r="R1184" i="10"/>
  <c r="S1184" i="10"/>
  <c r="T1184" i="10"/>
  <c r="U1184" i="10"/>
  <c r="AE1184" i="10"/>
  <c r="AD1183" i="10"/>
  <c r="AC1183" i="10"/>
  <c r="AB1183" i="10"/>
  <c r="AA1183" i="10"/>
  <c r="Z1183" i="10"/>
  <c r="Y1183" i="10"/>
  <c r="X1183" i="10"/>
  <c r="W1183" i="10"/>
  <c r="V1183" i="10"/>
  <c r="U1183" i="10"/>
  <c r="T1183" i="10"/>
  <c r="S1183" i="10"/>
  <c r="R1183" i="10"/>
  <c r="AD1182" i="10"/>
  <c r="AC1182" i="10"/>
  <c r="AB1182" i="10"/>
  <c r="AA1182" i="10"/>
  <c r="Z1182" i="10"/>
  <c r="Y1182" i="10"/>
  <c r="X1182" i="10"/>
  <c r="W1182" i="10"/>
  <c r="V1182" i="10"/>
  <c r="U1182" i="10"/>
  <c r="T1182" i="10"/>
  <c r="S1182" i="10"/>
  <c r="R1182" i="10"/>
  <c r="AE1182" i="10"/>
  <c r="AD1181" i="10"/>
  <c r="AC1181" i="10"/>
  <c r="AB1181" i="10"/>
  <c r="AA1181" i="10"/>
  <c r="Z1181" i="10"/>
  <c r="Y1181" i="10"/>
  <c r="X1181" i="10"/>
  <c r="W1181" i="10"/>
  <c r="V1181" i="10"/>
  <c r="U1181" i="10"/>
  <c r="T1181" i="10"/>
  <c r="S1181" i="10"/>
  <c r="R1181" i="10"/>
  <c r="AE1181" i="10"/>
  <c r="AD1180" i="10"/>
  <c r="AC1180" i="10"/>
  <c r="AB1180" i="10"/>
  <c r="AA1180" i="10"/>
  <c r="Z1180" i="10"/>
  <c r="Y1180" i="10"/>
  <c r="X1180" i="10"/>
  <c r="W1180" i="10"/>
  <c r="V1180" i="10"/>
  <c r="U1180" i="10"/>
  <c r="T1180" i="10"/>
  <c r="S1180" i="10"/>
  <c r="R1180" i="10"/>
  <c r="AE1180" i="10"/>
  <c r="AD1179" i="10"/>
  <c r="AC1179" i="10"/>
  <c r="AB1179" i="10"/>
  <c r="AA1179" i="10"/>
  <c r="Z1179" i="10"/>
  <c r="Y1179" i="10"/>
  <c r="X1179" i="10"/>
  <c r="W1179" i="10"/>
  <c r="V1179" i="10"/>
  <c r="U1179" i="10"/>
  <c r="T1179" i="10"/>
  <c r="S1179" i="10"/>
  <c r="R1179" i="10"/>
  <c r="AE1179" i="10"/>
  <c r="AD1178" i="10"/>
  <c r="AC1178" i="10"/>
  <c r="AB1178" i="10"/>
  <c r="AA1178" i="10"/>
  <c r="Z1178" i="10"/>
  <c r="Y1178" i="10"/>
  <c r="X1178" i="10"/>
  <c r="W1178" i="10"/>
  <c r="V1178" i="10"/>
  <c r="U1178" i="10"/>
  <c r="T1178" i="10"/>
  <c r="S1178" i="10"/>
  <c r="R1178" i="10"/>
  <c r="AE1178" i="10"/>
  <c r="AD1177" i="10"/>
  <c r="AC1177" i="10"/>
  <c r="AB1177" i="10"/>
  <c r="AA1177" i="10"/>
  <c r="Z1177" i="10"/>
  <c r="Y1177" i="10"/>
  <c r="X1177" i="10"/>
  <c r="W1177" i="10"/>
  <c r="R1177" i="10"/>
  <c r="S1177" i="10"/>
  <c r="T1177" i="10"/>
  <c r="U1177" i="10"/>
  <c r="V1177" i="10"/>
  <c r="AE1177" i="10"/>
  <c r="AD1176" i="10"/>
  <c r="AC1176" i="10"/>
  <c r="AB1176" i="10"/>
  <c r="AA1176" i="10"/>
  <c r="Z1176" i="10"/>
  <c r="Y1176" i="10"/>
  <c r="X1176" i="10"/>
  <c r="W1176" i="10"/>
  <c r="V1176" i="10"/>
  <c r="R1176" i="10"/>
  <c r="S1176" i="10"/>
  <c r="T1176" i="10"/>
  <c r="U1176" i="10"/>
  <c r="AE1176" i="10"/>
  <c r="AD1175" i="10"/>
  <c r="AC1175" i="10"/>
  <c r="AB1175" i="10"/>
  <c r="AA1175" i="10"/>
  <c r="Z1175" i="10"/>
  <c r="Y1175" i="10"/>
  <c r="X1175" i="10"/>
  <c r="W1175" i="10"/>
  <c r="V1175" i="10"/>
  <c r="U1175" i="10"/>
  <c r="T1175" i="10"/>
  <c r="S1175" i="10"/>
  <c r="R1175" i="10"/>
  <c r="AD1174" i="10"/>
  <c r="AC1174" i="10"/>
  <c r="AB1174" i="10"/>
  <c r="AA1174" i="10"/>
  <c r="Z1174" i="10"/>
  <c r="Y1174" i="10"/>
  <c r="X1174" i="10"/>
  <c r="W1174" i="10"/>
  <c r="V1174" i="10"/>
  <c r="U1174" i="10"/>
  <c r="T1174" i="10"/>
  <c r="S1174" i="10"/>
  <c r="R1174" i="10"/>
  <c r="AD1173" i="10"/>
  <c r="AC1173" i="10"/>
  <c r="AB1173" i="10"/>
  <c r="AA1173" i="10"/>
  <c r="Z1173" i="10"/>
  <c r="Y1173" i="10"/>
  <c r="X1173" i="10"/>
  <c r="W1173" i="10"/>
  <c r="V1173" i="10"/>
  <c r="U1173" i="10"/>
  <c r="T1173" i="10"/>
  <c r="S1173" i="10"/>
  <c r="R1173" i="10"/>
  <c r="AE1173" i="10"/>
  <c r="AD1172" i="10"/>
  <c r="AC1172" i="10"/>
  <c r="AB1172" i="10"/>
  <c r="AA1172" i="10"/>
  <c r="Z1172" i="10"/>
  <c r="Y1172" i="10"/>
  <c r="X1172" i="10"/>
  <c r="W1172" i="10"/>
  <c r="V1172" i="10"/>
  <c r="U1172" i="10"/>
  <c r="T1172" i="10"/>
  <c r="S1172" i="10"/>
  <c r="R1172" i="10"/>
  <c r="AE1172" i="10"/>
  <c r="AD1171" i="10"/>
  <c r="AC1171" i="10"/>
  <c r="AB1171" i="10"/>
  <c r="AA1171" i="10"/>
  <c r="Z1171" i="10"/>
  <c r="Y1171" i="10"/>
  <c r="X1171" i="10"/>
  <c r="W1171" i="10"/>
  <c r="V1171" i="10"/>
  <c r="U1171" i="10"/>
  <c r="T1171" i="10"/>
  <c r="S1171" i="10"/>
  <c r="R1171" i="10"/>
  <c r="AE1171" i="10"/>
  <c r="AD1170" i="10"/>
  <c r="AC1170" i="10"/>
  <c r="AB1170" i="10"/>
  <c r="AA1170" i="10"/>
  <c r="Z1170" i="10"/>
  <c r="Y1170" i="10"/>
  <c r="X1170" i="10"/>
  <c r="W1170" i="10"/>
  <c r="V1170" i="10"/>
  <c r="U1170" i="10"/>
  <c r="T1170" i="10"/>
  <c r="S1170" i="10"/>
  <c r="R1170" i="10"/>
  <c r="AD1169" i="10"/>
  <c r="AC1169" i="10"/>
  <c r="AB1169" i="10"/>
  <c r="AA1169" i="10"/>
  <c r="Z1169" i="10"/>
  <c r="Y1169" i="10"/>
  <c r="X1169" i="10"/>
  <c r="W1169" i="10"/>
  <c r="R1169" i="10"/>
  <c r="S1169" i="10"/>
  <c r="T1169" i="10"/>
  <c r="U1169" i="10"/>
  <c r="V1169" i="10"/>
  <c r="AE1169" i="10"/>
  <c r="AD1168" i="10"/>
  <c r="AC1168" i="10"/>
  <c r="AB1168" i="10"/>
  <c r="AA1168" i="10"/>
  <c r="Z1168" i="10"/>
  <c r="Y1168" i="10"/>
  <c r="X1168" i="10"/>
  <c r="W1168" i="10"/>
  <c r="V1168" i="10"/>
  <c r="R1168" i="10"/>
  <c r="S1168" i="10"/>
  <c r="T1168" i="10"/>
  <c r="U1168" i="10"/>
  <c r="AE1168" i="10"/>
  <c r="AD1167" i="10"/>
  <c r="AC1167" i="10"/>
  <c r="AB1167" i="10"/>
  <c r="AA1167" i="10"/>
  <c r="Z1167" i="10"/>
  <c r="Y1167" i="10"/>
  <c r="X1167" i="10"/>
  <c r="W1167" i="10"/>
  <c r="V1167" i="10"/>
  <c r="U1167" i="10"/>
  <c r="T1167" i="10"/>
  <c r="S1167" i="10"/>
  <c r="R1167" i="10"/>
  <c r="AD1166" i="10"/>
  <c r="AC1166" i="10"/>
  <c r="AB1166" i="10"/>
  <c r="AA1166" i="10"/>
  <c r="Z1166" i="10"/>
  <c r="Y1166" i="10"/>
  <c r="X1166" i="10"/>
  <c r="W1166" i="10"/>
  <c r="V1166" i="10"/>
  <c r="U1166" i="10"/>
  <c r="T1166" i="10"/>
  <c r="S1166" i="10"/>
  <c r="R1166" i="10"/>
  <c r="AE1166" i="10"/>
  <c r="AD1165" i="10"/>
  <c r="AC1165" i="10"/>
  <c r="AB1165" i="10"/>
  <c r="AA1165" i="10"/>
  <c r="Z1165" i="10"/>
  <c r="Y1165" i="10"/>
  <c r="X1165" i="10"/>
  <c r="W1165" i="10"/>
  <c r="V1165" i="10"/>
  <c r="U1165" i="10"/>
  <c r="T1165" i="10"/>
  <c r="S1165" i="10"/>
  <c r="R1165" i="10"/>
  <c r="AD1164" i="10"/>
  <c r="AC1164" i="10"/>
  <c r="AB1164" i="10"/>
  <c r="AA1164" i="10"/>
  <c r="Z1164" i="10"/>
  <c r="Y1164" i="10"/>
  <c r="X1164" i="10"/>
  <c r="W1164" i="10"/>
  <c r="V1164" i="10"/>
  <c r="U1164" i="10"/>
  <c r="T1164" i="10"/>
  <c r="S1164" i="10"/>
  <c r="R1164" i="10"/>
  <c r="AE1164" i="10"/>
  <c r="AD1163" i="10"/>
  <c r="AC1163" i="10"/>
  <c r="AB1163" i="10"/>
  <c r="AA1163" i="10"/>
  <c r="Z1163" i="10"/>
  <c r="Y1163" i="10"/>
  <c r="X1163" i="10"/>
  <c r="W1163" i="10"/>
  <c r="V1163" i="10"/>
  <c r="U1163" i="10"/>
  <c r="T1163" i="10"/>
  <c r="S1163" i="10"/>
  <c r="R1163" i="10"/>
  <c r="AE1163" i="10"/>
  <c r="AD1162" i="10"/>
  <c r="AC1162" i="10"/>
  <c r="AB1162" i="10"/>
  <c r="AA1162" i="10"/>
  <c r="Z1162" i="10"/>
  <c r="Y1162" i="10"/>
  <c r="X1162" i="10"/>
  <c r="W1162" i="10"/>
  <c r="V1162" i="10"/>
  <c r="U1162" i="10"/>
  <c r="T1162" i="10"/>
  <c r="S1162" i="10"/>
  <c r="R1162" i="10"/>
  <c r="AE1162" i="10"/>
  <c r="AD1161" i="10"/>
  <c r="AC1161" i="10"/>
  <c r="AB1161" i="10"/>
  <c r="AA1161" i="10"/>
  <c r="Z1161" i="10"/>
  <c r="Y1161" i="10"/>
  <c r="X1161" i="10"/>
  <c r="W1161" i="10"/>
  <c r="R1161" i="10"/>
  <c r="S1161" i="10"/>
  <c r="T1161" i="10"/>
  <c r="U1161" i="10"/>
  <c r="V1161" i="10"/>
  <c r="AE1161" i="10"/>
  <c r="AD1160" i="10"/>
  <c r="AC1160" i="10"/>
  <c r="AB1160" i="10"/>
  <c r="AA1160" i="10"/>
  <c r="Z1160" i="10"/>
  <c r="Y1160" i="10"/>
  <c r="X1160" i="10"/>
  <c r="W1160" i="10"/>
  <c r="V1160" i="10"/>
  <c r="R1160" i="10"/>
  <c r="S1160" i="10"/>
  <c r="T1160" i="10"/>
  <c r="U1160" i="10"/>
  <c r="AE1160" i="10"/>
  <c r="AD1159" i="10"/>
  <c r="AC1159" i="10"/>
  <c r="AB1159" i="10"/>
  <c r="AA1159" i="10"/>
  <c r="Z1159" i="10"/>
  <c r="Y1159" i="10"/>
  <c r="X1159" i="10"/>
  <c r="W1159" i="10"/>
  <c r="V1159" i="10"/>
  <c r="U1159" i="10"/>
  <c r="T1159" i="10"/>
  <c r="S1159" i="10"/>
  <c r="R1159" i="10"/>
  <c r="AD1158" i="10"/>
  <c r="AC1158" i="10"/>
  <c r="AB1158" i="10"/>
  <c r="AA1158" i="10"/>
  <c r="Z1158" i="10"/>
  <c r="Y1158" i="10"/>
  <c r="X1158" i="10"/>
  <c r="W1158" i="10"/>
  <c r="V1158" i="10"/>
  <c r="U1158" i="10"/>
  <c r="T1158" i="10"/>
  <c r="S1158" i="10"/>
  <c r="R1158" i="10"/>
  <c r="AD1157" i="10"/>
  <c r="AC1157" i="10"/>
  <c r="AB1157" i="10"/>
  <c r="AA1157" i="10"/>
  <c r="Z1157" i="10"/>
  <c r="Y1157" i="10"/>
  <c r="X1157" i="10"/>
  <c r="W1157" i="10"/>
  <c r="V1157" i="10"/>
  <c r="U1157" i="10"/>
  <c r="T1157" i="10"/>
  <c r="S1157" i="10"/>
  <c r="R1157" i="10"/>
  <c r="AE1157" i="10"/>
  <c r="AD1156" i="10"/>
  <c r="AC1156" i="10"/>
  <c r="AB1156" i="10"/>
  <c r="AA1156" i="10"/>
  <c r="Z1156" i="10"/>
  <c r="Y1156" i="10"/>
  <c r="X1156" i="10"/>
  <c r="W1156" i="10"/>
  <c r="V1156" i="10"/>
  <c r="U1156" i="10"/>
  <c r="T1156" i="10"/>
  <c r="S1156" i="10"/>
  <c r="R1156" i="10"/>
  <c r="AD1155" i="10"/>
  <c r="AC1155" i="10"/>
  <c r="AB1155" i="10"/>
  <c r="AA1155" i="10"/>
  <c r="Z1155" i="10"/>
  <c r="Y1155" i="10"/>
  <c r="X1155" i="10"/>
  <c r="W1155" i="10"/>
  <c r="V1155" i="10"/>
  <c r="U1155" i="10"/>
  <c r="T1155" i="10"/>
  <c r="S1155" i="10"/>
  <c r="R1155" i="10"/>
  <c r="AE1155" i="10"/>
  <c r="AD1154" i="10"/>
  <c r="AC1154" i="10"/>
  <c r="AB1154" i="10"/>
  <c r="AA1154" i="10"/>
  <c r="Z1154" i="10"/>
  <c r="Y1154" i="10"/>
  <c r="X1154" i="10"/>
  <c r="W1154" i="10"/>
  <c r="V1154" i="10"/>
  <c r="U1154" i="10"/>
  <c r="T1154" i="10"/>
  <c r="S1154" i="10"/>
  <c r="R1154" i="10"/>
  <c r="AE1154" i="10"/>
  <c r="AD1153" i="10"/>
  <c r="AC1153" i="10"/>
  <c r="AB1153" i="10"/>
  <c r="AA1153" i="10"/>
  <c r="Z1153" i="10"/>
  <c r="Y1153" i="10"/>
  <c r="X1153" i="10"/>
  <c r="W1153" i="10"/>
  <c r="R1153" i="10"/>
  <c r="S1153" i="10"/>
  <c r="T1153" i="10"/>
  <c r="U1153" i="10"/>
  <c r="V1153" i="10"/>
  <c r="AE1153" i="10"/>
  <c r="AD1152" i="10"/>
  <c r="AC1152" i="10"/>
  <c r="AB1152" i="10"/>
  <c r="AA1152" i="10"/>
  <c r="Z1152" i="10"/>
  <c r="Y1152" i="10"/>
  <c r="X1152" i="10"/>
  <c r="W1152" i="10"/>
  <c r="V1152" i="10"/>
  <c r="R1152" i="10"/>
  <c r="S1152" i="10"/>
  <c r="T1152" i="10"/>
  <c r="U1152" i="10"/>
  <c r="AE1152" i="10"/>
  <c r="AD1151" i="10"/>
  <c r="AC1151" i="10"/>
  <c r="AB1151" i="10"/>
  <c r="AA1151" i="10"/>
  <c r="Z1151" i="10"/>
  <c r="Y1151" i="10"/>
  <c r="X1151" i="10"/>
  <c r="W1151" i="10"/>
  <c r="V1151" i="10"/>
  <c r="U1151" i="10"/>
  <c r="T1151" i="10"/>
  <c r="S1151" i="10"/>
  <c r="R1151" i="10"/>
  <c r="AE1151" i="10"/>
  <c r="AD1150" i="10"/>
  <c r="AC1150" i="10"/>
  <c r="AB1150" i="10"/>
  <c r="AA1150" i="10"/>
  <c r="Z1150" i="10"/>
  <c r="Y1150" i="10"/>
  <c r="X1150" i="10"/>
  <c r="W1150" i="10"/>
  <c r="V1150" i="10"/>
  <c r="U1150" i="10"/>
  <c r="T1150" i="10"/>
  <c r="S1150" i="10"/>
  <c r="R1150" i="10"/>
  <c r="AD1149" i="10"/>
  <c r="AC1149" i="10"/>
  <c r="AB1149" i="10"/>
  <c r="AA1149" i="10"/>
  <c r="Z1149" i="10"/>
  <c r="Y1149" i="10"/>
  <c r="X1149" i="10"/>
  <c r="W1149" i="10"/>
  <c r="V1149" i="10"/>
  <c r="U1149" i="10"/>
  <c r="T1149" i="10"/>
  <c r="S1149" i="10"/>
  <c r="R1149" i="10"/>
  <c r="AD1148" i="10"/>
  <c r="AC1148" i="10"/>
  <c r="AB1148" i="10"/>
  <c r="AA1148" i="10"/>
  <c r="Z1148" i="10"/>
  <c r="Y1148" i="10"/>
  <c r="X1148" i="10"/>
  <c r="W1148" i="10"/>
  <c r="V1148" i="10"/>
  <c r="U1148" i="10"/>
  <c r="T1148" i="10"/>
  <c r="S1148" i="10"/>
  <c r="R1148" i="10"/>
  <c r="AE1148" i="10"/>
  <c r="AD1147" i="10"/>
  <c r="AC1147" i="10"/>
  <c r="AB1147" i="10"/>
  <c r="AA1147" i="10"/>
  <c r="Z1147" i="10"/>
  <c r="Y1147" i="10"/>
  <c r="X1147" i="10"/>
  <c r="W1147" i="10"/>
  <c r="V1147" i="10"/>
  <c r="U1147" i="10"/>
  <c r="T1147" i="10"/>
  <c r="S1147" i="10"/>
  <c r="R1147" i="10"/>
  <c r="AE1147" i="10"/>
  <c r="AD1146" i="10"/>
  <c r="AC1146" i="10"/>
  <c r="AB1146" i="10"/>
  <c r="AA1146" i="10"/>
  <c r="Z1146" i="10"/>
  <c r="Y1146" i="10"/>
  <c r="X1146" i="10"/>
  <c r="W1146" i="10"/>
  <c r="V1146" i="10"/>
  <c r="U1146" i="10"/>
  <c r="T1146" i="10"/>
  <c r="S1146" i="10"/>
  <c r="R1146" i="10"/>
  <c r="AD1145" i="10"/>
  <c r="AC1145" i="10"/>
  <c r="AB1145" i="10"/>
  <c r="AA1145" i="10"/>
  <c r="Z1145" i="10"/>
  <c r="Y1145" i="10"/>
  <c r="X1145" i="10"/>
  <c r="W1145" i="10"/>
  <c r="R1145" i="10"/>
  <c r="S1145" i="10"/>
  <c r="T1145" i="10"/>
  <c r="U1145" i="10"/>
  <c r="V1145" i="10"/>
  <c r="AE1145" i="10"/>
  <c r="AD1144" i="10"/>
  <c r="AC1144" i="10"/>
  <c r="AB1144" i="10"/>
  <c r="AA1144" i="10"/>
  <c r="Z1144" i="10"/>
  <c r="Y1144" i="10"/>
  <c r="X1144" i="10"/>
  <c r="W1144" i="10"/>
  <c r="V1144" i="10"/>
  <c r="R1144" i="10"/>
  <c r="S1144" i="10"/>
  <c r="T1144" i="10"/>
  <c r="U1144" i="10"/>
  <c r="AE1144" i="10"/>
  <c r="AD1143" i="10"/>
  <c r="AC1143" i="10"/>
  <c r="AB1143" i="10"/>
  <c r="AA1143" i="10"/>
  <c r="Z1143" i="10"/>
  <c r="Y1143" i="10"/>
  <c r="X1143" i="10"/>
  <c r="W1143" i="10"/>
  <c r="V1143" i="10"/>
  <c r="U1143" i="10"/>
  <c r="T1143" i="10"/>
  <c r="S1143" i="10"/>
  <c r="R1143" i="10"/>
  <c r="AE1143" i="10"/>
  <c r="AD1142" i="10"/>
  <c r="AC1142" i="10"/>
  <c r="AB1142" i="10"/>
  <c r="AA1142" i="10"/>
  <c r="Z1142" i="10"/>
  <c r="Y1142" i="10"/>
  <c r="X1142" i="10"/>
  <c r="W1142" i="10"/>
  <c r="V1142" i="10"/>
  <c r="U1142" i="10"/>
  <c r="T1142" i="10"/>
  <c r="S1142" i="10"/>
  <c r="R1142" i="10"/>
  <c r="AD1141" i="10"/>
  <c r="AC1141" i="10"/>
  <c r="AB1141" i="10"/>
  <c r="AA1141" i="10"/>
  <c r="Z1141" i="10"/>
  <c r="Y1141" i="10"/>
  <c r="X1141" i="10"/>
  <c r="W1141" i="10"/>
  <c r="V1141" i="10"/>
  <c r="U1141" i="10"/>
  <c r="T1141" i="10"/>
  <c r="S1141" i="10"/>
  <c r="R1141" i="10"/>
  <c r="AE1141" i="10"/>
  <c r="AD1140" i="10"/>
  <c r="AC1140" i="10"/>
  <c r="AB1140" i="10"/>
  <c r="AA1140" i="10"/>
  <c r="Z1140" i="10"/>
  <c r="Y1140" i="10"/>
  <c r="X1140" i="10"/>
  <c r="W1140" i="10"/>
  <c r="V1140" i="10"/>
  <c r="U1140" i="10"/>
  <c r="T1140" i="10"/>
  <c r="S1140" i="10"/>
  <c r="R1140" i="10"/>
  <c r="AD1139" i="10"/>
  <c r="AC1139" i="10"/>
  <c r="AB1139" i="10"/>
  <c r="AA1139" i="10"/>
  <c r="Z1139" i="10"/>
  <c r="Y1139" i="10"/>
  <c r="X1139" i="10"/>
  <c r="W1139" i="10"/>
  <c r="V1139" i="10"/>
  <c r="U1139" i="10"/>
  <c r="T1139" i="10"/>
  <c r="S1139" i="10"/>
  <c r="R1139" i="10"/>
  <c r="AE1139" i="10"/>
  <c r="AD1138" i="10"/>
  <c r="AC1138" i="10"/>
  <c r="AB1138" i="10"/>
  <c r="AA1138" i="10"/>
  <c r="Z1138" i="10"/>
  <c r="Y1138" i="10"/>
  <c r="X1138" i="10"/>
  <c r="W1138" i="10"/>
  <c r="V1138" i="10"/>
  <c r="U1138" i="10"/>
  <c r="T1138" i="10"/>
  <c r="S1138" i="10"/>
  <c r="R1138" i="10"/>
  <c r="AD1137" i="10"/>
  <c r="AC1137" i="10"/>
  <c r="AB1137" i="10"/>
  <c r="AA1137" i="10"/>
  <c r="Z1137" i="10"/>
  <c r="Y1137" i="10"/>
  <c r="X1137" i="10"/>
  <c r="W1137" i="10"/>
  <c r="R1137" i="10"/>
  <c r="S1137" i="10"/>
  <c r="T1137" i="10"/>
  <c r="U1137" i="10"/>
  <c r="V1137" i="10"/>
  <c r="AE1137" i="10"/>
  <c r="AD1136" i="10"/>
  <c r="AC1136" i="10"/>
  <c r="AB1136" i="10"/>
  <c r="AA1136" i="10"/>
  <c r="Z1136" i="10"/>
  <c r="Y1136" i="10"/>
  <c r="X1136" i="10"/>
  <c r="W1136" i="10"/>
  <c r="V1136" i="10"/>
  <c r="R1136" i="10"/>
  <c r="S1136" i="10"/>
  <c r="T1136" i="10"/>
  <c r="U1136" i="10"/>
  <c r="AE1136" i="10"/>
  <c r="AD1135" i="10"/>
  <c r="AC1135" i="10"/>
  <c r="AB1135" i="10"/>
  <c r="AA1135" i="10"/>
  <c r="Z1135" i="10"/>
  <c r="Y1135" i="10"/>
  <c r="X1135" i="10"/>
  <c r="W1135" i="10"/>
  <c r="V1135" i="10"/>
  <c r="U1135" i="10"/>
  <c r="T1135" i="10"/>
  <c r="S1135" i="10"/>
  <c r="R1135" i="10"/>
  <c r="AE1135" i="10"/>
  <c r="AD1134" i="10"/>
  <c r="AC1134" i="10"/>
  <c r="AB1134" i="10"/>
  <c r="AA1134" i="10"/>
  <c r="Z1134" i="10"/>
  <c r="Y1134" i="10"/>
  <c r="X1134" i="10"/>
  <c r="W1134" i="10"/>
  <c r="V1134" i="10"/>
  <c r="U1134" i="10"/>
  <c r="T1134" i="10"/>
  <c r="S1134" i="10"/>
  <c r="R1134" i="10"/>
  <c r="AE1134" i="10"/>
  <c r="AD1133" i="10"/>
  <c r="AC1133" i="10"/>
  <c r="AB1133" i="10"/>
  <c r="AA1133" i="10"/>
  <c r="Z1133" i="10"/>
  <c r="Y1133" i="10"/>
  <c r="X1133" i="10"/>
  <c r="W1133" i="10"/>
  <c r="V1133" i="10"/>
  <c r="U1133" i="10"/>
  <c r="T1133" i="10"/>
  <c r="S1133" i="10"/>
  <c r="R1133" i="10"/>
  <c r="AD1132" i="10"/>
  <c r="AC1132" i="10"/>
  <c r="AB1132" i="10"/>
  <c r="AA1132" i="10"/>
  <c r="Z1132" i="10"/>
  <c r="Y1132" i="10"/>
  <c r="X1132" i="10"/>
  <c r="W1132" i="10"/>
  <c r="V1132" i="10"/>
  <c r="U1132" i="10"/>
  <c r="T1132" i="10"/>
  <c r="S1132" i="10"/>
  <c r="R1132" i="10"/>
  <c r="AE1132" i="10"/>
  <c r="AD1131" i="10"/>
  <c r="AC1131" i="10"/>
  <c r="AB1131" i="10"/>
  <c r="AA1131" i="10"/>
  <c r="Z1131" i="10"/>
  <c r="Y1131" i="10"/>
  <c r="X1131" i="10"/>
  <c r="W1131" i="10"/>
  <c r="V1131" i="10"/>
  <c r="U1131" i="10"/>
  <c r="T1131" i="10"/>
  <c r="S1131" i="10"/>
  <c r="R1131" i="10"/>
  <c r="AE1131" i="10"/>
  <c r="AD1130" i="10"/>
  <c r="AC1130" i="10"/>
  <c r="AB1130" i="10"/>
  <c r="AA1130" i="10"/>
  <c r="Z1130" i="10"/>
  <c r="Y1130" i="10"/>
  <c r="X1130" i="10"/>
  <c r="W1130" i="10"/>
  <c r="V1130" i="10"/>
  <c r="U1130" i="10"/>
  <c r="T1130" i="10"/>
  <c r="S1130" i="10"/>
  <c r="R1130" i="10"/>
  <c r="AE1130" i="10"/>
  <c r="AD1129" i="10"/>
  <c r="AC1129" i="10"/>
  <c r="AB1129" i="10"/>
  <c r="AA1129" i="10"/>
  <c r="Z1129" i="10"/>
  <c r="Y1129" i="10"/>
  <c r="X1129" i="10"/>
  <c r="W1129" i="10"/>
  <c r="R1129" i="10"/>
  <c r="S1129" i="10"/>
  <c r="T1129" i="10"/>
  <c r="U1129" i="10"/>
  <c r="V1129" i="10"/>
  <c r="AE1129" i="10"/>
  <c r="AD1128" i="10"/>
  <c r="AC1128" i="10"/>
  <c r="AB1128" i="10"/>
  <c r="AA1128" i="10"/>
  <c r="Z1128" i="10"/>
  <c r="Y1128" i="10"/>
  <c r="X1128" i="10"/>
  <c r="W1128" i="10"/>
  <c r="V1128" i="10"/>
  <c r="R1128" i="10"/>
  <c r="S1128" i="10"/>
  <c r="T1128" i="10"/>
  <c r="U1128" i="10"/>
  <c r="AE1128" i="10"/>
  <c r="AD1127" i="10"/>
  <c r="AC1127" i="10"/>
  <c r="AB1127" i="10"/>
  <c r="AA1127" i="10"/>
  <c r="Z1127" i="10"/>
  <c r="Y1127" i="10"/>
  <c r="X1127" i="10"/>
  <c r="W1127" i="10"/>
  <c r="V1127" i="10"/>
  <c r="U1127" i="10"/>
  <c r="T1127" i="10"/>
  <c r="S1127" i="10"/>
  <c r="R1127" i="10"/>
  <c r="AE1127" i="10"/>
  <c r="AD1126" i="10"/>
  <c r="AC1126" i="10"/>
  <c r="AB1126" i="10"/>
  <c r="AA1126" i="10"/>
  <c r="Z1126" i="10"/>
  <c r="Y1126" i="10"/>
  <c r="X1126" i="10"/>
  <c r="W1126" i="10"/>
  <c r="V1126" i="10"/>
  <c r="U1126" i="10"/>
  <c r="T1126" i="10"/>
  <c r="S1126" i="10"/>
  <c r="R1126" i="10"/>
  <c r="AE1126" i="10"/>
  <c r="AD1125" i="10"/>
  <c r="AC1125" i="10"/>
  <c r="AB1125" i="10"/>
  <c r="AA1125" i="10"/>
  <c r="Z1125" i="10"/>
  <c r="Y1125" i="10"/>
  <c r="X1125" i="10"/>
  <c r="W1125" i="10"/>
  <c r="V1125" i="10"/>
  <c r="U1125" i="10"/>
  <c r="T1125" i="10"/>
  <c r="S1125" i="10"/>
  <c r="R1125" i="10"/>
  <c r="AE1125" i="10"/>
  <c r="AD1124" i="10"/>
  <c r="AC1124" i="10"/>
  <c r="AB1124" i="10"/>
  <c r="AA1124" i="10"/>
  <c r="Z1124" i="10"/>
  <c r="Y1124" i="10"/>
  <c r="X1124" i="10"/>
  <c r="W1124" i="10"/>
  <c r="V1124" i="10"/>
  <c r="U1124" i="10"/>
  <c r="T1124" i="10"/>
  <c r="S1124" i="10"/>
  <c r="R1124" i="10"/>
  <c r="AD1123" i="10"/>
  <c r="AC1123" i="10"/>
  <c r="AB1123" i="10"/>
  <c r="AA1123" i="10"/>
  <c r="Z1123" i="10"/>
  <c r="Y1123" i="10"/>
  <c r="X1123" i="10"/>
  <c r="W1123" i="10"/>
  <c r="V1123" i="10"/>
  <c r="U1123" i="10"/>
  <c r="T1123" i="10"/>
  <c r="S1123" i="10"/>
  <c r="R1123" i="10"/>
  <c r="AE1123" i="10"/>
  <c r="AD1122" i="10"/>
  <c r="AC1122" i="10"/>
  <c r="AB1122" i="10"/>
  <c r="AA1122" i="10"/>
  <c r="Z1122" i="10"/>
  <c r="Y1122" i="10"/>
  <c r="X1122" i="10"/>
  <c r="W1122" i="10"/>
  <c r="V1122" i="10"/>
  <c r="U1122" i="10"/>
  <c r="T1122" i="10"/>
  <c r="S1122" i="10"/>
  <c r="R1122" i="10"/>
  <c r="AD1121" i="10"/>
  <c r="AC1121" i="10"/>
  <c r="AB1121" i="10"/>
  <c r="AA1121" i="10"/>
  <c r="Z1121" i="10"/>
  <c r="Y1121" i="10"/>
  <c r="X1121" i="10"/>
  <c r="W1121" i="10"/>
  <c r="R1121" i="10"/>
  <c r="S1121" i="10"/>
  <c r="T1121" i="10"/>
  <c r="U1121" i="10"/>
  <c r="V1121" i="10"/>
  <c r="AE1121" i="10"/>
  <c r="AD1120" i="10"/>
  <c r="AC1120" i="10"/>
  <c r="AB1120" i="10"/>
  <c r="AA1120" i="10"/>
  <c r="Z1120" i="10"/>
  <c r="Y1120" i="10"/>
  <c r="X1120" i="10"/>
  <c r="W1120" i="10"/>
  <c r="V1120" i="10"/>
  <c r="R1120" i="10"/>
  <c r="S1120" i="10"/>
  <c r="T1120" i="10"/>
  <c r="U1120" i="10"/>
  <c r="AE1120" i="10"/>
  <c r="AD1119" i="10"/>
  <c r="AC1119" i="10"/>
  <c r="AB1119" i="10"/>
  <c r="AA1119" i="10"/>
  <c r="Z1119" i="10"/>
  <c r="Y1119" i="10"/>
  <c r="X1119" i="10"/>
  <c r="W1119" i="10"/>
  <c r="V1119" i="10"/>
  <c r="U1119" i="10"/>
  <c r="T1119" i="10"/>
  <c r="S1119" i="10"/>
  <c r="R1119" i="10"/>
  <c r="AD1118" i="10"/>
  <c r="AC1118" i="10"/>
  <c r="AB1118" i="10"/>
  <c r="AA1118" i="10"/>
  <c r="Z1118" i="10"/>
  <c r="Y1118" i="10"/>
  <c r="X1118" i="10"/>
  <c r="W1118" i="10"/>
  <c r="V1118" i="10"/>
  <c r="U1118" i="10"/>
  <c r="T1118" i="10"/>
  <c r="S1118" i="10"/>
  <c r="R1118" i="10"/>
  <c r="AE1118" i="10"/>
  <c r="AD1117" i="10"/>
  <c r="AC1117" i="10"/>
  <c r="AB1117" i="10"/>
  <c r="AA1117" i="10"/>
  <c r="Z1117" i="10"/>
  <c r="Y1117" i="10"/>
  <c r="X1117" i="10"/>
  <c r="W1117" i="10"/>
  <c r="V1117" i="10"/>
  <c r="U1117" i="10"/>
  <c r="T1117" i="10"/>
  <c r="S1117" i="10"/>
  <c r="R1117" i="10"/>
  <c r="AE1117" i="10"/>
  <c r="AD1116" i="10"/>
  <c r="AC1116" i="10"/>
  <c r="AB1116" i="10"/>
  <c r="AA1116" i="10"/>
  <c r="Z1116" i="10"/>
  <c r="Y1116" i="10"/>
  <c r="X1116" i="10"/>
  <c r="W1116" i="10"/>
  <c r="V1116" i="10"/>
  <c r="U1116" i="10"/>
  <c r="T1116" i="10"/>
  <c r="S1116" i="10"/>
  <c r="R1116" i="10"/>
  <c r="AE1116" i="10"/>
  <c r="AD1115" i="10"/>
  <c r="AC1115" i="10"/>
  <c r="AB1115" i="10"/>
  <c r="AA1115" i="10"/>
  <c r="Z1115" i="10"/>
  <c r="Y1115" i="10"/>
  <c r="X1115" i="10"/>
  <c r="W1115" i="10"/>
  <c r="V1115" i="10"/>
  <c r="U1115" i="10"/>
  <c r="T1115" i="10"/>
  <c r="S1115" i="10"/>
  <c r="R1115" i="10"/>
  <c r="AE1115" i="10"/>
  <c r="AD1114" i="10"/>
  <c r="AC1114" i="10"/>
  <c r="AB1114" i="10"/>
  <c r="AA1114" i="10"/>
  <c r="Z1114" i="10"/>
  <c r="Y1114" i="10"/>
  <c r="X1114" i="10"/>
  <c r="W1114" i="10"/>
  <c r="V1114" i="10"/>
  <c r="U1114" i="10"/>
  <c r="T1114" i="10"/>
  <c r="S1114" i="10"/>
  <c r="R1114" i="10"/>
  <c r="AE1114" i="10"/>
  <c r="AD1113" i="10"/>
  <c r="AC1113" i="10"/>
  <c r="AB1113" i="10"/>
  <c r="AA1113" i="10"/>
  <c r="Z1113" i="10"/>
  <c r="Y1113" i="10"/>
  <c r="X1113" i="10"/>
  <c r="W1113" i="10"/>
  <c r="R1113" i="10"/>
  <c r="S1113" i="10"/>
  <c r="T1113" i="10"/>
  <c r="U1113" i="10"/>
  <c r="V1113" i="10"/>
  <c r="AE1113" i="10"/>
  <c r="AD1112" i="10"/>
  <c r="AC1112" i="10"/>
  <c r="AB1112" i="10"/>
  <c r="AA1112" i="10"/>
  <c r="Z1112" i="10"/>
  <c r="Y1112" i="10"/>
  <c r="X1112" i="10"/>
  <c r="W1112" i="10"/>
  <c r="V1112" i="10"/>
  <c r="R1112" i="10"/>
  <c r="S1112" i="10"/>
  <c r="T1112" i="10"/>
  <c r="U1112" i="10"/>
  <c r="AE1112" i="10"/>
  <c r="AD1111" i="10"/>
  <c r="AC1111" i="10"/>
  <c r="AB1111" i="10"/>
  <c r="AA1111" i="10"/>
  <c r="Z1111" i="10"/>
  <c r="Y1111" i="10"/>
  <c r="X1111" i="10"/>
  <c r="W1111" i="10"/>
  <c r="V1111" i="10"/>
  <c r="U1111" i="10"/>
  <c r="T1111" i="10"/>
  <c r="S1111" i="10"/>
  <c r="R1111" i="10"/>
  <c r="AD1110" i="10"/>
  <c r="AC1110" i="10"/>
  <c r="AB1110" i="10"/>
  <c r="AA1110" i="10"/>
  <c r="Z1110" i="10"/>
  <c r="Y1110" i="10"/>
  <c r="X1110" i="10"/>
  <c r="W1110" i="10"/>
  <c r="V1110" i="10"/>
  <c r="U1110" i="10"/>
  <c r="T1110" i="10"/>
  <c r="S1110" i="10"/>
  <c r="R1110" i="10"/>
  <c r="AD1109" i="10"/>
  <c r="AC1109" i="10"/>
  <c r="AB1109" i="10"/>
  <c r="AA1109" i="10"/>
  <c r="Z1109" i="10"/>
  <c r="Y1109" i="10"/>
  <c r="X1109" i="10"/>
  <c r="W1109" i="10"/>
  <c r="V1109" i="10"/>
  <c r="U1109" i="10"/>
  <c r="T1109" i="10"/>
  <c r="S1109" i="10"/>
  <c r="R1109" i="10"/>
  <c r="AE1109" i="10"/>
  <c r="AD1108" i="10"/>
  <c r="AC1108" i="10"/>
  <c r="AB1108" i="10"/>
  <c r="AA1108" i="10"/>
  <c r="Z1108" i="10"/>
  <c r="Y1108" i="10"/>
  <c r="X1108" i="10"/>
  <c r="W1108" i="10"/>
  <c r="V1108" i="10"/>
  <c r="U1108" i="10"/>
  <c r="T1108" i="10"/>
  <c r="S1108" i="10"/>
  <c r="R1108" i="10"/>
  <c r="AE1108" i="10"/>
  <c r="AD1107" i="10"/>
  <c r="AC1107" i="10"/>
  <c r="AB1107" i="10"/>
  <c r="AA1107" i="10"/>
  <c r="Z1107" i="10"/>
  <c r="Y1107" i="10"/>
  <c r="X1107" i="10"/>
  <c r="W1107" i="10"/>
  <c r="V1107" i="10"/>
  <c r="U1107" i="10"/>
  <c r="T1107" i="10"/>
  <c r="S1107" i="10"/>
  <c r="R1107" i="10"/>
  <c r="AE1107" i="10"/>
  <c r="AD1106" i="10"/>
  <c r="AC1106" i="10"/>
  <c r="AB1106" i="10"/>
  <c r="AA1106" i="10"/>
  <c r="Z1106" i="10"/>
  <c r="Y1106" i="10"/>
  <c r="X1106" i="10"/>
  <c r="W1106" i="10"/>
  <c r="V1106" i="10"/>
  <c r="U1106" i="10"/>
  <c r="T1106" i="10"/>
  <c r="S1106" i="10"/>
  <c r="R1106" i="10"/>
  <c r="AD1105" i="10"/>
  <c r="AC1105" i="10"/>
  <c r="AB1105" i="10"/>
  <c r="AA1105" i="10"/>
  <c r="Z1105" i="10"/>
  <c r="Y1105" i="10"/>
  <c r="X1105" i="10"/>
  <c r="W1105" i="10"/>
  <c r="R1105" i="10"/>
  <c r="S1105" i="10"/>
  <c r="T1105" i="10"/>
  <c r="U1105" i="10"/>
  <c r="V1105" i="10"/>
  <c r="AE1105" i="10"/>
  <c r="AD1104" i="10"/>
  <c r="AC1104" i="10"/>
  <c r="AB1104" i="10"/>
  <c r="AA1104" i="10"/>
  <c r="Z1104" i="10"/>
  <c r="Y1104" i="10"/>
  <c r="X1104" i="10"/>
  <c r="W1104" i="10"/>
  <c r="V1104" i="10"/>
  <c r="R1104" i="10"/>
  <c r="S1104" i="10"/>
  <c r="T1104" i="10"/>
  <c r="U1104" i="10"/>
  <c r="AE1104" i="10"/>
  <c r="AD1103" i="10"/>
  <c r="AC1103" i="10"/>
  <c r="AB1103" i="10"/>
  <c r="AA1103" i="10"/>
  <c r="Z1103" i="10"/>
  <c r="Y1103" i="10"/>
  <c r="X1103" i="10"/>
  <c r="W1103" i="10"/>
  <c r="V1103" i="10"/>
  <c r="U1103" i="10"/>
  <c r="T1103" i="10"/>
  <c r="S1103" i="10"/>
  <c r="R1103" i="10"/>
  <c r="AD1102" i="10"/>
  <c r="AC1102" i="10"/>
  <c r="AB1102" i="10"/>
  <c r="AA1102" i="10"/>
  <c r="Z1102" i="10"/>
  <c r="Y1102" i="10"/>
  <c r="X1102" i="10"/>
  <c r="W1102" i="10"/>
  <c r="V1102" i="10"/>
  <c r="U1102" i="10"/>
  <c r="T1102" i="10"/>
  <c r="S1102" i="10"/>
  <c r="R1102" i="10"/>
  <c r="AE1102" i="10"/>
  <c r="AD1101" i="10"/>
  <c r="AC1101" i="10"/>
  <c r="AB1101" i="10"/>
  <c r="AA1101" i="10"/>
  <c r="Z1101" i="10"/>
  <c r="Y1101" i="10"/>
  <c r="X1101" i="10"/>
  <c r="W1101" i="10"/>
  <c r="V1101" i="10"/>
  <c r="U1101" i="10"/>
  <c r="T1101" i="10"/>
  <c r="S1101" i="10"/>
  <c r="R1101" i="10"/>
  <c r="AD1100" i="10"/>
  <c r="AC1100" i="10"/>
  <c r="AB1100" i="10"/>
  <c r="AA1100" i="10"/>
  <c r="Z1100" i="10"/>
  <c r="Y1100" i="10"/>
  <c r="X1100" i="10"/>
  <c r="W1100" i="10"/>
  <c r="V1100" i="10"/>
  <c r="U1100" i="10"/>
  <c r="T1100" i="10"/>
  <c r="S1100" i="10"/>
  <c r="R1100" i="10"/>
  <c r="AE1100" i="10"/>
  <c r="AD1099" i="10"/>
  <c r="AC1099" i="10"/>
  <c r="AB1099" i="10"/>
  <c r="AA1099" i="10"/>
  <c r="Z1099" i="10"/>
  <c r="Y1099" i="10"/>
  <c r="X1099" i="10"/>
  <c r="W1099" i="10"/>
  <c r="V1099" i="10"/>
  <c r="U1099" i="10"/>
  <c r="T1099" i="10"/>
  <c r="S1099" i="10"/>
  <c r="R1099" i="10"/>
  <c r="AE1099" i="10"/>
  <c r="AD1098" i="10"/>
  <c r="AC1098" i="10"/>
  <c r="AB1098" i="10"/>
  <c r="AA1098" i="10"/>
  <c r="Z1098" i="10"/>
  <c r="Y1098" i="10"/>
  <c r="X1098" i="10"/>
  <c r="W1098" i="10"/>
  <c r="V1098" i="10"/>
  <c r="U1098" i="10"/>
  <c r="T1098" i="10"/>
  <c r="S1098" i="10"/>
  <c r="R1098" i="10"/>
  <c r="AE1098" i="10"/>
  <c r="AD1097" i="10"/>
  <c r="AC1097" i="10"/>
  <c r="AB1097" i="10"/>
  <c r="AA1097" i="10"/>
  <c r="Z1097" i="10"/>
  <c r="Y1097" i="10"/>
  <c r="X1097" i="10"/>
  <c r="W1097" i="10"/>
  <c r="R1097" i="10"/>
  <c r="S1097" i="10"/>
  <c r="T1097" i="10"/>
  <c r="U1097" i="10"/>
  <c r="V1097" i="10"/>
  <c r="AE1097" i="10"/>
  <c r="AD1096" i="10"/>
  <c r="AC1096" i="10"/>
  <c r="AB1096" i="10"/>
  <c r="AA1096" i="10"/>
  <c r="Z1096" i="10"/>
  <c r="Y1096" i="10"/>
  <c r="X1096" i="10"/>
  <c r="W1096" i="10"/>
  <c r="V1096" i="10"/>
  <c r="R1096" i="10"/>
  <c r="S1096" i="10"/>
  <c r="T1096" i="10"/>
  <c r="U1096" i="10"/>
  <c r="AE1096" i="10"/>
  <c r="AD1095" i="10"/>
  <c r="AC1095" i="10"/>
  <c r="AB1095" i="10"/>
  <c r="AA1095" i="10"/>
  <c r="Z1095" i="10"/>
  <c r="Y1095" i="10"/>
  <c r="X1095" i="10"/>
  <c r="W1095" i="10"/>
  <c r="V1095" i="10"/>
  <c r="U1095" i="10"/>
  <c r="T1095" i="10"/>
  <c r="S1095" i="10"/>
  <c r="R1095" i="10"/>
  <c r="AD1094" i="10"/>
  <c r="AC1094" i="10"/>
  <c r="AB1094" i="10"/>
  <c r="AA1094" i="10"/>
  <c r="Z1094" i="10"/>
  <c r="Y1094" i="10"/>
  <c r="X1094" i="10"/>
  <c r="W1094" i="10"/>
  <c r="V1094" i="10"/>
  <c r="U1094" i="10"/>
  <c r="T1094" i="10"/>
  <c r="S1094" i="10"/>
  <c r="R1094" i="10"/>
  <c r="AD1093" i="10"/>
  <c r="AC1093" i="10"/>
  <c r="AB1093" i="10"/>
  <c r="AA1093" i="10"/>
  <c r="Z1093" i="10"/>
  <c r="Y1093" i="10"/>
  <c r="X1093" i="10"/>
  <c r="W1093" i="10"/>
  <c r="V1093" i="10"/>
  <c r="U1093" i="10"/>
  <c r="T1093" i="10"/>
  <c r="S1093" i="10"/>
  <c r="R1093" i="10"/>
  <c r="AE1093" i="10"/>
  <c r="AD1092" i="10"/>
  <c r="AC1092" i="10"/>
  <c r="AB1092" i="10"/>
  <c r="AA1092" i="10"/>
  <c r="Z1092" i="10"/>
  <c r="Y1092" i="10"/>
  <c r="X1092" i="10"/>
  <c r="W1092" i="10"/>
  <c r="V1092" i="10"/>
  <c r="U1092" i="10"/>
  <c r="T1092" i="10"/>
  <c r="S1092" i="10"/>
  <c r="R1092" i="10"/>
  <c r="AD1091" i="10"/>
  <c r="AC1091" i="10"/>
  <c r="AB1091" i="10"/>
  <c r="AA1091" i="10"/>
  <c r="Z1091" i="10"/>
  <c r="Y1091" i="10"/>
  <c r="X1091" i="10"/>
  <c r="W1091" i="10"/>
  <c r="V1091" i="10"/>
  <c r="U1091" i="10"/>
  <c r="T1091" i="10"/>
  <c r="S1091" i="10"/>
  <c r="R1091" i="10"/>
  <c r="AE1091" i="10"/>
  <c r="AD1090" i="10"/>
  <c r="AC1090" i="10"/>
  <c r="AB1090" i="10"/>
  <c r="AA1090" i="10"/>
  <c r="Z1090" i="10"/>
  <c r="Y1090" i="10"/>
  <c r="X1090" i="10"/>
  <c r="W1090" i="10"/>
  <c r="V1090" i="10"/>
  <c r="U1090" i="10"/>
  <c r="T1090" i="10"/>
  <c r="S1090" i="10"/>
  <c r="R1090" i="10"/>
  <c r="AE1090" i="10"/>
  <c r="AD1089" i="10"/>
  <c r="AC1089" i="10"/>
  <c r="AB1089" i="10"/>
  <c r="AA1089" i="10"/>
  <c r="Z1089" i="10"/>
  <c r="Y1089" i="10"/>
  <c r="X1089" i="10"/>
  <c r="W1089" i="10"/>
  <c r="R1089" i="10"/>
  <c r="S1089" i="10"/>
  <c r="T1089" i="10"/>
  <c r="U1089" i="10"/>
  <c r="V1089" i="10"/>
  <c r="AE1089" i="10"/>
  <c r="AD1088" i="10"/>
  <c r="AC1088" i="10"/>
  <c r="AB1088" i="10"/>
  <c r="AA1088" i="10"/>
  <c r="Z1088" i="10"/>
  <c r="Y1088" i="10"/>
  <c r="X1088" i="10"/>
  <c r="W1088" i="10"/>
  <c r="V1088" i="10"/>
  <c r="R1088" i="10"/>
  <c r="S1088" i="10"/>
  <c r="T1088" i="10"/>
  <c r="U1088" i="10"/>
  <c r="AE1088" i="10"/>
  <c r="AD1087" i="10"/>
  <c r="AC1087" i="10"/>
  <c r="AB1087" i="10"/>
  <c r="AA1087" i="10"/>
  <c r="Z1087" i="10"/>
  <c r="Y1087" i="10"/>
  <c r="X1087" i="10"/>
  <c r="W1087" i="10"/>
  <c r="V1087" i="10"/>
  <c r="U1087" i="10"/>
  <c r="T1087" i="10"/>
  <c r="S1087" i="10"/>
  <c r="R1087" i="10"/>
  <c r="AE1087" i="10"/>
  <c r="AD1086" i="10"/>
  <c r="AC1086" i="10"/>
  <c r="AB1086" i="10"/>
  <c r="AA1086" i="10"/>
  <c r="Z1086" i="10"/>
  <c r="Y1086" i="10"/>
  <c r="X1086" i="10"/>
  <c r="W1086" i="10"/>
  <c r="V1086" i="10"/>
  <c r="U1086" i="10"/>
  <c r="T1086" i="10"/>
  <c r="S1086" i="10"/>
  <c r="R1086" i="10"/>
  <c r="AD1085" i="10"/>
  <c r="AC1085" i="10"/>
  <c r="AB1085" i="10"/>
  <c r="AA1085" i="10"/>
  <c r="Z1085" i="10"/>
  <c r="Y1085" i="10"/>
  <c r="X1085" i="10"/>
  <c r="W1085" i="10"/>
  <c r="V1085" i="10"/>
  <c r="U1085" i="10"/>
  <c r="T1085" i="10"/>
  <c r="S1085" i="10"/>
  <c r="R1085" i="10"/>
  <c r="AD1084" i="10"/>
  <c r="AC1084" i="10"/>
  <c r="AB1084" i="10"/>
  <c r="AA1084" i="10"/>
  <c r="Z1084" i="10"/>
  <c r="Y1084" i="10"/>
  <c r="X1084" i="10"/>
  <c r="W1084" i="10"/>
  <c r="V1084" i="10"/>
  <c r="U1084" i="10"/>
  <c r="T1084" i="10"/>
  <c r="S1084" i="10"/>
  <c r="R1084" i="10"/>
  <c r="AE1084" i="10"/>
  <c r="AD1083" i="10"/>
  <c r="AC1083" i="10"/>
  <c r="AB1083" i="10"/>
  <c r="AA1083" i="10"/>
  <c r="Z1083" i="10"/>
  <c r="Y1083" i="10"/>
  <c r="X1083" i="10"/>
  <c r="W1083" i="10"/>
  <c r="V1083" i="10"/>
  <c r="U1083" i="10"/>
  <c r="T1083" i="10"/>
  <c r="S1083" i="10"/>
  <c r="R1083" i="10"/>
  <c r="AE1083" i="10"/>
  <c r="AD1082" i="10"/>
  <c r="AC1082" i="10"/>
  <c r="AB1082" i="10"/>
  <c r="AA1082" i="10"/>
  <c r="Z1082" i="10"/>
  <c r="Y1082" i="10"/>
  <c r="X1082" i="10"/>
  <c r="W1082" i="10"/>
  <c r="V1082" i="10"/>
  <c r="U1082" i="10"/>
  <c r="T1082" i="10"/>
  <c r="S1082" i="10"/>
  <c r="R1082" i="10"/>
  <c r="AD1081" i="10"/>
  <c r="AC1081" i="10"/>
  <c r="AB1081" i="10"/>
  <c r="AA1081" i="10"/>
  <c r="Z1081" i="10"/>
  <c r="Y1081" i="10"/>
  <c r="X1081" i="10"/>
  <c r="W1081" i="10"/>
  <c r="R1081" i="10"/>
  <c r="S1081" i="10"/>
  <c r="T1081" i="10"/>
  <c r="U1081" i="10"/>
  <c r="V1081" i="10"/>
  <c r="AE1081" i="10"/>
  <c r="AD1080" i="10"/>
  <c r="AC1080" i="10"/>
  <c r="AB1080" i="10"/>
  <c r="AA1080" i="10"/>
  <c r="Z1080" i="10"/>
  <c r="Y1080" i="10"/>
  <c r="X1080" i="10"/>
  <c r="W1080" i="10"/>
  <c r="V1080" i="10"/>
  <c r="R1080" i="10"/>
  <c r="S1080" i="10"/>
  <c r="T1080" i="10"/>
  <c r="U1080" i="10"/>
  <c r="AE1080" i="10"/>
  <c r="AD1079" i="10"/>
  <c r="AC1079" i="10"/>
  <c r="AB1079" i="10"/>
  <c r="AA1079" i="10"/>
  <c r="Z1079" i="10"/>
  <c r="Y1079" i="10"/>
  <c r="X1079" i="10"/>
  <c r="W1079" i="10"/>
  <c r="V1079" i="10"/>
  <c r="U1079" i="10"/>
  <c r="T1079" i="10"/>
  <c r="S1079" i="10"/>
  <c r="R1079" i="10"/>
  <c r="AE1079" i="10"/>
  <c r="AD1078" i="10"/>
  <c r="AC1078" i="10"/>
  <c r="AB1078" i="10"/>
  <c r="AA1078" i="10"/>
  <c r="Z1078" i="10"/>
  <c r="Y1078" i="10"/>
  <c r="X1078" i="10"/>
  <c r="W1078" i="10"/>
  <c r="V1078" i="10"/>
  <c r="U1078" i="10"/>
  <c r="T1078" i="10"/>
  <c r="S1078" i="10"/>
  <c r="R1078" i="10"/>
  <c r="AD1077" i="10"/>
  <c r="AC1077" i="10"/>
  <c r="AB1077" i="10"/>
  <c r="AA1077" i="10"/>
  <c r="Z1077" i="10"/>
  <c r="Y1077" i="10"/>
  <c r="X1077" i="10"/>
  <c r="W1077" i="10"/>
  <c r="V1077" i="10"/>
  <c r="U1077" i="10"/>
  <c r="T1077" i="10"/>
  <c r="S1077" i="10"/>
  <c r="R1077" i="10"/>
  <c r="AE1077" i="10"/>
  <c r="AD1076" i="10"/>
  <c r="AC1076" i="10"/>
  <c r="AB1076" i="10"/>
  <c r="AA1076" i="10"/>
  <c r="Z1076" i="10"/>
  <c r="Y1076" i="10"/>
  <c r="X1076" i="10"/>
  <c r="W1076" i="10"/>
  <c r="V1076" i="10"/>
  <c r="U1076" i="10"/>
  <c r="T1076" i="10"/>
  <c r="S1076" i="10"/>
  <c r="R1076" i="10"/>
  <c r="AD1075" i="10"/>
  <c r="AC1075" i="10"/>
  <c r="AB1075" i="10"/>
  <c r="AA1075" i="10"/>
  <c r="Z1075" i="10"/>
  <c r="Y1075" i="10"/>
  <c r="X1075" i="10"/>
  <c r="W1075" i="10"/>
  <c r="V1075" i="10"/>
  <c r="U1075" i="10"/>
  <c r="T1075" i="10"/>
  <c r="S1075" i="10"/>
  <c r="R1075" i="10"/>
  <c r="AE1075" i="10"/>
  <c r="AD1074" i="10"/>
  <c r="AC1074" i="10"/>
  <c r="AB1074" i="10"/>
  <c r="AA1074" i="10"/>
  <c r="Z1074" i="10"/>
  <c r="Y1074" i="10"/>
  <c r="X1074" i="10"/>
  <c r="W1074" i="10"/>
  <c r="V1074" i="10"/>
  <c r="U1074" i="10"/>
  <c r="T1074" i="10"/>
  <c r="S1074" i="10"/>
  <c r="R1074" i="10"/>
  <c r="AD1073" i="10"/>
  <c r="AC1073" i="10"/>
  <c r="AB1073" i="10"/>
  <c r="AA1073" i="10"/>
  <c r="Z1073" i="10"/>
  <c r="Y1073" i="10"/>
  <c r="X1073" i="10"/>
  <c r="W1073" i="10"/>
  <c r="R1073" i="10"/>
  <c r="S1073" i="10"/>
  <c r="T1073" i="10"/>
  <c r="U1073" i="10"/>
  <c r="V1073" i="10"/>
  <c r="AE1073" i="10"/>
  <c r="AD1072" i="10"/>
  <c r="AC1072" i="10"/>
  <c r="AB1072" i="10"/>
  <c r="AA1072" i="10"/>
  <c r="Z1072" i="10"/>
  <c r="Y1072" i="10"/>
  <c r="X1072" i="10"/>
  <c r="W1072" i="10"/>
  <c r="V1072" i="10"/>
  <c r="R1072" i="10"/>
  <c r="S1072" i="10"/>
  <c r="T1072" i="10"/>
  <c r="U1072" i="10"/>
  <c r="AE1072" i="10"/>
  <c r="AD1071" i="10"/>
  <c r="AC1071" i="10"/>
  <c r="AB1071" i="10"/>
  <c r="AA1071" i="10"/>
  <c r="Z1071" i="10"/>
  <c r="Y1071" i="10"/>
  <c r="X1071" i="10"/>
  <c r="W1071" i="10"/>
  <c r="V1071" i="10"/>
  <c r="U1071" i="10"/>
  <c r="T1071" i="10"/>
  <c r="S1071" i="10"/>
  <c r="R1071" i="10"/>
  <c r="AE1071" i="10"/>
  <c r="AD1070" i="10"/>
  <c r="AC1070" i="10"/>
  <c r="AB1070" i="10"/>
  <c r="AA1070" i="10"/>
  <c r="Z1070" i="10"/>
  <c r="Y1070" i="10"/>
  <c r="X1070" i="10"/>
  <c r="W1070" i="10"/>
  <c r="V1070" i="10"/>
  <c r="U1070" i="10"/>
  <c r="T1070" i="10"/>
  <c r="S1070" i="10"/>
  <c r="R1070" i="10"/>
  <c r="AE1070" i="10"/>
  <c r="AD1069" i="10"/>
  <c r="AC1069" i="10"/>
  <c r="AB1069" i="10"/>
  <c r="AA1069" i="10"/>
  <c r="Z1069" i="10"/>
  <c r="Y1069" i="10"/>
  <c r="X1069" i="10"/>
  <c r="W1069" i="10"/>
  <c r="V1069" i="10"/>
  <c r="U1069" i="10"/>
  <c r="T1069" i="10"/>
  <c r="S1069" i="10"/>
  <c r="R1069" i="10"/>
  <c r="AD1068" i="10"/>
  <c r="AC1068" i="10"/>
  <c r="AB1068" i="10"/>
  <c r="AA1068" i="10"/>
  <c r="Z1068" i="10"/>
  <c r="Y1068" i="10"/>
  <c r="X1068" i="10"/>
  <c r="W1068" i="10"/>
  <c r="V1068" i="10"/>
  <c r="U1068" i="10"/>
  <c r="T1068" i="10"/>
  <c r="S1068" i="10"/>
  <c r="R1068" i="10"/>
  <c r="AE1068" i="10"/>
  <c r="AD1067" i="10"/>
  <c r="AC1067" i="10"/>
  <c r="AB1067" i="10"/>
  <c r="AA1067" i="10"/>
  <c r="Z1067" i="10"/>
  <c r="Y1067" i="10"/>
  <c r="X1067" i="10"/>
  <c r="W1067" i="10"/>
  <c r="V1067" i="10"/>
  <c r="U1067" i="10"/>
  <c r="T1067" i="10"/>
  <c r="S1067" i="10"/>
  <c r="R1067" i="10"/>
  <c r="AE1067" i="10"/>
  <c r="AD1066" i="10"/>
  <c r="AC1066" i="10"/>
  <c r="AB1066" i="10"/>
  <c r="AA1066" i="10"/>
  <c r="Z1066" i="10"/>
  <c r="Y1066" i="10"/>
  <c r="X1066" i="10"/>
  <c r="W1066" i="10"/>
  <c r="V1066" i="10"/>
  <c r="U1066" i="10"/>
  <c r="T1066" i="10"/>
  <c r="S1066" i="10"/>
  <c r="R1066" i="10"/>
  <c r="AE1066" i="10"/>
  <c r="AD1065" i="10"/>
  <c r="AC1065" i="10"/>
  <c r="AB1065" i="10"/>
  <c r="AA1065" i="10"/>
  <c r="Z1065" i="10"/>
  <c r="Y1065" i="10"/>
  <c r="X1065" i="10"/>
  <c r="W1065" i="10"/>
  <c r="V1065" i="10"/>
  <c r="U1065" i="10"/>
  <c r="T1065" i="10"/>
  <c r="S1065" i="10"/>
  <c r="R1065" i="10"/>
  <c r="AD1064" i="10"/>
  <c r="AC1064" i="10"/>
  <c r="AB1064" i="10"/>
  <c r="AA1064" i="10"/>
  <c r="Z1064" i="10"/>
  <c r="Y1064" i="10"/>
  <c r="X1064" i="10"/>
  <c r="W1064" i="10"/>
  <c r="R1064" i="10"/>
  <c r="S1064" i="10"/>
  <c r="T1064" i="10"/>
  <c r="U1064" i="10"/>
  <c r="V1064" i="10"/>
  <c r="AE1064" i="10"/>
  <c r="AD1063" i="10"/>
  <c r="AC1063" i="10"/>
  <c r="AB1063" i="10"/>
  <c r="AA1063" i="10"/>
  <c r="Z1063" i="10"/>
  <c r="Y1063" i="10"/>
  <c r="X1063" i="10"/>
  <c r="W1063" i="10"/>
  <c r="V1063" i="10"/>
  <c r="U1063" i="10"/>
  <c r="T1063" i="10"/>
  <c r="S1063" i="10"/>
  <c r="R1063" i="10"/>
  <c r="AD1062" i="10"/>
  <c r="AC1062" i="10"/>
  <c r="AB1062" i="10"/>
  <c r="AA1062" i="10"/>
  <c r="Z1062" i="10"/>
  <c r="Y1062" i="10"/>
  <c r="X1062" i="10"/>
  <c r="W1062" i="10"/>
  <c r="V1062" i="10"/>
  <c r="U1062" i="10"/>
  <c r="T1062" i="10"/>
  <c r="S1062" i="10"/>
  <c r="R1062" i="10"/>
  <c r="AE1062" i="10"/>
  <c r="AD1061" i="10"/>
  <c r="AC1061" i="10"/>
  <c r="AB1061" i="10"/>
  <c r="AA1061" i="10"/>
  <c r="Z1061" i="10"/>
  <c r="Y1061" i="10"/>
  <c r="X1061" i="10"/>
  <c r="W1061" i="10"/>
  <c r="V1061" i="10"/>
  <c r="U1061" i="10"/>
  <c r="T1061" i="10"/>
  <c r="S1061" i="10"/>
  <c r="R1061" i="10"/>
  <c r="AE1061" i="10"/>
  <c r="AD1060" i="10"/>
  <c r="AC1060" i="10"/>
  <c r="AB1060" i="10"/>
  <c r="AA1060" i="10"/>
  <c r="Z1060" i="10"/>
  <c r="Y1060" i="10"/>
  <c r="X1060" i="10"/>
  <c r="W1060" i="10"/>
  <c r="V1060" i="10"/>
  <c r="U1060" i="10"/>
  <c r="T1060" i="10"/>
  <c r="S1060" i="10"/>
  <c r="R1060" i="10"/>
  <c r="AD1059" i="10"/>
  <c r="AC1059" i="10"/>
  <c r="AB1059" i="10"/>
  <c r="AA1059" i="10"/>
  <c r="Z1059" i="10"/>
  <c r="Y1059" i="10"/>
  <c r="X1059" i="10"/>
  <c r="W1059" i="10"/>
  <c r="V1059" i="10"/>
  <c r="U1059" i="10"/>
  <c r="T1059" i="10"/>
  <c r="S1059" i="10"/>
  <c r="R1059" i="10"/>
  <c r="AE1059" i="10"/>
  <c r="AD1058" i="10"/>
  <c r="AC1058" i="10"/>
  <c r="AB1058" i="10"/>
  <c r="AA1058" i="10"/>
  <c r="Z1058" i="10"/>
  <c r="Y1058" i="10"/>
  <c r="X1058" i="10"/>
  <c r="W1058" i="10"/>
  <c r="V1058" i="10"/>
  <c r="U1058" i="10"/>
  <c r="T1058" i="10"/>
  <c r="S1058" i="10"/>
  <c r="R1058" i="10"/>
  <c r="AE1058" i="10"/>
  <c r="AD1057" i="10"/>
  <c r="AC1057" i="10"/>
  <c r="AB1057" i="10"/>
  <c r="AA1057" i="10"/>
  <c r="Z1057" i="10"/>
  <c r="Y1057" i="10"/>
  <c r="X1057" i="10"/>
  <c r="W1057" i="10"/>
  <c r="R1057" i="10"/>
  <c r="S1057" i="10"/>
  <c r="T1057" i="10"/>
  <c r="U1057" i="10"/>
  <c r="V1057" i="10"/>
  <c r="AE1057" i="10"/>
  <c r="AD1056" i="10"/>
  <c r="AC1056" i="10"/>
  <c r="AB1056" i="10"/>
  <c r="AA1056" i="10"/>
  <c r="Z1056" i="10"/>
  <c r="Y1056" i="10"/>
  <c r="X1056" i="10"/>
  <c r="W1056" i="10"/>
  <c r="R1056" i="10"/>
  <c r="S1056" i="10"/>
  <c r="T1056" i="10"/>
  <c r="U1056" i="10"/>
  <c r="V1056" i="10"/>
  <c r="AE1056" i="10"/>
  <c r="AD1055" i="10"/>
  <c r="AC1055" i="10"/>
  <c r="AB1055" i="10"/>
  <c r="AA1055" i="10"/>
  <c r="Z1055" i="10"/>
  <c r="Y1055" i="10"/>
  <c r="X1055" i="10"/>
  <c r="W1055" i="10"/>
  <c r="V1055" i="10"/>
  <c r="U1055" i="10"/>
  <c r="T1055" i="10"/>
  <c r="S1055" i="10"/>
  <c r="R1055" i="10"/>
  <c r="AD1054" i="10"/>
  <c r="AC1054" i="10"/>
  <c r="AB1054" i="10"/>
  <c r="AA1054" i="10"/>
  <c r="Z1054" i="10"/>
  <c r="Y1054" i="10"/>
  <c r="X1054" i="10"/>
  <c r="W1054" i="10"/>
  <c r="V1054" i="10"/>
  <c r="U1054" i="10"/>
  <c r="T1054" i="10"/>
  <c r="S1054" i="10"/>
  <c r="R1054" i="10"/>
  <c r="AD1053" i="10"/>
  <c r="AC1053" i="10"/>
  <c r="AB1053" i="10"/>
  <c r="AA1053" i="10"/>
  <c r="Z1053" i="10"/>
  <c r="Y1053" i="10"/>
  <c r="X1053" i="10"/>
  <c r="W1053" i="10"/>
  <c r="V1053" i="10"/>
  <c r="U1053" i="10"/>
  <c r="T1053" i="10"/>
  <c r="S1053" i="10"/>
  <c r="R1053" i="10"/>
  <c r="AD1052" i="10"/>
  <c r="AC1052" i="10"/>
  <c r="AB1052" i="10"/>
  <c r="AA1052" i="10"/>
  <c r="Z1052" i="10"/>
  <c r="Y1052" i="10"/>
  <c r="X1052" i="10"/>
  <c r="W1052" i="10"/>
  <c r="V1052" i="10"/>
  <c r="U1052" i="10"/>
  <c r="T1052" i="10"/>
  <c r="S1052" i="10"/>
  <c r="R1052" i="10"/>
  <c r="AE1052" i="10"/>
  <c r="AD1051" i="10"/>
  <c r="AC1051" i="10"/>
  <c r="AB1051" i="10"/>
  <c r="AA1051" i="10"/>
  <c r="Z1051" i="10"/>
  <c r="Y1051" i="10"/>
  <c r="X1051" i="10"/>
  <c r="W1051" i="10"/>
  <c r="V1051" i="10"/>
  <c r="U1051" i="10"/>
  <c r="T1051" i="10"/>
  <c r="S1051" i="10"/>
  <c r="R1051" i="10"/>
  <c r="AE1051" i="10"/>
  <c r="AD1050" i="10"/>
  <c r="AC1050" i="10"/>
  <c r="AB1050" i="10"/>
  <c r="AA1050" i="10"/>
  <c r="Z1050" i="10"/>
  <c r="Y1050" i="10"/>
  <c r="X1050" i="10"/>
  <c r="W1050" i="10"/>
  <c r="V1050" i="10"/>
  <c r="U1050" i="10"/>
  <c r="T1050" i="10"/>
  <c r="S1050" i="10"/>
  <c r="R1050" i="10"/>
  <c r="AE1050" i="10"/>
  <c r="AD1049" i="10"/>
  <c r="AC1049" i="10"/>
  <c r="AB1049" i="10"/>
  <c r="AA1049" i="10"/>
  <c r="Z1049" i="10"/>
  <c r="Y1049" i="10"/>
  <c r="X1049" i="10"/>
  <c r="W1049" i="10"/>
  <c r="R1049" i="10"/>
  <c r="S1049" i="10"/>
  <c r="T1049" i="10"/>
  <c r="U1049" i="10"/>
  <c r="V1049" i="10"/>
  <c r="AE1049" i="10"/>
  <c r="AD1048" i="10"/>
  <c r="AC1048" i="10"/>
  <c r="AB1048" i="10"/>
  <c r="AA1048" i="10"/>
  <c r="Z1048" i="10"/>
  <c r="Y1048" i="10"/>
  <c r="X1048" i="10"/>
  <c r="W1048" i="10"/>
  <c r="R1048" i="10"/>
  <c r="S1048" i="10"/>
  <c r="T1048" i="10"/>
  <c r="U1048" i="10"/>
  <c r="V1048" i="10"/>
  <c r="AE1048" i="10"/>
  <c r="AD1047" i="10"/>
  <c r="AC1047" i="10"/>
  <c r="AB1047" i="10"/>
  <c r="AA1047" i="10"/>
  <c r="Z1047" i="10"/>
  <c r="Y1047" i="10"/>
  <c r="X1047" i="10"/>
  <c r="W1047" i="10"/>
  <c r="V1047" i="10"/>
  <c r="U1047" i="10"/>
  <c r="T1047" i="10"/>
  <c r="S1047" i="10"/>
  <c r="R1047" i="10"/>
  <c r="AE1047" i="10"/>
  <c r="AD1046" i="10"/>
  <c r="AC1046" i="10"/>
  <c r="AB1046" i="10"/>
  <c r="AA1046" i="10"/>
  <c r="Z1046" i="10"/>
  <c r="Y1046" i="10"/>
  <c r="X1046" i="10"/>
  <c r="W1046" i="10"/>
  <c r="V1046" i="10"/>
  <c r="U1046" i="10"/>
  <c r="T1046" i="10"/>
  <c r="S1046" i="10"/>
  <c r="R1046" i="10"/>
  <c r="AD1045" i="10"/>
  <c r="AC1045" i="10"/>
  <c r="AB1045" i="10"/>
  <c r="AA1045" i="10"/>
  <c r="Z1045" i="10"/>
  <c r="Y1045" i="10"/>
  <c r="X1045" i="10"/>
  <c r="W1045" i="10"/>
  <c r="V1045" i="10"/>
  <c r="U1045" i="10"/>
  <c r="T1045" i="10"/>
  <c r="S1045" i="10"/>
  <c r="R1045" i="10"/>
  <c r="AD1044" i="10"/>
  <c r="AC1044" i="10"/>
  <c r="AB1044" i="10"/>
  <c r="AA1044" i="10"/>
  <c r="Z1044" i="10"/>
  <c r="Y1044" i="10"/>
  <c r="X1044" i="10"/>
  <c r="W1044" i="10"/>
  <c r="V1044" i="10"/>
  <c r="U1044" i="10"/>
  <c r="T1044" i="10"/>
  <c r="S1044" i="10"/>
  <c r="R1044" i="10"/>
  <c r="AD1043" i="10"/>
  <c r="AC1043" i="10"/>
  <c r="AB1043" i="10"/>
  <c r="AA1043" i="10"/>
  <c r="Z1043" i="10"/>
  <c r="Y1043" i="10"/>
  <c r="X1043" i="10"/>
  <c r="W1043" i="10"/>
  <c r="V1043" i="10"/>
  <c r="U1043" i="10"/>
  <c r="T1043" i="10"/>
  <c r="S1043" i="10"/>
  <c r="R1043" i="10"/>
  <c r="AE1043" i="10"/>
  <c r="AD1042" i="10"/>
  <c r="AC1042" i="10"/>
  <c r="AB1042" i="10"/>
  <c r="AA1042" i="10"/>
  <c r="Z1042" i="10"/>
  <c r="Y1042" i="10"/>
  <c r="X1042" i="10"/>
  <c r="W1042" i="10"/>
  <c r="V1042" i="10"/>
  <c r="U1042" i="10"/>
  <c r="T1042" i="10"/>
  <c r="S1042" i="10"/>
  <c r="R1042" i="10"/>
  <c r="AD1041" i="10"/>
  <c r="AC1041" i="10"/>
  <c r="AB1041" i="10"/>
  <c r="AA1041" i="10"/>
  <c r="Z1041" i="10"/>
  <c r="Y1041" i="10"/>
  <c r="X1041" i="10"/>
  <c r="W1041" i="10"/>
  <c r="R1041" i="10"/>
  <c r="S1041" i="10"/>
  <c r="T1041" i="10"/>
  <c r="U1041" i="10"/>
  <c r="V1041" i="10"/>
  <c r="AE1041" i="10"/>
  <c r="AD1040" i="10"/>
  <c r="AC1040" i="10"/>
  <c r="AB1040" i="10"/>
  <c r="AA1040" i="10"/>
  <c r="Z1040" i="10"/>
  <c r="Y1040" i="10"/>
  <c r="X1040" i="10"/>
  <c r="W1040" i="10"/>
  <c r="V1040" i="10"/>
  <c r="R1040" i="10"/>
  <c r="S1040" i="10"/>
  <c r="T1040" i="10"/>
  <c r="U1040" i="10"/>
  <c r="AE1040" i="10"/>
  <c r="AD1039" i="10"/>
  <c r="AC1039" i="10"/>
  <c r="AB1039" i="10"/>
  <c r="AA1039" i="10"/>
  <c r="Z1039" i="10"/>
  <c r="Y1039" i="10"/>
  <c r="X1039" i="10"/>
  <c r="W1039" i="10"/>
  <c r="V1039" i="10"/>
  <c r="U1039" i="10"/>
  <c r="T1039" i="10"/>
  <c r="S1039" i="10"/>
  <c r="R1039" i="10"/>
  <c r="AE1039" i="10"/>
  <c r="AD1038" i="10"/>
  <c r="AC1038" i="10"/>
  <c r="AB1038" i="10"/>
  <c r="AA1038" i="10"/>
  <c r="Z1038" i="10"/>
  <c r="Y1038" i="10"/>
  <c r="X1038" i="10"/>
  <c r="W1038" i="10"/>
  <c r="V1038" i="10"/>
  <c r="U1038" i="10"/>
  <c r="T1038" i="10"/>
  <c r="S1038" i="10"/>
  <c r="R1038" i="10"/>
  <c r="AE1038" i="10"/>
  <c r="AD1037" i="10"/>
  <c r="AC1037" i="10"/>
  <c r="AB1037" i="10"/>
  <c r="AA1037" i="10"/>
  <c r="Z1037" i="10"/>
  <c r="Y1037" i="10"/>
  <c r="X1037" i="10"/>
  <c r="W1037" i="10"/>
  <c r="V1037" i="10"/>
  <c r="U1037" i="10"/>
  <c r="T1037" i="10"/>
  <c r="S1037" i="10"/>
  <c r="R1037" i="10"/>
  <c r="AD1036" i="10"/>
  <c r="AC1036" i="10"/>
  <c r="AB1036" i="10"/>
  <c r="AA1036" i="10"/>
  <c r="Z1036" i="10"/>
  <c r="Y1036" i="10"/>
  <c r="X1036" i="10"/>
  <c r="W1036" i="10"/>
  <c r="V1036" i="10"/>
  <c r="U1036" i="10"/>
  <c r="T1036" i="10"/>
  <c r="S1036" i="10"/>
  <c r="R1036" i="10"/>
  <c r="AE1036" i="10"/>
  <c r="AD1035" i="10"/>
  <c r="AC1035" i="10"/>
  <c r="AB1035" i="10"/>
  <c r="AA1035" i="10"/>
  <c r="Z1035" i="10"/>
  <c r="Y1035" i="10"/>
  <c r="X1035" i="10"/>
  <c r="W1035" i="10"/>
  <c r="V1035" i="10"/>
  <c r="U1035" i="10"/>
  <c r="T1035" i="10"/>
  <c r="S1035" i="10"/>
  <c r="R1035" i="10"/>
  <c r="AE1035" i="10"/>
  <c r="AD1034" i="10"/>
  <c r="AC1034" i="10"/>
  <c r="AB1034" i="10"/>
  <c r="AA1034" i="10"/>
  <c r="Z1034" i="10"/>
  <c r="Y1034" i="10"/>
  <c r="X1034" i="10"/>
  <c r="W1034" i="10"/>
  <c r="V1034" i="10"/>
  <c r="U1034" i="10"/>
  <c r="T1034" i="10"/>
  <c r="S1034" i="10"/>
  <c r="R1034" i="10"/>
  <c r="AE1034" i="10"/>
  <c r="AD1033" i="10"/>
  <c r="AC1033" i="10"/>
  <c r="AB1033" i="10"/>
  <c r="AA1033" i="10"/>
  <c r="Z1033" i="10"/>
  <c r="Y1033" i="10"/>
  <c r="X1033" i="10"/>
  <c r="W1033" i="10"/>
  <c r="R1033" i="10"/>
  <c r="S1033" i="10"/>
  <c r="T1033" i="10"/>
  <c r="U1033" i="10"/>
  <c r="V1033" i="10"/>
  <c r="AE1033" i="10"/>
  <c r="AD1032" i="10"/>
  <c r="AC1032" i="10"/>
  <c r="AB1032" i="10"/>
  <c r="AA1032" i="10"/>
  <c r="Z1032" i="10"/>
  <c r="Y1032" i="10"/>
  <c r="X1032" i="10"/>
  <c r="W1032" i="10"/>
  <c r="R1032" i="10"/>
  <c r="S1032" i="10"/>
  <c r="T1032" i="10"/>
  <c r="U1032" i="10"/>
  <c r="V1032" i="10"/>
  <c r="AE1032" i="10"/>
  <c r="AD1031" i="10"/>
  <c r="AC1031" i="10"/>
  <c r="AB1031" i="10"/>
  <c r="AA1031" i="10"/>
  <c r="Z1031" i="10"/>
  <c r="Y1031" i="10"/>
  <c r="X1031" i="10"/>
  <c r="W1031" i="10"/>
  <c r="V1031" i="10"/>
  <c r="U1031" i="10"/>
  <c r="T1031" i="10"/>
  <c r="S1031" i="10"/>
  <c r="R1031" i="10"/>
  <c r="AD1030" i="10"/>
  <c r="AC1030" i="10"/>
  <c r="AB1030" i="10"/>
  <c r="AA1030" i="10"/>
  <c r="Z1030" i="10"/>
  <c r="Y1030" i="10"/>
  <c r="X1030" i="10"/>
  <c r="W1030" i="10"/>
  <c r="V1030" i="10"/>
  <c r="U1030" i="10"/>
  <c r="T1030" i="10"/>
  <c r="S1030" i="10"/>
  <c r="R1030" i="10"/>
  <c r="AE1030" i="10"/>
  <c r="AD1029" i="10"/>
  <c r="AC1029" i="10"/>
  <c r="AB1029" i="10"/>
  <c r="AA1029" i="10"/>
  <c r="Z1029" i="10"/>
  <c r="Y1029" i="10"/>
  <c r="X1029" i="10"/>
  <c r="W1029" i="10"/>
  <c r="V1029" i="10"/>
  <c r="U1029" i="10"/>
  <c r="T1029" i="10"/>
  <c r="S1029" i="10"/>
  <c r="R1029" i="10"/>
  <c r="AE1029" i="10"/>
  <c r="AD1028" i="10"/>
  <c r="AC1028" i="10"/>
  <c r="AB1028" i="10"/>
  <c r="AA1028" i="10"/>
  <c r="Z1028" i="10"/>
  <c r="Y1028" i="10"/>
  <c r="X1028" i="10"/>
  <c r="W1028" i="10"/>
  <c r="V1028" i="10"/>
  <c r="U1028" i="10"/>
  <c r="T1028" i="10"/>
  <c r="S1028" i="10"/>
  <c r="R1028" i="10"/>
  <c r="AD1027" i="10"/>
  <c r="AC1027" i="10"/>
  <c r="AB1027" i="10"/>
  <c r="AA1027" i="10"/>
  <c r="Z1027" i="10"/>
  <c r="Y1027" i="10"/>
  <c r="X1027" i="10"/>
  <c r="W1027" i="10"/>
  <c r="V1027" i="10"/>
  <c r="U1027" i="10"/>
  <c r="T1027" i="10"/>
  <c r="S1027" i="10"/>
  <c r="R1027" i="10"/>
  <c r="AE1027" i="10"/>
  <c r="AD1026" i="10"/>
  <c r="AC1026" i="10"/>
  <c r="AB1026" i="10"/>
  <c r="AA1026" i="10"/>
  <c r="Z1026" i="10"/>
  <c r="Y1026" i="10"/>
  <c r="X1026" i="10"/>
  <c r="W1026" i="10"/>
  <c r="V1026" i="10"/>
  <c r="U1026" i="10"/>
  <c r="T1026" i="10"/>
  <c r="S1026" i="10"/>
  <c r="R1026" i="10"/>
  <c r="AE1026" i="10"/>
  <c r="AD1025" i="10"/>
  <c r="AC1025" i="10"/>
  <c r="AB1025" i="10"/>
  <c r="AA1025" i="10"/>
  <c r="Z1025" i="10"/>
  <c r="Y1025" i="10"/>
  <c r="X1025" i="10"/>
  <c r="W1025" i="10"/>
  <c r="R1025" i="10"/>
  <c r="S1025" i="10"/>
  <c r="T1025" i="10"/>
  <c r="U1025" i="10"/>
  <c r="V1025" i="10"/>
  <c r="AE1025" i="10"/>
  <c r="AD1024" i="10"/>
  <c r="AC1024" i="10"/>
  <c r="AB1024" i="10"/>
  <c r="AA1024" i="10"/>
  <c r="Z1024" i="10"/>
  <c r="Y1024" i="10"/>
  <c r="X1024" i="10"/>
  <c r="W1024" i="10"/>
  <c r="R1024" i="10"/>
  <c r="S1024" i="10"/>
  <c r="T1024" i="10"/>
  <c r="U1024" i="10"/>
  <c r="V1024" i="10"/>
  <c r="AE1024" i="10"/>
  <c r="AD1023" i="10"/>
  <c r="AC1023" i="10"/>
  <c r="AB1023" i="10"/>
  <c r="AA1023" i="10"/>
  <c r="Z1023" i="10"/>
  <c r="Y1023" i="10"/>
  <c r="X1023" i="10"/>
  <c r="W1023" i="10"/>
  <c r="V1023" i="10"/>
  <c r="U1023" i="10"/>
  <c r="T1023" i="10"/>
  <c r="S1023" i="10"/>
  <c r="R1023" i="10"/>
  <c r="AD1022" i="10"/>
  <c r="AC1022" i="10"/>
  <c r="AB1022" i="10"/>
  <c r="AA1022" i="10"/>
  <c r="Z1022" i="10"/>
  <c r="Y1022" i="10"/>
  <c r="X1022" i="10"/>
  <c r="W1022" i="10"/>
  <c r="V1022" i="10"/>
  <c r="U1022" i="10"/>
  <c r="T1022" i="10"/>
  <c r="S1022" i="10"/>
  <c r="R1022" i="10"/>
  <c r="AD1021" i="10"/>
  <c r="AC1021" i="10"/>
  <c r="AB1021" i="10"/>
  <c r="AA1021" i="10"/>
  <c r="Z1021" i="10"/>
  <c r="Y1021" i="10"/>
  <c r="X1021" i="10"/>
  <c r="W1021" i="10"/>
  <c r="V1021" i="10"/>
  <c r="U1021" i="10"/>
  <c r="T1021" i="10"/>
  <c r="S1021" i="10"/>
  <c r="R1021" i="10"/>
  <c r="AD1020" i="10"/>
  <c r="AC1020" i="10"/>
  <c r="AB1020" i="10"/>
  <c r="AA1020" i="10"/>
  <c r="Z1020" i="10"/>
  <c r="Y1020" i="10"/>
  <c r="X1020" i="10"/>
  <c r="W1020" i="10"/>
  <c r="V1020" i="10"/>
  <c r="U1020" i="10"/>
  <c r="T1020" i="10"/>
  <c r="S1020" i="10"/>
  <c r="R1020" i="10"/>
  <c r="AE1020" i="10"/>
  <c r="AD1019" i="10"/>
  <c r="AC1019" i="10"/>
  <c r="AB1019" i="10"/>
  <c r="AA1019" i="10"/>
  <c r="Z1019" i="10"/>
  <c r="Y1019" i="10"/>
  <c r="X1019" i="10"/>
  <c r="W1019" i="10"/>
  <c r="V1019" i="10"/>
  <c r="U1019" i="10"/>
  <c r="T1019" i="10"/>
  <c r="S1019" i="10"/>
  <c r="R1019" i="10"/>
  <c r="AD1018" i="10"/>
  <c r="AC1018" i="10"/>
  <c r="AB1018" i="10"/>
  <c r="AA1018" i="10"/>
  <c r="Z1018" i="10"/>
  <c r="Y1018" i="10"/>
  <c r="X1018" i="10"/>
  <c r="W1018" i="10"/>
  <c r="V1018" i="10"/>
  <c r="U1018" i="10"/>
  <c r="T1018" i="10"/>
  <c r="S1018" i="10"/>
  <c r="R1018" i="10"/>
  <c r="AD1017" i="10"/>
  <c r="AC1017" i="10"/>
  <c r="AB1017" i="10"/>
  <c r="AA1017" i="10"/>
  <c r="Z1017" i="10"/>
  <c r="Y1017" i="10"/>
  <c r="X1017" i="10"/>
  <c r="W1017" i="10"/>
  <c r="V1017" i="10"/>
  <c r="U1017" i="10"/>
  <c r="T1017" i="10"/>
  <c r="R1017" i="10"/>
  <c r="S1017" i="10"/>
  <c r="AE1017" i="10"/>
  <c r="AD1016" i="10"/>
  <c r="AC1016" i="10"/>
  <c r="AB1016" i="10"/>
  <c r="AA1016" i="10"/>
  <c r="Z1016" i="10"/>
  <c r="Y1016" i="10"/>
  <c r="X1016" i="10"/>
  <c r="W1016" i="10"/>
  <c r="V1016" i="10"/>
  <c r="U1016" i="10"/>
  <c r="T1016" i="10"/>
  <c r="S1016" i="10"/>
  <c r="R1016" i="10"/>
  <c r="AE1016" i="10"/>
  <c r="AD1015" i="10"/>
  <c r="AC1015" i="10"/>
  <c r="AB1015" i="10"/>
  <c r="AA1015" i="10"/>
  <c r="Z1015" i="10"/>
  <c r="Y1015" i="10"/>
  <c r="X1015" i="10"/>
  <c r="W1015" i="10"/>
  <c r="V1015" i="10"/>
  <c r="U1015" i="10"/>
  <c r="T1015" i="10"/>
  <c r="S1015" i="10"/>
  <c r="R1015" i="10"/>
  <c r="AE1015" i="10"/>
  <c r="AD1014" i="10"/>
  <c r="AC1014" i="10"/>
  <c r="AB1014" i="10"/>
  <c r="AA1014" i="10"/>
  <c r="Z1014" i="10"/>
  <c r="Y1014" i="10"/>
  <c r="X1014" i="10"/>
  <c r="W1014" i="10"/>
  <c r="V1014" i="10"/>
  <c r="U1014" i="10"/>
  <c r="T1014" i="10"/>
  <c r="S1014" i="10"/>
  <c r="R1014" i="10"/>
  <c r="AD1013" i="10"/>
  <c r="AC1013" i="10"/>
  <c r="AB1013" i="10"/>
  <c r="AA1013" i="10"/>
  <c r="Z1013" i="10"/>
  <c r="Y1013" i="10"/>
  <c r="X1013" i="10"/>
  <c r="W1013" i="10"/>
  <c r="V1013" i="10"/>
  <c r="U1013" i="10"/>
  <c r="T1013" i="10"/>
  <c r="S1013" i="10"/>
  <c r="R1013" i="10"/>
  <c r="AD1012" i="10"/>
  <c r="AC1012" i="10"/>
  <c r="AB1012" i="10"/>
  <c r="AA1012" i="10"/>
  <c r="Z1012" i="10"/>
  <c r="Y1012" i="10"/>
  <c r="X1012" i="10"/>
  <c r="W1012" i="10"/>
  <c r="V1012" i="10"/>
  <c r="U1012" i="10"/>
  <c r="T1012" i="10"/>
  <c r="S1012" i="10"/>
  <c r="R1012" i="10"/>
  <c r="AE1012" i="10"/>
  <c r="AD1011" i="10"/>
  <c r="AC1011" i="10"/>
  <c r="AB1011" i="10"/>
  <c r="AA1011" i="10"/>
  <c r="Z1011" i="10"/>
  <c r="Y1011" i="10"/>
  <c r="X1011" i="10"/>
  <c r="W1011" i="10"/>
  <c r="V1011" i="10"/>
  <c r="U1011" i="10"/>
  <c r="T1011" i="10"/>
  <c r="S1011" i="10"/>
  <c r="R1011" i="10"/>
  <c r="AD1010" i="10"/>
  <c r="AC1010" i="10"/>
  <c r="AB1010" i="10"/>
  <c r="AA1010" i="10"/>
  <c r="Z1010" i="10"/>
  <c r="Y1010" i="10"/>
  <c r="X1010" i="10"/>
  <c r="W1010" i="10"/>
  <c r="V1010" i="10"/>
  <c r="U1010" i="10"/>
  <c r="T1010" i="10"/>
  <c r="S1010" i="10"/>
  <c r="R1010" i="10"/>
  <c r="AE1010" i="10"/>
  <c r="AD1009" i="10"/>
  <c r="AC1009" i="10"/>
  <c r="AB1009" i="10"/>
  <c r="AA1009" i="10"/>
  <c r="Z1009" i="10"/>
  <c r="Y1009" i="10"/>
  <c r="X1009" i="10"/>
  <c r="W1009" i="10"/>
  <c r="V1009" i="10"/>
  <c r="U1009" i="10"/>
  <c r="T1009" i="10"/>
  <c r="R1009" i="10"/>
  <c r="S1009" i="10"/>
  <c r="AE1009" i="10"/>
  <c r="AD1008" i="10"/>
  <c r="AC1008" i="10"/>
  <c r="AB1008" i="10"/>
  <c r="AA1008" i="10"/>
  <c r="Z1008" i="10"/>
  <c r="Y1008" i="10"/>
  <c r="X1008" i="10"/>
  <c r="W1008" i="10"/>
  <c r="R1008" i="10"/>
  <c r="S1008" i="10"/>
  <c r="T1008" i="10"/>
  <c r="U1008" i="10"/>
  <c r="V1008" i="10"/>
  <c r="AE1008" i="10"/>
  <c r="AD1007" i="10"/>
  <c r="AC1007" i="10"/>
  <c r="AB1007" i="10"/>
  <c r="AA1007" i="10"/>
  <c r="Z1007" i="10"/>
  <c r="Y1007" i="10"/>
  <c r="X1007" i="10"/>
  <c r="W1007" i="10"/>
  <c r="V1007" i="10"/>
  <c r="U1007" i="10"/>
  <c r="T1007" i="10"/>
  <c r="S1007" i="10"/>
  <c r="R1007" i="10"/>
  <c r="AD1006" i="10"/>
  <c r="AC1006" i="10"/>
  <c r="AB1006" i="10"/>
  <c r="AA1006" i="10"/>
  <c r="Z1006" i="10"/>
  <c r="Y1006" i="10"/>
  <c r="X1006" i="10"/>
  <c r="W1006" i="10"/>
  <c r="V1006" i="10"/>
  <c r="U1006" i="10"/>
  <c r="T1006" i="10"/>
  <c r="S1006" i="10"/>
  <c r="R1006" i="10"/>
  <c r="AD1005" i="10"/>
  <c r="AC1005" i="10"/>
  <c r="AB1005" i="10"/>
  <c r="AA1005" i="10"/>
  <c r="Z1005" i="10"/>
  <c r="Y1005" i="10"/>
  <c r="X1005" i="10"/>
  <c r="W1005" i="10"/>
  <c r="V1005" i="10"/>
  <c r="U1005" i="10"/>
  <c r="T1005" i="10"/>
  <c r="S1005" i="10"/>
  <c r="R1005" i="10"/>
  <c r="AE1005" i="10"/>
  <c r="AD1004" i="10"/>
  <c r="AC1004" i="10"/>
  <c r="AB1004" i="10"/>
  <c r="AA1004" i="10"/>
  <c r="Z1004" i="10"/>
  <c r="Y1004" i="10"/>
  <c r="X1004" i="10"/>
  <c r="W1004" i="10"/>
  <c r="V1004" i="10"/>
  <c r="U1004" i="10"/>
  <c r="T1004" i="10"/>
  <c r="S1004" i="10"/>
  <c r="R1004" i="10"/>
  <c r="AD1003" i="10"/>
  <c r="AC1003" i="10"/>
  <c r="AB1003" i="10"/>
  <c r="AA1003" i="10"/>
  <c r="Z1003" i="10"/>
  <c r="Y1003" i="10"/>
  <c r="X1003" i="10"/>
  <c r="W1003" i="10"/>
  <c r="V1003" i="10"/>
  <c r="U1003" i="10"/>
  <c r="T1003" i="10"/>
  <c r="S1003" i="10"/>
  <c r="R1003" i="10"/>
  <c r="AD1002" i="10"/>
  <c r="AC1002" i="10"/>
  <c r="AB1002" i="10"/>
  <c r="AA1002" i="10"/>
  <c r="Z1002" i="10"/>
  <c r="Y1002" i="10"/>
  <c r="X1002" i="10"/>
  <c r="W1002" i="10"/>
  <c r="R1002" i="10"/>
  <c r="S1002" i="10"/>
  <c r="T1002" i="10"/>
  <c r="U1002" i="10"/>
  <c r="V1002" i="10"/>
  <c r="AE1002" i="10"/>
  <c r="AD1001" i="10"/>
  <c r="AC1001" i="10"/>
  <c r="AB1001" i="10"/>
  <c r="AA1001" i="10"/>
  <c r="Z1001" i="10"/>
  <c r="Y1001" i="10"/>
  <c r="X1001" i="10"/>
  <c r="W1001" i="10"/>
  <c r="V1001" i="10"/>
  <c r="U1001" i="10"/>
  <c r="T1001" i="10"/>
  <c r="S1001" i="10"/>
  <c r="R1001" i="10"/>
  <c r="AD1000" i="10"/>
  <c r="AC1000" i="10"/>
  <c r="AB1000" i="10"/>
  <c r="AA1000" i="10"/>
  <c r="Z1000" i="10"/>
  <c r="Y1000" i="10"/>
  <c r="X1000" i="10"/>
  <c r="W1000" i="10"/>
  <c r="V1000" i="10"/>
  <c r="U1000" i="10"/>
  <c r="T1000" i="10"/>
  <c r="S1000" i="10"/>
  <c r="R1000" i="10"/>
  <c r="AD999" i="10"/>
  <c r="AC999" i="10"/>
  <c r="AB999" i="10"/>
  <c r="AA999" i="10"/>
  <c r="Z999" i="10"/>
  <c r="Y999" i="10"/>
  <c r="X999" i="10"/>
  <c r="W999" i="10"/>
  <c r="V999" i="10"/>
  <c r="U999" i="10"/>
  <c r="T999" i="10"/>
  <c r="S999" i="10"/>
  <c r="R999" i="10"/>
  <c r="AE999" i="10"/>
  <c r="AD998" i="10"/>
  <c r="AC998" i="10"/>
  <c r="AB998" i="10"/>
  <c r="AA998" i="10"/>
  <c r="Z998" i="10"/>
  <c r="Y998" i="10"/>
  <c r="X998" i="10"/>
  <c r="W998" i="10"/>
  <c r="V998" i="10"/>
  <c r="U998" i="10"/>
  <c r="T998" i="10"/>
  <c r="S998" i="10"/>
  <c r="R998" i="10"/>
  <c r="AE998" i="10"/>
  <c r="AD997" i="10"/>
  <c r="AC997" i="10"/>
  <c r="AB997" i="10"/>
  <c r="AA997" i="10"/>
  <c r="Z997" i="10"/>
  <c r="Y997" i="10"/>
  <c r="X997" i="10"/>
  <c r="W997" i="10"/>
  <c r="R997" i="10"/>
  <c r="S997" i="10"/>
  <c r="T997" i="10"/>
  <c r="U997" i="10"/>
  <c r="V997" i="10"/>
  <c r="AE997" i="10"/>
  <c r="AD996" i="10"/>
  <c r="AC996" i="10"/>
  <c r="AB996" i="10"/>
  <c r="AA996" i="10"/>
  <c r="Z996" i="10"/>
  <c r="Y996" i="10"/>
  <c r="X996" i="10"/>
  <c r="W996" i="10"/>
  <c r="V996" i="10"/>
  <c r="R996" i="10"/>
  <c r="S996" i="10"/>
  <c r="T996" i="10"/>
  <c r="U996" i="10"/>
  <c r="AE996" i="10"/>
  <c r="AD995" i="10"/>
  <c r="AC995" i="10"/>
  <c r="AB995" i="10"/>
  <c r="AA995" i="10"/>
  <c r="Z995" i="10"/>
  <c r="Y995" i="10"/>
  <c r="X995" i="10"/>
  <c r="W995" i="10"/>
  <c r="V995" i="10"/>
  <c r="U995" i="10"/>
  <c r="T995" i="10"/>
  <c r="S995" i="10"/>
  <c r="R995" i="10"/>
  <c r="AD994" i="10"/>
  <c r="AC994" i="10"/>
  <c r="AB994" i="10"/>
  <c r="AA994" i="10"/>
  <c r="Z994" i="10"/>
  <c r="Y994" i="10"/>
  <c r="X994" i="10"/>
  <c r="W994" i="10"/>
  <c r="V994" i="10"/>
  <c r="U994" i="10"/>
  <c r="T994" i="10"/>
  <c r="S994" i="10"/>
  <c r="R994" i="10"/>
  <c r="AE994" i="10"/>
  <c r="AD993" i="10"/>
  <c r="AC993" i="10"/>
  <c r="AB993" i="10"/>
  <c r="AA993" i="10"/>
  <c r="Z993" i="10"/>
  <c r="Y993" i="10"/>
  <c r="X993" i="10"/>
  <c r="W993" i="10"/>
  <c r="V993" i="10"/>
  <c r="U993" i="10"/>
  <c r="T993" i="10"/>
  <c r="S993" i="10"/>
  <c r="R993" i="10"/>
  <c r="AD992" i="10"/>
  <c r="AC992" i="10"/>
  <c r="AB992" i="10"/>
  <c r="AA992" i="10"/>
  <c r="Z992" i="10"/>
  <c r="Y992" i="10"/>
  <c r="X992" i="10"/>
  <c r="W992" i="10"/>
  <c r="V992" i="10"/>
  <c r="U992" i="10"/>
  <c r="T992" i="10"/>
  <c r="S992" i="10"/>
  <c r="R992" i="10"/>
  <c r="AE992" i="10"/>
  <c r="AD991" i="10"/>
  <c r="AC991" i="10"/>
  <c r="AB991" i="10"/>
  <c r="AA991" i="10"/>
  <c r="Z991" i="10"/>
  <c r="Y991" i="10"/>
  <c r="X991" i="10"/>
  <c r="W991" i="10"/>
  <c r="V991" i="10"/>
  <c r="U991" i="10"/>
  <c r="T991" i="10"/>
  <c r="S991" i="10"/>
  <c r="R991" i="10"/>
  <c r="AE991" i="10"/>
  <c r="AD990" i="10"/>
  <c r="AC990" i="10"/>
  <c r="AB990" i="10"/>
  <c r="AA990" i="10"/>
  <c r="Z990" i="10"/>
  <c r="Y990" i="10"/>
  <c r="X990" i="10"/>
  <c r="W990" i="10"/>
  <c r="V990" i="10"/>
  <c r="U990" i="10"/>
  <c r="T990" i="10"/>
  <c r="S990" i="10"/>
  <c r="R990" i="10"/>
  <c r="AD989" i="10"/>
  <c r="AC989" i="10"/>
  <c r="AB989" i="10"/>
  <c r="AA989" i="10"/>
  <c r="Z989" i="10"/>
  <c r="Y989" i="10"/>
  <c r="X989" i="10"/>
  <c r="W989" i="10"/>
  <c r="R989" i="10"/>
  <c r="S989" i="10"/>
  <c r="T989" i="10"/>
  <c r="U989" i="10"/>
  <c r="V989" i="10"/>
  <c r="AE989" i="10"/>
  <c r="AD988" i="10"/>
  <c r="AC988" i="10"/>
  <c r="AB988" i="10"/>
  <c r="AA988" i="10"/>
  <c r="Z988" i="10"/>
  <c r="Y988" i="10"/>
  <c r="X988" i="10"/>
  <c r="W988" i="10"/>
  <c r="V988" i="10"/>
  <c r="U988" i="10"/>
  <c r="T988" i="10"/>
  <c r="S988" i="10"/>
  <c r="R988" i="10"/>
  <c r="AD987" i="10"/>
  <c r="AC987" i="10"/>
  <c r="AB987" i="10"/>
  <c r="AA987" i="10"/>
  <c r="Z987" i="10"/>
  <c r="Y987" i="10"/>
  <c r="X987" i="10"/>
  <c r="W987" i="10"/>
  <c r="V987" i="10"/>
  <c r="U987" i="10"/>
  <c r="T987" i="10"/>
  <c r="S987" i="10"/>
  <c r="R987" i="10"/>
  <c r="AD986" i="10"/>
  <c r="AC986" i="10"/>
  <c r="AB986" i="10"/>
  <c r="AA986" i="10"/>
  <c r="Z986" i="10"/>
  <c r="Y986" i="10"/>
  <c r="X986" i="10"/>
  <c r="W986" i="10"/>
  <c r="V986" i="10"/>
  <c r="U986" i="10"/>
  <c r="T986" i="10"/>
  <c r="S986" i="10"/>
  <c r="R986" i="10"/>
  <c r="AE986" i="10"/>
  <c r="AD985" i="10"/>
  <c r="AC985" i="10"/>
  <c r="AB985" i="10"/>
  <c r="AA985" i="10"/>
  <c r="Z985" i="10"/>
  <c r="Y985" i="10"/>
  <c r="X985" i="10"/>
  <c r="W985" i="10"/>
  <c r="V985" i="10"/>
  <c r="U985" i="10"/>
  <c r="T985" i="10"/>
  <c r="S985" i="10"/>
  <c r="R985" i="10"/>
  <c r="AE985" i="10"/>
  <c r="AD984" i="10"/>
  <c r="AC984" i="10"/>
  <c r="AB984" i="10"/>
  <c r="AA984" i="10"/>
  <c r="Z984" i="10"/>
  <c r="Y984" i="10"/>
  <c r="X984" i="10"/>
  <c r="W984" i="10"/>
  <c r="V984" i="10"/>
  <c r="U984" i="10"/>
  <c r="T984" i="10"/>
  <c r="S984" i="10"/>
  <c r="R984" i="10"/>
  <c r="AE984" i="10"/>
  <c r="AD983" i="10"/>
  <c r="AC983" i="10"/>
  <c r="AB983" i="10"/>
  <c r="AA983" i="10"/>
  <c r="Z983" i="10"/>
  <c r="Y983" i="10"/>
  <c r="X983" i="10"/>
  <c r="W983" i="10"/>
  <c r="V983" i="10"/>
  <c r="U983" i="10"/>
  <c r="T983" i="10"/>
  <c r="S983" i="10"/>
  <c r="R983" i="10"/>
  <c r="AD982" i="10"/>
  <c r="AC982" i="10"/>
  <c r="AB982" i="10"/>
  <c r="AA982" i="10"/>
  <c r="Z982" i="10"/>
  <c r="Y982" i="10"/>
  <c r="X982" i="10"/>
  <c r="W982" i="10"/>
  <c r="V982" i="10"/>
  <c r="U982" i="10"/>
  <c r="T982" i="10"/>
  <c r="S982" i="10"/>
  <c r="R982" i="10"/>
  <c r="AE982" i="10"/>
  <c r="AD981" i="10"/>
  <c r="AC981" i="10"/>
  <c r="AB981" i="10"/>
  <c r="AA981" i="10"/>
  <c r="Z981" i="10"/>
  <c r="Y981" i="10"/>
  <c r="X981" i="10"/>
  <c r="W981" i="10"/>
  <c r="V981" i="10"/>
  <c r="U981" i="10"/>
  <c r="T981" i="10"/>
  <c r="S981" i="10"/>
  <c r="R981" i="10"/>
  <c r="AE981" i="10"/>
  <c r="AD980" i="10"/>
  <c r="AC980" i="10"/>
  <c r="AB980" i="10"/>
  <c r="AA980" i="10"/>
  <c r="Z980" i="10"/>
  <c r="Y980" i="10"/>
  <c r="X980" i="10"/>
  <c r="W980" i="10"/>
  <c r="V980" i="10"/>
  <c r="U980" i="10"/>
  <c r="T980" i="10"/>
  <c r="S980" i="10"/>
  <c r="R980" i="10"/>
  <c r="AE980" i="10"/>
  <c r="AD979" i="10"/>
  <c r="AC979" i="10"/>
  <c r="AB979" i="10"/>
  <c r="AA979" i="10"/>
  <c r="Z979" i="10"/>
  <c r="Y979" i="10"/>
  <c r="X979" i="10"/>
  <c r="W979" i="10"/>
  <c r="V979" i="10"/>
  <c r="U979" i="10"/>
  <c r="T979" i="10"/>
  <c r="S979" i="10"/>
  <c r="R979" i="10"/>
  <c r="AD978" i="10"/>
  <c r="AC978" i="10"/>
  <c r="AB978" i="10"/>
  <c r="AA978" i="10"/>
  <c r="Z978" i="10"/>
  <c r="Y978" i="10"/>
  <c r="X978" i="10"/>
  <c r="W978" i="10"/>
  <c r="V978" i="10"/>
  <c r="U978" i="10"/>
  <c r="T978" i="10"/>
  <c r="S978" i="10"/>
  <c r="R978" i="10"/>
  <c r="AE978" i="10"/>
  <c r="AD977" i="10"/>
  <c r="AC977" i="10"/>
  <c r="AB977" i="10"/>
  <c r="AA977" i="10"/>
  <c r="Z977" i="10"/>
  <c r="Y977" i="10"/>
  <c r="X977" i="10"/>
  <c r="W977" i="10"/>
  <c r="V977" i="10"/>
  <c r="U977" i="10"/>
  <c r="T977" i="10"/>
  <c r="S977" i="10"/>
  <c r="R977" i="10"/>
  <c r="AD976" i="10"/>
  <c r="AC976" i="10"/>
  <c r="AB976" i="10"/>
  <c r="AA976" i="10"/>
  <c r="Z976" i="10"/>
  <c r="Y976" i="10"/>
  <c r="X976" i="10"/>
  <c r="W976" i="10"/>
  <c r="R976" i="10"/>
  <c r="S976" i="10"/>
  <c r="T976" i="10"/>
  <c r="U976" i="10"/>
  <c r="V976" i="10"/>
  <c r="AE976" i="10"/>
  <c r="AD975" i="10"/>
  <c r="AC975" i="10"/>
  <c r="AB975" i="10"/>
  <c r="AA975" i="10"/>
  <c r="Z975" i="10"/>
  <c r="Y975" i="10"/>
  <c r="X975" i="10"/>
  <c r="W975" i="10"/>
  <c r="V975" i="10"/>
  <c r="U975" i="10"/>
  <c r="T975" i="10"/>
  <c r="S975" i="10"/>
  <c r="R975" i="10"/>
  <c r="AD974" i="10"/>
  <c r="AC974" i="10"/>
  <c r="AB974" i="10"/>
  <c r="AA974" i="10"/>
  <c r="Z974" i="10"/>
  <c r="Y974" i="10"/>
  <c r="X974" i="10"/>
  <c r="W974" i="10"/>
  <c r="V974" i="10"/>
  <c r="U974" i="10"/>
  <c r="T974" i="10"/>
  <c r="S974" i="10"/>
  <c r="R974" i="10"/>
  <c r="AE974" i="10"/>
  <c r="AD973" i="10"/>
  <c r="AC973" i="10"/>
  <c r="AB973" i="10"/>
  <c r="AA973" i="10"/>
  <c r="Z973" i="10"/>
  <c r="Y973" i="10"/>
  <c r="X973" i="10"/>
  <c r="W973" i="10"/>
  <c r="V973" i="10"/>
  <c r="U973" i="10"/>
  <c r="T973" i="10"/>
  <c r="S973" i="10"/>
  <c r="R973" i="10"/>
  <c r="AE973" i="10"/>
  <c r="AD972" i="10"/>
  <c r="AC972" i="10"/>
  <c r="AB972" i="10"/>
  <c r="AA972" i="10"/>
  <c r="Z972" i="10"/>
  <c r="Y972" i="10"/>
  <c r="X972" i="10"/>
  <c r="W972" i="10"/>
  <c r="V972" i="10"/>
  <c r="U972" i="10"/>
  <c r="T972" i="10"/>
  <c r="S972" i="10"/>
  <c r="R972" i="10"/>
  <c r="AE972" i="10"/>
  <c r="AD971" i="10"/>
  <c r="AC971" i="10"/>
  <c r="AB971" i="10"/>
  <c r="AA971" i="10"/>
  <c r="Z971" i="10"/>
  <c r="Y971" i="10"/>
  <c r="X971" i="10"/>
  <c r="W971" i="10"/>
  <c r="V971" i="10"/>
  <c r="U971" i="10"/>
  <c r="T971" i="10"/>
  <c r="S971" i="10"/>
  <c r="R971" i="10"/>
  <c r="AD970" i="10"/>
  <c r="AC970" i="10"/>
  <c r="AB970" i="10"/>
  <c r="AA970" i="10"/>
  <c r="Z970" i="10"/>
  <c r="Y970" i="10"/>
  <c r="X970" i="10"/>
  <c r="W970" i="10"/>
  <c r="R970" i="10"/>
  <c r="S970" i="10"/>
  <c r="T970" i="10"/>
  <c r="U970" i="10"/>
  <c r="V970" i="10"/>
  <c r="AE970" i="10"/>
  <c r="AD969" i="10"/>
  <c r="AC969" i="10"/>
  <c r="AB969" i="10"/>
  <c r="AA969" i="10"/>
  <c r="Z969" i="10"/>
  <c r="Y969" i="10"/>
  <c r="X969" i="10"/>
  <c r="W969" i="10"/>
  <c r="V969" i="10"/>
  <c r="U969" i="10"/>
  <c r="T969" i="10"/>
  <c r="S969" i="10"/>
  <c r="R969" i="10"/>
  <c r="AE969" i="10"/>
  <c r="AD968" i="10"/>
  <c r="AC968" i="10"/>
  <c r="AB968" i="10"/>
  <c r="AA968" i="10"/>
  <c r="Z968" i="10"/>
  <c r="Y968" i="10"/>
  <c r="X968" i="10"/>
  <c r="W968" i="10"/>
  <c r="V968" i="10"/>
  <c r="U968" i="10"/>
  <c r="T968" i="10"/>
  <c r="S968" i="10"/>
  <c r="R968" i="10"/>
  <c r="AD967" i="10"/>
  <c r="AC967" i="10"/>
  <c r="AB967" i="10"/>
  <c r="AA967" i="10"/>
  <c r="Z967" i="10"/>
  <c r="Y967" i="10"/>
  <c r="X967" i="10"/>
  <c r="W967" i="10"/>
  <c r="V967" i="10"/>
  <c r="U967" i="10"/>
  <c r="T967" i="10"/>
  <c r="S967" i="10"/>
  <c r="R967" i="10"/>
  <c r="AD966" i="10"/>
  <c r="AC966" i="10"/>
  <c r="AB966" i="10"/>
  <c r="AA966" i="10"/>
  <c r="Z966" i="10"/>
  <c r="Y966" i="10"/>
  <c r="X966" i="10"/>
  <c r="W966" i="10"/>
  <c r="V966" i="10"/>
  <c r="U966" i="10"/>
  <c r="T966" i="10"/>
  <c r="S966" i="10"/>
  <c r="R966" i="10"/>
  <c r="AE966" i="10"/>
  <c r="AD965" i="10"/>
  <c r="AC965" i="10"/>
  <c r="AB965" i="10"/>
  <c r="AA965" i="10"/>
  <c r="Z965" i="10"/>
  <c r="Y965" i="10"/>
  <c r="X965" i="10"/>
  <c r="W965" i="10"/>
  <c r="V965" i="10"/>
  <c r="U965" i="10"/>
  <c r="T965" i="10"/>
  <c r="S965" i="10"/>
  <c r="R965" i="10"/>
  <c r="AE965" i="10"/>
  <c r="AD964" i="10"/>
  <c r="AC964" i="10"/>
  <c r="AB964" i="10"/>
  <c r="AA964" i="10"/>
  <c r="Z964" i="10"/>
  <c r="Y964" i="10"/>
  <c r="X964" i="10"/>
  <c r="W964" i="10"/>
  <c r="V964" i="10"/>
  <c r="U964" i="10"/>
  <c r="T964" i="10"/>
  <c r="S964" i="10"/>
  <c r="R964" i="10"/>
  <c r="AE964" i="10"/>
  <c r="AD963" i="10"/>
  <c r="AC963" i="10"/>
  <c r="AB963" i="10"/>
  <c r="AA963" i="10"/>
  <c r="Z963" i="10"/>
  <c r="Y963" i="10"/>
  <c r="X963" i="10"/>
  <c r="W963" i="10"/>
  <c r="V963" i="10"/>
  <c r="U963" i="10"/>
  <c r="T963" i="10"/>
  <c r="S963" i="10"/>
  <c r="R963" i="10"/>
  <c r="AD962" i="10"/>
  <c r="AC962" i="10"/>
  <c r="AB962" i="10"/>
  <c r="AA962" i="10"/>
  <c r="Z962" i="10"/>
  <c r="Y962" i="10"/>
  <c r="X962" i="10"/>
  <c r="W962" i="10"/>
  <c r="V962" i="10"/>
  <c r="U962" i="10"/>
  <c r="T962" i="10"/>
  <c r="S962" i="10"/>
  <c r="R962" i="10"/>
  <c r="AE962" i="10"/>
  <c r="AD961" i="10"/>
  <c r="AC961" i="10"/>
  <c r="AB961" i="10"/>
  <c r="AA961" i="10"/>
  <c r="Z961" i="10"/>
  <c r="Y961" i="10"/>
  <c r="X961" i="10"/>
  <c r="W961" i="10"/>
  <c r="V961" i="10"/>
  <c r="U961" i="10"/>
  <c r="T961" i="10"/>
  <c r="S961" i="10"/>
  <c r="R961" i="10"/>
  <c r="AE961" i="10"/>
  <c r="AD960" i="10"/>
  <c r="AC960" i="10"/>
  <c r="AB960" i="10"/>
  <c r="AA960" i="10"/>
  <c r="Z960" i="10"/>
  <c r="Y960" i="10"/>
  <c r="X960" i="10"/>
  <c r="W960" i="10"/>
  <c r="V960" i="10"/>
  <c r="U960" i="10"/>
  <c r="T960" i="10"/>
  <c r="S960" i="10"/>
  <c r="R960" i="10"/>
  <c r="AE960" i="10"/>
  <c r="AD959" i="10"/>
  <c r="AC959" i="10"/>
  <c r="AB959" i="10"/>
  <c r="AA959" i="10"/>
  <c r="Z959" i="10"/>
  <c r="Y959" i="10"/>
  <c r="X959" i="10"/>
  <c r="W959" i="10"/>
  <c r="R959" i="10"/>
  <c r="S959" i="10"/>
  <c r="T959" i="10"/>
  <c r="U959" i="10"/>
  <c r="V959" i="10"/>
  <c r="AE959" i="10"/>
  <c r="AD958" i="10"/>
  <c r="AC958" i="10"/>
  <c r="AB958" i="10"/>
  <c r="AA958" i="10"/>
  <c r="Z958" i="10"/>
  <c r="Y958" i="10"/>
  <c r="X958" i="10"/>
  <c r="W958" i="10"/>
  <c r="V958" i="10"/>
  <c r="U958" i="10"/>
  <c r="T958" i="10"/>
  <c r="S958" i="10"/>
  <c r="R958" i="10"/>
  <c r="AE958" i="10"/>
  <c r="AD957" i="10"/>
  <c r="AC957" i="10"/>
  <c r="AB957" i="10"/>
  <c r="AA957" i="10"/>
  <c r="Z957" i="10"/>
  <c r="Y957" i="10"/>
  <c r="X957" i="10"/>
  <c r="W957" i="10"/>
  <c r="V957" i="10"/>
  <c r="U957" i="10"/>
  <c r="R957" i="10"/>
  <c r="S957" i="10"/>
  <c r="T957" i="10"/>
  <c r="AE957" i="10"/>
  <c r="AD956" i="10"/>
  <c r="AC956" i="10"/>
  <c r="AB956" i="10"/>
  <c r="AA956" i="10"/>
  <c r="Z956" i="10"/>
  <c r="Y956" i="10"/>
  <c r="X956" i="10"/>
  <c r="W956" i="10"/>
  <c r="V956" i="10"/>
  <c r="U956" i="10"/>
  <c r="T956" i="10"/>
  <c r="R956" i="10"/>
  <c r="S956" i="10"/>
  <c r="AE956" i="10"/>
  <c r="AD955" i="10"/>
  <c r="AC955" i="10"/>
  <c r="AB955" i="10"/>
  <c r="AA955" i="10"/>
  <c r="Z955" i="10"/>
  <c r="Y955" i="10"/>
  <c r="X955" i="10"/>
  <c r="W955" i="10"/>
  <c r="V955" i="10"/>
  <c r="U955" i="10"/>
  <c r="T955" i="10"/>
  <c r="S955" i="10"/>
  <c r="R955" i="10"/>
  <c r="AD954" i="10"/>
  <c r="AC954" i="10"/>
  <c r="AB954" i="10"/>
  <c r="AA954" i="10"/>
  <c r="Z954" i="10"/>
  <c r="Y954" i="10"/>
  <c r="X954" i="10"/>
  <c r="W954" i="10"/>
  <c r="V954" i="10"/>
  <c r="U954" i="10"/>
  <c r="T954" i="10"/>
  <c r="S954" i="10"/>
  <c r="R954" i="10"/>
  <c r="AE954" i="10"/>
  <c r="AD953" i="10"/>
  <c r="AC953" i="10"/>
  <c r="AB953" i="10"/>
  <c r="AA953" i="10"/>
  <c r="Z953" i="10"/>
  <c r="Y953" i="10"/>
  <c r="X953" i="10"/>
  <c r="W953" i="10"/>
  <c r="V953" i="10"/>
  <c r="U953" i="10"/>
  <c r="T953" i="10"/>
  <c r="S953" i="10"/>
  <c r="R953" i="10"/>
  <c r="AD952" i="10"/>
  <c r="AC952" i="10"/>
  <c r="AB952" i="10"/>
  <c r="AA952" i="10"/>
  <c r="Z952" i="10"/>
  <c r="Y952" i="10"/>
  <c r="X952" i="10"/>
  <c r="W952" i="10"/>
  <c r="V952" i="10"/>
  <c r="U952" i="10"/>
  <c r="T952" i="10"/>
  <c r="S952" i="10"/>
  <c r="R952" i="10"/>
  <c r="AE952" i="10"/>
  <c r="AD951" i="10"/>
  <c r="AC951" i="10"/>
  <c r="AB951" i="10"/>
  <c r="AA951" i="10"/>
  <c r="Z951" i="10"/>
  <c r="Y951" i="10"/>
  <c r="X951" i="10"/>
  <c r="W951" i="10"/>
  <c r="V951" i="10"/>
  <c r="U951" i="10"/>
  <c r="T951" i="10"/>
  <c r="S951" i="10"/>
  <c r="R951" i="10"/>
  <c r="AE951" i="10"/>
  <c r="AD950" i="10"/>
  <c r="AC950" i="10"/>
  <c r="AB950" i="10"/>
  <c r="AA950" i="10"/>
  <c r="Z950" i="10"/>
  <c r="Y950" i="10"/>
  <c r="X950" i="10"/>
  <c r="W950" i="10"/>
  <c r="V950" i="10"/>
  <c r="U950" i="10"/>
  <c r="T950" i="10"/>
  <c r="S950" i="10"/>
  <c r="R950" i="10"/>
  <c r="AE950" i="10"/>
  <c r="AD949" i="10"/>
  <c r="AC949" i="10"/>
  <c r="AB949" i="10"/>
  <c r="AA949" i="10"/>
  <c r="Z949" i="10"/>
  <c r="Y949" i="10"/>
  <c r="X949" i="10"/>
  <c r="W949" i="10"/>
  <c r="V949" i="10"/>
  <c r="U949" i="10"/>
  <c r="T949" i="10"/>
  <c r="R949" i="10"/>
  <c r="S949" i="10"/>
  <c r="AE949" i="10"/>
  <c r="AD948" i="10"/>
  <c r="AC948" i="10"/>
  <c r="AB948" i="10"/>
  <c r="AA948" i="10"/>
  <c r="Z948" i="10"/>
  <c r="Y948" i="10"/>
  <c r="X948" i="10"/>
  <c r="W948" i="10"/>
  <c r="R948" i="10"/>
  <c r="S948" i="10"/>
  <c r="T948" i="10"/>
  <c r="U948" i="10"/>
  <c r="V948" i="10"/>
  <c r="AE948" i="10"/>
  <c r="AD947" i="10"/>
  <c r="AC947" i="10"/>
  <c r="AB947" i="10"/>
  <c r="AA947" i="10"/>
  <c r="Z947" i="10"/>
  <c r="Y947" i="10"/>
  <c r="X947" i="10"/>
  <c r="W947" i="10"/>
  <c r="V947" i="10"/>
  <c r="U947" i="10"/>
  <c r="T947" i="10"/>
  <c r="S947" i="10"/>
  <c r="R947" i="10"/>
  <c r="AD946" i="10"/>
  <c r="AC946" i="10"/>
  <c r="AB946" i="10"/>
  <c r="AA946" i="10"/>
  <c r="Z946" i="10"/>
  <c r="Y946" i="10"/>
  <c r="X946" i="10"/>
  <c r="W946" i="10"/>
  <c r="V946" i="10"/>
  <c r="U946" i="10"/>
  <c r="T946" i="10"/>
  <c r="S946" i="10"/>
  <c r="R946" i="10"/>
  <c r="AD945" i="10"/>
  <c r="AC945" i="10"/>
  <c r="AB945" i="10"/>
  <c r="AA945" i="10"/>
  <c r="Z945" i="10"/>
  <c r="Y945" i="10"/>
  <c r="X945" i="10"/>
  <c r="W945" i="10"/>
  <c r="V945" i="10"/>
  <c r="U945" i="10"/>
  <c r="T945" i="10"/>
  <c r="S945" i="10"/>
  <c r="R945" i="10"/>
  <c r="AE945" i="10"/>
  <c r="AD944" i="10"/>
  <c r="AC944" i="10"/>
  <c r="AB944" i="10"/>
  <c r="AA944" i="10"/>
  <c r="Z944" i="10"/>
  <c r="Y944" i="10"/>
  <c r="X944" i="10"/>
  <c r="W944" i="10"/>
  <c r="V944" i="10"/>
  <c r="U944" i="10"/>
  <c r="T944" i="10"/>
  <c r="S944" i="10"/>
  <c r="R944" i="10"/>
  <c r="AE944" i="10"/>
  <c r="AD943" i="10"/>
  <c r="AC943" i="10"/>
  <c r="AB943" i="10"/>
  <c r="AA943" i="10"/>
  <c r="Z943" i="10"/>
  <c r="Y943" i="10"/>
  <c r="X943" i="10"/>
  <c r="W943" i="10"/>
  <c r="V943" i="10"/>
  <c r="U943" i="10"/>
  <c r="T943" i="10"/>
  <c r="S943" i="10"/>
  <c r="R943" i="10"/>
  <c r="AE943" i="10"/>
  <c r="AD942" i="10"/>
  <c r="AC942" i="10"/>
  <c r="AB942" i="10"/>
  <c r="AA942" i="10"/>
  <c r="Z942" i="10"/>
  <c r="Y942" i="10"/>
  <c r="X942" i="10"/>
  <c r="W942" i="10"/>
  <c r="V942" i="10"/>
  <c r="U942" i="10"/>
  <c r="T942" i="10"/>
  <c r="R942" i="10"/>
  <c r="S942" i="10"/>
  <c r="AE942" i="10"/>
  <c r="AD941" i="10"/>
  <c r="AC941" i="10"/>
  <c r="AB941" i="10"/>
  <c r="AA941" i="10"/>
  <c r="Z941" i="10"/>
  <c r="Y941" i="10"/>
  <c r="X941" i="10"/>
  <c r="W941" i="10"/>
  <c r="R941" i="10"/>
  <c r="S941" i="10"/>
  <c r="T941" i="10"/>
  <c r="U941" i="10"/>
  <c r="V941" i="10"/>
  <c r="AE941" i="10"/>
  <c r="AD940" i="10"/>
  <c r="AC940" i="10"/>
  <c r="AB940" i="10"/>
  <c r="AA940" i="10"/>
  <c r="Z940" i="10"/>
  <c r="Y940" i="10"/>
  <c r="X940" i="10"/>
  <c r="W940" i="10"/>
  <c r="V940" i="10"/>
  <c r="U940" i="10"/>
  <c r="T940" i="10"/>
  <c r="S940" i="10"/>
  <c r="R940" i="10"/>
  <c r="AE940" i="10"/>
  <c r="AD939" i="10"/>
  <c r="AC939" i="10"/>
  <c r="AB939" i="10"/>
  <c r="AA939" i="10"/>
  <c r="Z939" i="10"/>
  <c r="Y939" i="10"/>
  <c r="X939" i="10"/>
  <c r="W939" i="10"/>
  <c r="V939" i="10"/>
  <c r="U939" i="10"/>
  <c r="T939" i="10"/>
  <c r="S939" i="10"/>
  <c r="R939" i="10"/>
  <c r="AD938" i="10"/>
  <c r="AC938" i="10"/>
  <c r="AB938" i="10"/>
  <c r="AA938" i="10"/>
  <c r="Z938" i="10"/>
  <c r="Y938" i="10"/>
  <c r="X938" i="10"/>
  <c r="W938" i="10"/>
  <c r="V938" i="10"/>
  <c r="U938" i="10"/>
  <c r="T938" i="10"/>
  <c r="S938" i="10"/>
  <c r="R938" i="10"/>
  <c r="AE938" i="10"/>
  <c r="AD937" i="10"/>
  <c r="AC937" i="10"/>
  <c r="AB937" i="10"/>
  <c r="AA937" i="10"/>
  <c r="Z937" i="10"/>
  <c r="Y937" i="10"/>
  <c r="X937" i="10"/>
  <c r="W937" i="10"/>
  <c r="V937" i="10"/>
  <c r="U937" i="10"/>
  <c r="T937" i="10"/>
  <c r="S937" i="10"/>
  <c r="R937" i="10"/>
  <c r="AE937" i="10"/>
  <c r="AD936" i="10"/>
  <c r="AC936" i="10"/>
  <c r="AB936" i="10"/>
  <c r="AA936" i="10"/>
  <c r="Z936" i="10"/>
  <c r="Y936" i="10"/>
  <c r="X936" i="10"/>
  <c r="W936" i="10"/>
  <c r="V936" i="10"/>
  <c r="U936" i="10"/>
  <c r="T936" i="10"/>
  <c r="S936" i="10"/>
  <c r="R936" i="10"/>
  <c r="AE936" i="10"/>
  <c r="AD935" i="10"/>
  <c r="AC935" i="10"/>
  <c r="AB935" i="10"/>
  <c r="AA935" i="10"/>
  <c r="Z935" i="10"/>
  <c r="Y935" i="10"/>
  <c r="X935" i="10"/>
  <c r="W935" i="10"/>
  <c r="V935" i="10"/>
  <c r="U935" i="10"/>
  <c r="T935" i="10"/>
  <c r="S935" i="10"/>
  <c r="R935" i="10"/>
  <c r="AD934" i="10"/>
  <c r="AC934" i="10"/>
  <c r="AB934" i="10"/>
  <c r="AA934" i="10"/>
  <c r="Z934" i="10"/>
  <c r="Y934" i="10"/>
  <c r="X934" i="10"/>
  <c r="W934" i="10"/>
  <c r="R934" i="10"/>
  <c r="S934" i="10"/>
  <c r="T934" i="10"/>
  <c r="U934" i="10"/>
  <c r="V934" i="10"/>
  <c r="AE934" i="10"/>
  <c r="AD933" i="10"/>
  <c r="AC933" i="10"/>
  <c r="AB933" i="10"/>
  <c r="AA933" i="10"/>
  <c r="Z933" i="10"/>
  <c r="Y933" i="10"/>
  <c r="X933" i="10"/>
  <c r="W933" i="10"/>
  <c r="V933" i="10"/>
  <c r="U933" i="10"/>
  <c r="T933" i="10"/>
  <c r="S933" i="10"/>
  <c r="R933" i="10"/>
  <c r="AE933" i="10"/>
  <c r="AD932" i="10"/>
  <c r="AC932" i="10"/>
  <c r="AB932" i="10"/>
  <c r="AA932" i="10"/>
  <c r="Z932" i="10"/>
  <c r="Y932" i="10"/>
  <c r="X932" i="10"/>
  <c r="W932" i="10"/>
  <c r="V932" i="10"/>
  <c r="U932" i="10"/>
  <c r="T932" i="10"/>
  <c r="S932" i="10"/>
  <c r="R932" i="10"/>
  <c r="AD931" i="10"/>
  <c r="AC931" i="10"/>
  <c r="AB931" i="10"/>
  <c r="AA931" i="10"/>
  <c r="Z931" i="10"/>
  <c r="Y931" i="10"/>
  <c r="X931" i="10"/>
  <c r="W931" i="10"/>
  <c r="V931" i="10"/>
  <c r="U931" i="10"/>
  <c r="T931" i="10"/>
  <c r="S931" i="10"/>
  <c r="R931" i="10"/>
  <c r="AE931" i="10"/>
  <c r="AD930" i="10"/>
  <c r="AC930" i="10"/>
  <c r="AB930" i="10"/>
  <c r="AA930" i="10"/>
  <c r="Z930" i="10"/>
  <c r="Y930" i="10"/>
  <c r="X930" i="10"/>
  <c r="W930" i="10"/>
  <c r="V930" i="10"/>
  <c r="U930" i="10"/>
  <c r="T930" i="10"/>
  <c r="S930" i="10"/>
  <c r="R930" i="10"/>
  <c r="AE930" i="10"/>
  <c r="AD929" i="10"/>
  <c r="AC929" i="10"/>
  <c r="AB929" i="10"/>
  <c r="AA929" i="10"/>
  <c r="Z929" i="10"/>
  <c r="Y929" i="10"/>
  <c r="X929" i="10"/>
  <c r="W929" i="10"/>
  <c r="V929" i="10"/>
  <c r="U929" i="10"/>
  <c r="T929" i="10"/>
  <c r="S929" i="10"/>
  <c r="R929" i="10"/>
  <c r="AE929" i="10"/>
  <c r="AD928" i="10"/>
  <c r="AC928" i="10"/>
  <c r="AB928" i="10"/>
  <c r="AA928" i="10"/>
  <c r="Z928" i="10"/>
  <c r="Y928" i="10"/>
  <c r="X928" i="10"/>
  <c r="W928" i="10"/>
  <c r="V928" i="10"/>
  <c r="U928" i="10"/>
  <c r="T928" i="10"/>
  <c r="S928" i="10"/>
  <c r="R928" i="10"/>
  <c r="AE928" i="10"/>
  <c r="AD927" i="10"/>
  <c r="AC927" i="10"/>
  <c r="AB927" i="10"/>
  <c r="AA927" i="10"/>
  <c r="Z927" i="10"/>
  <c r="Y927" i="10"/>
  <c r="X927" i="10"/>
  <c r="W927" i="10"/>
  <c r="V927" i="10"/>
  <c r="U927" i="10"/>
  <c r="T927" i="10"/>
  <c r="S927" i="10"/>
  <c r="R927" i="10"/>
  <c r="AD926" i="10"/>
  <c r="AC926" i="10"/>
  <c r="AB926" i="10"/>
  <c r="AA926" i="10"/>
  <c r="Z926" i="10"/>
  <c r="Y926" i="10"/>
  <c r="X926" i="10"/>
  <c r="W926" i="10"/>
  <c r="R926" i="10"/>
  <c r="S926" i="10"/>
  <c r="T926" i="10"/>
  <c r="U926" i="10"/>
  <c r="V926" i="10"/>
  <c r="AE926" i="10"/>
  <c r="AD925" i="10"/>
  <c r="AC925" i="10"/>
  <c r="AB925" i="10"/>
  <c r="AA925" i="10"/>
  <c r="Z925" i="10"/>
  <c r="Y925" i="10"/>
  <c r="X925" i="10"/>
  <c r="W925" i="10"/>
  <c r="V925" i="10"/>
  <c r="U925" i="10"/>
  <c r="T925" i="10"/>
  <c r="S925" i="10"/>
  <c r="R925" i="10"/>
  <c r="AD924" i="10"/>
  <c r="AC924" i="10"/>
  <c r="AB924" i="10"/>
  <c r="AA924" i="10"/>
  <c r="Z924" i="10"/>
  <c r="Y924" i="10"/>
  <c r="X924" i="10"/>
  <c r="W924" i="10"/>
  <c r="V924" i="10"/>
  <c r="U924" i="10"/>
  <c r="T924" i="10"/>
  <c r="S924" i="10"/>
  <c r="R924" i="10"/>
  <c r="AE924" i="10"/>
  <c r="AD923" i="10"/>
  <c r="AC923" i="10"/>
  <c r="AB923" i="10"/>
  <c r="AA923" i="10"/>
  <c r="Z923" i="10"/>
  <c r="Y923" i="10"/>
  <c r="X923" i="10"/>
  <c r="W923" i="10"/>
  <c r="V923" i="10"/>
  <c r="U923" i="10"/>
  <c r="T923" i="10"/>
  <c r="S923" i="10"/>
  <c r="R923" i="10"/>
  <c r="AD922" i="10"/>
  <c r="AC922" i="10"/>
  <c r="AB922" i="10"/>
  <c r="AA922" i="10"/>
  <c r="Z922" i="10"/>
  <c r="Y922" i="10"/>
  <c r="X922" i="10"/>
  <c r="W922" i="10"/>
  <c r="V922" i="10"/>
  <c r="U922" i="10"/>
  <c r="T922" i="10"/>
  <c r="S922" i="10"/>
  <c r="R922" i="10"/>
  <c r="AE922" i="10"/>
  <c r="AD921" i="10"/>
  <c r="AC921" i="10"/>
  <c r="AB921" i="10"/>
  <c r="AA921" i="10"/>
  <c r="Z921" i="10"/>
  <c r="Y921" i="10"/>
  <c r="X921" i="10"/>
  <c r="W921" i="10"/>
  <c r="V921" i="10"/>
  <c r="U921" i="10"/>
  <c r="T921" i="10"/>
  <c r="S921" i="10"/>
  <c r="R921" i="10"/>
  <c r="AE921" i="10"/>
  <c r="AD920" i="10"/>
  <c r="AC920" i="10"/>
  <c r="AB920" i="10"/>
  <c r="AA920" i="10"/>
  <c r="Z920" i="10"/>
  <c r="Y920" i="10"/>
  <c r="X920" i="10"/>
  <c r="W920" i="10"/>
  <c r="V920" i="10"/>
  <c r="U920" i="10"/>
  <c r="T920" i="10"/>
  <c r="S920" i="10"/>
  <c r="R920" i="10"/>
  <c r="AE920" i="10"/>
  <c r="AD919" i="10"/>
  <c r="AC919" i="10"/>
  <c r="AB919" i="10"/>
  <c r="AA919" i="10"/>
  <c r="Z919" i="10"/>
  <c r="Y919" i="10"/>
  <c r="X919" i="10"/>
  <c r="W919" i="10"/>
  <c r="V919" i="10"/>
  <c r="U919" i="10"/>
  <c r="T919" i="10"/>
  <c r="R919" i="10"/>
  <c r="S919" i="10"/>
  <c r="AE919" i="10"/>
  <c r="AD918" i="10"/>
  <c r="AC918" i="10"/>
  <c r="AB918" i="10"/>
  <c r="AA918" i="10"/>
  <c r="Z918" i="10"/>
  <c r="Y918" i="10"/>
  <c r="X918" i="10"/>
  <c r="W918" i="10"/>
  <c r="R918" i="10"/>
  <c r="S918" i="10"/>
  <c r="T918" i="10"/>
  <c r="U918" i="10"/>
  <c r="V918" i="10"/>
  <c r="AE918" i="10"/>
  <c r="AD917" i="10"/>
  <c r="AC917" i="10"/>
  <c r="AB917" i="10"/>
  <c r="AA917" i="10"/>
  <c r="Z917" i="10"/>
  <c r="Y917" i="10"/>
  <c r="X917" i="10"/>
  <c r="W917" i="10"/>
  <c r="V917" i="10"/>
  <c r="U917" i="10"/>
  <c r="T917" i="10"/>
  <c r="S917" i="10"/>
  <c r="R917" i="10"/>
  <c r="AD916" i="10"/>
  <c r="AC916" i="10"/>
  <c r="AB916" i="10"/>
  <c r="AA916" i="10"/>
  <c r="Z916" i="10"/>
  <c r="Y916" i="10"/>
  <c r="X916" i="10"/>
  <c r="W916" i="10"/>
  <c r="V916" i="10"/>
  <c r="U916" i="10"/>
  <c r="T916" i="10"/>
  <c r="S916" i="10"/>
  <c r="R916" i="10"/>
  <c r="AD915" i="10"/>
  <c r="AC915" i="10"/>
  <c r="AB915" i="10"/>
  <c r="AA915" i="10"/>
  <c r="Z915" i="10"/>
  <c r="Y915" i="10"/>
  <c r="X915" i="10"/>
  <c r="W915" i="10"/>
  <c r="V915" i="10"/>
  <c r="U915" i="10"/>
  <c r="T915" i="10"/>
  <c r="S915" i="10"/>
  <c r="R915" i="10"/>
  <c r="AE915" i="10"/>
  <c r="AD914" i="10"/>
  <c r="AC914" i="10"/>
  <c r="AB914" i="10"/>
  <c r="AA914" i="10"/>
  <c r="Z914" i="10"/>
  <c r="Y914" i="10"/>
  <c r="X914" i="10"/>
  <c r="W914" i="10"/>
  <c r="V914" i="10"/>
  <c r="U914" i="10"/>
  <c r="T914" i="10"/>
  <c r="S914" i="10"/>
  <c r="R914" i="10"/>
  <c r="AE914" i="10"/>
  <c r="AD913" i="10"/>
  <c r="AC913" i="10"/>
  <c r="AB913" i="10"/>
  <c r="AA913" i="10"/>
  <c r="Z913" i="10"/>
  <c r="Y913" i="10"/>
  <c r="X913" i="10"/>
  <c r="W913" i="10"/>
  <c r="V913" i="10"/>
  <c r="U913" i="10"/>
  <c r="T913" i="10"/>
  <c r="S913" i="10"/>
  <c r="R913" i="10"/>
  <c r="AE913" i="10"/>
  <c r="AD912" i="10"/>
  <c r="AC912" i="10"/>
  <c r="AB912" i="10"/>
  <c r="AA912" i="10"/>
  <c r="Z912" i="10"/>
  <c r="Y912" i="10"/>
  <c r="X912" i="10"/>
  <c r="W912" i="10"/>
  <c r="V912" i="10"/>
  <c r="U912" i="10"/>
  <c r="T912" i="10"/>
  <c r="S912" i="10"/>
  <c r="R912" i="10"/>
  <c r="AE912" i="10"/>
  <c r="AD911" i="10"/>
  <c r="AC911" i="10"/>
  <c r="AB911" i="10"/>
  <c r="AA911" i="10"/>
  <c r="Z911" i="10"/>
  <c r="Y911" i="10"/>
  <c r="X911" i="10"/>
  <c r="W911" i="10"/>
  <c r="V911" i="10"/>
  <c r="U911" i="10"/>
  <c r="T911" i="10"/>
  <c r="S911" i="10"/>
  <c r="R911" i="10"/>
  <c r="AD910" i="10"/>
  <c r="AC910" i="10"/>
  <c r="AB910" i="10"/>
  <c r="AA910" i="10"/>
  <c r="Z910" i="10"/>
  <c r="Y910" i="10"/>
  <c r="X910" i="10"/>
  <c r="W910" i="10"/>
  <c r="R910" i="10"/>
  <c r="S910" i="10"/>
  <c r="T910" i="10"/>
  <c r="U910" i="10"/>
  <c r="V910" i="10"/>
  <c r="AE910" i="10"/>
  <c r="AD909" i="10"/>
  <c r="AC909" i="10"/>
  <c r="AB909" i="10"/>
  <c r="AA909" i="10"/>
  <c r="Z909" i="10"/>
  <c r="Y909" i="10"/>
  <c r="X909" i="10"/>
  <c r="W909" i="10"/>
  <c r="V909" i="10"/>
  <c r="U909" i="10"/>
  <c r="T909" i="10"/>
  <c r="S909" i="10"/>
  <c r="R909" i="10"/>
  <c r="AE909" i="10"/>
  <c r="AD908" i="10"/>
  <c r="AC908" i="10"/>
  <c r="AB908" i="10"/>
  <c r="AA908" i="10"/>
  <c r="Z908" i="10"/>
  <c r="Y908" i="10"/>
  <c r="X908" i="10"/>
  <c r="W908" i="10"/>
  <c r="V908" i="10"/>
  <c r="U908" i="10"/>
  <c r="T908" i="10"/>
  <c r="S908" i="10"/>
  <c r="R908" i="10"/>
  <c r="AD907" i="10"/>
  <c r="AC907" i="10"/>
  <c r="AB907" i="10"/>
  <c r="AA907" i="10"/>
  <c r="Z907" i="10"/>
  <c r="Y907" i="10"/>
  <c r="X907" i="10"/>
  <c r="W907" i="10"/>
  <c r="V907" i="10"/>
  <c r="U907" i="10"/>
  <c r="T907" i="10"/>
  <c r="S907" i="10"/>
  <c r="R907" i="10"/>
  <c r="AD906" i="10"/>
  <c r="AC906" i="10"/>
  <c r="AB906" i="10"/>
  <c r="AA906" i="10"/>
  <c r="Z906" i="10"/>
  <c r="Y906" i="10"/>
  <c r="X906" i="10"/>
  <c r="W906" i="10"/>
  <c r="V906" i="10"/>
  <c r="U906" i="10"/>
  <c r="T906" i="10"/>
  <c r="S906" i="10"/>
  <c r="R906" i="10"/>
  <c r="AE906" i="10"/>
  <c r="AD905" i="10"/>
  <c r="AC905" i="10"/>
  <c r="AB905" i="10"/>
  <c r="AA905" i="10"/>
  <c r="Z905" i="10"/>
  <c r="Y905" i="10"/>
  <c r="X905" i="10"/>
  <c r="W905" i="10"/>
  <c r="V905" i="10"/>
  <c r="U905" i="10"/>
  <c r="T905" i="10"/>
  <c r="S905" i="10"/>
  <c r="R905" i="10"/>
  <c r="AE905" i="10"/>
  <c r="AD904" i="10"/>
  <c r="AC904" i="10"/>
  <c r="AB904" i="10"/>
  <c r="AA904" i="10"/>
  <c r="Z904" i="10"/>
  <c r="Y904" i="10"/>
  <c r="X904" i="10"/>
  <c r="W904" i="10"/>
  <c r="V904" i="10"/>
  <c r="U904" i="10"/>
  <c r="T904" i="10"/>
  <c r="S904" i="10"/>
  <c r="R904" i="10"/>
  <c r="AE904" i="10"/>
  <c r="AD903" i="10"/>
  <c r="AC903" i="10"/>
  <c r="AB903" i="10"/>
  <c r="AA903" i="10"/>
  <c r="Z903" i="10"/>
  <c r="Y903" i="10"/>
  <c r="X903" i="10"/>
  <c r="W903" i="10"/>
  <c r="V903" i="10"/>
  <c r="U903" i="10"/>
  <c r="T903" i="10"/>
  <c r="R903" i="10"/>
  <c r="S903" i="10"/>
  <c r="AE903" i="10"/>
  <c r="AD902" i="10"/>
  <c r="AC902" i="10"/>
  <c r="AB902" i="10"/>
  <c r="AA902" i="10"/>
  <c r="Z902" i="10"/>
  <c r="Y902" i="10"/>
  <c r="X902" i="10"/>
  <c r="W902" i="10"/>
  <c r="R902" i="10"/>
  <c r="S902" i="10"/>
  <c r="T902" i="10"/>
  <c r="U902" i="10"/>
  <c r="V902" i="10"/>
  <c r="AE902" i="10"/>
  <c r="AD901" i="10"/>
  <c r="AC901" i="10"/>
  <c r="AB901" i="10"/>
  <c r="AA901" i="10"/>
  <c r="Z901" i="10"/>
  <c r="Y901" i="10"/>
  <c r="X901" i="10"/>
  <c r="W901" i="10"/>
  <c r="V901" i="10"/>
  <c r="U901" i="10"/>
  <c r="T901" i="10"/>
  <c r="S901" i="10"/>
  <c r="R901" i="10"/>
  <c r="AD900" i="10"/>
  <c r="AC900" i="10"/>
  <c r="AB900" i="10"/>
  <c r="AA900" i="10"/>
  <c r="Z900" i="10"/>
  <c r="Y900" i="10"/>
  <c r="X900" i="10"/>
  <c r="W900" i="10"/>
  <c r="V900" i="10"/>
  <c r="U900" i="10"/>
  <c r="T900" i="10"/>
  <c r="S900" i="10"/>
  <c r="R900" i="10"/>
  <c r="AE900" i="10"/>
  <c r="AD899" i="10"/>
  <c r="AC899" i="10"/>
  <c r="AB899" i="10"/>
  <c r="AA899" i="10"/>
  <c r="Z899" i="10"/>
  <c r="Y899" i="10"/>
  <c r="X899" i="10"/>
  <c r="W899" i="10"/>
  <c r="V899" i="10"/>
  <c r="U899" i="10"/>
  <c r="T899" i="10"/>
  <c r="S899" i="10"/>
  <c r="R899" i="10"/>
  <c r="AD898" i="10"/>
  <c r="AC898" i="10"/>
  <c r="AB898" i="10"/>
  <c r="AA898" i="10"/>
  <c r="Z898" i="10"/>
  <c r="Y898" i="10"/>
  <c r="X898" i="10"/>
  <c r="W898" i="10"/>
  <c r="V898" i="10"/>
  <c r="U898" i="10"/>
  <c r="T898" i="10"/>
  <c r="S898" i="10"/>
  <c r="R898" i="10"/>
  <c r="AE898" i="10"/>
  <c r="AD897" i="10"/>
  <c r="AC897" i="10"/>
  <c r="AB897" i="10"/>
  <c r="AA897" i="10"/>
  <c r="Z897" i="10"/>
  <c r="Y897" i="10"/>
  <c r="X897" i="10"/>
  <c r="W897" i="10"/>
  <c r="V897" i="10"/>
  <c r="U897" i="10"/>
  <c r="T897" i="10"/>
  <c r="S897" i="10"/>
  <c r="R897" i="10"/>
  <c r="AE897" i="10"/>
  <c r="AD896" i="10"/>
  <c r="AC896" i="10"/>
  <c r="AB896" i="10"/>
  <c r="AA896" i="10"/>
  <c r="Z896" i="10"/>
  <c r="Y896" i="10"/>
  <c r="X896" i="10"/>
  <c r="W896" i="10"/>
  <c r="V896" i="10"/>
  <c r="U896" i="10"/>
  <c r="T896" i="10"/>
  <c r="S896" i="10"/>
  <c r="R896" i="10"/>
  <c r="AE896" i="10"/>
  <c r="AD895" i="10"/>
  <c r="AC895" i="10"/>
  <c r="AB895" i="10"/>
  <c r="AA895" i="10"/>
  <c r="Z895" i="10"/>
  <c r="Y895" i="10"/>
  <c r="X895" i="10"/>
  <c r="W895" i="10"/>
  <c r="V895" i="10"/>
  <c r="U895" i="10"/>
  <c r="T895" i="10"/>
  <c r="R895" i="10"/>
  <c r="S895" i="10"/>
  <c r="AE895" i="10"/>
  <c r="AD894" i="10"/>
  <c r="AC894" i="10"/>
  <c r="AB894" i="10"/>
  <c r="AA894" i="10"/>
  <c r="Z894" i="10"/>
  <c r="Y894" i="10"/>
  <c r="X894" i="10"/>
  <c r="W894" i="10"/>
  <c r="R894" i="10"/>
  <c r="S894" i="10"/>
  <c r="T894" i="10"/>
  <c r="U894" i="10"/>
  <c r="V894" i="10"/>
  <c r="AE894" i="10"/>
  <c r="AD893" i="10"/>
  <c r="AC893" i="10"/>
  <c r="AB893" i="10"/>
  <c r="AA893" i="10"/>
  <c r="Z893" i="10"/>
  <c r="Y893" i="10"/>
  <c r="X893" i="10"/>
  <c r="W893" i="10"/>
  <c r="V893" i="10"/>
  <c r="U893" i="10"/>
  <c r="T893" i="10"/>
  <c r="S893" i="10"/>
  <c r="R893" i="10"/>
  <c r="AE893" i="10"/>
  <c r="AD892" i="10"/>
  <c r="AC892" i="10"/>
  <c r="AB892" i="10"/>
  <c r="AA892" i="10"/>
  <c r="Z892" i="10"/>
  <c r="Y892" i="10"/>
  <c r="X892" i="10"/>
  <c r="W892" i="10"/>
  <c r="V892" i="10"/>
  <c r="U892" i="10"/>
  <c r="T892" i="10"/>
  <c r="S892" i="10"/>
  <c r="R892" i="10"/>
  <c r="AD891" i="10"/>
  <c r="AC891" i="10"/>
  <c r="AB891" i="10"/>
  <c r="AA891" i="10"/>
  <c r="Z891" i="10"/>
  <c r="Y891" i="10"/>
  <c r="X891" i="10"/>
  <c r="W891" i="10"/>
  <c r="V891" i="10"/>
  <c r="U891" i="10"/>
  <c r="T891" i="10"/>
  <c r="S891" i="10"/>
  <c r="R891" i="10"/>
  <c r="AE891" i="10"/>
  <c r="AD890" i="10"/>
  <c r="AC890" i="10"/>
  <c r="AB890" i="10"/>
  <c r="AA890" i="10"/>
  <c r="Z890" i="10"/>
  <c r="Y890" i="10"/>
  <c r="X890" i="10"/>
  <c r="W890" i="10"/>
  <c r="V890" i="10"/>
  <c r="U890" i="10"/>
  <c r="T890" i="10"/>
  <c r="S890" i="10"/>
  <c r="R890" i="10"/>
  <c r="AE890" i="10"/>
  <c r="AD889" i="10"/>
  <c r="AC889" i="10"/>
  <c r="AB889" i="10"/>
  <c r="AA889" i="10"/>
  <c r="Z889" i="10"/>
  <c r="Y889" i="10"/>
  <c r="X889" i="10"/>
  <c r="W889" i="10"/>
  <c r="V889" i="10"/>
  <c r="U889" i="10"/>
  <c r="T889" i="10"/>
  <c r="S889" i="10"/>
  <c r="R889" i="10"/>
  <c r="AE889" i="10"/>
  <c r="AD888" i="10"/>
  <c r="AC888" i="10"/>
  <c r="AB888" i="10"/>
  <c r="AA888" i="10"/>
  <c r="Z888" i="10"/>
  <c r="Y888" i="10"/>
  <c r="X888" i="10"/>
  <c r="W888" i="10"/>
  <c r="V888" i="10"/>
  <c r="U888" i="10"/>
  <c r="T888" i="10"/>
  <c r="S888" i="10"/>
  <c r="R888" i="10"/>
  <c r="AE888" i="10"/>
  <c r="AD887" i="10"/>
  <c r="AC887" i="10"/>
  <c r="AB887" i="10"/>
  <c r="AA887" i="10"/>
  <c r="Z887" i="10"/>
  <c r="Y887" i="10"/>
  <c r="X887" i="10"/>
  <c r="W887" i="10"/>
  <c r="V887" i="10"/>
  <c r="U887" i="10"/>
  <c r="T887" i="10"/>
  <c r="S887" i="10"/>
  <c r="R887" i="10"/>
  <c r="AD886" i="10"/>
  <c r="AC886" i="10"/>
  <c r="AB886" i="10"/>
  <c r="AA886" i="10"/>
  <c r="Z886" i="10"/>
  <c r="Y886" i="10"/>
  <c r="X886" i="10"/>
  <c r="W886" i="10"/>
  <c r="R886" i="10"/>
  <c r="S886" i="10"/>
  <c r="T886" i="10"/>
  <c r="U886" i="10"/>
  <c r="V886" i="10"/>
  <c r="AE886" i="10"/>
  <c r="AD885" i="10"/>
  <c r="AC885" i="10"/>
  <c r="AB885" i="10"/>
  <c r="AA885" i="10"/>
  <c r="Z885" i="10"/>
  <c r="Y885" i="10"/>
  <c r="X885" i="10"/>
  <c r="W885" i="10"/>
  <c r="V885" i="10"/>
  <c r="U885" i="10"/>
  <c r="T885" i="10"/>
  <c r="S885" i="10"/>
  <c r="R885" i="10"/>
  <c r="AD884" i="10"/>
  <c r="AC884" i="10"/>
  <c r="AB884" i="10"/>
  <c r="AA884" i="10"/>
  <c r="Z884" i="10"/>
  <c r="Y884" i="10"/>
  <c r="X884" i="10"/>
  <c r="W884" i="10"/>
  <c r="V884" i="10"/>
  <c r="U884" i="10"/>
  <c r="T884" i="10"/>
  <c r="S884" i="10"/>
  <c r="R884" i="10"/>
  <c r="AE884" i="10"/>
  <c r="AD883" i="10"/>
  <c r="AC883" i="10"/>
  <c r="AB883" i="10"/>
  <c r="AA883" i="10"/>
  <c r="Z883" i="10"/>
  <c r="Y883" i="10"/>
  <c r="X883" i="10"/>
  <c r="W883" i="10"/>
  <c r="V883" i="10"/>
  <c r="U883" i="10"/>
  <c r="T883" i="10"/>
  <c r="S883" i="10"/>
  <c r="R883" i="10"/>
  <c r="AE883" i="10"/>
  <c r="AD882" i="10"/>
  <c r="AC882" i="10"/>
  <c r="AB882" i="10"/>
  <c r="AA882" i="10"/>
  <c r="Z882" i="10"/>
  <c r="Y882" i="10"/>
  <c r="X882" i="10"/>
  <c r="W882" i="10"/>
  <c r="V882" i="10"/>
  <c r="U882" i="10"/>
  <c r="T882" i="10"/>
  <c r="S882" i="10"/>
  <c r="R882" i="10"/>
  <c r="AE882" i="10"/>
  <c r="AD881" i="10"/>
  <c r="AC881" i="10"/>
  <c r="AB881" i="10"/>
  <c r="AA881" i="10"/>
  <c r="Z881" i="10"/>
  <c r="Y881" i="10"/>
  <c r="X881" i="10"/>
  <c r="W881" i="10"/>
  <c r="V881" i="10"/>
  <c r="U881" i="10"/>
  <c r="T881" i="10"/>
  <c r="S881" i="10"/>
  <c r="R881" i="10"/>
  <c r="AE881" i="10"/>
  <c r="AD880" i="10"/>
  <c r="AC880" i="10"/>
  <c r="AB880" i="10"/>
  <c r="AA880" i="10"/>
  <c r="Z880" i="10"/>
  <c r="Y880" i="10"/>
  <c r="X880" i="10"/>
  <c r="W880" i="10"/>
  <c r="V880" i="10"/>
  <c r="U880" i="10"/>
  <c r="T880" i="10"/>
  <c r="S880" i="10"/>
  <c r="R880" i="10"/>
  <c r="AE880" i="10"/>
  <c r="AD879" i="10"/>
  <c r="AC879" i="10"/>
  <c r="AB879" i="10"/>
  <c r="AA879" i="10"/>
  <c r="Z879" i="10"/>
  <c r="Y879" i="10"/>
  <c r="X879" i="10"/>
  <c r="W879" i="10"/>
  <c r="V879" i="10"/>
  <c r="U879" i="10"/>
  <c r="T879" i="10"/>
  <c r="R879" i="10"/>
  <c r="S879" i="10"/>
  <c r="AE879" i="10"/>
  <c r="AD878" i="10"/>
  <c r="AC878" i="10"/>
  <c r="AB878" i="10"/>
  <c r="AA878" i="10"/>
  <c r="Z878" i="10"/>
  <c r="Y878" i="10"/>
  <c r="X878" i="10"/>
  <c r="W878" i="10"/>
  <c r="R878" i="10"/>
  <c r="S878" i="10"/>
  <c r="T878" i="10"/>
  <c r="U878" i="10"/>
  <c r="V878" i="10"/>
  <c r="AE878" i="10"/>
  <c r="AD877" i="10"/>
  <c r="AC877" i="10"/>
  <c r="AB877" i="10"/>
  <c r="AA877" i="10"/>
  <c r="Z877" i="10"/>
  <c r="Y877" i="10"/>
  <c r="X877" i="10"/>
  <c r="W877" i="10"/>
  <c r="V877" i="10"/>
  <c r="U877" i="10"/>
  <c r="T877" i="10"/>
  <c r="S877" i="10"/>
  <c r="R877" i="10"/>
  <c r="AD876" i="10"/>
  <c r="AC876" i="10"/>
  <c r="AB876" i="10"/>
  <c r="AA876" i="10"/>
  <c r="Z876" i="10"/>
  <c r="Y876" i="10"/>
  <c r="X876" i="10"/>
  <c r="W876" i="10"/>
  <c r="V876" i="10"/>
  <c r="U876" i="10"/>
  <c r="T876" i="10"/>
  <c r="S876" i="10"/>
  <c r="R876" i="10"/>
  <c r="AE876" i="10"/>
  <c r="AD875" i="10"/>
  <c r="AC875" i="10"/>
  <c r="AB875" i="10"/>
  <c r="AA875" i="10"/>
  <c r="Z875" i="10"/>
  <c r="Y875" i="10"/>
  <c r="X875" i="10"/>
  <c r="W875" i="10"/>
  <c r="V875" i="10"/>
  <c r="U875" i="10"/>
  <c r="T875" i="10"/>
  <c r="S875" i="10"/>
  <c r="R875" i="10"/>
  <c r="AE875" i="10"/>
  <c r="AD874" i="10"/>
  <c r="AC874" i="10"/>
  <c r="AB874" i="10"/>
  <c r="AA874" i="10"/>
  <c r="Z874" i="10"/>
  <c r="Y874" i="10"/>
  <c r="X874" i="10"/>
  <c r="W874" i="10"/>
  <c r="V874" i="10"/>
  <c r="U874" i="10"/>
  <c r="T874" i="10"/>
  <c r="S874" i="10"/>
  <c r="R874" i="10"/>
  <c r="AE874" i="10"/>
  <c r="AD873" i="10"/>
  <c r="AC873" i="10"/>
  <c r="AB873" i="10"/>
  <c r="AA873" i="10"/>
  <c r="Z873" i="10"/>
  <c r="Y873" i="10"/>
  <c r="X873" i="10"/>
  <c r="W873" i="10"/>
  <c r="V873" i="10"/>
  <c r="U873" i="10"/>
  <c r="T873" i="10"/>
  <c r="S873" i="10"/>
  <c r="R873" i="10"/>
  <c r="AE873" i="10"/>
  <c r="AD872" i="10"/>
  <c r="AC872" i="10"/>
  <c r="AB872" i="10"/>
  <c r="AA872" i="10"/>
  <c r="Z872" i="10"/>
  <c r="Y872" i="10"/>
  <c r="X872" i="10"/>
  <c r="W872" i="10"/>
  <c r="V872" i="10"/>
  <c r="U872" i="10"/>
  <c r="T872" i="10"/>
  <c r="S872" i="10"/>
  <c r="R872" i="10"/>
  <c r="AE872" i="10"/>
  <c r="AD871" i="10"/>
  <c r="AC871" i="10"/>
  <c r="AB871" i="10"/>
  <c r="AA871" i="10"/>
  <c r="Z871" i="10"/>
  <c r="Y871" i="10"/>
  <c r="X871" i="10"/>
  <c r="W871" i="10"/>
  <c r="V871" i="10"/>
  <c r="U871" i="10"/>
  <c r="T871" i="10"/>
  <c r="S871" i="10"/>
  <c r="R871" i="10"/>
  <c r="AD870" i="10"/>
  <c r="AC870" i="10"/>
  <c r="AB870" i="10"/>
  <c r="AA870" i="10"/>
  <c r="Z870" i="10"/>
  <c r="Y870" i="10"/>
  <c r="X870" i="10"/>
  <c r="W870" i="10"/>
  <c r="R870" i="10"/>
  <c r="S870" i="10"/>
  <c r="T870" i="10"/>
  <c r="U870" i="10"/>
  <c r="V870" i="10"/>
  <c r="AE870" i="10"/>
  <c r="AD869" i="10"/>
  <c r="AC869" i="10"/>
  <c r="AB869" i="10"/>
  <c r="AA869" i="10"/>
  <c r="Z869" i="10"/>
  <c r="Y869" i="10"/>
  <c r="X869" i="10"/>
  <c r="W869" i="10"/>
  <c r="V869" i="10"/>
  <c r="U869" i="10"/>
  <c r="T869" i="10"/>
  <c r="S869" i="10"/>
  <c r="R869" i="10"/>
  <c r="AE869" i="10"/>
  <c r="AD868" i="10"/>
  <c r="AC868" i="10"/>
  <c r="AB868" i="10"/>
  <c r="AA868" i="10"/>
  <c r="Z868" i="10"/>
  <c r="Y868" i="10"/>
  <c r="X868" i="10"/>
  <c r="W868" i="10"/>
  <c r="V868" i="10"/>
  <c r="U868" i="10"/>
  <c r="T868" i="10"/>
  <c r="S868" i="10"/>
  <c r="R868" i="10"/>
  <c r="AD867" i="10"/>
  <c r="AC867" i="10"/>
  <c r="AB867" i="10"/>
  <c r="AA867" i="10"/>
  <c r="Z867" i="10"/>
  <c r="Y867" i="10"/>
  <c r="X867" i="10"/>
  <c r="W867" i="10"/>
  <c r="V867" i="10"/>
  <c r="U867" i="10"/>
  <c r="T867" i="10"/>
  <c r="S867" i="10"/>
  <c r="R867" i="10"/>
  <c r="AE867" i="10"/>
  <c r="AD866" i="10"/>
  <c r="AC866" i="10"/>
  <c r="AB866" i="10"/>
  <c r="AA866" i="10"/>
  <c r="Z866" i="10"/>
  <c r="Y866" i="10"/>
  <c r="X866" i="10"/>
  <c r="W866" i="10"/>
  <c r="V866" i="10"/>
  <c r="U866" i="10"/>
  <c r="T866" i="10"/>
  <c r="S866" i="10"/>
  <c r="R866" i="10"/>
  <c r="AE866" i="10"/>
  <c r="AD865" i="10"/>
  <c r="AC865" i="10"/>
  <c r="AB865" i="10"/>
  <c r="AA865" i="10"/>
  <c r="Z865" i="10"/>
  <c r="Y865" i="10"/>
  <c r="X865" i="10"/>
  <c r="W865" i="10"/>
  <c r="V865" i="10"/>
  <c r="U865" i="10"/>
  <c r="T865" i="10"/>
  <c r="S865" i="10"/>
  <c r="R865" i="10"/>
  <c r="AE865" i="10"/>
  <c r="AD864" i="10"/>
  <c r="AC864" i="10"/>
  <c r="AB864" i="10"/>
  <c r="AA864" i="10"/>
  <c r="Z864" i="10"/>
  <c r="Y864" i="10"/>
  <c r="X864" i="10"/>
  <c r="W864" i="10"/>
  <c r="V864" i="10"/>
  <c r="U864" i="10"/>
  <c r="T864" i="10"/>
  <c r="S864" i="10"/>
  <c r="R864" i="10"/>
  <c r="AE864" i="10"/>
  <c r="AD863" i="10"/>
  <c r="AC863" i="10"/>
  <c r="AB863" i="10"/>
  <c r="AA863" i="10"/>
  <c r="Z863" i="10"/>
  <c r="Y863" i="10"/>
  <c r="X863" i="10"/>
  <c r="W863" i="10"/>
  <c r="V863" i="10"/>
  <c r="U863" i="10"/>
  <c r="T863" i="10"/>
  <c r="S863" i="10"/>
  <c r="R863" i="10"/>
  <c r="AD862" i="10"/>
  <c r="AC862" i="10"/>
  <c r="AB862" i="10"/>
  <c r="AA862" i="10"/>
  <c r="Z862" i="10"/>
  <c r="Y862" i="10"/>
  <c r="X862" i="10"/>
  <c r="W862" i="10"/>
  <c r="R862" i="10"/>
  <c r="S862" i="10"/>
  <c r="T862" i="10"/>
  <c r="U862" i="10"/>
  <c r="V862" i="10"/>
  <c r="AE862" i="10"/>
  <c r="AD861" i="10"/>
  <c r="AC861" i="10"/>
  <c r="AB861" i="10"/>
  <c r="AA861" i="10"/>
  <c r="Z861" i="10"/>
  <c r="Y861" i="10"/>
  <c r="X861" i="10"/>
  <c r="W861" i="10"/>
  <c r="V861" i="10"/>
  <c r="U861" i="10"/>
  <c r="T861" i="10"/>
  <c r="S861" i="10"/>
  <c r="R861" i="10"/>
  <c r="AD860" i="10"/>
  <c r="AC860" i="10"/>
  <c r="AB860" i="10"/>
  <c r="AA860" i="10"/>
  <c r="Z860" i="10"/>
  <c r="Y860" i="10"/>
  <c r="X860" i="10"/>
  <c r="W860" i="10"/>
  <c r="V860" i="10"/>
  <c r="U860" i="10"/>
  <c r="T860" i="10"/>
  <c r="S860" i="10"/>
  <c r="R860" i="10"/>
  <c r="AE860" i="10"/>
  <c r="AD859" i="10"/>
  <c r="AC859" i="10"/>
  <c r="AB859" i="10"/>
  <c r="AA859" i="10"/>
  <c r="Z859" i="10"/>
  <c r="Y859" i="10"/>
  <c r="X859" i="10"/>
  <c r="W859" i="10"/>
  <c r="V859" i="10"/>
  <c r="U859" i="10"/>
  <c r="T859" i="10"/>
  <c r="S859" i="10"/>
  <c r="R859" i="10"/>
  <c r="AD858" i="10"/>
  <c r="AC858" i="10"/>
  <c r="AB858" i="10"/>
  <c r="AA858" i="10"/>
  <c r="Z858" i="10"/>
  <c r="Y858" i="10"/>
  <c r="X858" i="10"/>
  <c r="W858" i="10"/>
  <c r="V858" i="10"/>
  <c r="U858" i="10"/>
  <c r="T858" i="10"/>
  <c r="S858" i="10"/>
  <c r="R858" i="10"/>
  <c r="AE858" i="10"/>
  <c r="AD857" i="10"/>
  <c r="AC857" i="10"/>
  <c r="AB857" i="10"/>
  <c r="AA857" i="10"/>
  <c r="Z857" i="10"/>
  <c r="Y857" i="10"/>
  <c r="X857" i="10"/>
  <c r="W857" i="10"/>
  <c r="V857" i="10"/>
  <c r="U857" i="10"/>
  <c r="T857" i="10"/>
  <c r="S857" i="10"/>
  <c r="R857" i="10"/>
  <c r="AE857" i="10"/>
  <c r="AD856" i="10"/>
  <c r="AC856" i="10"/>
  <c r="AB856" i="10"/>
  <c r="AA856" i="10"/>
  <c r="Z856" i="10"/>
  <c r="Y856" i="10"/>
  <c r="X856" i="10"/>
  <c r="W856" i="10"/>
  <c r="V856" i="10"/>
  <c r="U856" i="10"/>
  <c r="T856" i="10"/>
  <c r="S856" i="10"/>
  <c r="R856" i="10"/>
  <c r="AE856" i="10"/>
  <c r="AD855" i="10"/>
  <c r="AC855" i="10"/>
  <c r="AB855" i="10"/>
  <c r="AA855" i="10"/>
  <c r="Z855" i="10"/>
  <c r="Y855" i="10"/>
  <c r="X855" i="10"/>
  <c r="W855" i="10"/>
  <c r="V855" i="10"/>
  <c r="U855" i="10"/>
  <c r="T855" i="10"/>
  <c r="R855" i="10"/>
  <c r="S855" i="10"/>
  <c r="AE855" i="10"/>
  <c r="AD854" i="10"/>
  <c r="AC854" i="10"/>
  <c r="AB854" i="10"/>
  <c r="AA854" i="10"/>
  <c r="Z854" i="10"/>
  <c r="Y854" i="10"/>
  <c r="X854" i="10"/>
  <c r="W854" i="10"/>
  <c r="R854" i="10"/>
  <c r="S854" i="10"/>
  <c r="T854" i="10"/>
  <c r="U854" i="10"/>
  <c r="V854" i="10"/>
  <c r="AE854" i="10"/>
  <c r="AD853" i="10"/>
  <c r="AC853" i="10"/>
  <c r="AB853" i="10"/>
  <c r="AA853" i="10"/>
  <c r="Z853" i="10"/>
  <c r="Y853" i="10"/>
  <c r="X853" i="10"/>
  <c r="W853" i="10"/>
  <c r="V853" i="10"/>
  <c r="U853" i="10"/>
  <c r="T853" i="10"/>
  <c r="S853" i="10"/>
  <c r="R853" i="10"/>
  <c r="AD852" i="10"/>
  <c r="AC852" i="10"/>
  <c r="AB852" i="10"/>
  <c r="AA852" i="10"/>
  <c r="Z852" i="10"/>
  <c r="Y852" i="10"/>
  <c r="X852" i="10"/>
  <c r="W852" i="10"/>
  <c r="V852" i="10"/>
  <c r="U852" i="10"/>
  <c r="T852" i="10"/>
  <c r="S852" i="10"/>
  <c r="R852" i="10"/>
  <c r="AD851" i="10"/>
  <c r="AC851" i="10"/>
  <c r="AB851" i="10"/>
  <c r="AA851" i="10"/>
  <c r="Z851" i="10"/>
  <c r="Y851" i="10"/>
  <c r="X851" i="10"/>
  <c r="W851" i="10"/>
  <c r="V851" i="10"/>
  <c r="U851" i="10"/>
  <c r="T851" i="10"/>
  <c r="S851" i="10"/>
  <c r="R851" i="10"/>
  <c r="AE851" i="10"/>
  <c r="AD850" i="10"/>
  <c r="AC850" i="10"/>
  <c r="AB850" i="10"/>
  <c r="AA850" i="10"/>
  <c r="Z850" i="10"/>
  <c r="Y850" i="10"/>
  <c r="X850" i="10"/>
  <c r="W850" i="10"/>
  <c r="V850" i="10"/>
  <c r="U850" i="10"/>
  <c r="T850" i="10"/>
  <c r="S850" i="10"/>
  <c r="R850" i="10"/>
  <c r="AE850" i="10"/>
  <c r="AD849" i="10"/>
  <c r="AC849" i="10"/>
  <c r="AB849" i="10"/>
  <c r="AA849" i="10"/>
  <c r="Z849" i="10"/>
  <c r="Y849" i="10"/>
  <c r="X849" i="10"/>
  <c r="W849" i="10"/>
  <c r="V849" i="10"/>
  <c r="U849" i="10"/>
  <c r="T849" i="10"/>
  <c r="S849" i="10"/>
  <c r="R849" i="10"/>
  <c r="AE849" i="10"/>
  <c r="AD848" i="10"/>
  <c r="AC848" i="10"/>
  <c r="AB848" i="10"/>
  <c r="AA848" i="10"/>
  <c r="Z848" i="10"/>
  <c r="Y848" i="10"/>
  <c r="X848" i="10"/>
  <c r="W848" i="10"/>
  <c r="V848" i="10"/>
  <c r="U848" i="10"/>
  <c r="T848" i="10"/>
  <c r="S848" i="10"/>
  <c r="R848" i="10"/>
  <c r="AE848" i="10"/>
  <c r="AD847" i="10"/>
  <c r="AC847" i="10"/>
  <c r="AB847" i="10"/>
  <c r="AA847" i="10"/>
  <c r="Z847" i="10"/>
  <c r="Y847" i="10"/>
  <c r="X847" i="10"/>
  <c r="W847" i="10"/>
  <c r="V847" i="10"/>
  <c r="U847" i="10"/>
  <c r="T847" i="10"/>
  <c r="S847" i="10"/>
  <c r="R847" i="10"/>
  <c r="AD846" i="10"/>
  <c r="AC846" i="10"/>
  <c r="AB846" i="10"/>
  <c r="AA846" i="10"/>
  <c r="Z846" i="10"/>
  <c r="Y846" i="10"/>
  <c r="X846" i="10"/>
  <c r="W846" i="10"/>
  <c r="R846" i="10"/>
  <c r="S846" i="10"/>
  <c r="T846" i="10"/>
  <c r="U846" i="10"/>
  <c r="V846" i="10"/>
  <c r="AE846" i="10"/>
  <c r="AD845" i="10"/>
  <c r="AC845" i="10"/>
  <c r="AB845" i="10"/>
  <c r="AA845" i="10"/>
  <c r="Z845" i="10"/>
  <c r="Y845" i="10"/>
  <c r="X845" i="10"/>
  <c r="W845" i="10"/>
  <c r="V845" i="10"/>
  <c r="U845" i="10"/>
  <c r="T845" i="10"/>
  <c r="S845" i="10"/>
  <c r="R845" i="10"/>
  <c r="AE845" i="10"/>
  <c r="AD844" i="10"/>
  <c r="AC844" i="10"/>
  <c r="AB844" i="10"/>
  <c r="AA844" i="10"/>
  <c r="Z844" i="10"/>
  <c r="Y844" i="10"/>
  <c r="X844" i="10"/>
  <c r="W844" i="10"/>
  <c r="V844" i="10"/>
  <c r="U844" i="10"/>
  <c r="T844" i="10"/>
  <c r="S844" i="10"/>
  <c r="R844" i="10"/>
  <c r="AD843" i="10"/>
  <c r="AC843" i="10"/>
  <c r="AB843" i="10"/>
  <c r="AA843" i="10"/>
  <c r="Z843" i="10"/>
  <c r="Y843" i="10"/>
  <c r="X843" i="10"/>
  <c r="W843" i="10"/>
  <c r="V843" i="10"/>
  <c r="U843" i="10"/>
  <c r="T843" i="10"/>
  <c r="S843" i="10"/>
  <c r="R843" i="10"/>
  <c r="AD842" i="10"/>
  <c r="AC842" i="10"/>
  <c r="AB842" i="10"/>
  <c r="AA842" i="10"/>
  <c r="Z842" i="10"/>
  <c r="Y842" i="10"/>
  <c r="X842" i="10"/>
  <c r="W842" i="10"/>
  <c r="V842" i="10"/>
  <c r="U842" i="10"/>
  <c r="T842" i="10"/>
  <c r="S842" i="10"/>
  <c r="R842" i="10"/>
  <c r="AE842" i="10"/>
  <c r="AD841" i="10"/>
  <c r="AC841" i="10"/>
  <c r="AB841" i="10"/>
  <c r="AA841" i="10"/>
  <c r="Z841" i="10"/>
  <c r="Y841" i="10"/>
  <c r="X841" i="10"/>
  <c r="W841" i="10"/>
  <c r="V841" i="10"/>
  <c r="U841" i="10"/>
  <c r="T841" i="10"/>
  <c r="S841" i="10"/>
  <c r="R841" i="10"/>
  <c r="AE841" i="10"/>
  <c r="AD840" i="10"/>
  <c r="AC840" i="10"/>
  <c r="AB840" i="10"/>
  <c r="AA840" i="10"/>
  <c r="Z840" i="10"/>
  <c r="Y840" i="10"/>
  <c r="X840" i="10"/>
  <c r="W840" i="10"/>
  <c r="V840" i="10"/>
  <c r="U840" i="10"/>
  <c r="T840" i="10"/>
  <c r="S840" i="10"/>
  <c r="R840" i="10"/>
  <c r="AE840" i="10"/>
  <c r="AD839" i="10"/>
  <c r="AC839" i="10"/>
  <c r="AB839" i="10"/>
  <c r="AA839" i="10"/>
  <c r="Z839" i="10"/>
  <c r="Y839" i="10"/>
  <c r="X839" i="10"/>
  <c r="W839" i="10"/>
  <c r="V839" i="10"/>
  <c r="U839" i="10"/>
  <c r="T839" i="10"/>
  <c r="R839" i="10"/>
  <c r="S839" i="10"/>
  <c r="AE839" i="10"/>
  <c r="AD838" i="10"/>
  <c r="AC838" i="10"/>
  <c r="AB838" i="10"/>
  <c r="AA838" i="10"/>
  <c r="Z838" i="10"/>
  <c r="Y838" i="10"/>
  <c r="X838" i="10"/>
  <c r="W838" i="10"/>
  <c r="R838" i="10"/>
  <c r="S838" i="10"/>
  <c r="T838" i="10"/>
  <c r="U838" i="10"/>
  <c r="V838" i="10"/>
  <c r="AE838" i="10"/>
  <c r="AD837" i="10"/>
  <c r="AC837" i="10"/>
  <c r="AB837" i="10"/>
  <c r="AA837" i="10"/>
  <c r="Z837" i="10"/>
  <c r="Y837" i="10"/>
  <c r="X837" i="10"/>
  <c r="W837" i="10"/>
  <c r="V837" i="10"/>
  <c r="U837" i="10"/>
  <c r="T837" i="10"/>
  <c r="S837" i="10"/>
  <c r="R837" i="10"/>
  <c r="AD836" i="10"/>
  <c r="AC836" i="10"/>
  <c r="AB836" i="10"/>
  <c r="AA836" i="10"/>
  <c r="Z836" i="10"/>
  <c r="Y836" i="10"/>
  <c r="X836" i="10"/>
  <c r="W836" i="10"/>
  <c r="V836" i="10"/>
  <c r="U836" i="10"/>
  <c r="T836" i="10"/>
  <c r="S836" i="10"/>
  <c r="R836" i="10"/>
  <c r="AE836" i="10"/>
  <c r="AD835" i="10"/>
  <c r="AC835" i="10"/>
  <c r="AB835" i="10"/>
  <c r="AA835" i="10"/>
  <c r="Z835" i="10"/>
  <c r="Y835" i="10"/>
  <c r="X835" i="10"/>
  <c r="W835" i="10"/>
  <c r="V835" i="10"/>
  <c r="U835" i="10"/>
  <c r="T835" i="10"/>
  <c r="S835" i="10"/>
  <c r="R835" i="10"/>
  <c r="AD834" i="10"/>
  <c r="AC834" i="10"/>
  <c r="AB834" i="10"/>
  <c r="AA834" i="10"/>
  <c r="Z834" i="10"/>
  <c r="Y834" i="10"/>
  <c r="X834" i="10"/>
  <c r="W834" i="10"/>
  <c r="V834" i="10"/>
  <c r="U834" i="10"/>
  <c r="T834" i="10"/>
  <c r="S834" i="10"/>
  <c r="R834" i="10"/>
  <c r="AE834" i="10"/>
  <c r="AD833" i="10"/>
  <c r="AC833" i="10"/>
  <c r="AB833" i="10"/>
  <c r="AA833" i="10"/>
  <c r="Z833" i="10"/>
  <c r="Y833" i="10"/>
  <c r="X833" i="10"/>
  <c r="W833" i="10"/>
  <c r="V833" i="10"/>
  <c r="U833" i="10"/>
  <c r="T833" i="10"/>
  <c r="S833" i="10"/>
  <c r="R833" i="10"/>
  <c r="AE833" i="10"/>
  <c r="AD832" i="10"/>
  <c r="AC832" i="10"/>
  <c r="AB832" i="10"/>
  <c r="AA832" i="10"/>
  <c r="Z832" i="10"/>
  <c r="Y832" i="10"/>
  <c r="X832" i="10"/>
  <c r="W832" i="10"/>
  <c r="V832" i="10"/>
  <c r="U832" i="10"/>
  <c r="T832" i="10"/>
  <c r="S832" i="10"/>
  <c r="R832" i="10"/>
  <c r="AE832" i="10"/>
  <c r="AD831" i="10"/>
  <c r="AC831" i="10"/>
  <c r="AB831" i="10"/>
  <c r="AA831" i="10"/>
  <c r="Z831" i="10"/>
  <c r="Y831" i="10"/>
  <c r="X831" i="10"/>
  <c r="W831" i="10"/>
  <c r="V831" i="10"/>
  <c r="U831" i="10"/>
  <c r="T831" i="10"/>
  <c r="S831" i="10"/>
  <c r="R831" i="10"/>
  <c r="AD830" i="10"/>
  <c r="AC830" i="10"/>
  <c r="AB830" i="10"/>
  <c r="AA830" i="10"/>
  <c r="Z830" i="10"/>
  <c r="Y830" i="10"/>
  <c r="X830" i="10"/>
  <c r="W830" i="10"/>
  <c r="R830" i="10"/>
  <c r="S830" i="10"/>
  <c r="T830" i="10"/>
  <c r="U830" i="10"/>
  <c r="V830" i="10"/>
  <c r="AE830" i="10"/>
  <c r="AD829" i="10"/>
  <c r="AC829" i="10"/>
  <c r="AB829" i="10"/>
  <c r="AA829" i="10"/>
  <c r="Z829" i="10"/>
  <c r="Y829" i="10"/>
  <c r="X829" i="10"/>
  <c r="W829" i="10"/>
  <c r="V829" i="10"/>
  <c r="U829" i="10"/>
  <c r="T829" i="10"/>
  <c r="S829" i="10"/>
  <c r="R829" i="10"/>
  <c r="AE829" i="10"/>
  <c r="AD828" i="10"/>
  <c r="AC828" i="10"/>
  <c r="AB828" i="10"/>
  <c r="AA828" i="10"/>
  <c r="Z828" i="10"/>
  <c r="Y828" i="10"/>
  <c r="X828" i="10"/>
  <c r="W828" i="10"/>
  <c r="V828" i="10"/>
  <c r="U828" i="10"/>
  <c r="T828" i="10"/>
  <c r="S828" i="10"/>
  <c r="R828" i="10"/>
  <c r="AD827" i="10"/>
  <c r="AC827" i="10"/>
  <c r="AB827" i="10"/>
  <c r="AA827" i="10"/>
  <c r="Z827" i="10"/>
  <c r="Y827" i="10"/>
  <c r="X827" i="10"/>
  <c r="W827" i="10"/>
  <c r="V827" i="10"/>
  <c r="U827" i="10"/>
  <c r="T827" i="10"/>
  <c r="S827" i="10"/>
  <c r="R827" i="10"/>
  <c r="AE827" i="10"/>
  <c r="AD826" i="10"/>
  <c r="AC826" i="10"/>
  <c r="AB826" i="10"/>
  <c r="AA826" i="10"/>
  <c r="Z826" i="10"/>
  <c r="Y826" i="10"/>
  <c r="X826" i="10"/>
  <c r="W826" i="10"/>
  <c r="V826" i="10"/>
  <c r="U826" i="10"/>
  <c r="T826" i="10"/>
  <c r="S826" i="10"/>
  <c r="R826" i="10"/>
  <c r="AE826" i="10"/>
  <c r="AD825" i="10"/>
  <c r="AC825" i="10"/>
  <c r="AB825" i="10"/>
  <c r="AA825" i="10"/>
  <c r="Z825" i="10"/>
  <c r="Y825" i="10"/>
  <c r="X825" i="10"/>
  <c r="W825" i="10"/>
  <c r="V825" i="10"/>
  <c r="U825" i="10"/>
  <c r="T825" i="10"/>
  <c r="S825" i="10"/>
  <c r="R825" i="10"/>
  <c r="AE825" i="10"/>
  <c r="AD824" i="10"/>
  <c r="AC824" i="10"/>
  <c r="AB824" i="10"/>
  <c r="AA824" i="10"/>
  <c r="Z824" i="10"/>
  <c r="Y824" i="10"/>
  <c r="X824" i="10"/>
  <c r="W824" i="10"/>
  <c r="V824" i="10"/>
  <c r="U824" i="10"/>
  <c r="T824" i="10"/>
  <c r="S824" i="10"/>
  <c r="R824" i="10"/>
  <c r="AE824" i="10"/>
  <c r="AD823" i="10"/>
  <c r="AC823" i="10"/>
  <c r="AB823" i="10"/>
  <c r="AA823" i="10"/>
  <c r="Z823" i="10"/>
  <c r="Y823" i="10"/>
  <c r="X823" i="10"/>
  <c r="W823" i="10"/>
  <c r="V823" i="10"/>
  <c r="U823" i="10"/>
  <c r="T823" i="10"/>
  <c r="S823" i="10"/>
  <c r="R823" i="10"/>
  <c r="AD822" i="10"/>
  <c r="AC822" i="10"/>
  <c r="AB822" i="10"/>
  <c r="AA822" i="10"/>
  <c r="Z822" i="10"/>
  <c r="Y822" i="10"/>
  <c r="X822" i="10"/>
  <c r="W822" i="10"/>
  <c r="R822" i="10"/>
  <c r="S822" i="10"/>
  <c r="T822" i="10"/>
  <c r="U822" i="10"/>
  <c r="V822" i="10"/>
  <c r="AE822" i="10"/>
  <c r="AD821" i="10"/>
  <c r="AC821" i="10"/>
  <c r="AB821" i="10"/>
  <c r="AA821" i="10"/>
  <c r="Z821" i="10"/>
  <c r="Y821" i="10"/>
  <c r="X821" i="10"/>
  <c r="W821" i="10"/>
  <c r="V821" i="10"/>
  <c r="U821" i="10"/>
  <c r="T821" i="10"/>
  <c r="S821" i="10"/>
  <c r="R821" i="10"/>
  <c r="AD820" i="10"/>
  <c r="AC820" i="10"/>
  <c r="AB820" i="10"/>
  <c r="AA820" i="10"/>
  <c r="Z820" i="10"/>
  <c r="Y820" i="10"/>
  <c r="X820" i="10"/>
  <c r="W820" i="10"/>
  <c r="V820" i="10"/>
  <c r="U820" i="10"/>
  <c r="T820" i="10"/>
  <c r="S820" i="10"/>
  <c r="R820" i="10"/>
  <c r="AE820" i="10"/>
  <c r="AD819" i="10"/>
  <c r="AC819" i="10"/>
  <c r="AB819" i="10"/>
  <c r="AA819" i="10"/>
  <c r="Z819" i="10"/>
  <c r="Y819" i="10"/>
  <c r="X819" i="10"/>
  <c r="W819" i="10"/>
  <c r="V819" i="10"/>
  <c r="U819" i="10"/>
  <c r="T819" i="10"/>
  <c r="S819" i="10"/>
  <c r="R819" i="10"/>
  <c r="AE819" i="10"/>
  <c r="AD818" i="10"/>
  <c r="AC818" i="10"/>
  <c r="AB818" i="10"/>
  <c r="AA818" i="10"/>
  <c r="Z818" i="10"/>
  <c r="Y818" i="10"/>
  <c r="X818" i="10"/>
  <c r="W818" i="10"/>
  <c r="V818" i="10"/>
  <c r="U818" i="10"/>
  <c r="T818" i="10"/>
  <c r="S818" i="10"/>
  <c r="R818" i="10"/>
  <c r="AE818" i="10"/>
  <c r="AD817" i="10"/>
  <c r="AC817" i="10"/>
  <c r="AB817" i="10"/>
  <c r="AA817" i="10"/>
  <c r="Z817" i="10"/>
  <c r="Y817" i="10"/>
  <c r="X817" i="10"/>
  <c r="W817" i="10"/>
  <c r="V817" i="10"/>
  <c r="U817" i="10"/>
  <c r="T817" i="10"/>
  <c r="S817" i="10"/>
  <c r="R817" i="10"/>
  <c r="AE817" i="10"/>
  <c r="AD816" i="10"/>
  <c r="AC816" i="10"/>
  <c r="AB816" i="10"/>
  <c r="AA816" i="10"/>
  <c r="Z816" i="10"/>
  <c r="Y816" i="10"/>
  <c r="X816" i="10"/>
  <c r="W816" i="10"/>
  <c r="V816" i="10"/>
  <c r="U816" i="10"/>
  <c r="T816" i="10"/>
  <c r="S816" i="10"/>
  <c r="R816" i="10"/>
  <c r="AE816" i="10"/>
  <c r="AD815" i="10"/>
  <c r="AC815" i="10"/>
  <c r="AB815" i="10"/>
  <c r="AA815" i="10"/>
  <c r="Z815" i="10"/>
  <c r="Y815" i="10"/>
  <c r="X815" i="10"/>
  <c r="W815" i="10"/>
  <c r="V815" i="10"/>
  <c r="U815" i="10"/>
  <c r="T815" i="10"/>
  <c r="R815" i="10"/>
  <c r="S815" i="10"/>
  <c r="AE815" i="10"/>
  <c r="AD814" i="10"/>
  <c r="AC814" i="10"/>
  <c r="AB814" i="10"/>
  <c r="AA814" i="10"/>
  <c r="Z814" i="10"/>
  <c r="Y814" i="10"/>
  <c r="X814" i="10"/>
  <c r="W814" i="10"/>
  <c r="R814" i="10"/>
  <c r="S814" i="10"/>
  <c r="T814" i="10"/>
  <c r="U814" i="10"/>
  <c r="V814" i="10"/>
  <c r="AE814" i="10"/>
  <c r="AD813" i="10"/>
  <c r="AC813" i="10"/>
  <c r="AB813" i="10"/>
  <c r="AA813" i="10"/>
  <c r="Z813" i="10"/>
  <c r="Y813" i="10"/>
  <c r="X813" i="10"/>
  <c r="W813" i="10"/>
  <c r="V813" i="10"/>
  <c r="U813" i="10"/>
  <c r="T813" i="10"/>
  <c r="S813" i="10"/>
  <c r="R813" i="10"/>
  <c r="AD812" i="10"/>
  <c r="AC812" i="10"/>
  <c r="AB812" i="10"/>
  <c r="AA812" i="10"/>
  <c r="Z812" i="10"/>
  <c r="Y812" i="10"/>
  <c r="X812" i="10"/>
  <c r="W812" i="10"/>
  <c r="V812" i="10"/>
  <c r="U812" i="10"/>
  <c r="T812" i="10"/>
  <c r="S812" i="10"/>
  <c r="R812" i="10"/>
  <c r="AD811" i="10"/>
  <c r="AC811" i="10"/>
  <c r="AB811" i="10"/>
  <c r="AA811" i="10"/>
  <c r="Z811" i="10"/>
  <c r="Y811" i="10"/>
  <c r="X811" i="10"/>
  <c r="W811" i="10"/>
  <c r="V811" i="10"/>
  <c r="U811" i="10"/>
  <c r="T811" i="10"/>
  <c r="S811" i="10"/>
  <c r="R811" i="10"/>
  <c r="AD810" i="10"/>
  <c r="AC810" i="10"/>
  <c r="AB810" i="10"/>
  <c r="AA810" i="10"/>
  <c r="Z810" i="10"/>
  <c r="Y810" i="10"/>
  <c r="X810" i="10"/>
  <c r="W810" i="10"/>
  <c r="V810" i="10"/>
  <c r="U810" i="10"/>
  <c r="T810" i="10"/>
  <c r="S810" i="10"/>
  <c r="R810" i="10"/>
  <c r="AE810" i="10"/>
  <c r="AD809" i="10"/>
  <c r="AC809" i="10"/>
  <c r="AB809" i="10"/>
  <c r="AA809" i="10"/>
  <c r="Z809" i="10"/>
  <c r="Y809" i="10"/>
  <c r="X809" i="10"/>
  <c r="W809" i="10"/>
  <c r="V809" i="10"/>
  <c r="U809" i="10"/>
  <c r="T809" i="10"/>
  <c r="S809" i="10"/>
  <c r="R809" i="10"/>
  <c r="AE809" i="10"/>
  <c r="AD808" i="10"/>
  <c r="AC808" i="10"/>
  <c r="AB808" i="10"/>
  <c r="AA808" i="10"/>
  <c r="Z808" i="10"/>
  <c r="Y808" i="10"/>
  <c r="X808" i="10"/>
  <c r="W808" i="10"/>
  <c r="V808" i="10"/>
  <c r="U808" i="10"/>
  <c r="T808" i="10"/>
  <c r="S808" i="10"/>
  <c r="R808" i="10"/>
  <c r="AE808" i="10"/>
  <c r="AD807" i="10"/>
  <c r="AC807" i="10"/>
  <c r="AB807" i="10"/>
  <c r="AA807" i="10"/>
  <c r="Z807" i="10"/>
  <c r="Y807" i="10"/>
  <c r="X807" i="10"/>
  <c r="W807" i="10"/>
  <c r="V807" i="10"/>
  <c r="U807" i="10"/>
  <c r="T807" i="10"/>
  <c r="S807" i="10"/>
  <c r="R807" i="10"/>
  <c r="AD806" i="10"/>
  <c r="AC806" i="10"/>
  <c r="AB806" i="10"/>
  <c r="AA806" i="10"/>
  <c r="Z806" i="10"/>
  <c r="Y806" i="10"/>
  <c r="X806" i="10"/>
  <c r="W806" i="10"/>
  <c r="R806" i="10"/>
  <c r="S806" i="10"/>
  <c r="T806" i="10"/>
  <c r="U806" i="10"/>
  <c r="V806" i="10"/>
  <c r="AE806" i="10"/>
  <c r="AD805" i="10"/>
  <c r="AC805" i="10"/>
  <c r="AB805" i="10"/>
  <c r="AA805" i="10"/>
  <c r="Z805" i="10"/>
  <c r="Y805" i="10"/>
  <c r="X805" i="10"/>
  <c r="W805" i="10"/>
  <c r="V805" i="10"/>
  <c r="U805" i="10"/>
  <c r="T805" i="10"/>
  <c r="S805" i="10"/>
  <c r="R805" i="10"/>
  <c r="AE805" i="10"/>
  <c r="AD804" i="10"/>
  <c r="AC804" i="10"/>
  <c r="AB804" i="10"/>
  <c r="AA804" i="10"/>
  <c r="Z804" i="10"/>
  <c r="Y804" i="10"/>
  <c r="X804" i="10"/>
  <c r="W804" i="10"/>
  <c r="V804" i="10"/>
  <c r="U804" i="10"/>
  <c r="T804" i="10"/>
  <c r="S804" i="10"/>
  <c r="R804" i="10"/>
  <c r="AD803" i="10"/>
  <c r="AC803" i="10"/>
  <c r="AB803" i="10"/>
  <c r="AA803" i="10"/>
  <c r="Z803" i="10"/>
  <c r="Y803" i="10"/>
  <c r="X803" i="10"/>
  <c r="W803" i="10"/>
  <c r="V803" i="10"/>
  <c r="U803" i="10"/>
  <c r="T803" i="10"/>
  <c r="S803" i="10"/>
  <c r="R803" i="10"/>
  <c r="AE803" i="10"/>
  <c r="AD802" i="10"/>
  <c r="AC802" i="10"/>
  <c r="AB802" i="10"/>
  <c r="AA802" i="10"/>
  <c r="Z802" i="10"/>
  <c r="Y802" i="10"/>
  <c r="X802" i="10"/>
  <c r="W802" i="10"/>
  <c r="R802" i="10"/>
  <c r="S802" i="10"/>
  <c r="T802" i="10"/>
  <c r="U802" i="10"/>
  <c r="V802" i="10"/>
  <c r="AE802" i="10"/>
  <c r="AD801" i="10"/>
  <c r="AC801" i="10"/>
  <c r="AB801" i="10"/>
  <c r="AA801" i="10"/>
  <c r="Z801" i="10"/>
  <c r="Y801" i="10"/>
  <c r="X801" i="10"/>
  <c r="W801" i="10"/>
  <c r="V801" i="10"/>
  <c r="U801" i="10"/>
  <c r="T801" i="10"/>
  <c r="S801" i="10"/>
  <c r="R801" i="10"/>
  <c r="AD800" i="10"/>
  <c r="AC800" i="10"/>
  <c r="AB800" i="10"/>
  <c r="AA800" i="10"/>
  <c r="Z800" i="10"/>
  <c r="Y800" i="10"/>
  <c r="X800" i="10"/>
  <c r="W800" i="10"/>
  <c r="V800" i="10"/>
  <c r="U800" i="10"/>
  <c r="T800" i="10"/>
  <c r="S800" i="10"/>
  <c r="R800" i="10"/>
  <c r="AE800" i="10"/>
  <c r="AD799" i="10"/>
  <c r="AC799" i="10"/>
  <c r="AB799" i="10"/>
  <c r="AA799" i="10"/>
  <c r="Z799" i="10"/>
  <c r="Y799" i="10"/>
  <c r="X799" i="10"/>
  <c r="W799" i="10"/>
  <c r="V799" i="10"/>
  <c r="U799" i="10"/>
  <c r="T799" i="10"/>
  <c r="R799" i="10"/>
  <c r="S799" i="10"/>
  <c r="AE799" i="10"/>
  <c r="AD798" i="10"/>
  <c r="AC798" i="10"/>
  <c r="AB798" i="10"/>
  <c r="AA798" i="10"/>
  <c r="Z798" i="10"/>
  <c r="Y798" i="10"/>
  <c r="X798" i="10"/>
  <c r="W798" i="10"/>
  <c r="V798" i="10"/>
  <c r="U798" i="10"/>
  <c r="T798" i="10"/>
  <c r="S798" i="10"/>
  <c r="R798" i="10"/>
  <c r="AE798" i="10"/>
  <c r="AD797" i="10"/>
  <c r="AC797" i="10"/>
  <c r="AB797" i="10"/>
  <c r="AA797" i="10"/>
  <c r="Z797" i="10"/>
  <c r="Y797" i="10"/>
  <c r="X797" i="10"/>
  <c r="W797" i="10"/>
  <c r="V797" i="10"/>
  <c r="U797" i="10"/>
  <c r="T797" i="10"/>
  <c r="S797" i="10"/>
  <c r="R797" i="10"/>
  <c r="AD796" i="10"/>
  <c r="AC796" i="10"/>
  <c r="AB796" i="10"/>
  <c r="AA796" i="10"/>
  <c r="Z796" i="10"/>
  <c r="Y796" i="10"/>
  <c r="X796" i="10"/>
  <c r="W796" i="10"/>
  <c r="V796" i="10"/>
  <c r="U796" i="10"/>
  <c r="T796" i="10"/>
  <c r="S796" i="10"/>
  <c r="R796" i="10"/>
  <c r="AD795" i="10"/>
  <c r="AC795" i="10"/>
  <c r="AB795" i="10"/>
  <c r="AA795" i="10"/>
  <c r="Z795" i="10"/>
  <c r="Y795" i="10"/>
  <c r="X795" i="10"/>
  <c r="W795" i="10"/>
  <c r="V795" i="10"/>
  <c r="U795" i="10"/>
  <c r="T795" i="10"/>
  <c r="S795" i="10"/>
  <c r="R795" i="10"/>
  <c r="AE795" i="10"/>
  <c r="AD794" i="10"/>
  <c r="AC794" i="10"/>
  <c r="AB794" i="10"/>
  <c r="AA794" i="10"/>
  <c r="Z794" i="10"/>
  <c r="Y794" i="10"/>
  <c r="X794" i="10"/>
  <c r="W794" i="10"/>
  <c r="R794" i="10"/>
  <c r="S794" i="10"/>
  <c r="T794" i="10"/>
  <c r="U794" i="10"/>
  <c r="V794" i="10"/>
  <c r="AE794" i="10"/>
  <c r="AD793" i="10"/>
  <c r="AC793" i="10"/>
  <c r="AB793" i="10"/>
  <c r="AA793" i="10"/>
  <c r="Z793" i="10"/>
  <c r="Y793" i="10"/>
  <c r="X793" i="10"/>
  <c r="W793" i="10"/>
  <c r="V793" i="10"/>
  <c r="U793" i="10"/>
  <c r="T793" i="10"/>
  <c r="S793" i="10"/>
  <c r="R793" i="10"/>
  <c r="AE793" i="10"/>
  <c r="AD792" i="10"/>
  <c r="AC792" i="10"/>
  <c r="AB792" i="10"/>
  <c r="AA792" i="10"/>
  <c r="Z792" i="10"/>
  <c r="Y792" i="10"/>
  <c r="X792" i="10"/>
  <c r="W792" i="10"/>
  <c r="V792" i="10"/>
  <c r="U792" i="10"/>
  <c r="T792" i="10"/>
  <c r="S792" i="10"/>
  <c r="R792" i="10"/>
  <c r="AD791" i="10"/>
  <c r="AC791" i="10"/>
  <c r="AB791" i="10"/>
  <c r="AA791" i="10"/>
  <c r="Z791" i="10"/>
  <c r="Y791" i="10"/>
  <c r="X791" i="10"/>
  <c r="W791" i="10"/>
  <c r="V791" i="10"/>
  <c r="U791" i="10"/>
  <c r="T791" i="10"/>
  <c r="R791" i="10"/>
  <c r="S791" i="10"/>
  <c r="AE791" i="10"/>
  <c r="AD790" i="10"/>
  <c r="AC790" i="10"/>
  <c r="AB790" i="10"/>
  <c r="AA790" i="10"/>
  <c r="Z790" i="10"/>
  <c r="Y790" i="10"/>
  <c r="X790" i="10"/>
  <c r="W790" i="10"/>
  <c r="V790" i="10"/>
  <c r="U790" i="10"/>
  <c r="T790" i="10"/>
  <c r="S790" i="10"/>
  <c r="R790" i="10"/>
  <c r="AE790" i="10"/>
  <c r="AD789" i="10"/>
  <c r="AC789" i="10"/>
  <c r="AB789" i="10"/>
  <c r="AA789" i="10"/>
  <c r="Z789" i="10"/>
  <c r="Y789" i="10"/>
  <c r="X789" i="10"/>
  <c r="W789" i="10"/>
  <c r="V789" i="10"/>
  <c r="U789" i="10"/>
  <c r="T789" i="10"/>
  <c r="S789" i="10"/>
  <c r="R789" i="10"/>
  <c r="AD788" i="10"/>
  <c r="AC788" i="10"/>
  <c r="AB788" i="10"/>
  <c r="AA788" i="10"/>
  <c r="Z788" i="10"/>
  <c r="Y788" i="10"/>
  <c r="X788" i="10"/>
  <c r="W788" i="10"/>
  <c r="V788" i="10"/>
  <c r="U788" i="10"/>
  <c r="T788" i="10"/>
  <c r="S788" i="10"/>
  <c r="R788" i="10"/>
  <c r="AE788" i="10"/>
  <c r="AD787" i="10"/>
  <c r="AC787" i="10"/>
  <c r="AB787" i="10"/>
  <c r="AA787" i="10"/>
  <c r="Z787" i="10"/>
  <c r="Y787" i="10"/>
  <c r="X787" i="10"/>
  <c r="W787" i="10"/>
  <c r="V787" i="10"/>
  <c r="U787" i="10"/>
  <c r="T787" i="10"/>
  <c r="S787" i="10"/>
  <c r="R787" i="10"/>
  <c r="AD786" i="10"/>
  <c r="AC786" i="10"/>
  <c r="AB786" i="10"/>
  <c r="AA786" i="10"/>
  <c r="Z786" i="10"/>
  <c r="Y786" i="10"/>
  <c r="X786" i="10"/>
  <c r="W786" i="10"/>
  <c r="R786" i="10"/>
  <c r="S786" i="10"/>
  <c r="T786" i="10"/>
  <c r="U786" i="10"/>
  <c r="V786" i="10"/>
  <c r="AE786" i="10"/>
  <c r="AD785" i="10"/>
  <c r="AC785" i="10"/>
  <c r="AB785" i="10"/>
  <c r="AA785" i="10"/>
  <c r="Z785" i="10"/>
  <c r="Y785" i="10"/>
  <c r="X785" i="10"/>
  <c r="W785" i="10"/>
  <c r="V785" i="10"/>
  <c r="U785" i="10"/>
  <c r="T785" i="10"/>
  <c r="S785" i="10"/>
  <c r="R785" i="10"/>
  <c r="AE785" i="10"/>
  <c r="AD784" i="10"/>
  <c r="AC784" i="10"/>
  <c r="AB784" i="10"/>
  <c r="AA784" i="10"/>
  <c r="Z784" i="10"/>
  <c r="Y784" i="10"/>
  <c r="X784" i="10"/>
  <c r="W784" i="10"/>
  <c r="V784" i="10"/>
  <c r="U784" i="10"/>
  <c r="T784" i="10"/>
  <c r="S784" i="10"/>
  <c r="R784" i="10"/>
  <c r="AD783" i="10"/>
  <c r="AC783" i="10"/>
  <c r="AB783" i="10"/>
  <c r="AA783" i="10"/>
  <c r="Z783" i="10"/>
  <c r="Y783" i="10"/>
  <c r="X783" i="10"/>
  <c r="W783" i="10"/>
  <c r="V783" i="10"/>
  <c r="U783" i="10"/>
  <c r="T783" i="10"/>
  <c r="S783" i="10"/>
  <c r="R783" i="10"/>
  <c r="AD782" i="10"/>
  <c r="AC782" i="10"/>
  <c r="AB782" i="10"/>
  <c r="AA782" i="10"/>
  <c r="Z782" i="10"/>
  <c r="Y782" i="10"/>
  <c r="X782" i="10"/>
  <c r="W782" i="10"/>
  <c r="R782" i="10"/>
  <c r="S782" i="10"/>
  <c r="T782" i="10"/>
  <c r="U782" i="10"/>
  <c r="V782" i="10"/>
  <c r="AE782" i="10"/>
  <c r="AD781" i="10"/>
  <c r="AC781" i="10"/>
  <c r="AB781" i="10"/>
  <c r="AA781" i="10"/>
  <c r="Z781" i="10"/>
  <c r="Y781" i="10"/>
  <c r="X781" i="10"/>
  <c r="W781" i="10"/>
  <c r="V781" i="10"/>
  <c r="U781" i="10"/>
  <c r="T781" i="10"/>
  <c r="S781" i="10"/>
  <c r="R781" i="10"/>
  <c r="AD780" i="10"/>
  <c r="AC780" i="10"/>
  <c r="AB780" i="10"/>
  <c r="AA780" i="10"/>
  <c r="Z780" i="10"/>
  <c r="Y780" i="10"/>
  <c r="X780" i="10"/>
  <c r="W780" i="10"/>
  <c r="V780" i="10"/>
  <c r="U780" i="10"/>
  <c r="T780" i="10"/>
  <c r="S780" i="10"/>
  <c r="R780" i="10"/>
  <c r="AE780" i="10"/>
  <c r="AD779" i="10"/>
  <c r="AC779" i="10"/>
  <c r="AB779" i="10"/>
  <c r="AA779" i="10"/>
  <c r="Z779" i="10"/>
  <c r="Y779" i="10"/>
  <c r="X779" i="10"/>
  <c r="W779" i="10"/>
  <c r="V779" i="10"/>
  <c r="U779" i="10"/>
  <c r="T779" i="10"/>
  <c r="S779" i="10"/>
  <c r="R779" i="10"/>
  <c r="AE779" i="10"/>
  <c r="AD778" i="10"/>
  <c r="AC778" i="10"/>
  <c r="AB778" i="10"/>
  <c r="AA778" i="10"/>
  <c r="Z778" i="10"/>
  <c r="Y778" i="10"/>
  <c r="X778" i="10"/>
  <c r="W778" i="10"/>
  <c r="V778" i="10"/>
  <c r="U778" i="10"/>
  <c r="T778" i="10"/>
  <c r="S778" i="10"/>
  <c r="R778" i="10"/>
  <c r="AE778" i="10"/>
  <c r="AD777" i="10"/>
  <c r="AC777" i="10"/>
  <c r="AB777" i="10"/>
  <c r="AA777" i="10"/>
  <c r="Z777" i="10"/>
  <c r="Y777" i="10"/>
  <c r="X777" i="10"/>
  <c r="W777" i="10"/>
  <c r="V777" i="10"/>
  <c r="U777" i="10"/>
  <c r="T777" i="10"/>
  <c r="S777" i="10"/>
  <c r="R777" i="10"/>
  <c r="AD776" i="10"/>
  <c r="AC776" i="10"/>
  <c r="AB776" i="10"/>
  <c r="AA776" i="10"/>
  <c r="Z776" i="10"/>
  <c r="Y776" i="10"/>
  <c r="X776" i="10"/>
  <c r="W776" i="10"/>
  <c r="V776" i="10"/>
  <c r="U776" i="10"/>
  <c r="T776" i="10"/>
  <c r="S776" i="10"/>
  <c r="R776" i="10"/>
  <c r="AD775" i="10"/>
  <c r="AC775" i="10"/>
  <c r="AB775" i="10"/>
  <c r="AA775" i="10"/>
  <c r="Z775" i="10"/>
  <c r="Y775" i="10"/>
  <c r="X775" i="10"/>
  <c r="W775" i="10"/>
  <c r="V775" i="10"/>
  <c r="U775" i="10"/>
  <c r="T775" i="10"/>
  <c r="S775" i="10"/>
  <c r="R775" i="10"/>
  <c r="AD774" i="10"/>
  <c r="AC774" i="10"/>
  <c r="AB774" i="10"/>
  <c r="AA774" i="10"/>
  <c r="Z774" i="10"/>
  <c r="Y774" i="10"/>
  <c r="X774" i="10"/>
  <c r="W774" i="10"/>
  <c r="R774" i="10"/>
  <c r="S774" i="10"/>
  <c r="T774" i="10"/>
  <c r="U774" i="10"/>
  <c r="V774" i="10"/>
  <c r="AE774" i="10"/>
  <c r="AD773" i="10"/>
  <c r="AC773" i="10"/>
  <c r="AB773" i="10"/>
  <c r="AA773" i="10"/>
  <c r="Z773" i="10"/>
  <c r="Y773" i="10"/>
  <c r="X773" i="10"/>
  <c r="W773" i="10"/>
  <c r="V773" i="10"/>
  <c r="U773" i="10"/>
  <c r="T773" i="10"/>
  <c r="S773" i="10"/>
  <c r="R773" i="10"/>
  <c r="AE773" i="10"/>
  <c r="AD772" i="10"/>
  <c r="AC772" i="10"/>
  <c r="AB772" i="10"/>
  <c r="AA772" i="10"/>
  <c r="Z772" i="10"/>
  <c r="Y772" i="10"/>
  <c r="X772" i="10"/>
  <c r="W772" i="10"/>
  <c r="V772" i="10"/>
  <c r="U772" i="10"/>
  <c r="T772" i="10"/>
  <c r="S772" i="10"/>
  <c r="R772" i="10"/>
  <c r="AD771" i="10"/>
  <c r="AC771" i="10"/>
  <c r="AB771" i="10"/>
  <c r="AA771" i="10"/>
  <c r="Z771" i="10"/>
  <c r="Y771" i="10"/>
  <c r="X771" i="10"/>
  <c r="W771" i="10"/>
  <c r="V771" i="10"/>
  <c r="U771" i="10"/>
  <c r="T771" i="10"/>
  <c r="S771" i="10"/>
  <c r="R771" i="10"/>
  <c r="AE771" i="10"/>
  <c r="AD770" i="10"/>
  <c r="AC770" i="10"/>
  <c r="AB770" i="10"/>
  <c r="AA770" i="10"/>
  <c r="Z770" i="10"/>
  <c r="Y770" i="10"/>
  <c r="X770" i="10"/>
  <c r="W770" i="10"/>
  <c r="R770" i="10"/>
  <c r="S770" i="10"/>
  <c r="T770" i="10"/>
  <c r="U770" i="10"/>
  <c r="V770" i="10"/>
  <c r="AE770" i="10"/>
  <c r="AD769" i="10"/>
  <c r="AC769" i="10"/>
  <c r="AB769" i="10"/>
  <c r="AA769" i="10"/>
  <c r="Z769" i="10"/>
  <c r="Y769" i="10"/>
  <c r="X769" i="10"/>
  <c r="W769" i="10"/>
  <c r="V769" i="10"/>
  <c r="U769" i="10"/>
  <c r="T769" i="10"/>
  <c r="S769" i="10"/>
  <c r="R769" i="10"/>
  <c r="AD768" i="10"/>
  <c r="AC768" i="10"/>
  <c r="AB768" i="10"/>
  <c r="AA768" i="10"/>
  <c r="Z768" i="10"/>
  <c r="Y768" i="10"/>
  <c r="X768" i="10"/>
  <c r="W768" i="10"/>
  <c r="V768" i="10"/>
  <c r="U768" i="10"/>
  <c r="T768" i="10"/>
  <c r="S768" i="10"/>
  <c r="R768" i="10"/>
  <c r="AE768" i="10"/>
  <c r="AD767" i="10"/>
  <c r="AC767" i="10"/>
  <c r="AB767" i="10"/>
  <c r="AA767" i="10"/>
  <c r="Z767" i="10"/>
  <c r="Y767" i="10"/>
  <c r="X767" i="10"/>
  <c r="W767" i="10"/>
  <c r="V767" i="10"/>
  <c r="U767" i="10"/>
  <c r="T767" i="10"/>
  <c r="R767" i="10"/>
  <c r="S767" i="10"/>
  <c r="AE767" i="10"/>
  <c r="AD766" i="10"/>
  <c r="AC766" i="10"/>
  <c r="AB766" i="10"/>
  <c r="AA766" i="10"/>
  <c r="Z766" i="10"/>
  <c r="Y766" i="10"/>
  <c r="X766" i="10"/>
  <c r="W766" i="10"/>
  <c r="V766" i="10"/>
  <c r="U766" i="10"/>
  <c r="T766" i="10"/>
  <c r="S766" i="10"/>
  <c r="R766" i="10"/>
  <c r="AE766" i="10"/>
  <c r="AD765" i="10"/>
  <c r="AC765" i="10"/>
  <c r="AB765" i="10"/>
  <c r="AA765" i="10"/>
  <c r="Z765" i="10"/>
  <c r="Y765" i="10"/>
  <c r="X765" i="10"/>
  <c r="W765" i="10"/>
  <c r="V765" i="10"/>
  <c r="U765" i="10"/>
  <c r="T765" i="10"/>
  <c r="S765" i="10"/>
  <c r="R765" i="10"/>
  <c r="AD764" i="10"/>
  <c r="AC764" i="10"/>
  <c r="AB764" i="10"/>
  <c r="AA764" i="10"/>
  <c r="Z764" i="10"/>
  <c r="Y764" i="10"/>
  <c r="X764" i="10"/>
  <c r="W764" i="10"/>
  <c r="V764" i="10"/>
  <c r="U764" i="10"/>
  <c r="T764" i="10"/>
  <c r="S764" i="10"/>
  <c r="R764" i="10"/>
  <c r="AD763" i="10"/>
  <c r="AC763" i="10"/>
  <c r="AB763" i="10"/>
  <c r="AA763" i="10"/>
  <c r="Z763" i="10"/>
  <c r="Y763" i="10"/>
  <c r="X763" i="10"/>
  <c r="W763" i="10"/>
  <c r="V763" i="10"/>
  <c r="U763" i="10"/>
  <c r="T763" i="10"/>
  <c r="S763" i="10"/>
  <c r="R763" i="10"/>
  <c r="AE763" i="10"/>
  <c r="AD762" i="10"/>
  <c r="AC762" i="10"/>
  <c r="AB762" i="10"/>
  <c r="AA762" i="10"/>
  <c r="Z762" i="10"/>
  <c r="Y762" i="10"/>
  <c r="X762" i="10"/>
  <c r="W762" i="10"/>
  <c r="R762" i="10"/>
  <c r="S762" i="10"/>
  <c r="T762" i="10"/>
  <c r="U762" i="10"/>
  <c r="V762" i="10"/>
  <c r="AE762" i="10"/>
  <c r="AD761" i="10"/>
  <c r="AC761" i="10"/>
  <c r="AB761" i="10"/>
  <c r="AA761" i="10"/>
  <c r="Z761" i="10"/>
  <c r="Y761" i="10"/>
  <c r="X761" i="10"/>
  <c r="W761" i="10"/>
  <c r="V761" i="10"/>
  <c r="U761" i="10"/>
  <c r="T761" i="10"/>
  <c r="S761" i="10"/>
  <c r="R761" i="10"/>
  <c r="AE761" i="10"/>
  <c r="AD760" i="10"/>
  <c r="AC760" i="10"/>
  <c r="AB760" i="10"/>
  <c r="AA760" i="10"/>
  <c r="Z760" i="10"/>
  <c r="Y760" i="10"/>
  <c r="X760" i="10"/>
  <c r="W760" i="10"/>
  <c r="V760" i="10"/>
  <c r="U760" i="10"/>
  <c r="T760" i="10"/>
  <c r="S760" i="10"/>
  <c r="R760" i="10"/>
  <c r="AE760" i="10"/>
  <c r="AD759" i="10"/>
  <c r="AC759" i="10"/>
  <c r="AB759" i="10"/>
  <c r="AA759" i="10"/>
  <c r="Z759" i="10"/>
  <c r="Y759" i="10"/>
  <c r="X759" i="10"/>
  <c r="W759" i="10"/>
  <c r="V759" i="10"/>
  <c r="U759" i="10"/>
  <c r="T759" i="10"/>
  <c r="R759" i="10"/>
  <c r="S759" i="10"/>
  <c r="AE759" i="10"/>
  <c r="AD758" i="10"/>
  <c r="AC758" i="10"/>
  <c r="AB758" i="10"/>
  <c r="AA758" i="10"/>
  <c r="Z758" i="10"/>
  <c r="Y758" i="10"/>
  <c r="X758" i="10"/>
  <c r="W758" i="10"/>
  <c r="V758" i="10"/>
  <c r="U758" i="10"/>
  <c r="T758" i="10"/>
  <c r="S758" i="10"/>
  <c r="R758" i="10"/>
  <c r="AE758" i="10"/>
  <c r="AD757" i="10"/>
  <c r="AC757" i="10"/>
  <c r="AB757" i="10"/>
  <c r="AA757" i="10"/>
  <c r="Z757" i="10"/>
  <c r="Y757" i="10"/>
  <c r="X757" i="10"/>
  <c r="W757" i="10"/>
  <c r="V757" i="10"/>
  <c r="U757" i="10"/>
  <c r="T757" i="10"/>
  <c r="S757" i="10"/>
  <c r="R757" i="10"/>
  <c r="AD756" i="10"/>
  <c r="AC756" i="10"/>
  <c r="AB756" i="10"/>
  <c r="AA756" i="10"/>
  <c r="Z756" i="10"/>
  <c r="Y756" i="10"/>
  <c r="X756" i="10"/>
  <c r="W756" i="10"/>
  <c r="V756" i="10"/>
  <c r="U756" i="10"/>
  <c r="T756" i="10"/>
  <c r="S756" i="10"/>
  <c r="R756" i="10"/>
  <c r="AE756" i="10"/>
  <c r="AD755" i="10"/>
  <c r="AC755" i="10"/>
  <c r="AB755" i="10"/>
  <c r="AA755" i="10"/>
  <c r="Z755" i="10"/>
  <c r="Y755" i="10"/>
  <c r="X755" i="10"/>
  <c r="W755" i="10"/>
  <c r="V755" i="10"/>
  <c r="U755" i="10"/>
  <c r="T755" i="10"/>
  <c r="S755" i="10"/>
  <c r="R755" i="10"/>
  <c r="AD754" i="10"/>
  <c r="AC754" i="10"/>
  <c r="AB754" i="10"/>
  <c r="AA754" i="10"/>
  <c r="Z754" i="10"/>
  <c r="Y754" i="10"/>
  <c r="X754" i="10"/>
  <c r="W754" i="10"/>
  <c r="R754" i="10"/>
  <c r="S754" i="10"/>
  <c r="T754" i="10"/>
  <c r="U754" i="10"/>
  <c r="V754" i="10"/>
  <c r="AE754" i="10"/>
  <c r="AD753" i="10"/>
  <c r="AC753" i="10"/>
  <c r="AB753" i="10"/>
  <c r="AA753" i="10"/>
  <c r="Z753" i="10"/>
  <c r="Y753" i="10"/>
  <c r="X753" i="10"/>
  <c r="W753" i="10"/>
  <c r="V753" i="10"/>
  <c r="U753" i="10"/>
  <c r="T753" i="10"/>
  <c r="S753" i="10"/>
  <c r="R753" i="10"/>
  <c r="AE753" i="10"/>
  <c r="AD752" i="10"/>
  <c r="AC752" i="10"/>
  <c r="AB752" i="10"/>
  <c r="AA752" i="10"/>
  <c r="Z752" i="10"/>
  <c r="Y752" i="10"/>
  <c r="X752" i="10"/>
  <c r="W752" i="10"/>
  <c r="V752" i="10"/>
  <c r="U752" i="10"/>
  <c r="T752" i="10"/>
  <c r="S752" i="10"/>
  <c r="R752" i="10"/>
  <c r="AD751" i="10"/>
  <c r="AC751" i="10"/>
  <c r="AB751" i="10"/>
  <c r="AA751" i="10"/>
  <c r="Z751" i="10"/>
  <c r="Y751" i="10"/>
  <c r="X751" i="10"/>
  <c r="W751" i="10"/>
  <c r="V751" i="10"/>
  <c r="U751" i="10"/>
  <c r="T751" i="10"/>
  <c r="S751" i="10"/>
  <c r="R751" i="10"/>
  <c r="AD750" i="10"/>
  <c r="AC750" i="10"/>
  <c r="AB750" i="10"/>
  <c r="AA750" i="10"/>
  <c r="Z750" i="10"/>
  <c r="Y750" i="10"/>
  <c r="X750" i="10"/>
  <c r="W750" i="10"/>
  <c r="R750" i="10"/>
  <c r="S750" i="10"/>
  <c r="T750" i="10"/>
  <c r="U750" i="10"/>
  <c r="V750" i="10"/>
  <c r="AE750" i="10"/>
  <c r="AD749" i="10"/>
  <c r="AC749" i="10"/>
  <c r="AB749" i="10"/>
  <c r="AA749" i="10"/>
  <c r="Z749" i="10"/>
  <c r="Y749" i="10"/>
  <c r="X749" i="10"/>
  <c r="W749" i="10"/>
  <c r="V749" i="10"/>
  <c r="U749" i="10"/>
  <c r="T749" i="10"/>
  <c r="S749" i="10"/>
  <c r="R749" i="10"/>
  <c r="AD748" i="10"/>
  <c r="AC748" i="10"/>
  <c r="AB748" i="10"/>
  <c r="AA748" i="10"/>
  <c r="Z748" i="10"/>
  <c r="Y748" i="10"/>
  <c r="X748" i="10"/>
  <c r="W748" i="10"/>
  <c r="V748" i="10"/>
  <c r="U748" i="10"/>
  <c r="T748" i="10"/>
  <c r="S748" i="10"/>
  <c r="R748" i="10"/>
  <c r="AE748" i="10"/>
  <c r="AD747" i="10"/>
  <c r="AC747" i="10"/>
  <c r="AB747" i="10"/>
  <c r="AA747" i="10"/>
  <c r="Z747" i="10"/>
  <c r="Y747" i="10"/>
  <c r="X747" i="10"/>
  <c r="W747" i="10"/>
  <c r="V747" i="10"/>
  <c r="U747" i="10"/>
  <c r="T747" i="10"/>
  <c r="S747" i="10"/>
  <c r="R747" i="10"/>
  <c r="AE747" i="10"/>
  <c r="AD746" i="10"/>
  <c r="AC746" i="10"/>
  <c r="AB746" i="10"/>
  <c r="AA746" i="10"/>
  <c r="Z746" i="10"/>
  <c r="Y746" i="10"/>
  <c r="X746" i="10"/>
  <c r="W746" i="10"/>
  <c r="V746" i="10"/>
  <c r="U746" i="10"/>
  <c r="T746" i="10"/>
  <c r="S746" i="10"/>
  <c r="R746" i="10"/>
  <c r="AE746" i="10"/>
  <c r="AD745" i="10"/>
  <c r="AC745" i="10"/>
  <c r="AB745" i="10"/>
  <c r="AA745" i="10"/>
  <c r="Z745" i="10"/>
  <c r="Y745" i="10"/>
  <c r="X745" i="10"/>
  <c r="W745" i="10"/>
  <c r="V745" i="10"/>
  <c r="U745" i="10"/>
  <c r="T745" i="10"/>
  <c r="S745" i="10"/>
  <c r="R745" i="10"/>
  <c r="AD744" i="10"/>
  <c r="AC744" i="10"/>
  <c r="AB744" i="10"/>
  <c r="AA744" i="10"/>
  <c r="Z744" i="10"/>
  <c r="Y744" i="10"/>
  <c r="X744" i="10"/>
  <c r="W744" i="10"/>
  <c r="V744" i="10"/>
  <c r="U744" i="10"/>
  <c r="T744" i="10"/>
  <c r="S744" i="10"/>
  <c r="R744" i="10"/>
  <c r="AD743" i="10"/>
  <c r="AC743" i="10"/>
  <c r="AB743" i="10"/>
  <c r="AA743" i="10"/>
  <c r="Z743" i="10"/>
  <c r="Y743" i="10"/>
  <c r="X743" i="10"/>
  <c r="W743" i="10"/>
  <c r="V743" i="10"/>
  <c r="U743" i="10"/>
  <c r="T743" i="10"/>
  <c r="S743" i="10"/>
  <c r="R743" i="10"/>
  <c r="AD742" i="10"/>
  <c r="AC742" i="10"/>
  <c r="AB742" i="10"/>
  <c r="AA742" i="10"/>
  <c r="Z742" i="10"/>
  <c r="Y742" i="10"/>
  <c r="X742" i="10"/>
  <c r="W742" i="10"/>
  <c r="R742" i="10"/>
  <c r="S742" i="10"/>
  <c r="T742" i="10"/>
  <c r="U742" i="10"/>
  <c r="V742" i="10"/>
  <c r="AE742" i="10"/>
  <c r="AD741" i="10"/>
  <c r="AC741" i="10"/>
  <c r="AB741" i="10"/>
  <c r="AA741" i="10"/>
  <c r="Z741" i="10"/>
  <c r="Y741" i="10"/>
  <c r="X741" i="10"/>
  <c r="W741" i="10"/>
  <c r="V741" i="10"/>
  <c r="U741" i="10"/>
  <c r="T741" i="10"/>
  <c r="S741" i="10"/>
  <c r="R741" i="10"/>
  <c r="AE741" i="10"/>
  <c r="AD740" i="10"/>
  <c r="AC740" i="10"/>
  <c r="AB740" i="10"/>
  <c r="AA740" i="10"/>
  <c r="Z740" i="10"/>
  <c r="Y740" i="10"/>
  <c r="X740" i="10"/>
  <c r="W740" i="10"/>
  <c r="V740" i="10"/>
  <c r="U740" i="10"/>
  <c r="T740" i="10"/>
  <c r="S740" i="10"/>
  <c r="R740" i="10"/>
  <c r="AD739" i="10"/>
  <c r="AC739" i="10"/>
  <c r="AB739" i="10"/>
  <c r="AA739" i="10"/>
  <c r="Z739" i="10"/>
  <c r="Y739" i="10"/>
  <c r="X739" i="10"/>
  <c r="W739" i="10"/>
  <c r="V739" i="10"/>
  <c r="U739" i="10"/>
  <c r="T739" i="10"/>
  <c r="S739" i="10"/>
  <c r="R739" i="10"/>
  <c r="AE739" i="10"/>
  <c r="AD738" i="10"/>
  <c r="AC738" i="10"/>
  <c r="AB738" i="10"/>
  <c r="AA738" i="10"/>
  <c r="Z738" i="10"/>
  <c r="Y738" i="10"/>
  <c r="X738" i="10"/>
  <c r="W738" i="10"/>
  <c r="V738" i="10"/>
  <c r="U738" i="10"/>
  <c r="T738" i="10"/>
  <c r="S738" i="10"/>
  <c r="R738" i="10"/>
  <c r="AE738" i="10"/>
  <c r="AD737" i="10"/>
  <c r="AC737" i="10"/>
  <c r="AB737" i="10"/>
  <c r="AA737" i="10"/>
  <c r="Z737" i="10"/>
  <c r="Y737" i="10"/>
  <c r="X737" i="10"/>
  <c r="W737" i="10"/>
  <c r="V737" i="10"/>
  <c r="U737" i="10"/>
  <c r="T737" i="10"/>
  <c r="S737" i="10"/>
  <c r="R737" i="10"/>
  <c r="AD736" i="10"/>
  <c r="AC736" i="10"/>
  <c r="AB736" i="10"/>
  <c r="AA736" i="10"/>
  <c r="Z736" i="10"/>
  <c r="Y736" i="10"/>
  <c r="X736" i="10"/>
  <c r="W736" i="10"/>
  <c r="V736" i="10"/>
  <c r="U736" i="10"/>
  <c r="T736" i="10"/>
  <c r="S736" i="10"/>
  <c r="R736" i="10"/>
  <c r="AE736" i="10"/>
  <c r="AD735" i="10"/>
  <c r="AC735" i="10"/>
  <c r="AB735" i="10"/>
  <c r="AA735" i="10"/>
  <c r="Z735" i="10"/>
  <c r="Y735" i="10"/>
  <c r="X735" i="10"/>
  <c r="W735" i="10"/>
  <c r="V735" i="10"/>
  <c r="U735" i="10"/>
  <c r="T735" i="10"/>
  <c r="R735" i="10"/>
  <c r="S735" i="10"/>
  <c r="AE735" i="10"/>
  <c r="AD734" i="10"/>
  <c r="AC734" i="10"/>
  <c r="AB734" i="10"/>
  <c r="AA734" i="10"/>
  <c r="Z734" i="10"/>
  <c r="Y734" i="10"/>
  <c r="X734" i="10"/>
  <c r="W734" i="10"/>
  <c r="V734" i="10"/>
  <c r="U734" i="10"/>
  <c r="T734" i="10"/>
  <c r="S734" i="10"/>
  <c r="R734" i="10"/>
  <c r="AE734" i="10"/>
  <c r="AD733" i="10"/>
  <c r="AC733" i="10"/>
  <c r="AB733" i="10"/>
  <c r="AA733" i="10"/>
  <c r="Z733" i="10"/>
  <c r="Y733" i="10"/>
  <c r="X733" i="10"/>
  <c r="W733" i="10"/>
  <c r="V733" i="10"/>
  <c r="U733" i="10"/>
  <c r="T733" i="10"/>
  <c r="S733" i="10"/>
  <c r="R733" i="10"/>
  <c r="AD732" i="10"/>
  <c r="AC732" i="10"/>
  <c r="AB732" i="10"/>
  <c r="AA732" i="10"/>
  <c r="Z732" i="10"/>
  <c r="Y732" i="10"/>
  <c r="X732" i="10"/>
  <c r="W732" i="10"/>
  <c r="V732" i="10"/>
  <c r="U732" i="10"/>
  <c r="T732" i="10"/>
  <c r="S732" i="10"/>
  <c r="R732" i="10"/>
  <c r="AD731" i="10"/>
  <c r="AC731" i="10"/>
  <c r="AB731" i="10"/>
  <c r="AA731" i="10"/>
  <c r="Z731" i="10"/>
  <c r="Y731" i="10"/>
  <c r="X731" i="10"/>
  <c r="W731" i="10"/>
  <c r="V731" i="10"/>
  <c r="U731" i="10"/>
  <c r="T731" i="10"/>
  <c r="S731" i="10"/>
  <c r="R731" i="10"/>
  <c r="AE731" i="10"/>
  <c r="AD730" i="10"/>
  <c r="AC730" i="10"/>
  <c r="AB730" i="10"/>
  <c r="AA730" i="10"/>
  <c r="Z730" i="10"/>
  <c r="Y730" i="10"/>
  <c r="X730" i="10"/>
  <c r="W730" i="10"/>
  <c r="R730" i="10"/>
  <c r="S730" i="10"/>
  <c r="T730" i="10"/>
  <c r="U730" i="10"/>
  <c r="V730" i="10"/>
  <c r="AE730" i="10"/>
  <c r="AD729" i="10"/>
  <c r="AC729" i="10"/>
  <c r="AB729" i="10"/>
  <c r="AA729" i="10"/>
  <c r="Z729" i="10"/>
  <c r="Y729" i="10"/>
  <c r="X729" i="10"/>
  <c r="W729" i="10"/>
  <c r="V729" i="10"/>
  <c r="U729" i="10"/>
  <c r="T729" i="10"/>
  <c r="S729" i="10"/>
  <c r="R729" i="10"/>
  <c r="AE729" i="10"/>
  <c r="AD728" i="10"/>
  <c r="AC728" i="10"/>
  <c r="AB728" i="10"/>
  <c r="AA728" i="10"/>
  <c r="Z728" i="10"/>
  <c r="Y728" i="10"/>
  <c r="X728" i="10"/>
  <c r="W728" i="10"/>
  <c r="V728" i="10"/>
  <c r="U728" i="10"/>
  <c r="T728" i="10"/>
  <c r="S728" i="10"/>
  <c r="R728" i="10"/>
  <c r="AE728" i="10"/>
  <c r="AD727" i="10"/>
  <c r="AC727" i="10"/>
  <c r="AB727" i="10"/>
  <c r="AA727" i="10"/>
  <c r="Z727" i="10"/>
  <c r="Y727" i="10"/>
  <c r="X727" i="10"/>
  <c r="W727" i="10"/>
  <c r="V727" i="10"/>
  <c r="U727" i="10"/>
  <c r="T727" i="10"/>
  <c r="R727" i="10"/>
  <c r="S727" i="10"/>
  <c r="AE727" i="10"/>
  <c r="AD726" i="10"/>
  <c r="AC726" i="10"/>
  <c r="AB726" i="10"/>
  <c r="AA726" i="10"/>
  <c r="Z726" i="10"/>
  <c r="Y726" i="10"/>
  <c r="X726" i="10"/>
  <c r="W726" i="10"/>
  <c r="V726" i="10"/>
  <c r="U726" i="10"/>
  <c r="T726" i="10"/>
  <c r="S726" i="10"/>
  <c r="R726" i="10"/>
  <c r="AE726" i="10"/>
  <c r="AD725" i="10"/>
  <c r="AC725" i="10"/>
  <c r="AB725" i="10"/>
  <c r="AA725" i="10"/>
  <c r="Z725" i="10"/>
  <c r="Y725" i="10"/>
  <c r="X725" i="10"/>
  <c r="W725" i="10"/>
  <c r="V725" i="10"/>
  <c r="U725" i="10"/>
  <c r="T725" i="10"/>
  <c r="S725" i="10"/>
  <c r="R725" i="10"/>
  <c r="AD724" i="10"/>
  <c r="AC724" i="10"/>
  <c r="AB724" i="10"/>
  <c r="AA724" i="10"/>
  <c r="Z724" i="10"/>
  <c r="Y724" i="10"/>
  <c r="X724" i="10"/>
  <c r="W724" i="10"/>
  <c r="V724" i="10"/>
  <c r="U724" i="10"/>
  <c r="T724" i="10"/>
  <c r="S724" i="10"/>
  <c r="R724" i="10"/>
  <c r="AE724" i="10"/>
  <c r="AD723" i="10"/>
  <c r="AC723" i="10"/>
  <c r="AB723" i="10"/>
  <c r="AA723" i="10"/>
  <c r="Z723" i="10"/>
  <c r="Y723" i="10"/>
  <c r="X723" i="10"/>
  <c r="W723" i="10"/>
  <c r="V723" i="10"/>
  <c r="U723" i="10"/>
  <c r="T723" i="10"/>
  <c r="S723" i="10"/>
  <c r="R723" i="10"/>
  <c r="AD722" i="10"/>
  <c r="AC722" i="10"/>
  <c r="AB722" i="10"/>
  <c r="AA722" i="10"/>
  <c r="Z722" i="10"/>
  <c r="Y722" i="10"/>
  <c r="X722" i="10"/>
  <c r="W722" i="10"/>
  <c r="R722" i="10"/>
  <c r="S722" i="10"/>
  <c r="T722" i="10"/>
  <c r="U722" i="10"/>
  <c r="V722" i="10"/>
  <c r="AE722" i="10"/>
  <c r="AD721" i="10"/>
  <c r="AC721" i="10"/>
  <c r="AB721" i="10"/>
  <c r="AA721" i="10"/>
  <c r="Z721" i="10"/>
  <c r="Y721" i="10"/>
  <c r="X721" i="10"/>
  <c r="W721" i="10"/>
  <c r="V721" i="10"/>
  <c r="U721" i="10"/>
  <c r="T721" i="10"/>
  <c r="S721" i="10"/>
  <c r="R721" i="10"/>
  <c r="AE721" i="10"/>
  <c r="AD720" i="10"/>
  <c r="AC720" i="10"/>
  <c r="AB720" i="10"/>
  <c r="AA720" i="10"/>
  <c r="Z720" i="10"/>
  <c r="Y720" i="10"/>
  <c r="X720" i="10"/>
  <c r="W720" i="10"/>
  <c r="V720" i="10"/>
  <c r="U720" i="10"/>
  <c r="T720" i="10"/>
  <c r="S720" i="10"/>
  <c r="R720" i="10"/>
  <c r="AD719" i="10"/>
  <c r="AC719" i="10"/>
  <c r="AB719" i="10"/>
  <c r="AA719" i="10"/>
  <c r="Z719" i="10"/>
  <c r="Y719" i="10"/>
  <c r="X719" i="10"/>
  <c r="W719" i="10"/>
  <c r="V719" i="10"/>
  <c r="U719" i="10"/>
  <c r="T719" i="10"/>
  <c r="S719" i="10"/>
  <c r="R719" i="10"/>
  <c r="AD718" i="10"/>
  <c r="AC718" i="10"/>
  <c r="AB718" i="10"/>
  <c r="AA718" i="10"/>
  <c r="Z718" i="10"/>
  <c r="Y718" i="10"/>
  <c r="X718" i="10"/>
  <c r="W718" i="10"/>
  <c r="R718" i="10"/>
  <c r="S718" i="10"/>
  <c r="T718" i="10"/>
  <c r="U718" i="10"/>
  <c r="V718" i="10"/>
  <c r="AE718" i="10"/>
  <c r="AD717" i="10"/>
  <c r="AC717" i="10"/>
  <c r="AB717" i="10"/>
  <c r="AA717" i="10"/>
  <c r="Z717" i="10"/>
  <c r="Y717" i="10"/>
  <c r="X717" i="10"/>
  <c r="W717" i="10"/>
  <c r="V717" i="10"/>
  <c r="U717" i="10"/>
  <c r="T717" i="10"/>
  <c r="S717" i="10"/>
  <c r="R717" i="10"/>
  <c r="AD716" i="10"/>
  <c r="AC716" i="10"/>
  <c r="AB716" i="10"/>
  <c r="AA716" i="10"/>
  <c r="Z716" i="10"/>
  <c r="Y716" i="10"/>
  <c r="X716" i="10"/>
  <c r="W716" i="10"/>
  <c r="V716" i="10"/>
  <c r="U716" i="10"/>
  <c r="T716" i="10"/>
  <c r="S716" i="10"/>
  <c r="R716" i="10"/>
  <c r="AD715" i="10"/>
  <c r="AC715" i="10"/>
  <c r="AB715" i="10"/>
  <c r="AA715" i="10"/>
  <c r="Z715" i="10"/>
  <c r="Y715" i="10"/>
  <c r="X715" i="10"/>
  <c r="W715" i="10"/>
  <c r="V715" i="10"/>
  <c r="U715" i="10"/>
  <c r="T715" i="10"/>
  <c r="S715" i="10"/>
  <c r="R715" i="10"/>
  <c r="AE715" i="10"/>
  <c r="AD714" i="10"/>
  <c r="AC714" i="10"/>
  <c r="AB714" i="10"/>
  <c r="AA714" i="10"/>
  <c r="Z714" i="10"/>
  <c r="Y714" i="10"/>
  <c r="X714" i="10"/>
  <c r="W714" i="10"/>
  <c r="V714" i="10"/>
  <c r="U714" i="10"/>
  <c r="T714" i="10"/>
  <c r="S714" i="10"/>
  <c r="R714" i="10"/>
  <c r="AE714" i="10"/>
  <c r="AD713" i="10"/>
  <c r="AC713" i="10"/>
  <c r="AB713" i="10"/>
  <c r="AA713" i="10"/>
  <c r="Z713" i="10"/>
  <c r="Y713" i="10"/>
  <c r="X713" i="10"/>
  <c r="W713" i="10"/>
  <c r="V713" i="10"/>
  <c r="U713" i="10"/>
  <c r="T713" i="10"/>
  <c r="S713" i="10"/>
  <c r="R713" i="10"/>
  <c r="AD712" i="10"/>
  <c r="AC712" i="10"/>
  <c r="AB712" i="10"/>
  <c r="AA712" i="10"/>
  <c r="Z712" i="10"/>
  <c r="Y712" i="10"/>
  <c r="X712" i="10"/>
  <c r="W712" i="10"/>
  <c r="V712" i="10"/>
  <c r="U712" i="10"/>
  <c r="T712" i="10"/>
  <c r="S712" i="10"/>
  <c r="R712" i="10"/>
  <c r="AD711" i="10"/>
  <c r="AC711" i="10"/>
  <c r="AB711" i="10"/>
  <c r="AA711" i="10"/>
  <c r="Z711" i="10"/>
  <c r="Y711" i="10"/>
  <c r="X711" i="10"/>
  <c r="W711" i="10"/>
  <c r="V711" i="10"/>
  <c r="U711" i="10"/>
  <c r="T711" i="10"/>
  <c r="R711" i="10"/>
  <c r="S711" i="10"/>
  <c r="AE711" i="10"/>
  <c r="AD710" i="10"/>
  <c r="AC710" i="10"/>
  <c r="AB710" i="10"/>
  <c r="AA710" i="10"/>
  <c r="Z710" i="10"/>
  <c r="Y710" i="10"/>
  <c r="X710" i="10"/>
  <c r="W710" i="10"/>
  <c r="V710" i="10"/>
  <c r="U710" i="10"/>
  <c r="T710" i="10"/>
  <c r="S710" i="10"/>
  <c r="R710" i="10"/>
  <c r="AE710" i="10"/>
  <c r="AD709" i="10"/>
  <c r="AC709" i="10"/>
  <c r="AB709" i="10"/>
  <c r="AA709" i="10"/>
  <c r="Z709" i="10"/>
  <c r="Y709" i="10"/>
  <c r="X709" i="10"/>
  <c r="W709" i="10"/>
  <c r="V709" i="10"/>
  <c r="U709" i="10"/>
  <c r="T709" i="10"/>
  <c r="S709" i="10"/>
  <c r="R709" i="10"/>
  <c r="AD708" i="10"/>
  <c r="AC708" i="10"/>
  <c r="AB708" i="10"/>
  <c r="AA708" i="10"/>
  <c r="Z708" i="10"/>
  <c r="Y708" i="10"/>
  <c r="X708" i="10"/>
  <c r="W708" i="10"/>
  <c r="V708" i="10"/>
  <c r="U708" i="10"/>
  <c r="T708" i="10"/>
  <c r="S708" i="10"/>
  <c r="R708" i="10"/>
  <c r="AD707" i="10"/>
  <c r="AC707" i="10"/>
  <c r="AB707" i="10"/>
  <c r="AA707" i="10"/>
  <c r="Z707" i="10"/>
  <c r="Y707" i="10"/>
  <c r="X707" i="10"/>
  <c r="W707" i="10"/>
  <c r="V707" i="10"/>
  <c r="U707" i="10"/>
  <c r="T707" i="10"/>
  <c r="S707" i="10"/>
  <c r="R707" i="10"/>
  <c r="AD706" i="10"/>
  <c r="AC706" i="10"/>
  <c r="AB706" i="10"/>
  <c r="AA706" i="10"/>
  <c r="Z706" i="10"/>
  <c r="Y706" i="10"/>
  <c r="X706" i="10"/>
  <c r="W706" i="10"/>
  <c r="V706" i="10"/>
  <c r="U706" i="10"/>
  <c r="T706" i="10"/>
  <c r="S706" i="10"/>
  <c r="R706" i="10"/>
  <c r="AD705" i="10"/>
  <c r="AC705" i="10"/>
  <c r="AB705" i="10"/>
  <c r="AA705" i="10"/>
  <c r="Z705" i="10"/>
  <c r="Y705" i="10"/>
  <c r="X705" i="10"/>
  <c r="W705" i="10"/>
  <c r="V705" i="10"/>
  <c r="U705" i="10"/>
  <c r="T705" i="10"/>
  <c r="S705" i="10"/>
  <c r="R705" i="10"/>
  <c r="AE705" i="10"/>
  <c r="AD704" i="10"/>
  <c r="AC704" i="10"/>
  <c r="AB704" i="10"/>
  <c r="AA704" i="10"/>
  <c r="Z704" i="10"/>
  <c r="Y704" i="10"/>
  <c r="X704" i="10"/>
  <c r="W704" i="10"/>
  <c r="V704" i="10"/>
  <c r="U704" i="10"/>
  <c r="T704" i="10"/>
  <c r="S704" i="10"/>
  <c r="R704" i="10"/>
  <c r="AE704" i="10"/>
  <c r="AD703" i="10"/>
  <c r="AC703" i="10"/>
  <c r="AB703" i="10"/>
  <c r="AA703" i="10"/>
  <c r="Z703" i="10"/>
  <c r="Y703" i="10"/>
  <c r="X703" i="10"/>
  <c r="W703" i="10"/>
  <c r="V703" i="10"/>
  <c r="U703" i="10"/>
  <c r="T703" i="10"/>
  <c r="S703" i="10"/>
  <c r="R703" i="10"/>
  <c r="AD702" i="10"/>
  <c r="AC702" i="10"/>
  <c r="AB702" i="10"/>
  <c r="AA702" i="10"/>
  <c r="Z702" i="10"/>
  <c r="Y702" i="10"/>
  <c r="X702" i="10"/>
  <c r="W702" i="10"/>
  <c r="V702" i="10"/>
  <c r="U702" i="10"/>
  <c r="T702" i="10"/>
  <c r="S702" i="10"/>
  <c r="R702" i="10"/>
  <c r="AE702" i="10"/>
  <c r="AD701" i="10"/>
  <c r="AC701" i="10"/>
  <c r="AB701" i="10"/>
  <c r="AA701" i="10"/>
  <c r="Z701" i="10"/>
  <c r="Y701" i="10"/>
  <c r="X701" i="10"/>
  <c r="W701" i="10"/>
  <c r="V701" i="10"/>
  <c r="U701" i="10"/>
  <c r="T701" i="10"/>
  <c r="S701" i="10"/>
  <c r="R701" i="10"/>
  <c r="AD700" i="10"/>
  <c r="AC700" i="10"/>
  <c r="AB700" i="10"/>
  <c r="AA700" i="10"/>
  <c r="Z700" i="10"/>
  <c r="Y700" i="10"/>
  <c r="X700" i="10"/>
  <c r="W700" i="10"/>
  <c r="V700" i="10"/>
  <c r="U700" i="10"/>
  <c r="T700" i="10"/>
  <c r="S700" i="10"/>
  <c r="R700" i="10"/>
  <c r="AE700" i="10"/>
  <c r="AD699" i="10"/>
  <c r="AC699" i="10"/>
  <c r="AB699" i="10"/>
  <c r="AA699" i="10"/>
  <c r="Z699" i="10"/>
  <c r="Y699" i="10"/>
  <c r="X699" i="10"/>
  <c r="W699" i="10"/>
  <c r="V699" i="10"/>
  <c r="U699" i="10"/>
  <c r="T699" i="10"/>
  <c r="S699" i="10"/>
  <c r="R699" i="10"/>
  <c r="AD698" i="10"/>
  <c r="AC698" i="10"/>
  <c r="AB698" i="10"/>
  <c r="AA698" i="10"/>
  <c r="Z698" i="10"/>
  <c r="Y698" i="10"/>
  <c r="X698" i="10"/>
  <c r="W698" i="10"/>
  <c r="R698" i="10"/>
  <c r="S698" i="10"/>
  <c r="T698" i="10"/>
  <c r="U698" i="10"/>
  <c r="V698" i="10"/>
  <c r="AE698" i="10"/>
  <c r="AD697" i="10"/>
  <c r="AC697" i="10"/>
  <c r="AB697" i="10"/>
  <c r="AA697" i="10"/>
  <c r="Z697" i="10"/>
  <c r="Y697" i="10"/>
  <c r="X697" i="10"/>
  <c r="W697" i="10"/>
  <c r="V697" i="10"/>
  <c r="U697" i="10"/>
  <c r="T697" i="10"/>
  <c r="S697" i="10"/>
  <c r="R697" i="10"/>
  <c r="AE697" i="10"/>
  <c r="AD696" i="10"/>
  <c r="AC696" i="10"/>
  <c r="AB696" i="10"/>
  <c r="AA696" i="10"/>
  <c r="Z696" i="10"/>
  <c r="Y696" i="10"/>
  <c r="X696" i="10"/>
  <c r="W696" i="10"/>
  <c r="V696" i="10"/>
  <c r="U696" i="10"/>
  <c r="T696" i="10"/>
  <c r="S696" i="10"/>
  <c r="R696" i="10"/>
  <c r="AE696" i="10"/>
  <c r="AD695" i="10"/>
  <c r="AC695" i="10"/>
  <c r="AB695" i="10"/>
  <c r="AA695" i="10"/>
  <c r="Z695" i="10"/>
  <c r="Y695" i="10"/>
  <c r="X695" i="10"/>
  <c r="W695" i="10"/>
  <c r="V695" i="10"/>
  <c r="U695" i="10"/>
  <c r="T695" i="10"/>
  <c r="S695" i="10"/>
  <c r="R695" i="10"/>
  <c r="AD694" i="10"/>
  <c r="AC694" i="10"/>
  <c r="AB694" i="10"/>
  <c r="AA694" i="10"/>
  <c r="Z694" i="10"/>
  <c r="Y694" i="10"/>
  <c r="X694" i="10"/>
  <c r="W694" i="10"/>
  <c r="V694" i="10"/>
  <c r="U694" i="10"/>
  <c r="T694" i="10"/>
  <c r="S694" i="10"/>
  <c r="R694" i="10"/>
  <c r="AE694" i="10"/>
  <c r="AD693" i="10"/>
  <c r="AC693" i="10"/>
  <c r="AB693" i="10"/>
  <c r="AA693" i="10"/>
  <c r="Z693" i="10"/>
  <c r="Y693" i="10"/>
  <c r="X693" i="10"/>
  <c r="W693" i="10"/>
  <c r="V693" i="10"/>
  <c r="U693" i="10"/>
  <c r="T693" i="10"/>
  <c r="S693" i="10"/>
  <c r="R693" i="10"/>
  <c r="AD692" i="10"/>
  <c r="AC692" i="10"/>
  <c r="AB692" i="10"/>
  <c r="AA692" i="10"/>
  <c r="Z692" i="10"/>
  <c r="Y692" i="10"/>
  <c r="X692" i="10"/>
  <c r="W692" i="10"/>
  <c r="V692" i="10"/>
  <c r="U692" i="10"/>
  <c r="T692" i="10"/>
  <c r="S692" i="10"/>
  <c r="R692" i="10"/>
  <c r="AD691" i="10"/>
  <c r="AC691" i="10"/>
  <c r="AB691" i="10"/>
  <c r="AA691" i="10"/>
  <c r="Z691" i="10"/>
  <c r="Y691" i="10"/>
  <c r="X691" i="10"/>
  <c r="W691" i="10"/>
  <c r="V691" i="10"/>
  <c r="U691" i="10"/>
  <c r="T691" i="10"/>
  <c r="S691" i="10"/>
  <c r="R691" i="10"/>
  <c r="AD690" i="10"/>
  <c r="AC690" i="10"/>
  <c r="AB690" i="10"/>
  <c r="AA690" i="10"/>
  <c r="Z690" i="10"/>
  <c r="Y690" i="10"/>
  <c r="X690" i="10"/>
  <c r="W690" i="10"/>
  <c r="V690" i="10"/>
  <c r="U690" i="10"/>
  <c r="T690" i="10"/>
  <c r="S690" i="10"/>
  <c r="R690" i="10"/>
  <c r="AE690" i="10"/>
  <c r="AD689" i="10"/>
  <c r="AC689" i="10"/>
  <c r="AB689" i="10"/>
  <c r="AA689" i="10"/>
  <c r="Z689" i="10"/>
  <c r="Y689" i="10"/>
  <c r="X689" i="10"/>
  <c r="W689" i="10"/>
  <c r="V689" i="10"/>
  <c r="U689" i="10"/>
  <c r="T689" i="10"/>
  <c r="S689" i="10"/>
  <c r="R689" i="10"/>
  <c r="AD688" i="10"/>
  <c r="AC688" i="10"/>
  <c r="AB688" i="10"/>
  <c r="AA688" i="10"/>
  <c r="Z688" i="10"/>
  <c r="Y688" i="10"/>
  <c r="X688" i="10"/>
  <c r="W688" i="10"/>
  <c r="R688" i="10"/>
  <c r="S688" i="10"/>
  <c r="T688" i="10"/>
  <c r="U688" i="10"/>
  <c r="V688" i="10"/>
  <c r="AE688" i="10"/>
  <c r="AD687" i="10"/>
  <c r="AC687" i="10"/>
  <c r="AB687" i="10"/>
  <c r="AA687" i="10"/>
  <c r="Z687" i="10"/>
  <c r="Y687" i="10"/>
  <c r="X687" i="10"/>
  <c r="W687" i="10"/>
  <c r="V687" i="10"/>
  <c r="U687" i="10"/>
  <c r="T687" i="10"/>
  <c r="R687" i="10"/>
  <c r="S687" i="10"/>
  <c r="AE687" i="10"/>
  <c r="AD686" i="10"/>
  <c r="AC686" i="10"/>
  <c r="AB686" i="10"/>
  <c r="AA686" i="10"/>
  <c r="Z686" i="10"/>
  <c r="Y686" i="10"/>
  <c r="X686" i="10"/>
  <c r="W686" i="10"/>
  <c r="V686" i="10"/>
  <c r="U686" i="10"/>
  <c r="T686" i="10"/>
  <c r="S686" i="10"/>
  <c r="R686" i="10"/>
  <c r="AE686" i="10"/>
  <c r="AD685" i="10"/>
  <c r="AC685" i="10"/>
  <c r="AB685" i="10"/>
  <c r="AA685" i="10"/>
  <c r="Z685" i="10"/>
  <c r="Y685" i="10"/>
  <c r="X685" i="10"/>
  <c r="W685" i="10"/>
  <c r="V685" i="10"/>
  <c r="U685" i="10"/>
  <c r="T685" i="10"/>
  <c r="S685" i="10"/>
  <c r="R685" i="10"/>
  <c r="AE685" i="10"/>
  <c r="AD684" i="10"/>
  <c r="AC684" i="10"/>
  <c r="AB684" i="10"/>
  <c r="AA684" i="10"/>
  <c r="Z684" i="10"/>
  <c r="Y684" i="10"/>
  <c r="X684" i="10"/>
  <c r="W684" i="10"/>
  <c r="V684" i="10"/>
  <c r="U684" i="10"/>
  <c r="T684" i="10"/>
  <c r="S684" i="10"/>
  <c r="R684" i="10"/>
  <c r="AD683" i="10"/>
  <c r="AC683" i="10"/>
  <c r="AB683" i="10"/>
  <c r="AA683" i="10"/>
  <c r="Z683" i="10"/>
  <c r="Y683" i="10"/>
  <c r="X683" i="10"/>
  <c r="W683" i="10"/>
  <c r="V683" i="10"/>
  <c r="U683" i="10"/>
  <c r="T683" i="10"/>
  <c r="S683" i="10"/>
  <c r="R683" i="10"/>
  <c r="AE683" i="10"/>
  <c r="AD682" i="10"/>
  <c r="AC682" i="10"/>
  <c r="AB682" i="10"/>
  <c r="AA682" i="10"/>
  <c r="Z682" i="10"/>
  <c r="Y682" i="10"/>
  <c r="X682" i="10"/>
  <c r="W682" i="10"/>
  <c r="V682" i="10"/>
  <c r="U682" i="10"/>
  <c r="T682" i="10"/>
  <c r="S682" i="10"/>
  <c r="R682" i="10"/>
  <c r="AE682" i="10"/>
  <c r="AD681" i="10"/>
  <c r="AC681" i="10"/>
  <c r="AB681" i="10"/>
  <c r="AA681" i="10"/>
  <c r="Z681" i="10"/>
  <c r="Y681" i="10"/>
  <c r="X681" i="10"/>
  <c r="W681" i="10"/>
  <c r="V681" i="10"/>
  <c r="U681" i="10"/>
  <c r="T681" i="10"/>
  <c r="S681" i="10"/>
  <c r="R681" i="10"/>
  <c r="AE681" i="10"/>
  <c r="AD680" i="10"/>
  <c r="AC680" i="10"/>
  <c r="AB680" i="10"/>
  <c r="AA680" i="10"/>
  <c r="Z680" i="10"/>
  <c r="Y680" i="10"/>
  <c r="X680" i="10"/>
  <c r="W680" i="10"/>
  <c r="V680" i="10"/>
  <c r="U680" i="10"/>
  <c r="T680" i="10"/>
  <c r="S680" i="10"/>
  <c r="R680" i="10"/>
  <c r="AE680" i="10"/>
  <c r="AD679" i="10"/>
  <c r="AC679" i="10"/>
  <c r="AB679" i="10"/>
  <c r="AA679" i="10"/>
  <c r="Z679" i="10"/>
  <c r="Y679" i="10"/>
  <c r="X679" i="10"/>
  <c r="W679" i="10"/>
  <c r="V679" i="10"/>
  <c r="U679" i="10"/>
  <c r="T679" i="10"/>
  <c r="S679" i="10"/>
  <c r="R679" i="10"/>
  <c r="AD678" i="10"/>
  <c r="AC678" i="10"/>
  <c r="AB678" i="10"/>
  <c r="AA678" i="10"/>
  <c r="Z678" i="10"/>
  <c r="Y678" i="10"/>
  <c r="X678" i="10"/>
  <c r="W678" i="10"/>
  <c r="R678" i="10"/>
  <c r="S678" i="10"/>
  <c r="T678" i="10"/>
  <c r="U678" i="10"/>
  <c r="V678" i="10"/>
  <c r="AE678" i="10"/>
  <c r="AD677" i="10"/>
  <c r="AC677" i="10"/>
  <c r="AB677" i="10"/>
  <c r="AA677" i="10"/>
  <c r="Z677" i="10"/>
  <c r="Y677" i="10"/>
  <c r="X677" i="10"/>
  <c r="W677" i="10"/>
  <c r="V677" i="10"/>
  <c r="U677" i="10"/>
  <c r="T677" i="10"/>
  <c r="S677" i="10"/>
  <c r="R677" i="10"/>
  <c r="AD676" i="10"/>
  <c r="AC676" i="10"/>
  <c r="AB676" i="10"/>
  <c r="AA676" i="10"/>
  <c r="Z676" i="10"/>
  <c r="Y676" i="10"/>
  <c r="X676" i="10"/>
  <c r="W676" i="10"/>
  <c r="V676" i="10"/>
  <c r="U676" i="10"/>
  <c r="T676" i="10"/>
  <c r="S676" i="10"/>
  <c r="R676" i="10"/>
  <c r="AD675" i="10"/>
  <c r="AC675" i="10"/>
  <c r="AB675" i="10"/>
  <c r="AA675" i="10"/>
  <c r="Z675" i="10"/>
  <c r="Y675" i="10"/>
  <c r="X675" i="10"/>
  <c r="W675" i="10"/>
  <c r="V675" i="10"/>
  <c r="U675" i="10"/>
  <c r="T675" i="10"/>
  <c r="S675" i="10"/>
  <c r="R675" i="10"/>
  <c r="AD674" i="10"/>
  <c r="AC674" i="10"/>
  <c r="AB674" i="10"/>
  <c r="AA674" i="10"/>
  <c r="Z674" i="10"/>
  <c r="Y674" i="10"/>
  <c r="X674" i="10"/>
  <c r="W674" i="10"/>
  <c r="R674" i="10"/>
  <c r="S674" i="10"/>
  <c r="T674" i="10"/>
  <c r="U674" i="10"/>
  <c r="V674" i="10"/>
  <c r="AE674" i="10"/>
  <c r="AD673" i="10"/>
  <c r="AC673" i="10"/>
  <c r="AB673" i="10"/>
  <c r="AA673" i="10"/>
  <c r="Z673" i="10"/>
  <c r="Y673" i="10"/>
  <c r="X673" i="10"/>
  <c r="W673" i="10"/>
  <c r="V673" i="10"/>
  <c r="U673" i="10"/>
  <c r="T673" i="10"/>
  <c r="S673" i="10"/>
  <c r="R673" i="10"/>
  <c r="AD672" i="10"/>
  <c r="AC672" i="10"/>
  <c r="AB672" i="10"/>
  <c r="AA672" i="10"/>
  <c r="Z672" i="10"/>
  <c r="Y672" i="10"/>
  <c r="X672" i="10"/>
  <c r="W672" i="10"/>
  <c r="V672" i="10"/>
  <c r="U672" i="10"/>
  <c r="T672" i="10"/>
  <c r="S672" i="10"/>
  <c r="R672" i="10"/>
  <c r="AE672" i="10"/>
  <c r="AD671" i="10"/>
  <c r="AC671" i="10"/>
  <c r="AB671" i="10"/>
  <c r="AA671" i="10"/>
  <c r="Z671" i="10"/>
  <c r="Y671" i="10"/>
  <c r="X671" i="10"/>
  <c r="W671" i="10"/>
  <c r="V671" i="10"/>
  <c r="U671" i="10"/>
  <c r="T671" i="10"/>
  <c r="S671" i="10"/>
  <c r="R671" i="10"/>
  <c r="AD670" i="10"/>
  <c r="AC670" i="10"/>
  <c r="AB670" i="10"/>
  <c r="AA670" i="10"/>
  <c r="Z670" i="10"/>
  <c r="Y670" i="10"/>
  <c r="X670" i="10"/>
  <c r="W670" i="10"/>
  <c r="R670" i="10"/>
  <c r="S670" i="10"/>
  <c r="T670" i="10"/>
  <c r="U670" i="10"/>
  <c r="V670" i="10"/>
  <c r="AE670" i="10"/>
  <c r="AD669" i="10"/>
  <c r="AC669" i="10"/>
  <c r="AB669" i="10"/>
  <c r="AA669" i="10"/>
  <c r="Z669" i="10"/>
  <c r="Y669" i="10"/>
  <c r="X669" i="10"/>
  <c r="W669" i="10"/>
  <c r="V669" i="10"/>
  <c r="U669" i="10"/>
  <c r="T669" i="10"/>
  <c r="S669" i="10"/>
  <c r="R669" i="10"/>
  <c r="AD668" i="10"/>
  <c r="AC668" i="10"/>
  <c r="AB668" i="10"/>
  <c r="AA668" i="10"/>
  <c r="Z668" i="10"/>
  <c r="Y668" i="10"/>
  <c r="X668" i="10"/>
  <c r="W668" i="10"/>
  <c r="V668" i="10"/>
  <c r="U668" i="10"/>
  <c r="T668" i="10"/>
  <c r="S668" i="10"/>
  <c r="R668" i="10"/>
  <c r="AD667" i="10"/>
  <c r="AC667" i="10"/>
  <c r="AB667" i="10"/>
  <c r="AA667" i="10"/>
  <c r="Z667" i="10"/>
  <c r="Y667" i="10"/>
  <c r="X667" i="10"/>
  <c r="W667" i="10"/>
  <c r="V667" i="10"/>
  <c r="U667" i="10"/>
  <c r="T667" i="10"/>
  <c r="S667" i="10"/>
  <c r="R667" i="10"/>
  <c r="AE667" i="10"/>
  <c r="AD666" i="10"/>
  <c r="AC666" i="10"/>
  <c r="AB666" i="10"/>
  <c r="AA666" i="10"/>
  <c r="Z666" i="10"/>
  <c r="Y666" i="10"/>
  <c r="X666" i="10"/>
  <c r="W666" i="10"/>
  <c r="V666" i="10"/>
  <c r="U666" i="10"/>
  <c r="T666" i="10"/>
  <c r="S666" i="10"/>
  <c r="R666" i="10"/>
  <c r="AE666" i="10"/>
  <c r="AD665" i="10"/>
  <c r="AC665" i="10"/>
  <c r="AB665" i="10"/>
  <c r="AA665" i="10"/>
  <c r="Z665" i="10"/>
  <c r="Y665" i="10"/>
  <c r="X665" i="10"/>
  <c r="W665" i="10"/>
  <c r="V665" i="10"/>
  <c r="U665" i="10"/>
  <c r="T665" i="10"/>
  <c r="S665" i="10"/>
  <c r="R665" i="10"/>
  <c r="AD664" i="10"/>
  <c r="AC664" i="10"/>
  <c r="AB664" i="10"/>
  <c r="AA664" i="10"/>
  <c r="Z664" i="10"/>
  <c r="Y664" i="10"/>
  <c r="X664" i="10"/>
  <c r="W664" i="10"/>
  <c r="R664" i="10"/>
  <c r="S664" i="10"/>
  <c r="T664" i="10"/>
  <c r="U664" i="10"/>
  <c r="V664" i="10"/>
  <c r="AE664" i="10"/>
  <c r="AD663" i="10"/>
  <c r="AC663" i="10"/>
  <c r="AB663" i="10"/>
  <c r="AA663" i="10"/>
  <c r="Z663" i="10"/>
  <c r="Y663" i="10"/>
  <c r="X663" i="10"/>
  <c r="W663" i="10"/>
  <c r="V663" i="10"/>
  <c r="U663" i="10"/>
  <c r="T663" i="10"/>
  <c r="S663" i="10"/>
  <c r="R663" i="10"/>
  <c r="AD662" i="10"/>
  <c r="AC662" i="10"/>
  <c r="AB662" i="10"/>
  <c r="AA662" i="10"/>
  <c r="Z662" i="10"/>
  <c r="Y662" i="10"/>
  <c r="X662" i="10"/>
  <c r="W662" i="10"/>
  <c r="V662" i="10"/>
  <c r="U662" i="10"/>
  <c r="R662" i="10"/>
  <c r="S662" i="10"/>
  <c r="T662" i="10"/>
  <c r="AE662" i="10"/>
  <c r="AD661" i="10"/>
  <c r="AC661" i="10"/>
  <c r="AB661" i="10"/>
  <c r="AA661" i="10"/>
  <c r="Z661" i="10"/>
  <c r="Y661" i="10"/>
  <c r="X661" i="10"/>
  <c r="W661" i="10"/>
  <c r="V661" i="10"/>
  <c r="U661" i="10"/>
  <c r="T661" i="10"/>
  <c r="S661" i="10"/>
  <c r="R661" i="10"/>
  <c r="AE661" i="10"/>
  <c r="AD660" i="10"/>
  <c r="AC660" i="10"/>
  <c r="AB660" i="10"/>
  <c r="AA660" i="10"/>
  <c r="Z660" i="10"/>
  <c r="Y660" i="10"/>
  <c r="X660" i="10"/>
  <c r="W660" i="10"/>
  <c r="V660" i="10"/>
  <c r="U660" i="10"/>
  <c r="T660" i="10"/>
  <c r="S660" i="10"/>
  <c r="R660" i="10"/>
  <c r="AE660" i="10"/>
  <c r="AD659" i="10"/>
  <c r="AC659" i="10"/>
  <c r="AB659" i="10"/>
  <c r="AA659" i="10"/>
  <c r="Z659" i="10"/>
  <c r="Y659" i="10"/>
  <c r="X659" i="10"/>
  <c r="W659" i="10"/>
  <c r="V659" i="10"/>
  <c r="U659" i="10"/>
  <c r="T659" i="10"/>
  <c r="S659" i="10"/>
  <c r="R659" i="10"/>
  <c r="AD658" i="10"/>
  <c r="AC658" i="10"/>
  <c r="AB658" i="10"/>
  <c r="AA658" i="10"/>
  <c r="Z658" i="10"/>
  <c r="Y658" i="10"/>
  <c r="X658" i="10"/>
  <c r="W658" i="10"/>
  <c r="V658" i="10"/>
  <c r="U658" i="10"/>
  <c r="T658" i="10"/>
  <c r="S658" i="10"/>
  <c r="R658" i="10"/>
  <c r="AE658" i="10"/>
  <c r="AD657" i="10"/>
  <c r="AC657" i="10"/>
  <c r="AB657" i="10"/>
  <c r="AA657" i="10"/>
  <c r="Z657" i="10"/>
  <c r="Y657" i="10"/>
  <c r="X657" i="10"/>
  <c r="W657" i="10"/>
  <c r="V657" i="10"/>
  <c r="U657" i="10"/>
  <c r="T657" i="10"/>
  <c r="S657" i="10"/>
  <c r="R657" i="10"/>
  <c r="AE657" i="10"/>
  <c r="AD656" i="10"/>
  <c r="AC656" i="10"/>
  <c r="AB656" i="10"/>
  <c r="AA656" i="10"/>
  <c r="Z656" i="10"/>
  <c r="Y656" i="10"/>
  <c r="X656" i="10"/>
  <c r="W656" i="10"/>
  <c r="V656" i="10"/>
  <c r="U656" i="10"/>
  <c r="T656" i="10"/>
  <c r="S656" i="10"/>
  <c r="R656" i="10"/>
  <c r="AE656" i="10"/>
  <c r="AD655" i="10"/>
  <c r="AC655" i="10"/>
  <c r="AB655" i="10"/>
  <c r="AA655" i="10"/>
  <c r="Z655" i="10"/>
  <c r="Y655" i="10"/>
  <c r="X655" i="10"/>
  <c r="W655" i="10"/>
  <c r="V655" i="10"/>
  <c r="U655" i="10"/>
  <c r="T655" i="10"/>
  <c r="S655" i="10"/>
  <c r="R655" i="10"/>
  <c r="AD654" i="10"/>
  <c r="AC654" i="10"/>
  <c r="AB654" i="10"/>
  <c r="AA654" i="10"/>
  <c r="Z654" i="10"/>
  <c r="Y654" i="10"/>
  <c r="X654" i="10"/>
  <c r="W654" i="10"/>
  <c r="V654" i="10"/>
  <c r="U654" i="10"/>
  <c r="T654" i="10"/>
  <c r="S654" i="10"/>
  <c r="R654" i="10"/>
  <c r="AE654" i="10"/>
  <c r="AD653" i="10"/>
  <c r="AC653" i="10"/>
  <c r="AB653" i="10"/>
  <c r="AA653" i="10"/>
  <c r="Z653" i="10"/>
  <c r="Y653" i="10"/>
  <c r="X653" i="10"/>
  <c r="W653" i="10"/>
  <c r="V653" i="10"/>
  <c r="U653" i="10"/>
  <c r="T653" i="10"/>
  <c r="S653" i="10"/>
  <c r="R653" i="10"/>
  <c r="AD652" i="10"/>
  <c r="AC652" i="10"/>
  <c r="AB652" i="10"/>
  <c r="AA652" i="10"/>
  <c r="Z652" i="10"/>
  <c r="Y652" i="10"/>
  <c r="X652" i="10"/>
  <c r="W652" i="10"/>
  <c r="V652" i="10"/>
  <c r="U652" i="10"/>
  <c r="T652" i="10"/>
  <c r="S652" i="10"/>
  <c r="R652" i="10"/>
  <c r="AD651" i="10"/>
  <c r="AC651" i="10"/>
  <c r="AB651" i="10"/>
  <c r="AA651" i="10"/>
  <c r="Z651" i="10"/>
  <c r="Y651" i="10"/>
  <c r="X651" i="10"/>
  <c r="W651" i="10"/>
  <c r="V651" i="10"/>
  <c r="U651" i="10"/>
  <c r="T651" i="10"/>
  <c r="S651" i="10"/>
  <c r="R651" i="10"/>
  <c r="AD650" i="10"/>
  <c r="AC650" i="10"/>
  <c r="AB650" i="10"/>
  <c r="AA650" i="10"/>
  <c r="Z650" i="10"/>
  <c r="Y650" i="10"/>
  <c r="X650" i="10"/>
  <c r="W650" i="10"/>
  <c r="V650" i="10"/>
  <c r="U650" i="10"/>
  <c r="T650" i="10"/>
  <c r="S650" i="10"/>
  <c r="R650" i="10"/>
  <c r="AE650" i="10"/>
  <c r="AD649" i="10"/>
  <c r="AC649" i="10"/>
  <c r="AB649" i="10"/>
  <c r="AA649" i="10"/>
  <c r="Z649" i="10"/>
  <c r="Y649" i="10"/>
  <c r="X649" i="10"/>
  <c r="W649" i="10"/>
  <c r="V649" i="10"/>
  <c r="U649" i="10"/>
  <c r="T649" i="10"/>
  <c r="S649" i="10"/>
  <c r="R649" i="10"/>
  <c r="AE649" i="10"/>
  <c r="AD648" i="10"/>
  <c r="AC648" i="10"/>
  <c r="AB648" i="10"/>
  <c r="AA648" i="10"/>
  <c r="Z648" i="10"/>
  <c r="Y648" i="10"/>
  <c r="X648" i="10"/>
  <c r="W648" i="10"/>
  <c r="R648" i="10"/>
  <c r="S648" i="10"/>
  <c r="T648" i="10"/>
  <c r="U648" i="10"/>
  <c r="V648" i="10"/>
  <c r="AE648" i="10"/>
  <c r="AD647" i="10"/>
  <c r="AC647" i="10"/>
  <c r="AB647" i="10"/>
  <c r="AA647" i="10"/>
  <c r="Z647" i="10"/>
  <c r="Y647" i="10"/>
  <c r="X647" i="10"/>
  <c r="W647" i="10"/>
  <c r="V647" i="10"/>
  <c r="U647" i="10"/>
  <c r="T647" i="10"/>
  <c r="S647" i="10"/>
  <c r="R647" i="10"/>
  <c r="AD646" i="10"/>
  <c r="AC646" i="10"/>
  <c r="AB646" i="10"/>
  <c r="AA646" i="10"/>
  <c r="Z646" i="10"/>
  <c r="Y646" i="10"/>
  <c r="X646" i="10"/>
  <c r="W646" i="10"/>
  <c r="V646" i="10"/>
  <c r="U646" i="10"/>
  <c r="T646" i="10"/>
  <c r="R646" i="10"/>
  <c r="S646" i="10"/>
  <c r="AE646" i="10"/>
  <c r="AD645" i="10"/>
  <c r="AC645" i="10"/>
  <c r="AB645" i="10"/>
  <c r="AA645" i="10"/>
  <c r="Z645" i="10"/>
  <c r="Y645" i="10"/>
  <c r="X645" i="10"/>
  <c r="W645" i="10"/>
  <c r="V645" i="10"/>
  <c r="U645" i="10"/>
  <c r="T645" i="10"/>
  <c r="S645" i="10"/>
  <c r="R645" i="10"/>
  <c r="AE645" i="10"/>
  <c r="AD644" i="10"/>
  <c r="AC644" i="10"/>
  <c r="AB644" i="10"/>
  <c r="AA644" i="10"/>
  <c r="Z644" i="10"/>
  <c r="Y644" i="10"/>
  <c r="X644" i="10"/>
  <c r="W644" i="10"/>
  <c r="V644" i="10"/>
  <c r="U644" i="10"/>
  <c r="T644" i="10"/>
  <c r="S644" i="10"/>
  <c r="R644" i="10"/>
  <c r="AD643" i="10"/>
  <c r="AC643" i="10"/>
  <c r="AB643" i="10"/>
  <c r="AA643" i="10"/>
  <c r="Z643" i="10"/>
  <c r="Y643" i="10"/>
  <c r="X643" i="10"/>
  <c r="W643" i="10"/>
  <c r="V643" i="10"/>
  <c r="U643" i="10"/>
  <c r="T643" i="10"/>
  <c r="S643" i="10"/>
  <c r="R643" i="10"/>
  <c r="AD642" i="10"/>
  <c r="AC642" i="10"/>
  <c r="AB642" i="10"/>
  <c r="AA642" i="10"/>
  <c r="Z642" i="10"/>
  <c r="Y642" i="10"/>
  <c r="X642" i="10"/>
  <c r="W642" i="10"/>
  <c r="V642" i="10"/>
  <c r="U642" i="10"/>
  <c r="T642" i="10"/>
  <c r="S642" i="10"/>
  <c r="R642" i="10"/>
  <c r="AE642" i="10"/>
  <c r="AD641" i="10"/>
  <c r="AC641" i="10"/>
  <c r="AB641" i="10"/>
  <c r="AA641" i="10"/>
  <c r="Z641" i="10"/>
  <c r="Y641" i="10"/>
  <c r="X641" i="10"/>
  <c r="W641" i="10"/>
  <c r="V641" i="10"/>
  <c r="U641" i="10"/>
  <c r="T641" i="10"/>
  <c r="S641" i="10"/>
  <c r="R641" i="10"/>
  <c r="AE641" i="10"/>
  <c r="AD640" i="10"/>
  <c r="AC640" i="10"/>
  <c r="AB640" i="10"/>
  <c r="AA640" i="10"/>
  <c r="Z640" i="10"/>
  <c r="Y640" i="10"/>
  <c r="X640" i="10"/>
  <c r="W640" i="10"/>
  <c r="V640" i="10"/>
  <c r="U640" i="10"/>
  <c r="T640" i="10"/>
  <c r="S640" i="10"/>
  <c r="R640" i="10"/>
  <c r="AE640" i="10"/>
  <c r="AD639" i="10"/>
  <c r="AC639" i="10"/>
  <c r="AB639" i="10"/>
  <c r="AA639" i="10"/>
  <c r="Z639" i="10"/>
  <c r="Y639" i="10"/>
  <c r="X639" i="10"/>
  <c r="W639" i="10"/>
  <c r="V639" i="10"/>
  <c r="U639" i="10"/>
  <c r="T639" i="10"/>
  <c r="S639" i="10"/>
  <c r="R639" i="10"/>
  <c r="AD638" i="10"/>
  <c r="AC638" i="10"/>
  <c r="AB638" i="10"/>
  <c r="AA638" i="10"/>
  <c r="Z638" i="10"/>
  <c r="Y638" i="10"/>
  <c r="X638" i="10"/>
  <c r="W638" i="10"/>
  <c r="V638" i="10"/>
  <c r="U638" i="10"/>
  <c r="T638" i="10"/>
  <c r="S638" i="10"/>
  <c r="R638" i="10"/>
  <c r="AE638" i="10"/>
  <c r="AD637" i="10"/>
  <c r="AC637" i="10"/>
  <c r="AB637" i="10"/>
  <c r="AA637" i="10"/>
  <c r="Z637" i="10"/>
  <c r="Y637" i="10"/>
  <c r="X637" i="10"/>
  <c r="W637" i="10"/>
  <c r="V637" i="10"/>
  <c r="U637" i="10"/>
  <c r="T637" i="10"/>
  <c r="S637" i="10"/>
  <c r="R637" i="10"/>
  <c r="AD636" i="10"/>
  <c r="AC636" i="10"/>
  <c r="AB636" i="10"/>
  <c r="AA636" i="10"/>
  <c r="Z636" i="10"/>
  <c r="Y636" i="10"/>
  <c r="X636" i="10"/>
  <c r="W636" i="10"/>
  <c r="V636" i="10"/>
  <c r="U636" i="10"/>
  <c r="T636" i="10"/>
  <c r="S636" i="10"/>
  <c r="R636" i="10"/>
  <c r="AD635" i="10"/>
  <c r="AC635" i="10"/>
  <c r="AB635" i="10"/>
  <c r="AA635" i="10"/>
  <c r="Z635" i="10"/>
  <c r="Y635" i="10"/>
  <c r="X635" i="10"/>
  <c r="W635" i="10"/>
  <c r="V635" i="10"/>
  <c r="U635" i="10"/>
  <c r="T635" i="10"/>
  <c r="S635" i="10"/>
  <c r="R635" i="10"/>
  <c r="AD634" i="10"/>
  <c r="AC634" i="10"/>
  <c r="AB634" i="10"/>
  <c r="AA634" i="10"/>
  <c r="Z634" i="10"/>
  <c r="Y634" i="10"/>
  <c r="X634" i="10"/>
  <c r="W634" i="10"/>
  <c r="V634" i="10"/>
  <c r="U634" i="10"/>
  <c r="T634" i="10"/>
  <c r="S634" i="10"/>
  <c r="R634" i="10"/>
  <c r="AE634" i="10"/>
  <c r="AD633" i="10"/>
  <c r="AC633" i="10"/>
  <c r="AB633" i="10"/>
  <c r="AA633" i="10"/>
  <c r="Z633" i="10"/>
  <c r="Y633" i="10"/>
  <c r="X633" i="10"/>
  <c r="W633" i="10"/>
  <c r="V633" i="10"/>
  <c r="U633" i="10"/>
  <c r="T633" i="10"/>
  <c r="S633" i="10"/>
  <c r="R633" i="10"/>
  <c r="AD632" i="10"/>
  <c r="AC632" i="10"/>
  <c r="AB632" i="10"/>
  <c r="AA632" i="10"/>
  <c r="Z632" i="10"/>
  <c r="Y632" i="10"/>
  <c r="X632" i="10"/>
  <c r="W632" i="10"/>
  <c r="R632" i="10"/>
  <c r="S632" i="10"/>
  <c r="T632" i="10"/>
  <c r="U632" i="10"/>
  <c r="V632" i="10"/>
  <c r="AE632" i="10"/>
  <c r="AD631" i="10"/>
  <c r="AC631" i="10"/>
  <c r="AB631" i="10"/>
  <c r="AA631" i="10"/>
  <c r="Z631" i="10"/>
  <c r="Y631" i="10"/>
  <c r="X631" i="10"/>
  <c r="W631" i="10"/>
  <c r="V631" i="10"/>
  <c r="U631" i="10"/>
  <c r="T631" i="10"/>
  <c r="R631" i="10"/>
  <c r="S631" i="10"/>
  <c r="AE631" i="10"/>
  <c r="AD630" i="10"/>
  <c r="AC630" i="10"/>
  <c r="AB630" i="10"/>
  <c r="AA630" i="10"/>
  <c r="Z630" i="10"/>
  <c r="Y630" i="10"/>
  <c r="X630" i="10"/>
  <c r="W630" i="10"/>
  <c r="V630" i="10"/>
  <c r="U630" i="10"/>
  <c r="T630" i="10"/>
  <c r="S630" i="10"/>
  <c r="R630" i="10"/>
  <c r="AE630" i="10"/>
  <c r="AD629" i="10"/>
  <c r="AC629" i="10"/>
  <c r="AB629" i="10"/>
  <c r="AA629" i="10"/>
  <c r="Z629" i="10"/>
  <c r="Y629" i="10"/>
  <c r="X629" i="10"/>
  <c r="W629" i="10"/>
  <c r="V629" i="10"/>
  <c r="U629" i="10"/>
  <c r="T629" i="10"/>
  <c r="S629" i="10"/>
  <c r="R629" i="10"/>
  <c r="AD628" i="10"/>
  <c r="AC628" i="10"/>
  <c r="AB628" i="10"/>
  <c r="AA628" i="10"/>
  <c r="Z628" i="10"/>
  <c r="Y628" i="10"/>
  <c r="X628" i="10"/>
  <c r="W628" i="10"/>
  <c r="V628" i="10"/>
  <c r="U628" i="10"/>
  <c r="T628" i="10"/>
  <c r="S628" i="10"/>
  <c r="R628" i="10"/>
  <c r="AE628" i="10"/>
  <c r="AD627" i="10"/>
  <c r="AC627" i="10"/>
  <c r="AB627" i="10"/>
  <c r="AA627" i="10"/>
  <c r="Z627" i="10"/>
  <c r="Y627" i="10"/>
  <c r="X627" i="10"/>
  <c r="W627" i="10"/>
  <c r="V627" i="10"/>
  <c r="U627" i="10"/>
  <c r="T627" i="10"/>
  <c r="S627" i="10"/>
  <c r="R627" i="10"/>
  <c r="AD626" i="10"/>
  <c r="AC626" i="10"/>
  <c r="AB626" i="10"/>
  <c r="AA626" i="10"/>
  <c r="Z626" i="10"/>
  <c r="Y626" i="10"/>
  <c r="X626" i="10"/>
  <c r="W626" i="10"/>
  <c r="V626" i="10"/>
  <c r="U626" i="10"/>
  <c r="T626" i="10"/>
  <c r="S626" i="10"/>
  <c r="R626" i="10"/>
  <c r="AE626" i="10"/>
  <c r="AD625" i="10"/>
  <c r="AC625" i="10"/>
  <c r="AB625" i="10"/>
  <c r="AA625" i="10"/>
  <c r="Z625" i="10"/>
  <c r="Y625" i="10"/>
  <c r="X625" i="10"/>
  <c r="W625" i="10"/>
  <c r="V625" i="10"/>
  <c r="U625" i="10"/>
  <c r="T625" i="10"/>
  <c r="S625" i="10"/>
  <c r="R625" i="10"/>
  <c r="AE625" i="10"/>
  <c r="AD624" i="10"/>
  <c r="AC624" i="10"/>
  <c r="AB624" i="10"/>
  <c r="AA624" i="10"/>
  <c r="Z624" i="10"/>
  <c r="Y624" i="10"/>
  <c r="X624" i="10"/>
  <c r="W624" i="10"/>
  <c r="R624" i="10"/>
  <c r="S624" i="10"/>
  <c r="T624" i="10"/>
  <c r="U624" i="10"/>
  <c r="V624" i="10"/>
  <c r="AE624" i="10"/>
  <c r="AD623" i="10"/>
  <c r="AC623" i="10"/>
  <c r="AB623" i="10"/>
  <c r="AA623" i="10"/>
  <c r="Z623" i="10"/>
  <c r="Y623" i="10"/>
  <c r="X623" i="10"/>
  <c r="W623" i="10"/>
  <c r="R623" i="10"/>
  <c r="S623" i="10"/>
  <c r="T623" i="10"/>
  <c r="U623" i="10"/>
  <c r="V623" i="10"/>
  <c r="AE623" i="10"/>
  <c r="AD622" i="10"/>
  <c r="AC622" i="10"/>
  <c r="AB622" i="10"/>
  <c r="AA622" i="10"/>
  <c r="Z622" i="10"/>
  <c r="Y622" i="10"/>
  <c r="X622" i="10"/>
  <c r="W622" i="10"/>
  <c r="V622" i="10"/>
  <c r="U622" i="10"/>
  <c r="T622" i="10"/>
  <c r="S622" i="10"/>
  <c r="R622" i="10"/>
  <c r="AE622" i="10"/>
  <c r="AD621" i="10"/>
  <c r="AC621" i="10"/>
  <c r="AB621" i="10"/>
  <c r="AA621" i="10"/>
  <c r="Z621" i="10"/>
  <c r="Y621" i="10"/>
  <c r="X621" i="10"/>
  <c r="W621" i="10"/>
  <c r="V621" i="10"/>
  <c r="U621" i="10"/>
  <c r="T621" i="10"/>
  <c r="S621" i="10"/>
  <c r="R621" i="10"/>
  <c r="AD620" i="10"/>
  <c r="AC620" i="10"/>
  <c r="AB620" i="10"/>
  <c r="AA620" i="10"/>
  <c r="Z620" i="10"/>
  <c r="Y620" i="10"/>
  <c r="X620" i="10"/>
  <c r="W620" i="10"/>
  <c r="V620" i="10"/>
  <c r="U620" i="10"/>
  <c r="T620" i="10"/>
  <c r="S620" i="10"/>
  <c r="R620" i="10"/>
  <c r="AD619" i="10"/>
  <c r="AC619" i="10"/>
  <c r="AB619" i="10"/>
  <c r="AA619" i="10"/>
  <c r="Z619" i="10"/>
  <c r="Y619" i="10"/>
  <c r="X619" i="10"/>
  <c r="W619" i="10"/>
  <c r="V619" i="10"/>
  <c r="U619" i="10"/>
  <c r="T619" i="10"/>
  <c r="S619" i="10"/>
  <c r="R619" i="10"/>
  <c r="AD618" i="10"/>
  <c r="AC618" i="10"/>
  <c r="AB618" i="10"/>
  <c r="AA618" i="10"/>
  <c r="Z618" i="10"/>
  <c r="Y618" i="10"/>
  <c r="X618" i="10"/>
  <c r="W618" i="10"/>
  <c r="V618" i="10"/>
  <c r="U618" i="10"/>
  <c r="T618" i="10"/>
  <c r="S618" i="10"/>
  <c r="R618" i="10"/>
  <c r="AD617" i="10"/>
  <c r="AC617" i="10"/>
  <c r="AB617" i="10"/>
  <c r="AA617" i="10"/>
  <c r="Z617" i="10"/>
  <c r="Y617" i="10"/>
  <c r="X617" i="10"/>
  <c r="W617" i="10"/>
  <c r="V617" i="10"/>
  <c r="U617" i="10"/>
  <c r="T617" i="10"/>
  <c r="S617" i="10"/>
  <c r="R617" i="10"/>
  <c r="AE617" i="10"/>
  <c r="AD616" i="10"/>
  <c r="AC616" i="10"/>
  <c r="AB616" i="10"/>
  <c r="AA616" i="10"/>
  <c r="Z616" i="10"/>
  <c r="Y616" i="10"/>
  <c r="X616" i="10"/>
  <c r="W616" i="10"/>
  <c r="V616" i="10"/>
  <c r="U616" i="10"/>
  <c r="T616" i="10"/>
  <c r="S616" i="10"/>
  <c r="R616" i="10"/>
  <c r="AE616" i="10"/>
  <c r="AD615" i="10"/>
  <c r="AC615" i="10"/>
  <c r="AB615" i="10"/>
  <c r="AA615" i="10"/>
  <c r="Z615" i="10"/>
  <c r="Y615" i="10"/>
  <c r="X615" i="10"/>
  <c r="W615" i="10"/>
  <c r="V615" i="10"/>
  <c r="U615" i="10"/>
  <c r="T615" i="10"/>
  <c r="S615" i="10"/>
  <c r="R615" i="10"/>
  <c r="AD614" i="10"/>
  <c r="AC614" i="10"/>
  <c r="AB614" i="10"/>
  <c r="AA614" i="10"/>
  <c r="Z614" i="10"/>
  <c r="Y614" i="10"/>
  <c r="X614" i="10"/>
  <c r="W614" i="10"/>
  <c r="R614" i="10"/>
  <c r="S614" i="10"/>
  <c r="T614" i="10"/>
  <c r="U614" i="10"/>
  <c r="V614" i="10"/>
  <c r="AE614" i="10"/>
  <c r="AD613" i="10"/>
  <c r="AC613" i="10"/>
  <c r="AB613" i="10"/>
  <c r="AA613" i="10"/>
  <c r="Z613" i="10"/>
  <c r="Y613" i="10"/>
  <c r="X613" i="10"/>
  <c r="W613" i="10"/>
  <c r="V613" i="10"/>
  <c r="U613" i="10"/>
  <c r="T613" i="10"/>
  <c r="S613" i="10"/>
  <c r="R613" i="10"/>
  <c r="AE613" i="10"/>
  <c r="AD612" i="10"/>
  <c r="AC612" i="10"/>
  <c r="AB612" i="10"/>
  <c r="AA612" i="10"/>
  <c r="Z612" i="10"/>
  <c r="Y612" i="10"/>
  <c r="X612" i="10"/>
  <c r="W612" i="10"/>
  <c r="V612" i="10"/>
  <c r="U612" i="10"/>
  <c r="T612" i="10"/>
  <c r="S612" i="10"/>
  <c r="R612" i="10"/>
  <c r="AD611" i="10"/>
  <c r="AC611" i="10"/>
  <c r="AB611" i="10"/>
  <c r="AA611" i="10"/>
  <c r="Z611" i="10"/>
  <c r="Y611" i="10"/>
  <c r="X611" i="10"/>
  <c r="W611" i="10"/>
  <c r="V611" i="10"/>
  <c r="U611" i="10"/>
  <c r="T611" i="10"/>
  <c r="S611" i="10"/>
  <c r="R611" i="10"/>
  <c r="AD610" i="10"/>
  <c r="AC610" i="10"/>
  <c r="AB610" i="10"/>
  <c r="AA610" i="10"/>
  <c r="Z610" i="10"/>
  <c r="Y610" i="10"/>
  <c r="X610" i="10"/>
  <c r="W610" i="10"/>
  <c r="V610" i="10"/>
  <c r="U610" i="10"/>
  <c r="T610" i="10"/>
  <c r="S610" i="10"/>
  <c r="R610" i="10"/>
  <c r="AE610" i="10"/>
  <c r="AD609" i="10"/>
  <c r="AC609" i="10"/>
  <c r="AB609" i="10"/>
  <c r="AA609" i="10"/>
  <c r="Z609" i="10"/>
  <c r="Y609" i="10"/>
  <c r="X609" i="10"/>
  <c r="W609" i="10"/>
  <c r="V609" i="10"/>
  <c r="U609" i="10"/>
  <c r="T609" i="10"/>
  <c r="S609" i="10"/>
  <c r="R609" i="10"/>
  <c r="AE609" i="10"/>
  <c r="AD608" i="10"/>
  <c r="AC608" i="10"/>
  <c r="AB608" i="10"/>
  <c r="AA608" i="10"/>
  <c r="Z608" i="10"/>
  <c r="Y608" i="10"/>
  <c r="X608" i="10"/>
  <c r="W608" i="10"/>
  <c r="R608" i="10"/>
  <c r="S608" i="10"/>
  <c r="T608" i="10"/>
  <c r="U608" i="10"/>
  <c r="V608" i="10"/>
  <c r="AE608" i="10"/>
  <c r="AD607" i="10"/>
  <c r="AC607" i="10"/>
  <c r="AB607" i="10"/>
  <c r="AA607" i="10"/>
  <c r="Z607" i="10"/>
  <c r="Y607" i="10"/>
  <c r="X607" i="10"/>
  <c r="W607" i="10"/>
  <c r="V607" i="10"/>
  <c r="U607" i="10"/>
  <c r="T607" i="10"/>
  <c r="S607" i="10"/>
  <c r="R607" i="10"/>
  <c r="AD606" i="10"/>
  <c r="AC606" i="10"/>
  <c r="AB606" i="10"/>
  <c r="AA606" i="10"/>
  <c r="Z606" i="10"/>
  <c r="Y606" i="10"/>
  <c r="X606" i="10"/>
  <c r="W606" i="10"/>
  <c r="V606" i="10"/>
  <c r="U606" i="10"/>
  <c r="T606" i="10"/>
  <c r="S606" i="10"/>
  <c r="R606" i="10"/>
  <c r="AD605" i="10"/>
  <c r="AC605" i="10"/>
  <c r="AB605" i="10"/>
  <c r="AA605" i="10"/>
  <c r="Z605" i="10"/>
  <c r="Y605" i="10"/>
  <c r="X605" i="10"/>
  <c r="W605" i="10"/>
  <c r="V605" i="10"/>
  <c r="U605" i="10"/>
  <c r="T605" i="10"/>
  <c r="S605" i="10"/>
  <c r="R605" i="10"/>
  <c r="AE605" i="10"/>
  <c r="AD604" i="10"/>
  <c r="AC604" i="10"/>
  <c r="AB604" i="10"/>
  <c r="AA604" i="10"/>
  <c r="Z604" i="10"/>
  <c r="Y604" i="10"/>
  <c r="X604" i="10"/>
  <c r="W604" i="10"/>
  <c r="V604" i="10"/>
  <c r="U604" i="10"/>
  <c r="T604" i="10"/>
  <c r="S604" i="10"/>
  <c r="R604" i="10"/>
  <c r="AD603" i="10"/>
  <c r="AC603" i="10"/>
  <c r="AB603" i="10"/>
  <c r="AA603" i="10"/>
  <c r="Z603" i="10"/>
  <c r="Y603" i="10"/>
  <c r="X603" i="10"/>
  <c r="W603" i="10"/>
  <c r="V603" i="10"/>
  <c r="U603" i="10"/>
  <c r="T603" i="10"/>
  <c r="S603" i="10"/>
  <c r="R603" i="10"/>
  <c r="AD602" i="10"/>
  <c r="AC602" i="10"/>
  <c r="AB602" i="10"/>
  <c r="AA602" i="10"/>
  <c r="Z602" i="10"/>
  <c r="Y602" i="10"/>
  <c r="X602" i="10"/>
  <c r="W602" i="10"/>
  <c r="R602" i="10"/>
  <c r="S602" i="10"/>
  <c r="T602" i="10"/>
  <c r="U602" i="10"/>
  <c r="V602" i="10"/>
  <c r="AE602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AE600" i="10"/>
  <c r="AD599" i="10"/>
  <c r="AC599" i="10"/>
  <c r="AB599" i="10"/>
  <c r="AA599" i="10"/>
  <c r="Z599" i="10"/>
  <c r="Y599" i="10"/>
  <c r="X599" i="10"/>
  <c r="W599" i="10"/>
  <c r="V599" i="10"/>
  <c r="U599" i="10"/>
  <c r="T599" i="10"/>
  <c r="R599" i="10"/>
  <c r="S599" i="10"/>
  <c r="AE599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AE598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AE597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AE594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AE593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AE592" i="10"/>
  <c r="AD591" i="10"/>
  <c r="AC591" i="10"/>
  <c r="AB591" i="10"/>
  <c r="AA591" i="10"/>
  <c r="Z591" i="10"/>
  <c r="Y591" i="10"/>
  <c r="X591" i="10"/>
  <c r="W591" i="10"/>
  <c r="V591" i="10"/>
  <c r="U591" i="10"/>
  <c r="T591" i="10"/>
  <c r="R591" i="10"/>
  <c r="S591" i="10"/>
  <c r="AE591" i="10"/>
  <c r="AD590" i="10"/>
  <c r="AC590" i="10"/>
  <c r="AB590" i="10"/>
  <c r="AA590" i="10"/>
  <c r="Z590" i="10"/>
  <c r="Y590" i="10"/>
  <c r="X590" i="10"/>
  <c r="W590" i="10"/>
  <c r="R590" i="10"/>
  <c r="S590" i="10"/>
  <c r="T590" i="10"/>
  <c r="U590" i="10"/>
  <c r="V590" i="10"/>
  <c r="AE590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AE589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AE586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AE585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AE584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AD582" i="10"/>
  <c r="AC582" i="10"/>
  <c r="AB582" i="10"/>
  <c r="AA582" i="10"/>
  <c r="Z582" i="10"/>
  <c r="Y582" i="10"/>
  <c r="X582" i="10"/>
  <c r="W582" i="10"/>
  <c r="R582" i="10"/>
  <c r="S582" i="10"/>
  <c r="T582" i="10"/>
  <c r="U582" i="10"/>
  <c r="V582" i="10"/>
  <c r="AE582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AE578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AD576" i="10"/>
  <c r="AC576" i="10"/>
  <c r="AB576" i="10"/>
  <c r="AA576" i="10"/>
  <c r="Z576" i="10"/>
  <c r="Y576" i="10"/>
  <c r="X576" i="10"/>
  <c r="W576" i="10"/>
  <c r="R576" i="10"/>
  <c r="S576" i="10"/>
  <c r="T576" i="10"/>
  <c r="U576" i="10"/>
  <c r="V576" i="10"/>
  <c r="AE576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AE575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AE574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AE573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AE571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AD569" i="10"/>
  <c r="AC569" i="10"/>
  <c r="AB569" i="10"/>
  <c r="AA569" i="10"/>
  <c r="Z569" i="10"/>
  <c r="Y569" i="10"/>
  <c r="X569" i="10"/>
  <c r="W569" i="10"/>
  <c r="R569" i="10"/>
  <c r="S569" i="10"/>
  <c r="T569" i="10"/>
  <c r="U569" i="10"/>
  <c r="V569" i="10"/>
  <c r="AE569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AE568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AE564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AE563" i="10"/>
  <c r="AD562" i="10"/>
  <c r="AC562" i="10"/>
  <c r="AB562" i="10"/>
  <c r="AA562" i="10"/>
  <c r="Z562" i="10"/>
  <c r="Y562" i="10"/>
  <c r="X562" i="10"/>
  <c r="W562" i="10"/>
  <c r="R562" i="10"/>
  <c r="S562" i="10"/>
  <c r="T562" i="10"/>
  <c r="U562" i="10"/>
  <c r="V562" i="10"/>
  <c r="AE562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AD559" i="10"/>
  <c r="AC559" i="10"/>
  <c r="AB559" i="10"/>
  <c r="AA559" i="10"/>
  <c r="Z559" i="10"/>
  <c r="Y559" i="10"/>
  <c r="X559" i="10"/>
  <c r="W559" i="10"/>
  <c r="V559" i="10"/>
  <c r="U559" i="10"/>
  <c r="T559" i="10"/>
  <c r="R559" i="10"/>
  <c r="S559" i="10"/>
  <c r="AE559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AE558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AD555" i="10"/>
  <c r="AC555" i="10"/>
  <c r="AB555" i="10"/>
  <c r="AA555" i="10"/>
  <c r="Z555" i="10"/>
  <c r="Y555" i="10"/>
  <c r="X555" i="10"/>
  <c r="W555" i="10"/>
  <c r="R555" i="10"/>
  <c r="S555" i="10"/>
  <c r="T555" i="10"/>
  <c r="U555" i="10"/>
  <c r="V555" i="10"/>
  <c r="AE555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AE553" i="10"/>
  <c r="AD552" i="10"/>
  <c r="AC552" i="10"/>
  <c r="AB552" i="10"/>
  <c r="AA552" i="10"/>
  <c r="Z552" i="10"/>
  <c r="Y552" i="10"/>
  <c r="X552" i="10"/>
  <c r="W552" i="10"/>
  <c r="V552" i="10"/>
  <c r="U552" i="10"/>
  <c r="T552" i="10"/>
  <c r="R552" i="10"/>
  <c r="S552" i="10"/>
  <c r="AE552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AE551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AE550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AE549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AE547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AE546" i="10"/>
  <c r="AD545" i="10"/>
  <c r="AC545" i="10"/>
  <c r="AB545" i="10"/>
  <c r="AA545" i="10"/>
  <c r="Z545" i="10"/>
  <c r="Y545" i="10"/>
  <c r="X545" i="10"/>
  <c r="W545" i="10"/>
  <c r="V545" i="10"/>
  <c r="U545" i="10"/>
  <c r="T545" i="10"/>
  <c r="R545" i="10"/>
  <c r="S545" i="10"/>
  <c r="AE545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AE543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AE542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AE541" i="10"/>
  <c r="AD540" i="10"/>
  <c r="AC540" i="10"/>
  <c r="AB540" i="10"/>
  <c r="AA540" i="10"/>
  <c r="Z540" i="10"/>
  <c r="Y540" i="10"/>
  <c r="X540" i="10"/>
  <c r="W540" i="10"/>
  <c r="R540" i="10"/>
  <c r="S540" i="10"/>
  <c r="T540" i="10"/>
  <c r="U540" i="10"/>
  <c r="V540" i="10"/>
  <c r="AE540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AE538" i="10"/>
  <c r="AD537" i="10"/>
  <c r="AC537" i="10"/>
  <c r="AB537" i="10"/>
  <c r="AA537" i="10"/>
  <c r="Z537" i="10"/>
  <c r="Y537" i="10"/>
  <c r="X537" i="10"/>
  <c r="W537" i="10"/>
  <c r="V537" i="10"/>
  <c r="U537" i="10"/>
  <c r="T537" i="10"/>
  <c r="R537" i="10"/>
  <c r="S537" i="10"/>
  <c r="AE537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AE535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AE534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AE533" i="10"/>
  <c r="AD532" i="10"/>
  <c r="AC532" i="10"/>
  <c r="AB532" i="10"/>
  <c r="AA532" i="10"/>
  <c r="Z532" i="10"/>
  <c r="Y532" i="10"/>
  <c r="X532" i="10"/>
  <c r="W532" i="10"/>
  <c r="R532" i="10"/>
  <c r="S532" i="10"/>
  <c r="T532" i="10"/>
  <c r="U532" i="10"/>
  <c r="V532" i="10"/>
  <c r="AE532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AD529" i="10"/>
  <c r="AC529" i="10"/>
  <c r="AB529" i="10"/>
  <c r="AA529" i="10"/>
  <c r="Z529" i="10"/>
  <c r="Y529" i="10"/>
  <c r="X529" i="10"/>
  <c r="W529" i="10"/>
  <c r="V529" i="10"/>
  <c r="U529" i="10"/>
  <c r="T529" i="10"/>
  <c r="R529" i="10"/>
  <c r="S529" i="10"/>
  <c r="AE529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AE528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AE527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AE526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AE525" i="10"/>
  <c r="AD524" i="10"/>
  <c r="AC524" i="10"/>
  <c r="AB524" i="10"/>
  <c r="AA524" i="10"/>
  <c r="Z524" i="10"/>
  <c r="Y524" i="10"/>
  <c r="X524" i="10"/>
  <c r="W524" i="10"/>
  <c r="R524" i="10"/>
  <c r="S524" i="10"/>
  <c r="T524" i="10"/>
  <c r="U524" i="10"/>
  <c r="V524" i="10"/>
  <c r="AE524" i="10"/>
  <c r="AD523" i="10"/>
  <c r="AC523" i="10"/>
  <c r="AB523" i="10"/>
  <c r="AA523" i="10"/>
  <c r="Z523" i="10"/>
  <c r="Y523" i="10"/>
  <c r="X523" i="10"/>
  <c r="W523" i="10"/>
  <c r="V523" i="10"/>
  <c r="R523" i="10"/>
  <c r="S523" i="10"/>
  <c r="T523" i="10"/>
  <c r="U523" i="10"/>
  <c r="AE523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AD521" i="10"/>
  <c r="AC521" i="10"/>
  <c r="AB521" i="10"/>
  <c r="AA521" i="10"/>
  <c r="Z521" i="10"/>
  <c r="Y521" i="10"/>
  <c r="X521" i="10"/>
  <c r="W521" i="10"/>
  <c r="V521" i="10"/>
  <c r="U521" i="10"/>
  <c r="T521" i="10"/>
  <c r="R521" i="10"/>
  <c r="S521" i="10"/>
  <c r="AE521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AE520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AE519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AE518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AD516" i="10"/>
  <c r="AC516" i="10"/>
  <c r="AB516" i="10"/>
  <c r="AA516" i="10"/>
  <c r="Z516" i="10"/>
  <c r="Y516" i="10"/>
  <c r="X516" i="10"/>
  <c r="W516" i="10"/>
  <c r="R516" i="10"/>
  <c r="S516" i="10"/>
  <c r="T516" i="10"/>
  <c r="U516" i="10"/>
  <c r="V516" i="10"/>
  <c r="AE516" i="10"/>
  <c r="AD515" i="10"/>
  <c r="AC515" i="10"/>
  <c r="AB515" i="10"/>
  <c r="AA515" i="10"/>
  <c r="Z515" i="10"/>
  <c r="Y515" i="10"/>
  <c r="X515" i="10"/>
  <c r="W515" i="10"/>
  <c r="V515" i="10"/>
  <c r="R515" i="10"/>
  <c r="S515" i="10"/>
  <c r="T515" i="10"/>
  <c r="U515" i="10"/>
  <c r="AE515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AE514" i="10"/>
  <c r="AD513" i="10"/>
  <c r="AC513" i="10"/>
  <c r="AB513" i="10"/>
  <c r="AA513" i="10"/>
  <c r="Z513" i="10"/>
  <c r="Y513" i="10"/>
  <c r="X513" i="10"/>
  <c r="W513" i="10"/>
  <c r="V513" i="10"/>
  <c r="U513" i="10"/>
  <c r="T513" i="10"/>
  <c r="R513" i="10"/>
  <c r="S513" i="10"/>
  <c r="AE513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AE511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AE510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AE509" i="10"/>
  <c r="AD508" i="10"/>
  <c r="AC508" i="10"/>
  <c r="AB508" i="10"/>
  <c r="AA508" i="10"/>
  <c r="Z508" i="10"/>
  <c r="Y508" i="10"/>
  <c r="X508" i="10"/>
  <c r="W508" i="10"/>
  <c r="R508" i="10"/>
  <c r="S508" i="10"/>
  <c r="T508" i="10"/>
  <c r="U508" i="10"/>
  <c r="V508" i="10"/>
  <c r="AE508" i="10"/>
  <c r="AD507" i="10"/>
  <c r="AC507" i="10"/>
  <c r="AB507" i="10"/>
  <c r="AA507" i="10"/>
  <c r="Z507" i="10"/>
  <c r="Y507" i="10"/>
  <c r="X507" i="10"/>
  <c r="W507" i="10"/>
  <c r="V507" i="10"/>
  <c r="R507" i="10"/>
  <c r="S507" i="10"/>
  <c r="T507" i="10"/>
  <c r="U507" i="10"/>
  <c r="AE507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AE506" i="10"/>
  <c r="AD505" i="10"/>
  <c r="AC505" i="10"/>
  <c r="AB505" i="10"/>
  <c r="AA505" i="10"/>
  <c r="Z505" i="10"/>
  <c r="Y505" i="10"/>
  <c r="X505" i="10"/>
  <c r="W505" i="10"/>
  <c r="V505" i="10"/>
  <c r="U505" i="10"/>
  <c r="T505" i="10"/>
  <c r="R505" i="10"/>
  <c r="S505" i="10"/>
  <c r="AE505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AE503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AE502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AE501" i="10"/>
  <c r="AD500" i="10"/>
  <c r="AC500" i="10"/>
  <c r="AB500" i="10"/>
  <c r="AA500" i="10"/>
  <c r="Z500" i="10"/>
  <c r="Y500" i="10"/>
  <c r="X500" i="10"/>
  <c r="W500" i="10"/>
  <c r="R500" i="10"/>
  <c r="S500" i="10"/>
  <c r="T500" i="10"/>
  <c r="U500" i="10"/>
  <c r="V500" i="10"/>
  <c r="AE500" i="10"/>
  <c r="AD499" i="10"/>
  <c r="AC499" i="10"/>
  <c r="AB499" i="10"/>
  <c r="AA499" i="10"/>
  <c r="Z499" i="10"/>
  <c r="Y499" i="10"/>
  <c r="X499" i="10"/>
  <c r="W499" i="10"/>
  <c r="V499" i="10"/>
  <c r="R499" i="10"/>
  <c r="S499" i="10"/>
  <c r="T499" i="10"/>
  <c r="U499" i="10"/>
  <c r="AE499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AD497" i="10"/>
  <c r="AC497" i="10"/>
  <c r="AB497" i="10"/>
  <c r="AA497" i="10"/>
  <c r="Z497" i="10"/>
  <c r="Y497" i="10"/>
  <c r="X497" i="10"/>
  <c r="W497" i="10"/>
  <c r="V497" i="10"/>
  <c r="U497" i="10"/>
  <c r="T497" i="10"/>
  <c r="R497" i="10"/>
  <c r="S497" i="10"/>
  <c r="AE497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AE496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AE495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AE494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AE493" i="10"/>
  <c r="AD492" i="10"/>
  <c r="AC492" i="10"/>
  <c r="AB492" i="10"/>
  <c r="AA492" i="10"/>
  <c r="Z492" i="10"/>
  <c r="Y492" i="10"/>
  <c r="X492" i="10"/>
  <c r="W492" i="10"/>
  <c r="R492" i="10"/>
  <c r="S492" i="10"/>
  <c r="T492" i="10"/>
  <c r="U492" i="10"/>
  <c r="V492" i="10"/>
  <c r="AE492" i="10"/>
  <c r="AD491" i="10"/>
  <c r="AC491" i="10"/>
  <c r="AB491" i="10"/>
  <c r="AA491" i="10"/>
  <c r="Z491" i="10"/>
  <c r="Y491" i="10"/>
  <c r="X491" i="10"/>
  <c r="W491" i="10"/>
  <c r="V491" i="10"/>
  <c r="R491" i="10"/>
  <c r="S491" i="10"/>
  <c r="T491" i="10"/>
  <c r="U491" i="10"/>
  <c r="AE491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AD489" i="10"/>
  <c r="AC489" i="10"/>
  <c r="AB489" i="10"/>
  <c r="AA489" i="10"/>
  <c r="Z489" i="10"/>
  <c r="Y489" i="10"/>
  <c r="X489" i="10"/>
  <c r="W489" i="10"/>
  <c r="V489" i="10"/>
  <c r="U489" i="10"/>
  <c r="T489" i="10"/>
  <c r="R489" i="10"/>
  <c r="S489" i="10"/>
  <c r="AE489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AE488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AE487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AE486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AD484" i="10"/>
  <c r="AC484" i="10"/>
  <c r="AB484" i="10"/>
  <c r="AA484" i="10"/>
  <c r="Z484" i="10"/>
  <c r="Y484" i="10"/>
  <c r="X484" i="10"/>
  <c r="W484" i="10"/>
  <c r="R484" i="10"/>
  <c r="S484" i="10"/>
  <c r="T484" i="10"/>
  <c r="U484" i="10"/>
  <c r="V484" i="10"/>
  <c r="AE484" i="10"/>
  <c r="AD483" i="10"/>
  <c r="AC483" i="10"/>
  <c r="AB483" i="10"/>
  <c r="AA483" i="10"/>
  <c r="Z483" i="10"/>
  <c r="Y483" i="10"/>
  <c r="X483" i="10"/>
  <c r="W483" i="10"/>
  <c r="V483" i="10"/>
  <c r="R483" i="10"/>
  <c r="S483" i="10"/>
  <c r="T483" i="10"/>
  <c r="U483" i="10"/>
  <c r="AE483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AE482" i="10"/>
  <c r="AD481" i="10"/>
  <c r="AC481" i="10"/>
  <c r="AB481" i="10"/>
  <c r="AA481" i="10"/>
  <c r="Z481" i="10"/>
  <c r="Y481" i="10"/>
  <c r="X481" i="10"/>
  <c r="W481" i="10"/>
  <c r="V481" i="10"/>
  <c r="U481" i="10"/>
  <c r="T481" i="10"/>
  <c r="R481" i="10"/>
  <c r="S481" i="10"/>
  <c r="AE481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AE479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AE478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AE477" i="10"/>
  <c r="AD476" i="10"/>
  <c r="AC476" i="10"/>
  <c r="AB476" i="10"/>
  <c r="AA476" i="10"/>
  <c r="Z476" i="10"/>
  <c r="Y476" i="10"/>
  <c r="X476" i="10"/>
  <c r="W476" i="10"/>
  <c r="R476" i="10"/>
  <c r="S476" i="10"/>
  <c r="T476" i="10"/>
  <c r="U476" i="10"/>
  <c r="V476" i="10"/>
  <c r="AE476" i="10"/>
  <c r="AD475" i="10"/>
  <c r="AC475" i="10"/>
  <c r="AB475" i="10"/>
  <c r="AA475" i="10"/>
  <c r="Z475" i="10"/>
  <c r="Y475" i="10"/>
  <c r="X475" i="10"/>
  <c r="W475" i="10"/>
  <c r="V475" i="10"/>
  <c r="R475" i="10"/>
  <c r="S475" i="10"/>
  <c r="T475" i="10"/>
  <c r="U475" i="10"/>
  <c r="AE475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AE474" i="10"/>
  <c r="AD473" i="10"/>
  <c r="AC473" i="10"/>
  <c r="AB473" i="10"/>
  <c r="AA473" i="10"/>
  <c r="Z473" i="10"/>
  <c r="Y473" i="10"/>
  <c r="X473" i="10"/>
  <c r="W473" i="10"/>
  <c r="V473" i="10"/>
  <c r="U473" i="10"/>
  <c r="T473" i="10"/>
  <c r="R473" i="10"/>
  <c r="S473" i="10"/>
  <c r="AE473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AE471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AE470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AE469" i="10"/>
  <c r="AD468" i="10"/>
  <c r="AC468" i="10"/>
  <c r="AB468" i="10"/>
  <c r="AA468" i="10"/>
  <c r="Z468" i="10"/>
  <c r="Y468" i="10"/>
  <c r="X468" i="10"/>
  <c r="W468" i="10"/>
  <c r="R468" i="10"/>
  <c r="S468" i="10"/>
  <c r="T468" i="10"/>
  <c r="U468" i="10"/>
  <c r="V468" i="10"/>
  <c r="AE468" i="10"/>
  <c r="AD467" i="10"/>
  <c r="AC467" i="10"/>
  <c r="AB467" i="10"/>
  <c r="AA467" i="10"/>
  <c r="Z467" i="10"/>
  <c r="Y467" i="10"/>
  <c r="X467" i="10"/>
  <c r="W467" i="10"/>
  <c r="V467" i="10"/>
  <c r="R467" i="10"/>
  <c r="S467" i="10"/>
  <c r="T467" i="10"/>
  <c r="U467" i="10"/>
  <c r="AE467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AD465" i="10"/>
  <c r="AC465" i="10"/>
  <c r="AB465" i="10"/>
  <c r="AA465" i="10"/>
  <c r="Z465" i="10"/>
  <c r="Y465" i="10"/>
  <c r="X465" i="10"/>
  <c r="W465" i="10"/>
  <c r="V465" i="10"/>
  <c r="U465" i="10"/>
  <c r="T465" i="10"/>
  <c r="R465" i="10"/>
  <c r="S465" i="10"/>
  <c r="AE465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AE464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AE463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AE462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AE461" i="10"/>
  <c r="AD460" i="10"/>
  <c r="AC460" i="10"/>
  <c r="AB460" i="10"/>
  <c r="AA460" i="10"/>
  <c r="Z460" i="10"/>
  <c r="Y460" i="10"/>
  <c r="X460" i="10"/>
  <c r="W460" i="10"/>
  <c r="R460" i="10"/>
  <c r="S460" i="10"/>
  <c r="T460" i="10"/>
  <c r="U460" i="10"/>
  <c r="V460" i="10"/>
  <c r="AE460" i="10"/>
  <c r="AD459" i="10"/>
  <c r="AC459" i="10"/>
  <c r="AB459" i="10"/>
  <c r="AA459" i="10"/>
  <c r="Z459" i="10"/>
  <c r="Y459" i="10"/>
  <c r="X459" i="10"/>
  <c r="W459" i="10"/>
  <c r="V459" i="10"/>
  <c r="R459" i="10"/>
  <c r="S459" i="10"/>
  <c r="T459" i="10"/>
  <c r="U459" i="10"/>
  <c r="AE459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AD457" i="10"/>
  <c r="AC457" i="10"/>
  <c r="AB457" i="10"/>
  <c r="AA457" i="10"/>
  <c r="Z457" i="10"/>
  <c r="Y457" i="10"/>
  <c r="X457" i="10"/>
  <c r="W457" i="10"/>
  <c r="V457" i="10"/>
  <c r="U457" i="10"/>
  <c r="T457" i="10"/>
  <c r="R457" i="10"/>
  <c r="S457" i="10"/>
  <c r="AE457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AE456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AE455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AE454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AD452" i="10"/>
  <c r="AC452" i="10"/>
  <c r="AB452" i="10"/>
  <c r="AA452" i="10"/>
  <c r="Z452" i="10"/>
  <c r="Y452" i="10"/>
  <c r="X452" i="10"/>
  <c r="W452" i="10"/>
  <c r="R452" i="10"/>
  <c r="S452" i="10"/>
  <c r="T452" i="10"/>
  <c r="U452" i="10"/>
  <c r="V452" i="10"/>
  <c r="AE452" i="10"/>
  <c r="AD451" i="10"/>
  <c r="AC451" i="10"/>
  <c r="AB451" i="10"/>
  <c r="AA451" i="10"/>
  <c r="Z451" i="10"/>
  <c r="Y451" i="10"/>
  <c r="X451" i="10"/>
  <c r="W451" i="10"/>
  <c r="V451" i="10"/>
  <c r="R451" i="10"/>
  <c r="S451" i="10"/>
  <c r="T451" i="10"/>
  <c r="U451" i="10"/>
  <c r="AE451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AE450" i="10"/>
  <c r="AD449" i="10"/>
  <c r="AC449" i="10"/>
  <c r="AB449" i="10"/>
  <c r="AA449" i="10"/>
  <c r="Z449" i="10"/>
  <c r="Y449" i="10"/>
  <c r="X449" i="10"/>
  <c r="W449" i="10"/>
  <c r="V449" i="10"/>
  <c r="U449" i="10"/>
  <c r="T449" i="10"/>
  <c r="R449" i="10"/>
  <c r="S449" i="10"/>
  <c r="AE449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AE447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AE446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AE445" i="10"/>
  <c r="AD444" i="10"/>
  <c r="AC444" i="10"/>
  <c r="AB444" i="10"/>
  <c r="AA444" i="10"/>
  <c r="Z444" i="10"/>
  <c r="Y444" i="10"/>
  <c r="X444" i="10"/>
  <c r="W444" i="10"/>
  <c r="R444" i="10"/>
  <c r="S444" i="10"/>
  <c r="T444" i="10"/>
  <c r="U444" i="10"/>
  <c r="V444" i="10"/>
  <c r="AE444" i="10"/>
  <c r="AD443" i="10"/>
  <c r="AC443" i="10"/>
  <c r="AB443" i="10"/>
  <c r="AA443" i="10"/>
  <c r="Z443" i="10"/>
  <c r="Y443" i="10"/>
  <c r="X443" i="10"/>
  <c r="W443" i="10"/>
  <c r="V443" i="10"/>
  <c r="R443" i="10"/>
  <c r="S443" i="10"/>
  <c r="T443" i="10"/>
  <c r="U443" i="10"/>
  <c r="AE443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AE442" i="10"/>
  <c r="AD441" i="10"/>
  <c r="AC441" i="10"/>
  <c r="AB441" i="10"/>
  <c r="AA441" i="10"/>
  <c r="Z441" i="10"/>
  <c r="Y441" i="10"/>
  <c r="X441" i="10"/>
  <c r="W441" i="10"/>
  <c r="V441" i="10"/>
  <c r="U441" i="10"/>
  <c r="T441" i="10"/>
  <c r="R441" i="10"/>
  <c r="S441" i="10"/>
  <c r="AE441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AE439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AE438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AE437" i="10"/>
  <c r="AD436" i="10"/>
  <c r="AC436" i="10"/>
  <c r="AB436" i="10"/>
  <c r="AA436" i="10"/>
  <c r="Z436" i="10"/>
  <c r="Y436" i="10"/>
  <c r="X436" i="10"/>
  <c r="W436" i="10"/>
  <c r="R436" i="10"/>
  <c r="S436" i="10"/>
  <c r="T436" i="10"/>
  <c r="U436" i="10"/>
  <c r="V436" i="10"/>
  <c r="AE436" i="10"/>
  <c r="AD435" i="10"/>
  <c r="AC435" i="10"/>
  <c r="AB435" i="10"/>
  <c r="AA435" i="10"/>
  <c r="Z435" i="10"/>
  <c r="Y435" i="10"/>
  <c r="X435" i="10"/>
  <c r="W435" i="10"/>
  <c r="V435" i="10"/>
  <c r="R435" i="10"/>
  <c r="S435" i="10"/>
  <c r="T435" i="10"/>
  <c r="U435" i="10"/>
  <c r="AE435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AD433" i="10"/>
  <c r="AC433" i="10"/>
  <c r="AB433" i="10"/>
  <c r="AA433" i="10"/>
  <c r="Z433" i="10"/>
  <c r="Y433" i="10"/>
  <c r="X433" i="10"/>
  <c r="W433" i="10"/>
  <c r="V433" i="10"/>
  <c r="U433" i="10"/>
  <c r="T433" i="10"/>
  <c r="R433" i="10"/>
  <c r="S433" i="10"/>
  <c r="AE433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AE432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AE431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AE430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AE429" i="10"/>
  <c r="AD428" i="10"/>
  <c r="AC428" i="10"/>
  <c r="AB428" i="10"/>
  <c r="AA428" i="10"/>
  <c r="Z428" i="10"/>
  <c r="Y428" i="10"/>
  <c r="X428" i="10"/>
  <c r="W428" i="10"/>
  <c r="R428" i="10"/>
  <c r="S428" i="10"/>
  <c r="T428" i="10"/>
  <c r="U428" i="10"/>
  <c r="V428" i="10"/>
  <c r="AE428" i="10"/>
  <c r="AD427" i="10"/>
  <c r="AC427" i="10"/>
  <c r="AB427" i="10"/>
  <c r="AA427" i="10"/>
  <c r="Z427" i="10"/>
  <c r="Y427" i="10"/>
  <c r="X427" i="10"/>
  <c r="W427" i="10"/>
  <c r="V427" i="10"/>
  <c r="R427" i="10"/>
  <c r="S427" i="10"/>
  <c r="T427" i="10"/>
  <c r="U427" i="10"/>
  <c r="AE427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AD425" i="10"/>
  <c r="AC425" i="10"/>
  <c r="AB425" i="10"/>
  <c r="AA425" i="10"/>
  <c r="Z425" i="10"/>
  <c r="Y425" i="10"/>
  <c r="X425" i="10"/>
  <c r="W425" i="10"/>
  <c r="V425" i="10"/>
  <c r="U425" i="10"/>
  <c r="T425" i="10"/>
  <c r="R425" i="10"/>
  <c r="S425" i="10"/>
  <c r="AE425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AE424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AE423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AE422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AD420" i="10"/>
  <c r="AC420" i="10"/>
  <c r="AB420" i="10"/>
  <c r="AA420" i="10"/>
  <c r="Z420" i="10"/>
  <c r="Y420" i="10"/>
  <c r="X420" i="10"/>
  <c r="W420" i="10"/>
  <c r="R420" i="10"/>
  <c r="S420" i="10"/>
  <c r="T420" i="10"/>
  <c r="U420" i="10"/>
  <c r="V420" i="10"/>
  <c r="AE420" i="10"/>
  <c r="AD419" i="10"/>
  <c r="AC419" i="10"/>
  <c r="AB419" i="10"/>
  <c r="AA419" i="10"/>
  <c r="Z419" i="10"/>
  <c r="Y419" i="10"/>
  <c r="X419" i="10"/>
  <c r="W419" i="10"/>
  <c r="V419" i="10"/>
  <c r="R419" i="10"/>
  <c r="S419" i="10"/>
  <c r="T419" i="10"/>
  <c r="U419" i="10"/>
  <c r="AE419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AE418" i="10"/>
  <c r="AD417" i="10"/>
  <c r="AC417" i="10"/>
  <c r="AB417" i="10"/>
  <c r="AA417" i="10"/>
  <c r="Z417" i="10"/>
  <c r="Y417" i="10"/>
  <c r="X417" i="10"/>
  <c r="W417" i="10"/>
  <c r="V417" i="10"/>
  <c r="U417" i="10"/>
  <c r="T417" i="10"/>
  <c r="R417" i="10"/>
  <c r="S417" i="10"/>
  <c r="AE417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AE415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AE414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AE413" i="10"/>
  <c r="AD412" i="10"/>
  <c r="AC412" i="10"/>
  <c r="AB412" i="10"/>
  <c r="AA412" i="10"/>
  <c r="Z412" i="10"/>
  <c r="Y412" i="10"/>
  <c r="X412" i="10"/>
  <c r="W412" i="10"/>
  <c r="R412" i="10"/>
  <c r="S412" i="10"/>
  <c r="T412" i="10"/>
  <c r="U412" i="10"/>
  <c r="V412" i="10"/>
  <c r="AE412" i="10"/>
  <c r="AD411" i="10"/>
  <c r="AC411" i="10"/>
  <c r="AB411" i="10"/>
  <c r="AA411" i="10"/>
  <c r="Z411" i="10"/>
  <c r="Y411" i="10"/>
  <c r="X411" i="10"/>
  <c r="W411" i="10"/>
  <c r="V411" i="10"/>
  <c r="R411" i="10"/>
  <c r="S411" i="10"/>
  <c r="T411" i="10"/>
  <c r="U411" i="10"/>
  <c r="AE411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AE410" i="10"/>
  <c r="AD409" i="10"/>
  <c r="AC409" i="10"/>
  <c r="AB409" i="10"/>
  <c r="AA409" i="10"/>
  <c r="Z409" i="10"/>
  <c r="Y409" i="10"/>
  <c r="X409" i="10"/>
  <c r="W409" i="10"/>
  <c r="V409" i="10"/>
  <c r="U409" i="10"/>
  <c r="T409" i="10"/>
  <c r="R409" i="10"/>
  <c r="S409" i="10"/>
  <c r="AE409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AE407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AE406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AE405" i="10"/>
  <c r="AD404" i="10"/>
  <c r="AC404" i="10"/>
  <c r="AB404" i="10"/>
  <c r="AA404" i="10"/>
  <c r="Z404" i="10"/>
  <c r="Y404" i="10"/>
  <c r="X404" i="10"/>
  <c r="W404" i="10"/>
  <c r="R404" i="10"/>
  <c r="S404" i="10"/>
  <c r="T404" i="10"/>
  <c r="U404" i="10"/>
  <c r="V404" i="10"/>
  <c r="AE404" i="10"/>
  <c r="AD403" i="10"/>
  <c r="AC403" i="10"/>
  <c r="AB403" i="10"/>
  <c r="AA403" i="10"/>
  <c r="Z403" i="10"/>
  <c r="Y403" i="10"/>
  <c r="X403" i="10"/>
  <c r="W403" i="10"/>
  <c r="V403" i="10"/>
  <c r="R403" i="10"/>
  <c r="S403" i="10"/>
  <c r="T403" i="10"/>
  <c r="U403" i="10"/>
  <c r="AE403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AD401" i="10"/>
  <c r="AC401" i="10"/>
  <c r="AB401" i="10"/>
  <c r="AA401" i="10"/>
  <c r="Z401" i="10"/>
  <c r="Y401" i="10"/>
  <c r="X401" i="10"/>
  <c r="W401" i="10"/>
  <c r="V401" i="10"/>
  <c r="U401" i="10"/>
  <c r="T401" i="10"/>
  <c r="R401" i="10"/>
  <c r="S401" i="10"/>
  <c r="AE401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AE400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AE399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AE398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AE397" i="10"/>
  <c r="AD396" i="10"/>
  <c r="AC396" i="10"/>
  <c r="AB396" i="10"/>
  <c r="AA396" i="10"/>
  <c r="Z396" i="10"/>
  <c r="Y396" i="10"/>
  <c r="X396" i="10"/>
  <c r="W396" i="10"/>
  <c r="R396" i="10"/>
  <c r="S396" i="10"/>
  <c r="T396" i="10"/>
  <c r="U396" i="10"/>
  <c r="V396" i="10"/>
  <c r="AE396" i="10"/>
  <c r="AD395" i="10"/>
  <c r="AC395" i="10"/>
  <c r="AB395" i="10"/>
  <c r="AA395" i="10"/>
  <c r="Z395" i="10"/>
  <c r="Y395" i="10"/>
  <c r="X395" i="10"/>
  <c r="W395" i="10"/>
  <c r="V395" i="10"/>
  <c r="R395" i="10"/>
  <c r="S395" i="10"/>
  <c r="T395" i="10"/>
  <c r="U395" i="10"/>
  <c r="AE395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AD393" i="10"/>
  <c r="AC393" i="10"/>
  <c r="AB393" i="10"/>
  <c r="AA393" i="10"/>
  <c r="Z393" i="10"/>
  <c r="Y393" i="10"/>
  <c r="X393" i="10"/>
  <c r="W393" i="10"/>
  <c r="V393" i="10"/>
  <c r="U393" i="10"/>
  <c r="T393" i="10"/>
  <c r="R393" i="10"/>
  <c r="S393" i="10"/>
  <c r="AE393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AE392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AE391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AE390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AD388" i="10"/>
  <c r="AC388" i="10"/>
  <c r="AB388" i="10"/>
  <c r="AA388" i="10"/>
  <c r="Z388" i="10"/>
  <c r="Y388" i="10"/>
  <c r="X388" i="10"/>
  <c r="W388" i="10"/>
  <c r="R388" i="10"/>
  <c r="S388" i="10"/>
  <c r="T388" i="10"/>
  <c r="U388" i="10"/>
  <c r="V388" i="10"/>
  <c r="AE388" i="10"/>
  <c r="AD387" i="10"/>
  <c r="AC387" i="10"/>
  <c r="AB387" i="10"/>
  <c r="AA387" i="10"/>
  <c r="Z387" i="10"/>
  <c r="Y387" i="10"/>
  <c r="X387" i="10"/>
  <c r="W387" i="10"/>
  <c r="V387" i="10"/>
  <c r="R387" i="10"/>
  <c r="S387" i="10"/>
  <c r="T387" i="10"/>
  <c r="U387" i="10"/>
  <c r="AE387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AE386" i="10"/>
  <c r="AD385" i="10"/>
  <c r="AC385" i="10"/>
  <c r="AB385" i="10"/>
  <c r="AA385" i="10"/>
  <c r="Z385" i="10"/>
  <c r="Y385" i="10"/>
  <c r="X385" i="10"/>
  <c r="W385" i="10"/>
  <c r="V385" i="10"/>
  <c r="U385" i="10"/>
  <c r="T385" i="10"/>
  <c r="R385" i="10"/>
  <c r="S385" i="10"/>
  <c r="AE385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AE383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AE382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AE381" i="10"/>
  <c r="AD380" i="10"/>
  <c r="AC380" i="10"/>
  <c r="AB380" i="10"/>
  <c r="AA380" i="10"/>
  <c r="Z380" i="10"/>
  <c r="Y380" i="10"/>
  <c r="X380" i="10"/>
  <c r="W380" i="10"/>
  <c r="R380" i="10"/>
  <c r="S380" i="10"/>
  <c r="T380" i="10"/>
  <c r="U380" i="10"/>
  <c r="V380" i="10"/>
  <c r="AE380" i="10"/>
  <c r="AD379" i="10"/>
  <c r="AC379" i="10"/>
  <c r="AB379" i="10"/>
  <c r="AA379" i="10"/>
  <c r="Z379" i="10"/>
  <c r="Y379" i="10"/>
  <c r="X379" i="10"/>
  <c r="W379" i="10"/>
  <c r="V379" i="10"/>
  <c r="R379" i="10"/>
  <c r="S379" i="10"/>
  <c r="T379" i="10"/>
  <c r="U379" i="10"/>
  <c r="AE379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AE378" i="10"/>
  <c r="AD377" i="10"/>
  <c r="AC377" i="10"/>
  <c r="AB377" i="10"/>
  <c r="AA377" i="10"/>
  <c r="Z377" i="10"/>
  <c r="Y377" i="10"/>
  <c r="X377" i="10"/>
  <c r="W377" i="10"/>
  <c r="V377" i="10"/>
  <c r="U377" i="10"/>
  <c r="T377" i="10"/>
  <c r="R377" i="10"/>
  <c r="S377" i="10"/>
  <c r="AE377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AE375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AE374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AE373" i="10"/>
  <c r="AD372" i="10"/>
  <c r="AC372" i="10"/>
  <c r="AB372" i="10"/>
  <c r="AA372" i="10"/>
  <c r="Z372" i="10"/>
  <c r="Y372" i="10"/>
  <c r="X372" i="10"/>
  <c r="W372" i="10"/>
  <c r="R372" i="10"/>
  <c r="S372" i="10"/>
  <c r="T372" i="10"/>
  <c r="U372" i="10"/>
  <c r="V372" i="10"/>
  <c r="AE372" i="10"/>
  <c r="AD371" i="10"/>
  <c r="AC371" i="10"/>
  <c r="AB371" i="10"/>
  <c r="AA371" i="10"/>
  <c r="Z371" i="10"/>
  <c r="Y371" i="10"/>
  <c r="X371" i="10"/>
  <c r="W371" i="10"/>
  <c r="V371" i="10"/>
  <c r="R371" i="10"/>
  <c r="S371" i="10"/>
  <c r="T371" i="10"/>
  <c r="U371" i="10"/>
  <c r="AE371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AE368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AE366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AE365" i="10"/>
  <c r="AD364" i="10"/>
  <c r="AC364" i="10"/>
  <c r="AB364" i="10"/>
  <c r="AA364" i="10"/>
  <c r="Z364" i="10"/>
  <c r="Y364" i="10"/>
  <c r="X364" i="10"/>
  <c r="W364" i="10"/>
  <c r="R364" i="10"/>
  <c r="S364" i="10"/>
  <c r="T364" i="10"/>
  <c r="U364" i="10"/>
  <c r="V364" i="10"/>
  <c r="AE364" i="10"/>
  <c r="AD363" i="10"/>
  <c r="AC363" i="10"/>
  <c r="AB363" i="10"/>
  <c r="AA363" i="10"/>
  <c r="Z363" i="10"/>
  <c r="Y363" i="10"/>
  <c r="X363" i="10"/>
  <c r="W363" i="10"/>
  <c r="R363" i="10"/>
  <c r="S363" i="10"/>
  <c r="T363" i="10"/>
  <c r="U363" i="10"/>
  <c r="V363" i="10"/>
  <c r="AE363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AE362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AE357" i="10"/>
  <c r="AD356" i="10"/>
  <c r="AC356" i="10"/>
  <c r="AB356" i="10"/>
  <c r="AA356" i="10"/>
  <c r="Z356" i="10"/>
  <c r="Y356" i="10"/>
  <c r="X356" i="10"/>
  <c r="W356" i="10"/>
  <c r="R356" i="10"/>
  <c r="S356" i="10"/>
  <c r="T356" i="10"/>
  <c r="U356" i="10"/>
  <c r="V356" i="10"/>
  <c r="AE356" i="10"/>
  <c r="AD355" i="10"/>
  <c r="AC355" i="10"/>
  <c r="AB355" i="10"/>
  <c r="AA355" i="10"/>
  <c r="Z355" i="10"/>
  <c r="Y355" i="10"/>
  <c r="X355" i="10"/>
  <c r="W355" i="10"/>
  <c r="R355" i="10"/>
  <c r="S355" i="10"/>
  <c r="T355" i="10"/>
  <c r="U355" i="10"/>
  <c r="V355" i="10"/>
  <c r="AE355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AE352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AE350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AE349" i="10"/>
  <c r="AD348" i="10"/>
  <c r="AC348" i="10"/>
  <c r="AB348" i="10"/>
  <c r="AA348" i="10"/>
  <c r="Z348" i="10"/>
  <c r="Y348" i="10"/>
  <c r="X348" i="10"/>
  <c r="W348" i="10"/>
  <c r="R348" i="10"/>
  <c r="S348" i="10"/>
  <c r="T348" i="10"/>
  <c r="U348" i="10"/>
  <c r="V348" i="10"/>
  <c r="AE348" i="10"/>
  <c r="AD347" i="10"/>
  <c r="AC347" i="10"/>
  <c r="AB347" i="10"/>
  <c r="AA347" i="10"/>
  <c r="Z347" i="10"/>
  <c r="Y347" i="10"/>
  <c r="X347" i="10"/>
  <c r="W347" i="10"/>
  <c r="R347" i="10"/>
  <c r="S347" i="10"/>
  <c r="T347" i="10"/>
  <c r="U347" i="10"/>
  <c r="V347" i="10"/>
  <c r="AE347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AE346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AE341" i="10"/>
  <c r="AD340" i="10"/>
  <c r="AC340" i="10"/>
  <c r="AB340" i="10"/>
  <c r="AA340" i="10"/>
  <c r="Z340" i="10"/>
  <c r="Y340" i="10"/>
  <c r="X340" i="10"/>
  <c r="W340" i="10"/>
  <c r="R340" i="10"/>
  <c r="S340" i="10"/>
  <c r="T340" i="10"/>
  <c r="U340" i="10"/>
  <c r="V340" i="10"/>
  <c r="AE340" i="10"/>
  <c r="AD339" i="10"/>
  <c r="AC339" i="10"/>
  <c r="AB339" i="10"/>
  <c r="AA339" i="10"/>
  <c r="Z339" i="10"/>
  <c r="Y339" i="10"/>
  <c r="X339" i="10"/>
  <c r="W339" i="10"/>
  <c r="R339" i="10"/>
  <c r="S339" i="10"/>
  <c r="T339" i="10"/>
  <c r="U339" i="10"/>
  <c r="V339" i="10"/>
  <c r="AE339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AE336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AE334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AE333" i="10"/>
  <c r="AD332" i="10"/>
  <c r="AC332" i="10"/>
  <c r="AB332" i="10"/>
  <c r="AA332" i="10"/>
  <c r="Z332" i="10"/>
  <c r="Y332" i="10"/>
  <c r="X332" i="10"/>
  <c r="W332" i="10"/>
  <c r="R332" i="10"/>
  <c r="S332" i="10"/>
  <c r="T332" i="10"/>
  <c r="U332" i="10"/>
  <c r="V332" i="10"/>
  <c r="AE332" i="10"/>
  <c r="AD331" i="10"/>
  <c r="AC331" i="10"/>
  <c r="AB331" i="10"/>
  <c r="AA331" i="10"/>
  <c r="Z331" i="10"/>
  <c r="Y331" i="10"/>
  <c r="X331" i="10"/>
  <c r="W331" i="10"/>
  <c r="R331" i="10"/>
  <c r="S331" i="10"/>
  <c r="T331" i="10"/>
  <c r="U331" i="10"/>
  <c r="V331" i="10"/>
  <c r="AE331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AE330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AE325" i="10"/>
  <c r="AD324" i="10"/>
  <c r="AC324" i="10"/>
  <c r="AB324" i="10"/>
  <c r="AA324" i="10"/>
  <c r="Z324" i="10"/>
  <c r="Y324" i="10"/>
  <c r="X324" i="10"/>
  <c r="W324" i="10"/>
  <c r="R324" i="10"/>
  <c r="S324" i="10"/>
  <c r="T324" i="10"/>
  <c r="U324" i="10"/>
  <c r="V324" i="10"/>
  <c r="AE324" i="10"/>
  <c r="AD323" i="10"/>
  <c r="AC323" i="10"/>
  <c r="AB323" i="10"/>
  <c r="AA323" i="10"/>
  <c r="Z323" i="10"/>
  <c r="Y323" i="10"/>
  <c r="X323" i="10"/>
  <c r="W323" i="10"/>
  <c r="R323" i="10"/>
  <c r="S323" i="10"/>
  <c r="T323" i="10"/>
  <c r="U323" i="10"/>
  <c r="V323" i="10"/>
  <c r="AE323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AD321" i="10"/>
  <c r="AC321" i="10"/>
  <c r="AB321" i="10"/>
  <c r="AA321" i="10"/>
  <c r="Z321" i="10"/>
  <c r="Y321" i="10"/>
  <c r="X321" i="10"/>
  <c r="W321" i="10"/>
  <c r="V321" i="10"/>
  <c r="U321" i="10"/>
  <c r="T321" i="10"/>
  <c r="R321" i="10"/>
  <c r="S321" i="10"/>
  <c r="AE321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AD316" i="10"/>
  <c r="AC316" i="10"/>
  <c r="AB316" i="10"/>
  <c r="AA316" i="10"/>
  <c r="Z316" i="10"/>
  <c r="Y316" i="10"/>
  <c r="X316" i="10"/>
  <c r="W316" i="10"/>
  <c r="R316" i="10"/>
  <c r="S316" i="10"/>
  <c r="T316" i="10"/>
  <c r="U316" i="10"/>
  <c r="V316" i="10"/>
  <c r="AE316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AE315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AD313" i="10"/>
  <c r="AC313" i="10"/>
  <c r="AB313" i="10"/>
  <c r="AA313" i="10"/>
  <c r="Z313" i="10"/>
  <c r="Y313" i="10"/>
  <c r="X313" i="10"/>
  <c r="W313" i="10"/>
  <c r="R313" i="10"/>
  <c r="S313" i="10"/>
  <c r="T313" i="10"/>
  <c r="U313" i="10"/>
  <c r="V313" i="10"/>
  <c r="AE313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AE312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AE310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AE308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AE307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AE306" i="10"/>
  <c r="AD305" i="10"/>
  <c r="AC305" i="10"/>
  <c r="AB305" i="10"/>
  <c r="AA305" i="10"/>
  <c r="Z305" i="10"/>
  <c r="Y305" i="10"/>
  <c r="X305" i="10"/>
  <c r="W305" i="10"/>
  <c r="V305" i="10"/>
  <c r="U305" i="10"/>
  <c r="T305" i="10"/>
  <c r="R305" i="10"/>
  <c r="S305" i="10"/>
  <c r="AE305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AE303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AE301" i="10"/>
  <c r="AD300" i="10"/>
  <c r="AC300" i="10"/>
  <c r="AB300" i="10"/>
  <c r="AA300" i="10"/>
  <c r="Z300" i="10"/>
  <c r="Y300" i="10"/>
  <c r="X300" i="10"/>
  <c r="W300" i="10"/>
  <c r="R300" i="10"/>
  <c r="S300" i="10"/>
  <c r="T300" i="10"/>
  <c r="U300" i="10"/>
  <c r="V300" i="10"/>
  <c r="AE300" i="10"/>
  <c r="AD299" i="10"/>
  <c r="AC299" i="10"/>
  <c r="AB299" i="10"/>
  <c r="AA299" i="10"/>
  <c r="Z299" i="10"/>
  <c r="Y299" i="10"/>
  <c r="X299" i="10"/>
  <c r="W299" i="10"/>
  <c r="R299" i="10"/>
  <c r="S299" i="10"/>
  <c r="T299" i="10"/>
  <c r="U299" i="10"/>
  <c r="V299" i="10"/>
  <c r="AE299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AD297" i="10"/>
  <c r="AC297" i="10"/>
  <c r="AB297" i="10"/>
  <c r="AA297" i="10"/>
  <c r="Z297" i="10"/>
  <c r="Y297" i="10"/>
  <c r="X297" i="10"/>
  <c r="W297" i="10"/>
  <c r="V297" i="10"/>
  <c r="U297" i="10"/>
  <c r="T297" i="10"/>
  <c r="R297" i="10"/>
  <c r="S297" i="10"/>
  <c r="AE297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AE293" i="10"/>
  <c r="AD292" i="10"/>
  <c r="AC292" i="10"/>
  <c r="AB292" i="10"/>
  <c r="AA292" i="10"/>
  <c r="Z292" i="10"/>
  <c r="Y292" i="10"/>
  <c r="X292" i="10"/>
  <c r="W292" i="10"/>
  <c r="R292" i="10"/>
  <c r="S292" i="10"/>
  <c r="T292" i="10"/>
  <c r="U292" i="10"/>
  <c r="V292" i="10"/>
  <c r="AE292" i="10"/>
  <c r="AD291" i="10"/>
  <c r="AC291" i="10"/>
  <c r="AB291" i="10"/>
  <c r="AA291" i="10"/>
  <c r="Z291" i="10"/>
  <c r="Y291" i="10"/>
  <c r="X291" i="10"/>
  <c r="W291" i="10"/>
  <c r="R291" i="10"/>
  <c r="S291" i="10"/>
  <c r="T291" i="10"/>
  <c r="U291" i="10"/>
  <c r="V291" i="10"/>
  <c r="AE291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AD289" i="10"/>
  <c r="AC289" i="10"/>
  <c r="AB289" i="10"/>
  <c r="AA289" i="10"/>
  <c r="Z289" i="10"/>
  <c r="Y289" i="10"/>
  <c r="X289" i="10"/>
  <c r="W289" i="10"/>
  <c r="V289" i="10"/>
  <c r="U289" i="10"/>
  <c r="T289" i="10"/>
  <c r="R289" i="10"/>
  <c r="S289" i="10"/>
  <c r="AE289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AD286" i="10"/>
  <c r="AC286" i="10"/>
  <c r="AB286" i="10"/>
  <c r="AA286" i="10"/>
  <c r="Z286" i="10"/>
  <c r="Y286" i="10"/>
  <c r="X286" i="10"/>
  <c r="W286" i="10"/>
  <c r="R286" i="10"/>
  <c r="S286" i="10"/>
  <c r="T286" i="10"/>
  <c r="U286" i="10"/>
  <c r="V286" i="10"/>
  <c r="AE286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AE285" i="10"/>
  <c r="AD284" i="10"/>
  <c r="AC284" i="10"/>
  <c r="AB284" i="10"/>
  <c r="AA284" i="10"/>
  <c r="Z284" i="10"/>
  <c r="Y284" i="10"/>
  <c r="X284" i="10"/>
  <c r="W284" i="10"/>
  <c r="R284" i="10"/>
  <c r="S284" i="10"/>
  <c r="T284" i="10"/>
  <c r="U284" i="10"/>
  <c r="V284" i="10"/>
  <c r="AE284" i="10"/>
  <c r="AD283" i="10"/>
  <c r="AC283" i="10"/>
  <c r="AB283" i="10"/>
  <c r="AA283" i="10"/>
  <c r="Z283" i="10"/>
  <c r="Y283" i="10"/>
  <c r="X283" i="10"/>
  <c r="W283" i="10"/>
  <c r="R283" i="10"/>
  <c r="S283" i="10"/>
  <c r="T283" i="10"/>
  <c r="U283" i="10"/>
  <c r="V283" i="10"/>
  <c r="AE283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AD281" i="10"/>
  <c r="AC281" i="10"/>
  <c r="AB281" i="10"/>
  <c r="AA281" i="10"/>
  <c r="Z281" i="10"/>
  <c r="Y281" i="10"/>
  <c r="X281" i="10"/>
  <c r="W281" i="10"/>
  <c r="V281" i="10"/>
  <c r="U281" i="10"/>
  <c r="T281" i="10"/>
  <c r="R281" i="10"/>
  <c r="S281" i="10"/>
  <c r="AE281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AD278" i="10"/>
  <c r="AC278" i="10"/>
  <c r="AB278" i="10"/>
  <c r="AA278" i="10"/>
  <c r="Z278" i="10"/>
  <c r="Y278" i="10"/>
  <c r="X278" i="10"/>
  <c r="W278" i="10"/>
  <c r="R278" i="10"/>
  <c r="S278" i="10"/>
  <c r="T278" i="10"/>
  <c r="U278" i="10"/>
  <c r="V278" i="10"/>
  <c r="AE278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AE277" i="10"/>
  <c r="AD276" i="10"/>
  <c r="AC276" i="10"/>
  <c r="AB276" i="10"/>
  <c r="AA276" i="10"/>
  <c r="Z276" i="10"/>
  <c r="Y276" i="10"/>
  <c r="X276" i="10"/>
  <c r="W276" i="10"/>
  <c r="R276" i="10"/>
  <c r="S276" i="10"/>
  <c r="T276" i="10"/>
  <c r="U276" i="10"/>
  <c r="V276" i="10"/>
  <c r="AE276" i="10"/>
  <c r="AD275" i="10"/>
  <c r="AC275" i="10"/>
  <c r="AB275" i="10"/>
  <c r="AA275" i="10"/>
  <c r="Z275" i="10"/>
  <c r="Y275" i="10"/>
  <c r="X275" i="10"/>
  <c r="W275" i="10"/>
  <c r="R275" i="10"/>
  <c r="S275" i="10"/>
  <c r="T275" i="10"/>
  <c r="U275" i="10"/>
  <c r="V275" i="10"/>
  <c r="AE275" i="10"/>
  <c r="AD274" i="10"/>
  <c r="AC274" i="10"/>
  <c r="AB274" i="10"/>
  <c r="AA274" i="10"/>
  <c r="Z274" i="10"/>
  <c r="Y274" i="10"/>
  <c r="X274" i="10"/>
  <c r="W274" i="10"/>
  <c r="V274" i="10"/>
  <c r="U274" i="10"/>
  <c r="R274" i="10"/>
  <c r="S274" i="10"/>
  <c r="T274" i="10"/>
  <c r="AE274" i="10"/>
  <c r="AD273" i="10"/>
  <c r="AC273" i="10"/>
  <c r="AB273" i="10"/>
  <c r="AA273" i="10"/>
  <c r="Z273" i="10"/>
  <c r="Y273" i="10"/>
  <c r="X273" i="10"/>
  <c r="W273" i="10"/>
  <c r="V273" i="10"/>
  <c r="U273" i="10"/>
  <c r="T273" i="10"/>
  <c r="R273" i="10"/>
  <c r="S273" i="10"/>
  <c r="AE273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AE272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AE270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AE268" i="10"/>
  <c r="AD267" i="10"/>
  <c r="AC267" i="10"/>
  <c r="AB267" i="10"/>
  <c r="AA267" i="10"/>
  <c r="Z267" i="10"/>
  <c r="Y267" i="10"/>
  <c r="X267" i="10"/>
  <c r="W267" i="10"/>
  <c r="V267" i="10"/>
  <c r="U267" i="10"/>
  <c r="T267" i="10"/>
  <c r="R267" i="10"/>
  <c r="S267" i="10"/>
  <c r="AE267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AE265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AE263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AE262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AE261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AE260" i="10"/>
  <c r="AD259" i="10"/>
  <c r="AC259" i="10"/>
  <c r="AB259" i="10"/>
  <c r="AA259" i="10"/>
  <c r="Z259" i="10"/>
  <c r="Y259" i="10"/>
  <c r="X259" i="10"/>
  <c r="W259" i="10"/>
  <c r="R259" i="10"/>
  <c r="S259" i="10"/>
  <c r="T259" i="10"/>
  <c r="U259" i="10"/>
  <c r="V259" i="10"/>
  <c r="AE259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AE258" i="10"/>
  <c r="AD257" i="10"/>
  <c r="AC257" i="10"/>
  <c r="AB257" i="10"/>
  <c r="AA257" i="10"/>
  <c r="Z257" i="10"/>
  <c r="Y257" i="10"/>
  <c r="X257" i="10"/>
  <c r="W257" i="10"/>
  <c r="V257" i="10"/>
  <c r="U257" i="10"/>
  <c r="R257" i="10"/>
  <c r="S257" i="10"/>
  <c r="T257" i="10"/>
  <c r="AE257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AE256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AE255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AE254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AD252" i="10"/>
  <c r="AC252" i="10"/>
  <c r="AB252" i="10"/>
  <c r="AA252" i="10"/>
  <c r="Z252" i="10"/>
  <c r="Y252" i="10"/>
  <c r="X252" i="10"/>
  <c r="W252" i="10"/>
  <c r="V252" i="10"/>
  <c r="U252" i="10"/>
  <c r="R252" i="10"/>
  <c r="S252" i="10"/>
  <c r="T252" i="10"/>
  <c r="AE252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AE251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AE250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AE249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AE248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AE247" i="10"/>
  <c r="AD246" i="10"/>
  <c r="AC246" i="10"/>
  <c r="AB246" i="10"/>
  <c r="AA246" i="10"/>
  <c r="Z246" i="10"/>
  <c r="Y246" i="10"/>
  <c r="X246" i="10"/>
  <c r="W246" i="10"/>
  <c r="R246" i="10"/>
  <c r="S246" i="10"/>
  <c r="T246" i="10"/>
  <c r="U246" i="10"/>
  <c r="V246" i="10"/>
  <c r="AE246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AE244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AE243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AE242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AE241" i="10"/>
  <c r="AD240" i="10"/>
  <c r="AC240" i="10"/>
  <c r="AB240" i="10"/>
  <c r="AA240" i="10"/>
  <c r="Z240" i="10"/>
  <c r="Y240" i="10"/>
  <c r="X240" i="10"/>
  <c r="W240" i="10"/>
  <c r="V240" i="10"/>
  <c r="U240" i="10"/>
  <c r="T240" i="10"/>
  <c r="R240" i="10"/>
  <c r="S240" i="10"/>
  <c r="AE240" i="10"/>
  <c r="AD239" i="10"/>
  <c r="AC239" i="10"/>
  <c r="AB239" i="10"/>
  <c r="AA239" i="10"/>
  <c r="Z239" i="10"/>
  <c r="Y239" i="10"/>
  <c r="X239" i="10"/>
  <c r="W239" i="10"/>
  <c r="R239" i="10"/>
  <c r="S239" i="10"/>
  <c r="T239" i="10"/>
  <c r="U239" i="10"/>
  <c r="V239" i="10"/>
  <c r="AE239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AE238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AE236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AE235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AE234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AE233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AE231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AE230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AE228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AE227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AE226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AE224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AE223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AE222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AE221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AE220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AE219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AE218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AE216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AE215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AE214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AE213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AE212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AE211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AE210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AE208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AE207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AE206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AE205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AE204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AE203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AE202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AE200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AE199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AE198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AE197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AE196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AE195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AE194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AE192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AE191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AE190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AE189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AE188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AE187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AE186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AE184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AE183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AE182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AE181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AE180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AE179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AE178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AE176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AE175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AE174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AE173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AE172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AE171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AE170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AE168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AE167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AE166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AE165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AE164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AE163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AE162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AE160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AE159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AE158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AE157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AE156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AE155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AE154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AE152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AE151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AE150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AE149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AE148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AE147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AE146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AE144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AE143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AE142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AE141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AE140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AE139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AE138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AE136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AE135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AE134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AE133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AE132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AE131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AE130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AE128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AE127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AE126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AE125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AE124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AE123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AE122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AE120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AE119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AE118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AE117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AE116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AE115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AE114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AE112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AE111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AE110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AE109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AE108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AE107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AE106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AE104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AE103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AE102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AE101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AE100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AE99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AE98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AE96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AE95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AE94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AE93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AE92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AE91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AE90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AE88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AE87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AE86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AE85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AE84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AE83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AE82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AE80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AE79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AE78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AE77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AE76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AE75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AE74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AE72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AE71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AE70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AE69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AE68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AE67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AE66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AE64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AE63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AE62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AE61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AE60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AE59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AE58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AE56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AE55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AE54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AE53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AE52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AE51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AE50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AE48" i="10"/>
  <c r="AD47" i="10"/>
  <c r="AC47" i="10"/>
  <c r="AB47" i="10"/>
  <c r="AA47" i="10"/>
  <c r="Z47" i="10"/>
  <c r="Y47" i="10"/>
  <c r="X47" i="10"/>
  <c r="W47" i="10"/>
  <c r="V47" i="10"/>
  <c r="U47" i="10"/>
  <c r="R47" i="10"/>
  <c r="S47" i="10"/>
  <c r="T47" i="10"/>
  <c r="AE47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AE46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AE45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AE44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AE43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AE42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AE40" i="10"/>
  <c r="AD39" i="10"/>
  <c r="AC39" i="10"/>
  <c r="AB39" i="10"/>
  <c r="AA39" i="10"/>
  <c r="Z39" i="10"/>
  <c r="Y39" i="10"/>
  <c r="X39" i="10"/>
  <c r="W39" i="10"/>
  <c r="V39" i="10"/>
  <c r="U39" i="10"/>
  <c r="R39" i="10"/>
  <c r="S39" i="10"/>
  <c r="T39" i="10"/>
  <c r="AE39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AE38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AE37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AE35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AE34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AE32" i="10"/>
  <c r="AD31" i="10"/>
  <c r="AC31" i="10"/>
  <c r="AB31" i="10"/>
  <c r="AA31" i="10"/>
  <c r="Z31" i="10"/>
  <c r="Y31" i="10"/>
  <c r="X31" i="10"/>
  <c r="W31" i="10"/>
  <c r="V31" i="10"/>
  <c r="U31" i="10"/>
  <c r="R31" i="10"/>
  <c r="S31" i="10"/>
  <c r="T31" i="10"/>
  <c r="AE31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AE30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AE29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AE28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AE27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AE26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AE24" i="10"/>
  <c r="AD23" i="10"/>
  <c r="AC23" i="10"/>
  <c r="AB23" i="10"/>
  <c r="AA23" i="10"/>
  <c r="Z23" i="10"/>
  <c r="Y23" i="10"/>
  <c r="X23" i="10"/>
  <c r="W23" i="10"/>
  <c r="V23" i="10"/>
  <c r="U23" i="10"/>
  <c r="R23" i="10"/>
  <c r="S23" i="10"/>
  <c r="T23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AE22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AD20" i="10"/>
  <c r="AC20" i="10"/>
  <c r="AB20" i="10"/>
  <c r="AA20" i="10"/>
  <c r="Z20" i="10"/>
  <c r="Z13" i="10"/>
  <c r="Z14" i="10"/>
  <c r="Z15" i="10"/>
  <c r="Z16" i="10"/>
  <c r="Z17" i="10"/>
  <c r="Z18" i="10"/>
  <c r="Z19" i="10"/>
  <c r="Z3" i="10"/>
  <c r="Z5" i="10"/>
  <c r="Y20" i="10"/>
  <c r="X20" i="10"/>
  <c r="W20" i="10"/>
  <c r="V20" i="10"/>
  <c r="U20" i="10"/>
  <c r="T20" i="10"/>
  <c r="S20" i="10"/>
  <c r="R20" i="10"/>
  <c r="R13" i="10"/>
  <c r="R14" i="10"/>
  <c r="R15" i="10"/>
  <c r="R16" i="10"/>
  <c r="R17" i="10"/>
  <c r="R18" i="10"/>
  <c r="R19" i="10"/>
  <c r="R3" i="10"/>
  <c r="R5" i="10"/>
  <c r="AE20" i="10"/>
  <c r="AD19" i="10"/>
  <c r="AC19" i="10"/>
  <c r="AB19" i="10"/>
  <c r="AA19" i="10"/>
  <c r="Y19" i="10"/>
  <c r="X19" i="10"/>
  <c r="W19" i="10"/>
  <c r="V19" i="10"/>
  <c r="U19" i="10"/>
  <c r="T19" i="10"/>
  <c r="S19" i="10"/>
  <c r="AE19" i="10"/>
  <c r="AD18" i="10"/>
  <c r="AC18" i="10"/>
  <c r="AB18" i="10"/>
  <c r="AA18" i="10"/>
  <c r="Y18" i="10"/>
  <c r="X18" i="10"/>
  <c r="W18" i="10"/>
  <c r="V18" i="10"/>
  <c r="U18" i="10"/>
  <c r="T18" i="10"/>
  <c r="S18" i="10"/>
  <c r="AE18" i="10"/>
  <c r="S17" i="10"/>
  <c r="T17" i="10"/>
  <c r="U17" i="10"/>
  <c r="V17" i="10"/>
  <c r="W17" i="10"/>
  <c r="X17" i="10"/>
  <c r="Y17" i="10"/>
  <c r="AA17" i="10"/>
  <c r="AB17" i="10"/>
  <c r="AC17" i="10"/>
  <c r="AD17" i="10"/>
  <c r="AE17" i="10"/>
  <c r="AD16" i="10"/>
  <c r="AC16" i="10"/>
  <c r="AB16" i="10"/>
  <c r="AA16" i="10"/>
  <c r="Y16" i="10"/>
  <c r="X16" i="10"/>
  <c r="W16" i="10"/>
  <c r="V16" i="10"/>
  <c r="U16" i="10"/>
  <c r="T16" i="10"/>
  <c r="S16" i="10"/>
  <c r="AD15" i="10"/>
  <c r="AC15" i="10"/>
  <c r="AB15" i="10"/>
  <c r="AA15" i="10"/>
  <c r="Y15" i="10"/>
  <c r="X15" i="10"/>
  <c r="W15" i="10"/>
  <c r="V15" i="10"/>
  <c r="U15" i="10"/>
  <c r="S15" i="10"/>
  <c r="T15" i="10"/>
  <c r="AD14" i="10"/>
  <c r="AD13" i="10"/>
  <c r="AD3" i="10"/>
  <c r="AD5" i="10"/>
  <c r="AC14" i="10"/>
  <c r="AB14" i="10"/>
  <c r="AB13" i="10"/>
  <c r="AB4" i="10"/>
  <c r="AB6" i="10"/>
  <c r="AA14" i="10"/>
  <c r="Y14" i="10"/>
  <c r="X14" i="10"/>
  <c r="X13" i="10"/>
  <c r="X4" i="10"/>
  <c r="X6" i="10"/>
  <c r="W14" i="10"/>
  <c r="V14" i="10"/>
  <c r="V13" i="10"/>
  <c r="V3" i="10"/>
  <c r="V5" i="10"/>
  <c r="U14" i="10"/>
  <c r="T14" i="10"/>
  <c r="T13" i="10"/>
  <c r="T4" i="10"/>
  <c r="T6" i="10"/>
  <c r="S14" i="10"/>
  <c r="AD4" i="10"/>
  <c r="AD6" i="10"/>
  <c r="AC13" i="10"/>
  <c r="AC4" i="10"/>
  <c r="AC6" i="10"/>
  <c r="AA13" i="10"/>
  <c r="AA3" i="10"/>
  <c r="AA5" i="10"/>
  <c r="Z4" i="10"/>
  <c r="Z6" i="10"/>
  <c r="Y13" i="10"/>
  <c r="Y3" i="10"/>
  <c r="Y5" i="10"/>
  <c r="W13" i="10"/>
  <c r="W3" i="10"/>
  <c r="W5" i="10"/>
  <c r="V4" i="10"/>
  <c r="V6" i="10"/>
  <c r="U13" i="10"/>
  <c r="U4" i="10"/>
  <c r="U6" i="10"/>
  <c r="S13" i="10"/>
  <c r="S3" i="10"/>
  <c r="S5" i="10"/>
  <c r="R4" i="10"/>
  <c r="R6" i="10"/>
  <c r="Y4" i="10"/>
  <c r="Y6" i="10"/>
  <c r="X3" i="10"/>
  <c r="X5" i="10"/>
  <c r="G37" i="9"/>
  <c r="F37" i="9"/>
  <c r="E37" i="9"/>
  <c r="G36" i="9"/>
  <c r="F36" i="9"/>
  <c r="E36" i="9"/>
  <c r="G35" i="9"/>
  <c r="F35" i="9"/>
  <c r="E35" i="9"/>
  <c r="G34" i="9"/>
  <c r="F34" i="9"/>
  <c r="E34" i="9"/>
  <c r="G33" i="9"/>
  <c r="F33" i="9"/>
  <c r="E33" i="9"/>
  <c r="G32" i="9"/>
  <c r="F32" i="9"/>
  <c r="E32" i="9"/>
  <c r="G31" i="9"/>
  <c r="F31" i="9"/>
  <c r="E31" i="9"/>
  <c r="G30" i="9"/>
  <c r="F30" i="9"/>
  <c r="E30" i="9"/>
  <c r="G29" i="9"/>
  <c r="F29" i="9"/>
  <c r="E29" i="9"/>
  <c r="G28" i="9"/>
  <c r="F28" i="9"/>
  <c r="E28" i="9"/>
  <c r="G27" i="9"/>
  <c r="F27" i="9"/>
  <c r="E27" i="9"/>
  <c r="G26" i="9"/>
  <c r="F26" i="9"/>
  <c r="E26" i="9"/>
  <c r="G25" i="9"/>
  <c r="F25" i="9"/>
  <c r="E25" i="9"/>
  <c r="G24" i="9"/>
  <c r="F24" i="9"/>
  <c r="E24" i="9"/>
  <c r="G23" i="9"/>
  <c r="F23" i="9"/>
  <c r="E23" i="9"/>
  <c r="G22" i="9"/>
  <c r="F22" i="9"/>
  <c r="E22" i="9"/>
  <c r="G21" i="9"/>
  <c r="F21" i="9"/>
  <c r="E21" i="9"/>
  <c r="G20" i="9"/>
  <c r="F20" i="9"/>
  <c r="E20" i="9"/>
  <c r="G19" i="9"/>
  <c r="F19" i="9"/>
  <c r="E19" i="9"/>
  <c r="G18" i="9"/>
  <c r="F18" i="9"/>
  <c r="E18" i="9"/>
  <c r="G17" i="9"/>
  <c r="F17" i="9"/>
  <c r="E17" i="9"/>
  <c r="G16" i="9"/>
  <c r="F16" i="9"/>
  <c r="G15" i="9"/>
  <c r="F15" i="9"/>
  <c r="E15" i="9"/>
  <c r="G14" i="9"/>
  <c r="F14" i="9"/>
  <c r="E14" i="9"/>
  <c r="G13" i="9"/>
  <c r="F13" i="9"/>
  <c r="E13" i="9"/>
  <c r="G12" i="9"/>
  <c r="F12" i="9"/>
  <c r="E12" i="9"/>
  <c r="G11" i="9"/>
  <c r="F11" i="9"/>
  <c r="E11" i="9"/>
  <c r="G10" i="9"/>
  <c r="F10" i="9"/>
  <c r="E10" i="9"/>
  <c r="G9" i="9"/>
  <c r="F9" i="9"/>
  <c r="E9" i="9"/>
  <c r="G8" i="9"/>
  <c r="F8" i="9"/>
  <c r="E8" i="9"/>
  <c r="G7" i="9"/>
  <c r="F7" i="9"/>
  <c r="E7" i="9"/>
  <c r="G6" i="9"/>
  <c r="F6" i="9"/>
  <c r="E6" i="9"/>
  <c r="G5" i="9"/>
  <c r="F5" i="9"/>
  <c r="E5" i="9"/>
  <c r="G4" i="9"/>
  <c r="F4" i="9"/>
  <c r="G3" i="9"/>
  <c r="F3" i="9"/>
  <c r="J7" i="3"/>
  <c r="I7" i="3"/>
  <c r="H7" i="3"/>
  <c r="G7" i="3"/>
  <c r="F7" i="3"/>
  <c r="E7" i="3"/>
  <c r="D7" i="3"/>
  <c r="C7" i="3"/>
  <c r="U3" i="10"/>
  <c r="U5" i="10"/>
  <c r="AC3" i="10"/>
  <c r="AC5" i="10"/>
  <c r="AE237" i="10"/>
  <c r="AE264" i="10"/>
  <c r="AE271" i="10"/>
  <c r="AE298" i="10"/>
  <c r="AE302" i="10"/>
  <c r="AE317" i="10"/>
  <c r="AE327" i="10"/>
  <c r="AE337" i="10"/>
  <c r="AE359" i="10"/>
  <c r="AE369" i="10"/>
  <c r="AE376" i="10"/>
  <c r="AE389" i="10"/>
  <c r="AE394" i="10"/>
  <c r="AE440" i="10"/>
  <c r="AE453" i="10"/>
  <c r="AE458" i="10"/>
  <c r="AE504" i="10"/>
  <c r="AE517" i="10"/>
  <c r="AE522" i="10"/>
  <c r="AE581" i="10"/>
  <c r="AE601" i="10"/>
  <c r="AA4" i="10"/>
  <c r="AA6" i="10"/>
  <c r="T3" i="10"/>
  <c r="T5" i="10"/>
  <c r="W4" i="10"/>
  <c r="W6" i="10"/>
  <c r="AE229" i="10"/>
  <c r="AE282" i="10"/>
  <c r="AE287" i="10"/>
  <c r="AE296" i="10"/>
  <c r="AE322" i="10"/>
  <c r="AE326" i="10"/>
  <c r="AE344" i="10"/>
  <c r="AE354" i="10"/>
  <c r="AE358" i="10"/>
  <c r="AE384" i="10"/>
  <c r="AE402" i="10"/>
  <c r="AE448" i="10"/>
  <c r="AE466" i="10"/>
  <c r="AE512" i="10"/>
  <c r="AE530" i="10"/>
  <c r="AE554" i="10"/>
  <c r="AE567" i="10"/>
  <c r="AE606" i="10"/>
  <c r="AE618" i="10"/>
  <c r="AE712" i="10"/>
  <c r="AB3" i="10"/>
  <c r="AB5" i="10"/>
  <c r="AE269" i="10"/>
  <c r="AE280" i="10"/>
  <c r="AE311" i="10"/>
  <c r="AE320" i="10"/>
  <c r="AE335" i="10"/>
  <c r="AE345" i="10"/>
  <c r="AE367" i="10"/>
  <c r="AE295" i="10"/>
  <c r="AE304" i="10"/>
  <c r="AE343" i="10"/>
  <c r="AE353" i="10"/>
  <c r="AE408" i="10"/>
  <c r="AE421" i="10"/>
  <c r="AE426" i="10"/>
  <c r="AE472" i="10"/>
  <c r="AE485" i="10"/>
  <c r="AE490" i="10"/>
  <c r="AE536" i="10"/>
  <c r="AE557" i="10"/>
  <c r="AE561" i="10"/>
  <c r="AE566" i="10"/>
  <c r="AE583" i="10"/>
  <c r="AE633" i="10"/>
  <c r="S6" i="10"/>
  <c r="AE279" i="10"/>
  <c r="AE290" i="10"/>
  <c r="AE294" i="10"/>
  <c r="AE309" i="10"/>
  <c r="AE319" i="10"/>
  <c r="AE328" i="10"/>
  <c r="AE338" i="10"/>
  <c r="AE342" i="10"/>
  <c r="AE360" i="10"/>
  <c r="AE370" i="10"/>
  <c r="AE416" i="10"/>
  <c r="AE434" i="10"/>
  <c r="AE480" i="10"/>
  <c r="AE498" i="10"/>
  <c r="AE531" i="10"/>
  <c r="AE544" i="10"/>
  <c r="AE565" i="10"/>
  <c r="AE607" i="10"/>
  <c r="AE706" i="10"/>
  <c r="AE253" i="10"/>
  <c r="AE288" i="10"/>
  <c r="AE314" i="10"/>
  <c r="AE318" i="10"/>
  <c r="AE329" i="10"/>
  <c r="AE351" i="10"/>
  <c r="AE361" i="10"/>
  <c r="AE539" i="10"/>
  <c r="AE560" i="10"/>
  <c r="AE570" i="10"/>
  <c r="AE245" i="10"/>
  <c r="AE577" i="10"/>
  <c r="AE615" i="10"/>
  <c r="AE677" i="10"/>
  <c r="AE703" i="10"/>
  <c r="AE716" i="10"/>
  <c r="AE572" i="10"/>
  <c r="AE579" i="10"/>
  <c r="AE604" i="10"/>
  <c r="AE611" i="10"/>
  <c r="AE629" i="10"/>
  <c r="AE635" i="10"/>
  <c r="AE647" i="10"/>
  <c r="AE651" i="10"/>
  <c r="AE663" i="10"/>
  <c r="AE676" i="10"/>
  <c r="AE691" i="10"/>
  <c r="AE701" i="10"/>
  <c r="AE720" i="10"/>
  <c r="AE725" i="10"/>
  <c r="AE752" i="10"/>
  <c r="AE757" i="10"/>
  <c r="AE784" i="10"/>
  <c r="AE789" i="10"/>
  <c r="AE811" i="10"/>
  <c r="AE828" i="10"/>
  <c r="AE837" i="10"/>
  <c r="AE847" i="10"/>
  <c r="AE892" i="10"/>
  <c r="AE901" i="10"/>
  <c r="AE911" i="10"/>
  <c r="AE968" i="10"/>
  <c r="AE1006" i="10"/>
  <c r="AE556" i="10"/>
  <c r="AE596" i="10"/>
  <c r="AE603" i="10"/>
  <c r="AE644" i="10"/>
  <c r="AE675" i="10"/>
  <c r="AE733" i="10"/>
  <c r="AE765" i="10"/>
  <c r="AE792" i="10"/>
  <c r="AE797" i="10"/>
  <c r="AE844" i="10"/>
  <c r="AE853" i="10"/>
  <c r="AE863" i="10"/>
  <c r="AE908" i="10"/>
  <c r="AE917" i="10"/>
  <c r="AE927" i="10"/>
  <c r="AE967" i="10"/>
  <c r="AE990" i="10"/>
  <c r="AE993" i="10"/>
  <c r="AE1001" i="10"/>
  <c r="AE548" i="10"/>
  <c r="AE621" i="10"/>
  <c r="AE627" i="10"/>
  <c r="AE665" i="10"/>
  <c r="AE671" i="10"/>
  <c r="AE684" i="10"/>
  <c r="AE699" i="10"/>
  <c r="AE709" i="10"/>
  <c r="AE723" i="10"/>
  <c r="AE732" i="10"/>
  <c r="AE737" i="10"/>
  <c r="AE743" i="10"/>
  <c r="AE755" i="10"/>
  <c r="AE764" i="10"/>
  <c r="AE769" i="10"/>
  <c r="AE775" i="10"/>
  <c r="AE787" i="10"/>
  <c r="AE796" i="10"/>
  <c r="AE801" i="10"/>
  <c r="AE807" i="10"/>
  <c r="AE835" i="10"/>
  <c r="AE852" i="10"/>
  <c r="AE861" i="10"/>
  <c r="AE871" i="10"/>
  <c r="AE899" i="10"/>
  <c r="AE916" i="10"/>
  <c r="AE925" i="10"/>
  <c r="AE935" i="10"/>
  <c r="AE946" i="10"/>
  <c r="AE977" i="10"/>
  <c r="AE988" i="10"/>
  <c r="AE1000" i="10"/>
  <c r="AE1065" i="10"/>
  <c r="AE588" i="10"/>
  <c r="AE595" i="10"/>
  <c r="AE620" i="10"/>
  <c r="AE639" i="10"/>
  <c r="AE643" i="10"/>
  <c r="AE655" i="10"/>
  <c r="AE659" i="10"/>
  <c r="AE669" i="10"/>
  <c r="AE689" i="10"/>
  <c r="AE695" i="10"/>
  <c r="AE708" i="10"/>
  <c r="AE843" i="10"/>
  <c r="AE907" i="10"/>
  <c r="AE1004" i="10"/>
  <c r="AE637" i="10"/>
  <c r="AE653" i="10"/>
  <c r="AE668" i="10"/>
  <c r="AE693" i="10"/>
  <c r="AE713" i="10"/>
  <c r="AE719" i="10"/>
  <c r="AE740" i="10"/>
  <c r="AE745" i="10"/>
  <c r="AE751" i="10"/>
  <c r="AE772" i="10"/>
  <c r="AE777" i="10"/>
  <c r="AE783" i="10"/>
  <c r="AE804" i="10"/>
  <c r="AE813" i="10"/>
  <c r="AE823" i="10"/>
  <c r="AE868" i="10"/>
  <c r="AE877" i="10"/>
  <c r="AE887" i="10"/>
  <c r="AE932" i="10"/>
  <c r="AE580" i="10"/>
  <c r="AE587" i="10"/>
  <c r="AE612" i="10"/>
  <c r="AE619" i="10"/>
  <c r="AE636" i="10"/>
  <c r="AE652" i="10"/>
  <c r="AE673" i="10"/>
  <c r="AE679" i="10"/>
  <c r="AE692" i="10"/>
  <c r="AE707" i="10"/>
  <c r="AE717" i="10"/>
  <c r="AE744" i="10"/>
  <c r="AE749" i="10"/>
  <c r="AE776" i="10"/>
  <c r="AE781" i="10"/>
  <c r="AE812" i="10"/>
  <c r="AE821" i="10"/>
  <c r="AE831" i="10"/>
  <c r="AE859" i="10"/>
  <c r="AE885" i="10"/>
  <c r="AE923" i="10"/>
  <c r="AE953" i="10"/>
  <c r="AE971" i="10"/>
  <c r="AE1003" i="10"/>
  <c r="AE1074" i="10"/>
  <c r="AE1078" i="10"/>
  <c r="AE1095" i="10"/>
  <c r="AE1138" i="10"/>
  <c r="AE1142" i="10"/>
  <c r="AE1159" i="10"/>
  <c r="AE1202" i="10"/>
  <c r="AE1206" i="10"/>
  <c r="AE1223" i="10"/>
  <c r="AE1266" i="10"/>
  <c r="AE1270" i="10"/>
  <c r="AE1287" i="10"/>
  <c r="AE1330" i="10"/>
  <c r="AE963" i="10"/>
  <c r="AE983" i="10"/>
  <c r="AE1014" i="10"/>
  <c r="AE1019" i="10"/>
  <c r="AE1023" i="10"/>
  <c r="AE1028" i="10"/>
  <c r="AE1042" i="10"/>
  <c r="AE1046" i="10"/>
  <c r="AE1055" i="10"/>
  <c r="AE1060" i="10"/>
  <c r="AE1082" i="10"/>
  <c r="AE1086" i="10"/>
  <c r="AE1103" i="10"/>
  <c r="AE1146" i="10"/>
  <c r="AE1150" i="10"/>
  <c r="AE1167" i="10"/>
  <c r="AE1210" i="10"/>
  <c r="AE1214" i="10"/>
  <c r="AE1231" i="10"/>
  <c r="AE1278" i="10"/>
  <c r="AE1295" i="10"/>
  <c r="AE1317" i="10"/>
  <c r="AE1350" i="10"/>
  <c r="AE955" i="10"/>
  <c r="AE995" i="10"/>
  <c r="AE1037" i="10"/>
  <c r="AE1069" i="10"/>
  <c r="AE1094" i="10"/>
  <c r="AE1111" i="10"/>
  <c r="AE1124" i="10"/>
  <c r="AE1133" i="10"/>
  <c r="AE1158" i="10"/>
  <c r="AE1175" i="10"/>
  <c r="AE1188" i="10"/>
  <c r="AE1197" i="10"/>
  <c r="AE1222" i="10"/>
  <c r="AE1239" i="10"/>
  <c r="AE1252" i="10"/>
  <c r="AE1261" i="10"/>
  <c r="AE1286" i="10"/>
  <c r="AE1303" i="10"/>
  <c r="AE1316" i="10"/>
  <c r="AE1325" i="10"/>
  <c r="AE1345" i="10"/>
  <c r="AE947" i="10"/>
  <c r="AE975" i="10"/>
  <c r="AE1007" i="10"/>
  <c r="AE1018" i="10"/>
  <c r="AE1022" i="10"/>
  <c r="AE1031" i="10"/>
  <c r="AE1054" i="10"/>
  <c r="AE1063" i="10"/>
  <c r="AE1119" i="10"/>
  <c r="AE1183" i="10"/>
  <c r="AE1247" i="10"/>
  <c r="AE1311" i="10"/>
  <c r="AE939" i="10"/>
  <c r="AE987" i="10"/>
  <c r="AE1013" i="10"/>
  <c r="AE1045" i="10"/>
  <c r="AE1076" i="10"/>
  <c r="AE1085" i="10"/>
  <c r="AE1106" i="10"/>
  <c r="AE1110" i="10"/>
  <c r="AE1140" i="10"/>
  <c r="AE1149" i="10"/>
  <c r="AE1170" i="10"/>
  <c r="AE1174" i="10"/>
  <c r="AE1204" i="10"/>
  <c r="AE1213" i="10"/>
  <c r="AE1234" i="10"/>
  <c r="AE1238" i="10"/>
  <c r="AE1268" i="10"/>
  <c r="AE1277" i="10"/>
  <c r="AE1298" i="10"/>
  <c r="AE1302" i="10"/>
  <c r="AE1332" i="10"/>
  <c r="AE1044" i="10"/>
  <c r="AE979" i="10"/>
  <c r="AE1011" i="10"/>
  <c r="AE1021" i="10"/>
  <c r="AE1053" i="10"/>
  <c r="AE1092" i="10"/>
  <c r="AE1101" i="10"/>
  <c r="AE1122" i="10"/>
  <c r="AE1156" i="10"/>
  <c r="AE1165" i="10"/>
  <c r="AE1186" i="10"/>
  <c r="AE1220" i="10"/>
  <c r="AE1229" i="10"/>
  <c r="AE1250" i="10"/>
  <c r="AE1284" i="10"/>
  <c r="AE1293" i="10"/>
  <c r="AE1314" i="10"/>
  <c r="AE1761" i="10"/>
  <c r="AE1771" i="10"/>
  <c r="AE1783" i="10"/>
  <c r="AE1785" i="10"/>
  <c r="AE1804" i="10"/>
  <c r="AE1828" i="10"/>
  <c r="AE1833" i="10"/>
  <c r="AE1846" i="10"/>
  <c r="AE1856" i="10"/>
  <c r="AE1918" i="10"/>
  <c r="AE1947" i="10"/>
  <c r="AE1986" i="10"/>
  <c r="AE1361" i="10"/>
  <c r="AE1370" i="10"/>
  <c r="AE1375" i="10"/>
  <c r="AE1384" i="10"/>
  <c r="AE1406" i="10"/>
  <c r="AE1420" i="10"/>
  <c r="AE1442" i="10"/>
  <c r="AE1456" i="10"/>
  <c r="AE1479" i="10"/>
  <c r="AE1482" i="10"/>
  <c r="AE1503" i="10"/>
  <c r="AE1508" i="10"/>
  <c r="AE1566" i="10"/>
  <c r="AE1570" i="10"/>
  <c r="AE1596" i="10"/>
  <c r="AE1707" i="10"/>
  <c r="AE1719" i="10"/>
  <c r="AE1740" i="10"/>
  <c r="AE1769" i="10"/>
  <c r="AE1792" i="10"/>
  <c r="AE1335" i="10"/>
  <c r="AE1341" i="10"/>
  <c r="AE1356" i="10"/>
  <c r="AE1374" i="10"/>
  <c r="AE1380" i="10"/>
  <c r="AE1394" i="10"/>
  <c r="AE1432" i="10"/>
  <c r="AE1446" i="10"/>
  <c r="AE1506" i="10"/>
  <c r="AE1574" i="10"/>
  <c r="AE1583" i="10"/>
  <c r="AE1593" i="10"/>
  <c r="AE1633" i="10"/>
  <c r="AE1643" i="10"/>
  <c r="AE1655" i="10"/>
  <c r="AE1657" i="10"/>
  <c r="AE1676" i="10"/>
  <c r="AE1688" i="10"/>
  <c r="AE1705" i="10"/>
  <c r="AE1718" i="10"/>
  <c r="AE1728" i="10"/>
  <c r="AE1731" i="10"/>
  <c r="AE1790" i="10"/>
  <c r="AE1803" i="10"/>
  <c r="AE1819" i="10"/>
  <c r="AE1832" i="10"/>
  <c r="AE1888" i="10"/>
  <c r="AE1904" i="10"/>
  <c r="AE1927" i="10"/>
  <c r="AE1946" i="10"/>
  <c r="AE1334" i="10"/>
  <c r="AE1346" i="10"/>
  <c r="AE1378" i="10"/>
  <c r="AE1392" i="10"/>
  <c r="AE1410" i="10"/>
  <c r="AE1441" i="10"/>
  <c r="AE1460" i="10"/>
  <c r="AE1519" i="10"/>
  <c r="AE1529" i="10"/>
  <c r="AE1569" i="10"/>
  <c r="AE1579" i="10"/>
  <c r="AE1591" i="10"/>
  <c r="AE1612" i="10"/>
  <c r="AE1624" i="10"/>
  <c r="AE1641" i="10"/>
  <c r="AE1654" i="10"/>
  <c r="AE1664" i="10"/>
  <c r="AE1667" i="10"/>
  <c r="AE1726" i="10"/>
  <c r="AE1768" i="10"/>
  <c r="AE1866" i="10"/>
  <c r="AE1882" i="10"/>
  <c r="AE1887" i="10"/>
  <c r="AE1906" i="10"/>
  <c r="AE1954" i="10"/>
  <c r="AE1959" i="10"/>
  <c r="AE1980" i="10"/>
  <c r="AE1351" i="10"/>
  <c r="AE1368" i="10"/>
  <c r="AE1382" i="10"/>
  <c r="AE1409" i="10"/>
  <c r="AE1418" i="10"/>
  <c r="AE1445" i="10"/>
  <c r="AE1455" i="10"/>
  <c r="AE1459" i="10"/>
  <c r="AE1465" i="10"/>
  <c r="AE1505" i="10"/>
  <c r="AE1527" i="10"/>
  <c r="AE1548" i="10"/>
  <c r="AE1560" i="10"/>
  <c r="AE1590" i="10"/>
  <c r="AE1603" i="10"/>
  <c r="AE1662" i="10"/>
  <c r="AE1691" i="10"/>
  <c r="AE1704" i="10"/>
  <c r="AE1714" i="10"/>
  <c r="AE1776" i="10"/>
  <c r="AE1799" i="10"/>
  <c r="AE1802" i="10"/>
  <c r="AE1823" i="10"/>
  <c r="AE1842" i="10"/>
  <c r="AE1886" i="10"/>
  <c r="AE1890" i="10"/>
  <c r="AE1895" i="10"/>
  <c r="AE1916" i="10"/>
  <c r="AE1929" i="10"/>
  <c r="AE1958" i="10"/>
  <c r="AE1967" i="10"/>
  <c r="AE1970" i="10"/>
  <c r="AE1333" i="10"/>
  <c r="AE1354" i="10"/>
  <c r="AE1377" i="10"/>
  <c r="AE1396" i="10"/>
  <c r="AE1404" i="10"/>
  <c r="AE1431" i="10"/>
  <c r="AE1435" i="10"/>
  <c r="AE1449" i="10"/>
  <c r="AE1463" i="10"/>
  <c r="AE1484" i="10"/>
  <c r="AE1496" i="10"/>
  <c r="AE1513" i="10"/>
  <c r="AE1536" i="10"/>
  <c r="AE1539" i="10"/>
  <c r="AE1738" i="10"/>
  <c r="AE1759" i="10"/>
  <c r="AE1822" i="10"/>
  <c r="AE1831" i="10"/>
  <c r="AE1852" i="10"/>
  <c r="AE1894" i="10"/>
  <c r="AE1475" i="10"/>
  <c r="AE1674" i="10"/>
  <c r="AE1695" i="10"/>
  <c r="AE1758" i="10"/>
  <c r="AE1902" i="10"/>
  <c r="AE1913" i="10"/>
  <c r="AE1956" i="10"/>
  <c r="AE1988" i="10"/>
  <c r="AE1996" i="10"/>
  <c r="AE1373" i="10"/>
  <c r="AE1437" i="10"/>
  <c r="AE1501" i="10"/>
  <c r="AE1565" i="10"/>
  <c r="AE1629" i="10"/>
  <c r="AE1693" i="10"/>
  <c r="AE1757" i="10"/>
  <c r="AE1821" i="10"/>
  <c r="AE1885" i="10"/>
  <c r="AE1949" i="10"/>
  <c r="AE1999" i="10"/>
  <c r="AE2003" i="10"/>
  <c r="AE1365" i="10"/>
  <c r="AE1429" i="10"/>
  <c r="AE1493" i="10"/>
  <c r="AE1557" i="10"/>
  <c r="AE1621" i="10"/>
  <c r="AE1685" i="10"/>
  <c r="AE1749" i="10"/>
  <c r="AE1813" i="10"/>
  <c r="AE1877" i="10"/>
  <c r="AE1941" i="10"/>
  <c r="AE2002" i="10"/>
  <c r="AE2006" i="10"/>
  <c r="AE1485" i="10"/>
  <c r="AE1549" i="10"/>
  <c r="AE1613" i="10"/>
  <c r="AE1677" i="10"/>
  <c r="AE1741" i="10"/>
  <c r="AE1805" i="10"/>
  <c r="AE1869" i="10"/>
  <c r="AE1933" i="10"/>
  <c r="AE1997" i="10"/>
  <c r="AE1349" i="10"/>
  <c r="AE1413" i="10"/>
  <c r="AE1477" i="10"/>
  <c r="AE1541" i="10"/>
  <c r="AE1605" i="10"/>
  <c r="AE1669" i="10"/>
  <c r="AE1733" i="10"/>
  <c r="AE1797" i="10"/>
  <c r="AE1861" i="10"/>
  <c r="AE1925" i="10"/>
  <c r="AE1989" i="10"/>
  <c r="AE2001" i="10"/>
  <c r="AE2005" i="10"/>
  <c r="AE1405" i="10"/>
  <c r="AE1469" i="10"/>
  <c r="AE1533" i="10"/>
  <c r="AE1597" i="10"/>
  <c r="AE1661" i="10"/>
  <c r="AE1725" i="10"/>
  <c r="AE1789" i="10"/>
  <c r="AE1853" i="10"/>
  <c r="AE1917" i="10"/>
  <c r="AE1981" i="10"/>
  <c r="AE1397" i="10"/>
  <c r="AE1461" i="10"/>
  <c r="AE1525" i="10"/>
  <c r="AE1589" i="10"/>
  <c r="AE1653" i="10"/>
  <c r="AE1717" i="10"/>
  <c r="AE1781" i="10"/>
  <c r="AE1845" i="10"/>
  <c r="AE1909" i="10"/>
  <c r="AE1973" i="10"/>
  <c r="AE2000" i="10"/>
  <c r="AE1389" i="10"/>
  <c r="AE1453" i="10"/>
  <c r="AE1517" i="10"/>
  <c r="AE1581" i="10"/>
  <c r="AE1645" i="10"/>
  <c r="AE1709" i="10"/>
  <c r="AE1773" i="10"/>
  <c r="AE1837" i="10"/>
  <c r="AE1901" i="10"/>
  <c r="AE1965" i="10"/>
  <c r="AE3" i="10" l="1"/>
  <c r="AE5" i="10" s="1"/>
  <c r="AE4" i="10"/>
  <c r="AE6" i="10" s="1"/>
  <c r="AF2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</authors>
  <commentList>
    <comment ref="A1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Apply the growth rate to the dividend
</t>
        </r>
      </text>
    </comment>
    <comment ref="A1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The TV is the value of the futur CF after period 5, expressed in period 5. TV = CF6 / 1+7%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</authors>
  <commentList>
    <comment ref="P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2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Annual return/Annual volatility</t>
        </r>
      </text>
    </comment>
    <comment ref="P3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STDEV.S (all returns)</t>
        </r>
      </text>
    </comment>
    <comment ref="P4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AVERAGE(all returns)</t>
        </r>
      </text>
    </comment>
    <comment ref="P5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Use SQRT(Nb Days)  * Daily volatility</t>
        </r>
      </text>
    </comment>
    <comment ref="P6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Daily volatility * Nb Days </t>
        </r>
      </text>
    </comment>
    <comment ref="P8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Sum the % allocation of all assets, has to be = 100%</t>
        </r>
      </text>
    </comment>
    <comment ref="Q13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Calculate the Yield as  r(t) = Ln( P(t) / P(t-1) ))</t>
        </r>
      </text>
    </comment>
    <comment ref="AE13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Use SUMPROD function
</t>
        </r>
      </text>
    </comment>
  </commentList>
</comments>
</file>

<file path=xl/sharedStrings.xml><?xml version="1.0" encoding="utf-8"?>
<sst xmlns="http://schemas.openxmlformats.org/spreadsheetml/2006/main" count="115" uniqueCount="95">
  <si>
    <t>Inputs</t>
  </si>
  <si>
    <t>Dividend growth rate 1</t>
  </si>
  <si>
    <t>Dividend growth rate 2</t>
  </si>
  <si>
    <t>Dividend growth rate 3</t>
  </si>
  <si>
    <t>Dividend growth rate 4</t>
  </si>
  <si>
    <t>Dividend growth rate 5</t>
  </si>
  <si>
    <t>Dividend growth rate 6</t>
  </si>
  <si>
    <t>Initial dividend value</t>
  </si>
  <si>
    <t>levered cots of equity capital per year</t>
  </si>
  <si>
    <t>First Stage: Finite Horizon</t>
  </si>
  <si>
    <t>2nd stage: Infinite Horizon</t>
  </si>
  <si>
    <t>Year</t>
  </si>
  <si>
    <t>Dividend growth rate (%)</t>
  </si>
  <si>
    <t>Dividend value</t>
  </si>
  <si>
    <t>Terminal value</t>
  </si>
  <si>
    <t>Stock value estimation</t>
  </si>
  <si>
    <t xml:space="preserve">STOCK VALUATION </t>
  </si>
  <si>
    <t xml:space="preserve">To calculate the value of a stock </t>
  </si>
  <si>
    <t>Total Dividends &amp; Terminal Value</t>
  </si>
  <si>
    <t>Face value</t>
  </si>
  <si>
    <t>Payment</t>
  </si>
  <si>
    <t>Discount rate</t>
  </si>
  <si>
    <t>Period</t>
  </si>
  <si>
    <t>Bond price</t>
  </si>
  <si>
    <t>BOND VALUATION</t>
  </si>
  <si>
    <t>To calculate the value of a simple bond</t>
  </si>
  <si>
    <t>Settlement date</t>
  </si>
  <si>
    <t>Maturity date</t>
  </si>
  <si>
    <t>Date</t>
  </si>
  <si>
    <t>YIELD CURVE</t>
  </si>
  <si>
    <t>To get data from the source and to adapt the format</t>
  </si>
  <si>
    <t>Special paste, format, chart</t>
  </si>
  <si>
    <t>You will collect the Beta value of Apple on three differente sources (including Yahoo). What do you notice ?</t>
  </si>
  <si>
    <t>APPLE</t>
  </si>
  <si>
    <t>S&amp;P500</t>
  </si>
  <si>
    <t>Nasdaq</t>
  </si>
  <si>
    <t>APPLE returns</t>
  </si>
  <si>
    <t>S&amp;P500 returns</t>
  </si>
  <si>
    <t>Nasdaq returns</t>
  </si>
  <si>
    <t>Apple Beta</t>
  </si>
  <si>
    <t>Covariance</t>
  </si>
  <si>
    <t>Linear regression</t>
  </si>
  <si>
    <t>In a new sheet, calculate the:</t>
  </si>
  <si>
    <t xml:space="preserve"> 3Y monthly Apple beta based on S&amp;P500 index </t>
  </si>
  <si>
    <t xml:space="preserve"> 3Y monthly Apple beta based on NASDAQ index </t>
  </si>
  <si>
    <t xml:space="preserve">What is the Beta of a stock ? </t>
  </si>
  <si>
    <t xml:space="preserve">How do we interpret it ? </t>
  </si>
  <si>
    <t>If a stock moves less than the market, the stock's beta is less than 1.0. High-beta stocks are supposed to be riskier but provide higher return potential; low-beta stocks pose less risk but also lower returns</t>
  </si>
  <si>
    <t>Beta is a measure of a stock's volatility in relation to the overall market. By definition, the market, such as the S&amp;P 500 Index, has a beta of 1.0, and individual stocks are ranked according to how much they deviate from the market.</t>
  </si>
  <si>
    <t>Yahoo finance = 1,30; Marketwatch = 1,17; Fortuneo = 1,12</t>
  </si>
  <si>
    <t xml:space="preserve">No the value of the beta depends on the lengh of period,  the periodicity, and also on the benchmark we use to calculate it </t>
  </si>
  <si>
    <t xml:space="preserve">According to you, is there a right value of Beta ? Why the Beta values can differ ? </t>
  </si>
  <si>
    <t xml:space="preserve">BETA </t>
  </si>
  <si>
    <t>BETA</t>
  </si>
  <si>
    <t>To understand what is the beta of a stock and how to interpret it</t>
  </si>
  <si>
    <t>BETA APPL</t>
  </si>
  <si>
    <t xml:space="preserve">To extract data from a source 
To calculate the beta of a stock using different methods
To built the chart representing the market equation </t>
  </si>
  <si>
    <t>PORTFOLIO</t>
  </si>
  <si>
    <t>Return per unit of risk</t>
  </si>
  <si>
    <t>Daily volatility</t>
  </si>
  <si>
    <t>Daily return</t>
  </si>
  <si>
    <t>Annual volatility</t>
  </si>
  <si>
    <t>Annual return</t>
  </si>
  <si>
    <t>PRICES</t>
  </si>
  <si>
    <t>RETURNS</t>
  </si>
  <si>
    <t>NYSE</t>
  </si>
  <si>
    <t>NASDAQ</t>
  </si>
  <si>
    <t>GOOGL</t>
  </si>
  <si>
    <t>YHOO</t>
  </si>
  <si>
    <t>AAPL</t>
  </si>
  <si>
    <t>MSFT</t>
  </si>
  <si>
    <t>APOL</t>
  </si>
  <si>
    <t>GT</t>
  </si>
  <si>
    <t>POT</t>
  </si>
  <si>
    <t>JCP</t>
  </si>
  <si>
    <t>MRK</t>
  </si>
  <si>
    <t>MET</t>
  </si>
  <si>
    <t>TUP</t>
  </si>
  <si>
    <t>NKE</t>
  </si>
  <si>
    <t>PORTFOLIO ALLOCATION</t>
  </si>
  <si>
    <t>NPV()</t>
  </si>
  <si>
    <t>COVARIANCE.S(), SLOPE()</t>
  </si>
  <si>
    <t xml:space="preserve">To understand the principle of portfolio allocation
To build a model able to select the optimized allocation based on a set of assets
To build the risk/return chart of a set of assets  </t>
  </si>
  <si>
    <t>Excel tools</t>
  </si>
  <si>
    <t xml:space="preserve">Sheets </t>
  </si>
  <si>
    <t>Learning Goals</t>
  </si>
  <si>
    <t>Trading days in a year</t>
  </si>
  <si>
    <t>STDEV.S(), SUMPRODUCT(), Solver</t>
  </si>
  <si>
    <t>Face Value</t>
  </si>
  <si>
    <t xml:space="preserve">Coupon Rate </t>
  </si>
  <si>
    <t xml:space="preserve">Yield To Maturity </t>
  </si>
  <si>
    <t xml:space="preserve">PRICE </t>
  </si>
  <si>
    <t xml:space="preserve">Frequency </t>
  </si>
  <si>
    <t>USE THE PRICE FUNCTION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</si>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</sst>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164" formatCode="_-[$$-409]* #,##0.00_ ;_-[$$-409]* \-#,##0.00\ ;_-[$$-409]* &quot;-&quot;??_ ;_-@_ "/>
    <numFmt numFmtId="165" formatCode="0.0%"/>
    <numFmt numFmtId="166" formatCode="0.000"/>
    <numFmt numFmtId="167" formatCode="0.00000"/>
  </numFmts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2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ACEE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CE0F4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130">
    <xf numFmtId="0" fontId="0" fillId="0" borderId="0" xfId="0"/>
    <xf numFmtId="0" fontId="7" fillId="0" borderId="0" xfId="0" applyFont="1"/>
    <xf numFmtId="8" fontId="0" fillId="0" borderId="0" xfId="0" applyNumberFormat="1"/>
    <xf numFmtId="164" fontId="0" fillId="0" borderId="0" xfId="0" applyNumberFormat="1"/>
    <xf numFmtId="0" fontId="0" fillId="5" borderId="2" xfId="0" applyFill="1" applyBorder="1"/>
    <xf numFmtId="9" fontId="0" fillId="5" borderId="3" xfId="0" applyNumberFormat="1" applyFill="1" applyBorder="1"/>
    <xf numFmtId="0" fontId="0" fillId="5" borderId="4" xfId="0" applyFill="1" applyBorder="1"/>
    <xf numFmtId="9" fontId="0" fillId="5" borderId="5" xfId="0" applyNumberFormat="1" applyFill="1" applyBorder="1"/>
    <xf numFmtId="164" fontId="0" fillId="5" borderId="5" xfId="0" applyNumberFormat="1" applyFill="1" applyBorder="1"/>
    <xf numFmtId="0" fontId="0" fillId="5" borderId="6" xfId="0" applyFill="1" applyBorder="1"/>
    <xf numFmtId="9" fontId="0" fillId="5" borderId="7" xfId="0" applyNumberFormat="1" applyFill="1" applyBorder="1"/>
    <xf numFmtId="0" fontId="8" fillId="3" borderId="1" xfId="0" applyFont="1" applyFill="1" applyBorder="1"/>
    <xf numFmtId="164" fontId="0" fillId="6" borderId="9" xfId="0" applyNumberFormat="1" applyFill="1" applyBorder="1"/>
    <xf numFmtId="164" fontId="0" fillId="6" borderId="10" xfId="0" applyNumberFormat="1" applyFill="1" applyBorder="1"/>
    <xf numFmtId="164" fontId="0" fillId="6" borderId="11" xfId="0" applyNumberFormat="1" applyFill="1" applyBorder="1"/>
    <xf numFmtId="164" fontId="0" fillId="6" borderId="1" xfId="0" applyNumberFormat="1" applyFill="1" applyBorder="1"/>
    <xf numFmtId="0" fontId="7" fillId="0" borderId="9" xfId="0" applyFont="1" applyBorder="1"/>
    <xf numFmtId="164" fontId="0" fillId="5" borderId="11" xfId="0" applyNumberFormat="1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9" fontId="0" fillId="5" borderId="6" xfId="0" applyNumberFormat="1" applyFill="1" applyBorder="1"/>
    <xf numFmtId="9" fontId="0" fillId="5" borderId="17" xfId="0" applyNumberFormat="1" applyFill="1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164" fontId="7" fillId="7" borderId="1" xfId="0" applyNumberFormat="1" applyFont="1" applyFill="1" applyBorder="1"/>
    <xf numFmtId="0" fontId="8" fillId="0" borderId="0" xfId="0" applyFont="1"/>
    <xf numFmtId="164" fontId="0" fillId="5" borderId="3" xfId="0" applyNumberFormat="1" applyFill="1" applyBorder="1"/>
    <xf numFmtId="0" fontId="0" fillId="8" borderId="9" xfId="0" applyFill="1" applyBorder="1"/>
    <xf numFmtId="0" fontId="0" fillId="8" borderId="10" xfId="0" applyFill="1" applyBorder="1"/>
    <xf numFmtId="0" fontId="0" fillId="8" borderId="11" xfId="0" applyFill="1" applyBorder="1"/>
    <xf numFmtId="164" fontId="0" fillId="5" borderId="9" xfId="0" applyNumberFormat="1" applyFill="1" applyBorder="1"/>
    <xf numFmtId="164" fontId="0" fillId="5" borderId="10" xfId="0" applyNumberFormat="1" applyFill="1" applyBorder="1"/>
    <xf numFmtId="0" fontId="0" fillId="0" borderId="9" xfId="0" applyBorder="1"/>
    <xf numFmtId="0" fontId="13" fillId="12" borderId="8" xfId="4" applyFont="1" applyFill="1" applyBorder="1" applyAlignment="1">
      <alignment wrapText="1" shrinkToFit="1"/>
    </xf>
    <xf numFmtId="0" fontId="13" fillId="0" borderId="0" xfId="4" applyFont="1" applyAlignment="1">
      <alignment wrapText="1" shrinkToFit="1"/>
    </xf>
    <xf numFmtId="0" fontId="14" fillId="0" borderId="8" xfId="4" applyFont="1" applyBorder="1" applyAlignment="1">
      <alignment wrapText="1" shrinkToFit="1"/>
    </xf>
    <xf numFmtId="0" fontId="5" fillId="0" borderId="8" xfId="4" applyFont="1" applyBorder="1" applyAlignment="1">
      <alignment wrapText="1" shrinkToFit="1"/>
    </xf>
    <xf numFmtId="0" fontId="3" fillId="0" borderId="0" xfId="4" applyAlignment="1">
      <alignment wrapText="1" shrinkToFit="1"/>
    </xf>
    <xf numFmtId="0" fontId="3" fillId="0" borderId="8" xfId="4" applyBorder="1"/>
    <xf numFmtId="0" fontId="3" fillId="0" borderId="0" xfId="4"/>
    <xf numFmtId="0" fontId="5" fillId="0" borderId="8" xfId="4" applyFont="1" applyBorder="1"/>
    <xf numFmtId="166" fontId="14" fillId="11" borderId="8" xfId="4" applyNumberFormat="1" applyFont="1" applyFill="1" applyBorder="1"/>
    <xf numFmtId="10" fontId="3" fillId="0" borderId="8" xfId="2" applyNumberFormat="1" applyFont="1" applyBorder="1"/>
    <xf numFmtId="10" fontId="3" fillId="0" borderId="0" xfId="2" applyNumberFormat="1" applyFont="1" applyBorder="1"/>
    <xf numFmtId="10" fontId="5" fillId="0" borderId="8" xfId="2" applyNumberFormat="1" applyFont="1" applyBorder="1"/>
    <xf numFmtId="166" fontId="15" fillId="11" borderId="8" xfId="4" applyNumberFormat="1" applyFont="1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1" xfId="0" applyFill="1" applyBorder="1" applyAlignment="1">
      <alignment vertical="center" wrapText="1"/>
    </xf>
    <xf numFmtId="0" fontId="0" fillId="10" borderId="1" xfId="0" applyFill="1" applyBorder="1" applyAlignment="1">
      <alignment vertical="center"/>
    </xf>
    <xf numFmtId="0" fontId="0" fillId="10" borderId="11" xfId="0" applyFill="1" applyBorder="1" applyAlignment="1">
      <alignment vertical="center" wrapText="1"/>
    </xf>
    <xf numFmtId="0" fontId="0" fillId="9" borderId="1" xfId="0" applyFill="1" applyBorder="1" applyAlignment="1">
      <alignment vertical="center"/>
    </xf>
    <xf numFmtId="0" fontId="0" fillId="9" borderId="11" xfId="0" applyFill="1" applyBorder="1" applyAlignment="1">
      <alignment vertical="center" wrapText="1"/>
    </xf>
    <xf numFmtId="0" fontId="9" fillId="13" borderId="1" xfId="0" applyFont="1" applyFill="1" applyBorder="1" applyAlignment="1">
      <alignment vertical="center" wrapText="1"/>
    </xf>
    <xf numFmtId="0" fontId="9" fillId="13" borderId="11" xfId="0" applyFont="1" applyFill="1" applyBorder="1" applyAlignment="1">
      <alignment vertical="center" wrapText="1"/>
    </xf>
    <xf numFmtId="0" fontId="0" fillId="5" borderId="20" xfId="0" applyFill="1" applyBorder="1" applyAlignment="1">
      <alignment vertical="center"/>
    </xf>
    <xf numFmtId="0" fontId="0" fillId="5" borderId="19" xfId="0" applyFill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3" fillId="0" borderId="0" xfId="5"/>
    <xf numFmtId="0" fontId="5" fillId="6" borderId="9" xfId="5" applyFont="1" applyFill="1" applyBorder="1"/>
    <xf numFmtId="0" fontId="14" fillId="0" borderId="1" xfId="5" applyFont="1" applyBorder="1" applyAlignment="1">
      <alignment wrapText="1"/>
    </xf>
    <xf numFmtId="0" fontId="5" fillId="11" borderId="12" xfId="5" applyFont="1" applyFill="1" applyBorder="1"/>
    <xf numFmtId="10" fontId="0" fillId="0" borderId="18" xfId="6" applyNumberFormat="1" applyFont="1" applyBorder="1"/>
    <xf numFmtId="10" fontId="17" fillId="0" borderId="12" xfId="6" applyNumberFormat="1" applyFont="1" applyBorder="1"/>
    <xf numFmtId="0" fontId="5" fillId="11" borderId="20" xfId="5" applyFont="1" applyFill="1" applyBorder="1"/>
    <xf numFmtId="10" fontId="3" fillId="0" borderId="0" xfId="5" applyNumberFormat="1"/>
    <xf numFmtId="10" fontId="17" fillId="0" borderId="20" xfId="5" applyNumberFormat="1" applyFont="1" applyBorder="1"/>
    <xf numFmtId="165" fontId="0" fillId="0" borderId="0" xfId="6" applyNumberFormat="1" applyFont="1" applyBorder="1"/>
    <xf numFmtId="165" fontId="17" fillId="0" borderId="20" xfId="6" applyNumberFormat="1" applyFont="1" applyBorder="1"/>
    <xf numFmtId="0" fontId="5" fillId="11" borderId="19" xfId="5" applyFont="1" applyFill="1" applyBorder="1"/>
    <xf numFmtId="165" fontId="0" fillId="0" borderId="17" xfId="6" applyNumberFormat="1" applyFont="1" applyBorder="1"/>
    <xf numFmtId="165" fontId="17" fillId="0" borderId="19" xfId="6" applyNumberFormat="1" applyFont="1" applyBorder="1"/>
    <xf numFmtId="9" fontId="13" fillId="6" borderId="9" xfId="5" applyNumberFormat="1" applyFont="1" applyFill="1" applyBorder="1"/>
    <xf numFmtId="9" fontId="13" fillId="6" borderId="10" xfId="5" applyNumberFormat="1" applyFont="1" applyFill="1" applyBorder="1"/>
    <xf numFmtId="0" fontId="5" fillId="4" borderId="17" xfId="5" applyFont="1" applyFill="1" applyBorder="1" applyAlignment="1">
      <alignment horizontal="center"/>
    </xf>
    <xf numFmtId="0" fontId="5" fillId="11" borderId="9" xfId="5" applyFont="1" applyFill="1" applyBorder="1"/>
    <xf numFmtId="0" fontId="5" fillId="11" borderId="10" xfId="5" applyFont="1" applyFill="1" applyBorder="1"/>
    <xf numFmtId="0" fontId="5" fillId="11" borderId="11" xfId="5" applyFont="1" applyFill="1" applyBorder="1"/>
    <xf numFmtId="0" fontId="5" fillId="6" borderId="1" xfId="5" applyFont="1" applyFill="1" applyBorder="1"/>
    <xf numFmtId="14" fontId="3" fillId="11" borderId="0" xfId="5" applyNumberFormat="1" applyFill="1"/>
    <xf numFmtId="4" fontId="3" fillId="0" borderId="4" xfId="5" applyNumberFormat="1" applyBorder="1"/>
    <xf numFmtId="4" fontId="3" fillId="0" borderId="0" xfId="5" applyNumberFormat="1"/>
    <xf numFmtId="0" fontId="3" fillId="0" borderId="5" xfId="5" applyBorder="1"/>
    <xf numFmtId="0" fontId="3" fillId="0" borderId="4" xfId="5" applyBorder="1"/>
    <xf numFmtId="10" fontId="0" fillId="0" borderId="4" xfId="6" applyNumberFormat="1" applyFont="1" applyBorder="1"/>
    <xf numFmtId="10" fontId="17" fillId="0" borderId="12" xfId="6" applyNumberFormat="1" applyFont="1" applyFill="1" applyBorder="1"/>
    <xf numFmtId="10" fontId="0" fillId="0" borderId="0" xfId="6" applyNumberFormat="1" applyFont="1" applyFill="1" applyBorder="1"/>
    <xf numFmtId="10" fontId="17" fillId="0" borderId="20" xfId="6" applyNumberFormat="1" applyFont="1" applyFill="1" applyBorder="1"/>
    <xf numFmtId="10" fontId="17" fillId="0" borderId="19" xfId="6" applyNumberFormat="1" applyFont="1" applyFill="1" applyBorder="1"/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3" fillId="0" borderId="11" xfId="5" applyBorder="1"/>
    <xf numFmtId="0" fontId="5" fillId="11" borderId="1" xfId="5" applyFont="1" applyFill="1" applyBorder="1" applyAlignment="1">
      <alignment horizontal="center" wrapText="1"/>
    </xf>
    <xf numFmtId="0" fontId="7" fillId="0" borderId="2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2" fillId="0" borderId="21" xfId="3" applyBorder="1" applyAlignment="1">
      <alignment wrapText="1"/>
    </xf>
    <xf numFmtId="0" fontId="0" fillId="0" borderId="13" xfId="0" applyBorder="1" applyAlignment="1">
      <alignment wrapText="1"/>
    </xf>
    <xf numFmtId="0" fontId="12" fillId="0" borderId="22" xfId="3" applyBorder="1" applyAlignment="1">
      <alignment wrapText="1"/>
    </xf>
    <xf numFmtId="0" fontId="0" fillId="0" borderId="24" xfId="0" applyBorder="1" applyAlignment="1">
      <alignment wrapText="1"/>
    </xf>
    <xf numFmtId="0" fontId="12" fillId="0" borderId="23" xfId="3" applyBorder="1" applyAlignment="1">
      <alignment wrapText="1"/>
    </xf>
    <xf numFmtId="0" fontId="0" fillId="0" borderId="1" xfId="0" applyBorder="1" applyAlignment="1">
      <alignment wrapText="1"/>
    </xf>
    <xf numFmtId="167" fontId="2" fillId="0" borderId="0" xfId="5" applyNumberFormat="1" applyFont="1"/>
    <xf numFmtId="14" fontId="1" fillId="0" borderId="0" xfId="0" applyNumberFormat="1" applyFont="1"/>
    <xf numFmtId="0" fontId="1" fillId="0" borderId="0" xfId="0" applyFont="1"/>
    <xf numFmtId="0" fontId="1" fillId="0" borderId="0" xfId="4" applyFont="1"/>
    <xf numFmtId="9" fontId="0" fillId="0" borderId="0" xfId="0" applyNumberFormat="1"/>
    <xf numFmtId="0" fontId="0" fillId="5" borderId="8" xfId="0" applyFill="1" applyBorder="1"/>
    <xf numFmtId="164" fontId="0" fillId="15" borderId="12" xfId="0" applyNumberFormat="1" applyFill="1" applyBorder="1"/>
    <xf numFmtId="0" fontId="7" fillId="15" borderId="14" xfId="0" applyFont="1" applyFill="1" applyBorder="1"/>
    <xf numFmtId="165" fontId="0" fillId="5" borderId="8" xfId="0" applyNumberFormat="1" applyFill="1" applyBorder="1"/>
    <xf numFmtId="14" fontId="0" fillId="5" borderId="8" xfId="0" applyNumberFormat="1" applyFill="1" applyBorder="1"/>
    <xf numFmtId="2" fontId="7" fillId="7" borderId="11" xfId="0" applyNumberFormat="1" applyFont="1" applyFill="1" applyBorder="1"/>
    <xf numFmtId="10" fontId="0" fillId="5" borderId="7" xfId="2" applyNumberFormat="1" applyFont="1" applyFill="1" applyBorder="1"/>
    <xf numFmtId="165" fontId="5" fillId="0" borderId="19" xfId="1" applyNumberFormat="1" applyFont="1" applyBorder="1"/>
    <xf numFmtId="9" fontId="5" fillId="5" borderId="9" xfId="5" applyNumberFormat="1" applyFont="1" applyFill="1" applyBorder="1"/>
    <xf numFmtId="0" fontId="18" fillId="8" borderId="10" xfId="0" applyFont="1" applyFill="1" applyBorder="1"/>
    <xf numFmtId="10" fontId="0" fillId="0" borderId="0" xfId="0" applyNumberFormat="1"/>
    <xf numFmtId="0" fontId="5" fillId="4" borderId="6" xfId="5" applyFont="1" applyFill="1" applyBorder="1" applyAlignment="1">
      <alignment horizontal="center"/>
    </xf>
    <xf numFmtId="0" fontId="5" fillId="4" borderId="17" xfId="5" applyFont="1" applyFill="1" applyBorder="1" applyAlignment="1">
      <alignment horizontal="center"/>
    </xf>
    <xf numFmtId="0" fontId="5" fillId="4" borderId="7" xfId="5" applyFont="1" applyFill="1" applyBorder="1" applyAlignment="1">
      <alignment horizontal="center"/>
    </xf>
    <xf numFmtId="0" fontId="5" fillId="14" borderId="6" xfId="5" applyFont="1" applyFill="1" applyBorder="1" applyAlignment="1">
      <alignment horizontal="center"/>
    </xf>
    <xf numFmtId="0" fontId="5" fillId="14" borderId="17" xfId="5" applyFont="1" applyFill="1" applyBorder="1" applyAlignment="1">
      <alignment horizontal="center"/>
    </xf>
    <xf numFmtId="0" fontId="5" fillId="14" borderId="7" xfId="5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7">
    <cellStyle name="Hyperlink" xfId="3" builtinId="8"/>
    <cellStyle name="Normal" xfId="0" builtinId="0"/>
    <cellStyle name="Normal 3" xfId="4" xr:uid="{00000000-0005-0000-0000-000002000000}"/>
    <cellStyle name="Normal 4" xfId="5" xr:uid="{00000000-0005-0000-0000-000003000000}"/>
    <cellStyle name="Per cent" xfId="1" builtinId="5"/>
    <cellStyle name="Pourcentage 2" xfId="2" xr:uid="{00000000-0005-0000-0000-000005000000}"/>
    <cellStyle name="Pourcentage 2 2" xfId="6" xr:uid="{00000000-0005-0000-0000-000006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ACEED"/>
      <color rgb="FFFF0066"/>
      <color rgb="FFFCE0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accent3">
                    <a:lumMod val="75000"/>
                  </a:schemeClr>
                </a:solidFill>
              </a:rPr>
              <a:t>APPLE/NASDAQ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'BETA APPL'!$G$3:$G$37</c:f>
              <c:numCache>
                <c:formatCode>0.00%</c:formatCode>
                <c:ptCount val="35"/>
                <c:pt idx="0">
                  <c:v>-2.881332182168278E-2</c:v>
                </c:pt>
                <c:pt idx="1">
                  <c:v>3.9921354609333124E-4</c:v>
                </c:pt>
                <c:pt idx="2">
                  <c:v>5.3189319957518473E-2</c:v>
                </c:pt>
                <c:pt idx="3">
                  <c:v>9.1613259297248801E-3</c:v>
                </c:pt>
                <c:pt idx="4">
                  <c:v>2.1502501656789824E-2</c:v>
                </c:pt>
                <c:pt idx="5">
                  <c:v>5.7059695035274929E-2</c:v>
                </c:pt>
                <c:pt idx="6">
                  <c:v>-7.7920499431670103E-3</c:v>
                </c:pt>
                <c:pt idx="7">
                  <c:v>-9.2023114453352706E-2</c:v>
                </c:pt>
                <c:pt idx="8">
                  <c:v>3.372635449502265E-3</c:v>
                </c:pt>
                <c:pt idx="9">
                  <c:v>-9.4844343022624705E-2</c:v>
                </c:pt>
                <c:pt idx="10">
                  <c:v>9.742776038795177E-2</c:v>
                </c:pt>
                <c:pt idx="11">
                  <c:v>3.4440881292223238E-2</c:v>
                </c:pt>
                <c:pt idx="12">
                  <c:v>2.6125358228503898E-2</c:v>
                </c:pt>
                <c:pt idx="13">
                  <c:v>4.7361258342982521E-2</c:v>
                </c:pt>
                <c:pt idx="14">
                  <c:v>-7.933406841810374E-2</c:v>
                </c:pt>
                <c:pt idx="15">
                  <c:v>7.4208937063184766E-2</c:v>
                </c:pt>
                <c:pt idx="16">
                  <c:v>2.1130978218908161E-2</c:v>
                </c:pt>
                <c:pt idx="17">
                  <c:v>-2.599744612849263E-2</c:v>
                </c:pt>
                <c:pt idx="18">
                  <c:v>4.5787405481073585E-3</c:v>
                </c:pt>
                <c:pt idx="19">
                  <c:v>3.6630586237660988E-2</c:v>
                </c:pt>
                <c:pt idx="20">
                  <c:v>4.4994351326038469E-2</c:v>
                </c:pt>
                <c:pt idx="21">
                  <c:v>3.5442958278769497E-2</c:v>
                </c:pt>
                <c:pt idx="22">
                  <c:v>1.9876159504667337E-2</c:v>
                </c:pt>
                <c:pt idx="23">
                  <c:v>-6.3771621885642643E-2</c:v>
                </c:pt>
                <c:pt idx="24">
                  <c:v>-0.10122943297139692</c:v>
                </c:pt>
                <c:pt idx="25">
                  <c:v>0.15447197982646285</c:v>
                </c:pt>
                <c:pt idx="26">
                  <c:v>6.7531013962298145E-2</c:v>
                </c:pt>
                <c:pt idx="27">
                  <c:v>5.9948071679177387E-2</c:v>
                </c:pt>
                <c:pt idx="28">
                  <c:v>6.8248904389774906E-2</c:v>
                </c:pt>
                <c:pt idx="29">
                  <c:v>9.5873856586650624E-2</c:v>
                </c:pt>
                <c:pt idx="30">
                  <c:v>-5.1628573067507816E-2</c:v>
                </c:pt>
                <c:pt idx="31">
                  <c:v>-2.2916471743696987E-2</c:v>
                </c:pt>
                <c:pt idx="32">
                  <c:v>0.11796176436266721</c:v>
                </c:pt>
                <c:pt idx="33">
                  <c:v>5.6525512124451345E-2</c:v>
                </c:pt>
                <c:pt idx="34">
                  <c:v>5.8014719199302164E-2</c:v>
                </c:pt>
              </c:numCache>
            </c:numRef>
          </c:xVal>
          <c:yVal>
            <c:numRef>
              <c:f>'BETA APPL'!$E$3:$E$37</c:f>
              <c:numCache>
                <c:formatCode>0.00%</c:formatCode>
                <c:ptCount val="35"/>
                <c:pt idx="0">
                  <c:v>-5.805073114868016E-2</c:v>
                </c:pt>
                <c:pt idx="1">
                  <c:v>-1.5019692454404578E-2</c:v>
                </c:pt>
                <c:pt idx="2">
                  <c:v>0.13076364833023466</c:v>
                </c:pt>
                <c:pt idx="3">
                  <c:v>-9.4182909919898142E-3</c:v>
                </c:pt>
                <c:pt idx="4">
                  <c:v>2.7983318027119002E-2</c:v>
                </c:pt>
                <c:pt idx="5">
                  <c:v>0.19622688301968083</c:v>
                </c:pt>
                <c:pt idx="6">
                  <c:v>-8.3029476202092171E-3</c:v>
                </c:pt>
                <c:pt idx="7">
                  <c:v>-3.0477557712810112E-2</c:v>
                </c:pt>
                <c:pt idx="8">
                  <c:v>-0.18404459471808463</c:v>
                </c:pt>
                <c:pt idx="9">
                  <c:v>-0.11669837607794832</c:v>
                </c:pt>
                <c:pt idx="10">
                  <c:v>5.515404957134392E-2</c:v>
                </c:pt>
                <c:pt idx="11">
                  <c:v>4.0314755099381101E-2</c:v>
                </c:pt>
                <c:pt idx="12">
                  <c:v>9.7025727844099477E-2</c:v>
                </c:pt>
                <c:pt idx="13">
                  <c:v>5.6435926431922585E-2</c:v>
                </c:pt>
                <c:pt idx="14">
                  <c:v>-0.1275725918174116</c:v>
                </c:pt>
                <c:pt idx="15">
                  <c:v>0.13051916922286305</c:v>
                </c:pt>
                <c:pt idx="16">
                  <c:v>7.6394462409054287E-2</c:v>
                </c:pt>
                <c:pt idx="17">
                  <c:v>-2.0183947434620694E-2</c:v>
                </c:pt>
                <c:pt idx="18">
                  <c:v>7.2961558437068919E-2</c:v>
                </c:pt>
                <c:pt idx="19">
                  <c:v>0.11068444881010851</c:v>
                </c:pt>
                <c:pt idx="20">
                  <c:v>7.4328687479155608E-2</c:v>
                </c:pt>
                <c:pt idx="21">
                  <c:v>9.8783880261927026E-2</c:v>
                </c:pt>
                <c:pt idx="22">
                  <c:v>5.4009931660410293E-2</c:v>
                </c:pt>
                <c:pt idx="23">
                  <c:v>-0.1167975931815427</c:v>
                </c:pt>
                <c:pt idx="24">
                  <c:v>-6.976146150198774E-2</c:v>
                </c:pt>
                <c:pt idx="25">
                  <c:v>0.15537377499307944</c:v>
                </c:pt>
                <c:pt idx="26">
                  <c:v>8.2164795731713924E-2</c:v>
                </c:pt>
                <c:pt idx="27">
                  <c:v>0.14738624712352963</c:v>
                </c:pt>
                <c:pt idx="28">
                  <c:v>0.16513163920389168</c:v>
                </c:pt>
                <c:pt idx="29">
                  <c:v>0.21437973434256108</c:v>
                </c:pt>
                <c:pt idx="30">
                  <c:v>-0.10252631523313874</c:v>
                </c:pt>
                <c:pt idx="31">
                  <c:v>-6.0012063897971889E-2</c:v>
                </c:pt>
                <c:pt idx="32">
                  <c:v>9.3606484534204684E-2</c:v>
                </c:pt>
                <c:pt idx="33">
                  <c:v>0.11457369723879796</c:v>
                </c:pt>
                <c:pt idx="34">
                  <c:v>7.7096961683669279E-2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04-48AB-B574-29713C4AB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243672"/>
        <c:axId val="972244656"/>
      </c:scatterChart>
      <c:valAx>
        <c:axId val="972243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NASDAQ</a:t>
                </a:r>
              </a:p>
            </c:rich>
          </c:tx>
          <c:layout>
            <c:manualLayout>
              <c:xMode val="edge"/>
              <c:yMode val="edge"/>
              <c:x val="0.88715941529206654"/>
              <c:y val="0.60553222513852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244656"/>
        <c:crosses val="autoZero"/>
        <c:crossBetween val="midCat"/>
      </c:valAx>
      <c:valAx>
        <c:axId val="972244656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APPLE</a:t>
                </a:r>
              </a:p>
            </c:rich>
          </c:tx>
          <c:layout>
            <c:manualLayout>
              <c:xMode val="edge"/>
              <c:yMode val="edge"/>
              <c:x val="0.51891737073011857"/>
              <c:y val="0.119629629629629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243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accent2">
                    <a:lumMod val="60000"/>
                    <a:lumOff val="40000"/>
                  </a:schemeClr>
                </a:solidFill>
              </a:rPr>
              <a:t>APPLE/S&amp;P500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'BETA APPL'!$F$3:$F$37</c:f>
              <c:numCache>
                <c:formatCode>0.00%</c:formatCode>
                <c:ptCount val="35"/>
                <c:pt idx="0">
                  <c:v>-2.6884498624825112E-2</c:v>
                </c:pt>
                <c:pt idx="1">
                  <c:v>2.7187751316434801E-3</c:v>
                </c:pt>
                <c:pt idx="2">
                  <c:v>2.1608341965291905E-2</c:v>
                </c:pt>
                <c:pt idx="3">
                  <c:v>4.8424360241866009E-3</c:v>
                </c:pt>
                <c:pt idx="4">
                  <c:v>3.6021556221367206E-2</c:v>
                </c:pt>
                <c:pt idx="5">
                  <c:v>3.0263211466054526E-2</c:v>
                </c:pt>
                <c:pt idx="6">
                  <c:v>4.2942871026614999E-3</c:v>
                </c:pt>
                <c:pt idx="7">
                  <c:v>-6.9403356024429527E-2</c:v>
                </c:pt>
                <c:pt idx="8">
                  <c:v>1.7859356788849069E-2</c:v>
                </c:pt>
                <c:pt idx="9">
                  <c:v>-9.1776894596563949E-2</c:v>
                </c:pt>
                <c:pt idx="10">
                  <c:v>7.8684401655036665E-2</c:v>
                </c:pt>
                <c:pt idx="11">
                  <c:v>2.9728889126352211E-2</c:v>
                </c:pt>
                <c:pt idx="12">
                  <c:v>1.7924256211817115E-2</c:v>
                </c:pt>
                <c:pt idx="13">
                  <c:v>3.9313498395682572E-2</c:v>
                </c:pt>
                <c:pt idx="14">
                  <c:v>-6.5777731189286898E-2</c:v>
                </c:pt>
                <c:pt idx="15">
                  <c:v>6.8930163925612228E-2</c:v>
                </c:pt>
                <c:pt idx="16">
                  <c:v>1.312815214997776E-2</c:v>
                </c:pt>
                <c:pt idx="17">
                  <c:v>-1.8091627281326687E-2</c:v>
                </c:pt>
                <c:pt idx="18">
                  <c:v>1.7181177829208652E-2</c:v>
                </c:pt>
                <c:pt idx="19">
                  <c:v>2.0431770730503028E-2</c:v>
                </c:pt>
                <c:pt idx="20">
                  <c:v>3.4047037421886299E-2</c:v>
                </c:pt>
                <c:pt idx="21">
                  <c:v>2.8589818964716848E-2</c:v>
                </c:pt>
                <c:pt idx="22">
                  <c:v>-1.6280925822202059E-3</c:v>
                </c:pt>
                <c:pt idx="23">
                  <c:v>-8.411048367946572E-2</c:v>
                </c:pt>
                <c:pt idx="24">
                  <c:v>-0.12511928245982332</c:v>
                </c:pt>
                <c:pt idx="25">
                  <c:v>0.12684403825663829</c:v>
                </c:pt>
                <c:pt idx="26">
                  <c:v>4.5281819676065566E-2</c:v>
                </c:pt>
                <c:pt idx="27">
                  <c:v>1.8388396357494698E-2</c:v>
                </c:pt>
                <c:pt idx="28">
                  <c:v>5.5101321441235633E-2</c:v>
                </c:pt>
                <c:pt idx="29">
                  <c:v>7.0064667087246554E-2</c:v>
                </c:pt>
                <c:pt idx="30">
                  <c:v>-3.9227970289931365E-2</c:v>
                </c:pt>
                <c:pt idx="31">
                  <c:v>-2.7665786202795119E-2</c:v>
                </c:pt>
                <c:pt idx="32">
                  <c:v>0.10754563548003028</c:v>
                </c:pt>
                <c:pt idx="33">
                  <c:v>3.7121458940645682E-2</c:v>
                </c:pt>
                <c:pt idx="34">
                  <c:v>2.6434554521734224E-2</c:v>
                </c:pt>
              </c:numCache>
            </c:numRef>
          </c:xVal>
          <c:yVal>
            <c:numRef>
              <c:f>'BETA APPL'!$E$3:$E$37</c:f>
              <c:numCache>
                <c:formatCode>0.00%</c:formatCode>
                <c:ptCount val="35"/>
                <c:pt idx="0">
                  <c:v>-5.805073114868016E-2</c:v>
                </c:pt>
                <c:pt idx="1">
                  <c:v>-1.5019692454404578E-2</c:v>
                </c:pt>
                <c:pt idx="2">
                  <c:v>0.13076364833023466</c:v>
                </c:pt>
                <c:pt idx="3">
                  <c:v>-9.4182909919898142E-3</c:v>
                </c:pt>
                <c:pt idx="4">
                  <c:v>2.7983318027119002E-2</c:v>
                </c:pt>
                <c:pt idx="5">
                  <c:v>0.19622688301968083</c:v>
                </c:pt>
                <c:pt idx="6">
                  <c:v>-8.3029476202092171E-3</c:v>
                </c:pt>
                <c:pt idx="7">
                  <c:v>-3.0477557712810112E-2</c:v>
                </c:pt>
                <c:pt idx="8">
                  <c:v>-0.18404459471808463</c:v>
                </c:pt>
                <c:pt idx="9">
                  <c:v>-0.11669837607794832</c:v>
                </c:pt>
                <c:pt idx="10">
                  <c:v>5.515404957134392E-2</c:v>
                </c:pt>
                <c:pt idx="11">
                  <c:v>4.0314755099381101E-2</c:v>
                </c:pt>
                <c:pt idx="12">
                  <c:v>9.7025727844099477E-2</c:v>
                </c:pt>
                <c:pt idx="13">
                  <c:v>5.6435926431922585E-2</c:v>
                </c:pt>
                <c:pt idx="14">
                  <c:v>-0.1275725918174116</c:v>
                </c:pt>
                <c:pt idx="15">
                  <c:v>0.13051916922286305</c:v>
                </c:pt>
                <c:pt idx="16">
                  <c:v>7.6394462409054287E-2</c:v>
                </c:pt>
                <c:pt idx="17">
                  <c:v>-2.0183947434620694E-2</c:v>
                </c:pt>
                <c:pt idx="18">
                  <c:v>7.2961558437068919E-2</c:v>
                </c:pt>
                <c:pt idx="19">
                  <c:v>0.11068444881010851</c:v>
                </c:pt>
                <c:pt idx="20">
                  <c:v>7.4328687479155608E-2</c:v>
                </c:pt>
                <c:pt idx="21">
                  <c:v>9.8783880261927026E-2</c:v>
                </c:pt>
                <c:pt idx="22">
                  <c:v>5.4009931660410293E-2</c:v>
                </c:pt>
                <c:pt idx="23">
                  <c:v>-0.1167975931815427</c:v>
                </c:pt>
                <c:pt idx="24">
                  <c:v>-6.976146150198774E-2</c:v>
                </c:pt>
                <c:pt idx="25">
                  <c:v>0.15537377499307944</c:v>
                </c:pt>
                <c:pt idx="26">
                  <c:v>8.2164795731713924E-2</c:v>
                </c:pt>
                <c:pt idx="27">
                  <c:v>0.14738624712352963</c:v>
                </c:pt>
                <c:pt idx="28">
                  <c:v>0.16513163920389168</c:v>
                </c:pt>
                <c:pt idx="29">
                  <c:v>0.21437973434256108</c:v>
                </c:pt>
                <c:pt idx="30">
                  <c:v>-0.10252631523313874</c:v>
                </c:pt>
                <c:pt idx="31">
                  <c:v>-6.0012063897971889E-2</c:v>
                </c:pt>
                <c:pt idx="32">
                  <c:v>9.3606484534204684E-2</c:v>
                </c:pt>
                <c:pt idx="33">
                  <c:v>0.11457369723879796</c:v>
                </c:pt>
                <c:pt idx="34">
                  <c:v>7.7096961683669279E-2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CF-487C-9040-82002619B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300200"/>
        <c:axId val="970296592"/>
      </c:scatterChart>
      <c:valAx>
        <c:axId val="970300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S&amp;P500</a:t>
                </a:r>
              </a:p>
            </c:rich>
          </c:tx>
          <c:layout>
            <c:manualLayout>
              <c:xMode val="edge"/>
              <c:yMode val="edge"/>
              <c:x val="0.87235658829359619"/>
              <c:y val="0.619421114027413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296592"/>
        <c:crosses val="autoZero"/>
        <c:crossBetween val="midCat"/>
      </c:valAx>
      <c:valAx>
        <c:axId val="970296592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APPLE</a:t>
                </a:r>
              </a:p>
            </c:rich>
          </c:tx>
          <c:layout>
            <c:manualLayout>
              <c:xMode val="edge"/>
              <c:yMode val="edge"/>
              <c:x val="0.44788043161271507"/>
              <c:y val="0.138148148148148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300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APPLE</a:t>
            </a:r>
            <a:r>
              <a:rPr lang="en-US" baseline="0"/>
              <a:t>/S&amp;P market 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8694225721784781E-2"/>
                  <c:y val="-0.1891083406240886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</a:t>
                    </a:r>
                    <a:r>
                      <a:rPr lang="en-US" baseline="0">
                        <a:solidFill>
                          <a:srgbClr val="FF0000"/>
                        </a:solidFill>
                      </a:rPr>
                      <a:t>1,3484</a:t>
                    </a:r>
                    <a:r>
                      <a:rPr lang="en-US" baseline="0"/>
                      <a:t>x + 0,0231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'BETA APPL'!$F$3:$F$37</c:f>
              <c:numCache>
                <c:formatCode>0.00%</c:formatCode>
                <c:ptCount val="35"/>
                <c:pt idx="0">
                  <c:v>-2.6884498624825112E-2</c:v>
                </c:pt>
                <c:pt idx="1">
                  <c:v>2.7187751316434801E-3</c:v>
                </c:pt>
                <c:pt idx="2">
                  <c:v>2.1608341965291905E-2</c:v>
                </c:pt>
                <c:pt idx="3">
                  <c:v>4.8424360241866009E-3</c:v>
                </c:pt>
                <c:pt idx="4">
                  <c:v>3.6021556221367206E-2</c:v>
                </c:pt>
                <c:pt idx="5">
                  <c:v>3.0263211466054526E-2</c:v>
                </c:pt>
                <c:pt idx="6">
                  <c:v>4.2942871026614999E-3</c:v>
                </c:pt>
                <c:pt idx="7">
                  <c:v>-6.9403356024429527E-2</c:v>
                </c:pt>
                <c:pt idx="8">
                  <c:v>1.7859356788849069E-2</c:v>
                </c:pt>
                <c:pt idx="9">
                  <c:v>-9.1776894596563949E-2</c:v>
                </c:pt>
                <c:pt idx="10">
                  <c:v>7.8684401655036665E-2</c:v>
                </c:pt>
                <c:pt idx="11">
                  <c:v>2.9728889126352211E-2</c:v>
                </c:pt>
                <c:pt idx="12">
                  <c:v>1.7924256211817115E-2</c:v>
                </c:pt>
                <c:pt idx="13">
                  <c:v>3.9313498395682572E-2</c:v>
                </c:pt>
                <c:pt idx="14">
                  <c:v>-6.5777731189286898E-2</c:v>
                </c:pt>
                <c:pt idx="15">
                  <c:v>6.8930163925612228E-2</c:v>
                </c:pt>
                <c:pt idx="16">
                  <c:v>1.312815214997776E-2</c:v>
                </c:pt>
                <c:pt idx="17">
                  <c:v>-1.8091627281326687E-2</c:v>
                </c:pt>
                <c:pt idx="18">
                  <c:v>1.7181177829208652E-2</c:v>
                </c:pt>
                <c:pt idx="19">
                  <c:v>2.0431770730503028E-2</c:v>
                </c:pt>
                <c:pt idx="20">
                  <c:v>3.4047037421886299E-2</c:v>
                </c:pt>
                <c:pt idx="21">
                  <c:v>2.8589818964716848E-2</c:v>
                </c:pt>
                <c:pt idx="22">
                  <c:v>-1.6280925822202059E-3</c:v>
                </c:pt>
                <c:pt idx="23">
                  <c:v>-8.411048367946572E-2</c:v>
                </c:pt>
                <c:pt idx="24">
                  <c:v>-0.12511928245982332</c:v>
                </c:pt>
                <c:pt idx="25">
                  <c:v>0.12684403825663829</c:v>
                </c:pt>
                <c:pt idx="26">
                  <c:v>4.5281819676065566E-2</c:v>
                </c:pt>
                <c:pt idx="27">
                  <c:v>1.8388396357494698E-2</c:v>
                </c:pt>
                <c:pt idx="28">
                  <c:v>5.5101321441235633E-2</c:v>
                </c:pt>
                <c:pt idx="29">
                  <c:v>7.0064667087246554E-2</c:v>
                </c:pt>
                <c:pt idx="30">
                  <c:v>-3.9227970289931365E-2</c:v>
                </c:pt>
                <c:pt idx="31">
                  <c:v>-2.7665786202795119E-2</c:v>
                </c:pt>
                <c:pt idx="32">
                  <c:v>0.10754563548003028</c:v>
                </c:pt>
                <c:pt idx="33">
                  <c:v>3.7121458940645682E-2</c:v>
                </c:pt>
                <c:pt idx="34">
                  <c:v>2.6434554521734224E-2</c:v>
                </c:pt>
              </c:numCache>
            </c:numRef>
          </c:xVal>
          <c:yVal>
            <c:numRef>
              <c:f>'BETA APPL'!$E$3:$E$37</c:f>
              <c:numCache>
                <c:formatCode>0.00%</c:formatCode>
                <c:ptCount val="35"/>
                <c:pt idx="0">
                  <c:v>-5.805073114868016E-2</c:v>
                </c:pt>
                <c:pt idx="1">
                  <c:v>-1.5019692454404578E-2</c:v>
                </c:pt>
                <c:pt idx="2">
                  <c:v>0.13076364833023466</c:v>
                </c:pt>
                <c:pt idx="3">
                  <c:v>-9.4182909919898142E-3</c:v>
                </c:pt>
                <c:pt idx="4">
                  <c:v>2.7983318027119002E-2</c:v>
                </c:pt>
                <c:pt idx="5">
                  <c:v>0.19622688301968083</c:v>
                </c:pt>
                <c:pt idx="6">
                  <c:v>-8.3029476202092171E-3</c:v>
                </c:pt>
                <c:pt idx="7">
                  <c:v>-3.0477557712810112E-2</c:v>
                </c:pt>
                <c:pt idx="8">
                  <c:v>-0.18404459471808463</c:v>
                </c:pt>
                <c:pt idx="9">
                  <c:v>-0.11669837607794832</c:v>
                </c:pt>
                <c:pt idx="10">
                  <c:v>5.515404957134392E-2</c:v>
                </c:pt>
                <c:pt idx="11">
                  <c:v>4.0314755099381101E-2</c:v>
                </c:pt>
                <c:pt idx="12">
                  <c:v>9.7025727844099477E-2</c:v>
                </c:pt>
                <c:pt idx="13">
                  <c:v>5.6435926431922585E-2</c:v>
                </c:pt>
                <c:pt idx="14">
                  <c:v>-0.1275725918174116</c:v>
                </c:pt>
                <c:pt idx="15">
                  <c:v>0.13051916922286305</c:v>
                </c:pt>
                <c:pt idx="16">
                  <c:v>7.6394462409054287E-2</c:v>
                </c:pt>
                <c:pt idx="17">
                  <c:v>-2.0183947434620694E-2</c:v>
                </c:pt>
                <c:pt idx="18">
                  <c:v>7.2961558437068919E-2</c:v>
                </c:pt>
                <c:pt idx="19">
                  <c:v>0.11068444881010851</c:v>
                </c:pt>
                <c:pt idx="20">
                  <c:v>7.4328687479155608E-2</c:v>
                </c:pt>
                <c:pt idx="21">
                  <c:v>9.8783880261927026E-2</c:v>
                </c:pt>
                <c:pt idx="22">
                  <c:v>5.4009931660410293E-2</c:v>
                </c:pt>
                <c:pt idx="23">
                  <c:v>-0.1167975931815427</c:v>
                </c:pt>
                <c:pt idx="24">
                  <c:v>-6.976146150198774E-2</c:v>
                </c:pt>
                <c:pt idx="25">
                  <c:v>0.15537377499307944</c:v>
                </c:pt>
                <c:pt idx="26">
                  <c:v>8.2164795731713924E-2</c:v>
                </c:pt>
                <c:pt idx="27">
                  <c:v>0.14738624712352963</c:v>
                </c:pt>
                <c:pt idx="28">
                  <c:v>0.16513163920389168</c:v>
                </c:pt>
                <c:pt idx="29">
                  <c:v>0.21437973434256108</c:v>
                </c:pt>
                <c:pt idx="30">
                  <c:v>-0.10252631523313874</c:v>
                </c:pt>
                <c:pt idx="31">
                  <c:v>-6.0012063897971889E-2</c:v>
                </c:pt>
                <c:pt idx="32">
                  <c:v>9.3606484534204684E-2</c:v>
                </c:pt>
                <c:pt idx="33">
                  <c:v>0.11457369723879796</c:v>
                </c:pt>
                <c:pt idx="34">
                  <c:v>7.7096961683669279E-2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D0-4C2D-8C07-AD4D6F1F6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195967"/>
        <c:axId val="1424197215"/>
      </c:scatterChart>
      <c:valAx>
        <c:axId val="142419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S&amp;P returns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197215"/>
        <c:crosses val="autoZero"/>
        <c:crossBetween val="midCat"/>
      </c:valAx>
      <c:valAx>
        <c:axId val="142419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APPL returns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195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Sharp</a:t>
            </a:r>
            <a:r>
              <a:rPr lang="fr-FR" baseline="0"/>
              <a:t> ratio graph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951113204034475"/>
          <c:y val="0.15782407407407409"/>
          <c:w val="0.82713699035186661"/>
          <c:h val="0.77736111111111106"/>
        </c:manualLayout>
      </c:layout>
      <c:scatterChart>
        <c:scatterStyle val="lineMarker"/>
        <c:varyColors val="0"/>
        <c:ser>
          <c:idx val="1"/>
          <c:order val="1"/>
          <c:tx>
            <c:strRef>
              <c:f>'PORTFOLIO ALLOCATION'!$Q$11:$AD$11</c:f>
              <c:strCache>
                <c:ptCount val="14"/>
                <c:pt idx="0">
                  <c:v>NYSE</c:v>
                </c:pt>
                <c:pt idx="1">
                  <c:v>NASDAQ</c:v>
                </c:pt>
                <c:pt idx="2">
                  <c:v>GOOGL</c:v>
                </c:pt>
                <c:pt idx="3">
                  <c:v>YHOO</c:v>
                </c:pt>
                <c:pt idx="4">
                  <c:v>AAPL</c:v>
                </c:pt>
                <c:pt idx="5">
                  <c:v>MSFT</c:v>
                </c:pt>
                <c:pt idx="6">
                  <c:v>APOL</c:v>
                </c:pt>
                <c:pt idx="7">
                  <c:v>GT</c:v>
                </c:pt>
                <c:pt idx="8">
                  <c:v>POT</c:v>
                </c:pt>
                <c:pt idx="9">
                  <c:v>JCP</c:v>
                </c:pt>
                <c:pt idx="10">
                  <c:v>MRK</c:v>
                </c:pt>
                <c:pt idx="11">
                  <c:v>MET</c:v>
                </c:pt>
                <c:pt idx="12">
                  <c:v>TUP</c:v>
                </c:pt>
                <c:pt idx="13">
                  <c:v>NKE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430F59E-0B3A-49D7-AC5C-7D013D7CBD71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440-4E6A-97AC-3306C0DBCFA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7E0E4FA-8A57-4FE8-9BD0-9996DE8E3AD4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440-4E6A-97AC-3306C0DBCFA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7E52E00-6BC2-465E-99F4-51C70C929A71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440-4E6A-97AC-3306C0DBCFA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19E607F-DB52-479A-8650-70AFE67B3F0E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440-4E6A-97AC-3306C0DBCFA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041E1E0-EDC8-432B-80FA-D2260249528D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440-4E6A-97AC-3306C0DBCFA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273B57B-BE2B-487B-9ED5-F96C96FC18D1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440-4E6A-97AC-3306C0DBCFA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9743ADA-2487-4BE6-B2AB-FF194933890B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440-4E6A-97AC-3306C0DBCFA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053BBDD-A87B-44A6-A7DD-02E8E0CF5E96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440-4E6A-97AC-3306C0DBCFA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4070602-F046-4398-9498-27EC547431E9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440-4E6A-97AC-3306C0DBCFA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C50F3AC-31FC-4DE9-ABC7-BD0BCCCA8FC4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440-4E6A-97AC-3306C0DBCFA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F04B4D2-4A74-4CFF-AEC1-8E9179DD8DD6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440-4E6A-97AC-3306C0DBCFA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C611267-F2BA-49F4-BB23-6476A34F46C5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440-4E6A-97AC-3306C0DBCFA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ADEEDE8-F749-4058-9295-5ABACFC1B407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440-4E6A-97AC-3306C0DBCFA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3AEF6AB-5E7A-4261-BE17-959CC65C3B81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440-4E6A-97AC-3306C0DBCF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'PORTFOLIO ALLOCATION'!$Q$5:$AD$5</c:f>
              <c:numCache>
                <c:formatCode>0.0%</c:formatCode>
                <c:ptCount val="14"/>
                <c:pt idx="0">
                  <c:v>0.18938321976046968</c:v>
                </c:pt>
                <c:pt idx="1">
                  <c:v>0.1956523695677683</c:v>
                </c:pt>
                <c:pt idx="2">
                  <c:v>0.24250558776098544</c:v>
                </c:pt>
                <c:pt idx="3">
                  <c:v>0.30877385419135234</c:v>
                </c:pt>
                <c:pt idx="4">
                  <c:v>0.29026043700096771</c:v>
                </c:pt>
                <c:pt idx="5">
                  <c:v>0.23471573795446757</c:v>
                </c:pt>
                <c:pt idx="6">
                  <c:v>0.45691517915206453</c:v>
                </c:pt>
                <c:pt idx="7">
                  <c:v>0.46238086647704252</c:v>
                </c:pt>
                <c:pt idx="8">
                  <c:v>0.3647318990329767</c:v>
                </c:pt>
                <c:pt idx="9">
                  <c:v>0.48662385848583234</c:v>
                </c:pt>
                <c:pt idx="10">
                  <c:v>0.23645604685563915</c:v>
                </c:pt>
                <c:pt idx="11">
                  <c:v>0.38824842359518269</c:v>
                </c:pt>
                <c:pt idx="12">
                  <c:v>0.32751912962976759</c:v>
                </c:pt>
                <c:pt idx="13">
                  <c:v>0.24841865114395065</c:v>
                </c:pt>
              </c:numCache>
            </c:numRef>
          </c:xVal>
          <c:yVal>
            <c:numRef>
              <c:f>'PORTFOLIO ALLOCATION'!$Q$6:$AD$6</c:f>
              <c:numCache>
                <c:formatCode>0.0%</c:formatCode>
                <c:ptCount val="14"/>
                <c:pt idx="0">
                  <c:v>8.9686924893646963E-2</c:v>
                </c:pt>
                <c:pt idx="1">
                  <c:v>0.16356335601594249</c:v>
                </c:pt>
                <c:pt idx="2">
                  <c:v>0.22459675793012671</c:v>
                </c:pt>
                <c:pt idx="3">
                  <c:v>0.16750054550911281</c:v>
                </c:pt>
                <c:pt idx="4">
                  <c:v>0.27124041217317707</c:v>
                </c:pt>
                <c:pt idx="5">
                  <c:v>0.14536706686114911</c:v>
                </c:pt>
                <c:pt idx="6">
                  <c:v>-0.26338569598152661</c:v>
                </c:pt>
                <c:pt idx="7">
                  <c:v>0.20881737450917087</c:v>
                </c:pt>
                <c:pt idx="8">
                  <c:v>-2.0219175977448194E-2</c:v>
                </c:pt>
                <c:pt idx="9">
                  <c:v>-8.4645019440479224E-2</c:v>
                </c:pt>
                <c:pt idx="10">
                  <c:v>0.10759567465733177</c:v>
                </c:pt>
                <c:pt idx="11">
                  <c:v>7.9016218047815667E-2</c:v>
                </c:pt>
                <c:pt idx="12">
                  <c:v>0.15546668353876067</c:v>
                </c:pt>
                <c:pt idx="13">
                  <c:v>0.17664899511189414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'PORTFOLIO ALLOCATION'!$Q$11:$AD$11</c15:f>
                <c15:dlblRangeCache>
                  <c:ptCount val="14"/>
                  <c:pt idx="0">
                    <c:v>NYSE</c:v>
                  </c:pt>
                  <c:pt idx="1">
                    <c:v>NASDAQ</c:v>
                  </c:pt>
                  <c:pt idx="2">
                    <c:v>GOOGL</c:v>
                  </c:pt>
                  <c:pt idx="3">
                    <c:v>YHOO</c:v>
                  </c:pt>
                  <c:pt idx="4">
                    <c:v>AAPL</c:v>
                  </c:pt>
                  <c:pt idx="5">
                    <c:v>MSFT</c:v>
                  </c:pt>
                  <c:pt idx="6">
                    <c:v>APOL</c:v>
                  </c:pt>
                  <c:pt idx="7">
                    <c:v>GT</c:v>
                  </c:pt>
                  <c:pt idx="8">
                    <c:v>POT</c:v>
                  </c:pt>
                  <c:pt idx="9">
                    <c:v>JCP</c:v>
                  </c:pt>
                  <c:pt idx="10">
                    <c:v>MRK</c:v>
                  </c:pt>
                  <c:pt idx="11">
                    <c:v>MET</c:v>
                  </c:pt>
                  <c:pt idx="12">
                    <c:v>TUP</c:v>
                  </c:pt>
                  <c:pt idx="13">
                    <c:v>NKE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0440-4E6A-97AC-3306C0DBCFAD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602522192"/>
        <c:axId val="60252252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'PORTFOLIO ALLOCATION'!$P$6</c15:sqref>
                        </c15:formulaRef>
                      </c:ext>
                    </c:extLst>
                    <c:strCache>
                      <c:ptCount val="1"/>
                      <c:pt idx="0">
                        <c:v>Annual return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420935C0-3A42-480A-8013-8CEA9AB7E398}" type="CELLRANGE">
                            <a:rPr lang="fr-FR"/>
                            <a:pPr/>
                            <a:t>[CELLRANGE]</a:t>
                          </a:fld>
                          <a:endParaRPr lang="fr-FR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0-89A5-42E1-88A4-2B504642F5B9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122619E3-2D4A-4251-90F7-A789DF1666E6}" type="CELLRANGE">
                            <a:rPr lang="fr-FR"/>
                            <a:pPr/>
                            <a:t>[CELLRANGE]</a:t>
                          </a:fld>
                          <a:endParaRPr lang="fr-FR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1-89A5-42E1-88A4-2B504642F5B9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20D04696-89C1-4FF5-B69C-6E7C960B3382}" type="CELLRANGE">
                            <a:rPr lang="fr-FR"/>
                            <a:pPr/>
                            <a:t>[CELLRANGE]</a:t>
                          </a:fld>
                          <a:endParaRPr lang="fr-FR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2-89A5-42E1-88A4-2B504642F5B9}"/>
                      </c:ext>
                    </c:extLst>
                  </c:dLbl>
                  <c:dLbl>
                    <c:idx val="3"/>
                    <c:tx>
                      <c:rich>
                        <a:bodyPr/>
                        <a:lstStyle/>
                        <a:p>
                          <a:fld id="{BCFA8260-961F-4E6D-AAE9-DB968CE09BDB}" type="CELLRANGE">
                            <a:rPr lang="fr-FR"/>
                            <a:pPr/>
                            <a:t>[CELLRANGE]</a:t>
                          </a:fld>
                          <a:endParaRPr lang="fr-FR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3-89A5-42E1-88A4-2B504642F5B9}"/>
                      </c:ext>
                    </c:extLst>
                  </c:dLbl>
                  <c:dLbl>
                    <c:idx val="4"/>
                    <c:tx>
                      <c:rich>
                        <a:bodyPr/>
                        <a:lstStyle/>
                        <a:p>
                          <a:fld id="{3435E017-D122-4B60-976B-47812A8E3208}" type="CELLRANGE">
                            <a:rPr lang="fr-FR"/>
                            <a:pPr/>
                            <a:t>[CELLRANGE]</a:t>
                          </a:fld>
                          <a:endParaRPr lang="fr-FR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4-89A5-42E1-88A4-2B504642F5B9}"/>
                      </c:ext>
                    </c:extLst>
                  </c:dLbl>
                  <c:dLbl>
                    <c:idx val="5"/>
                    <c:tx>
                      <c:rich>
                        <a:bodyPr/>
                        <a:lstStyle/>
                        <a:p>
                          <a:fld id="{DE76981A-6BF0-482B-8342-50836DE5EAA2}" type="CELLRANGE">
                            <a:rPr lang="fr-FR"/>
                            <a:pPr/>
                            <a:t>[CELLRANGE]</a:t>
                          </a:fld>
                          <a:endParaRPr lang="fr-FR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5-89A5-42E1-88A4-2B504642F5B9}"/>
                      </c:ext>
                    </c:extLst>
                  </c:dLbl>
                  <c:dLbl>
                    <c:idx val="6"/>
                    <c:tx>
                      <c:rich>
                        <a:bodyPr/>
                        <a:lstStyle/>
                        <a:p>
                          <a:fld id="{8116E99B-801C-4828-8DDC-0A87650872B4}" type="CELLRANGE">
                            <a:rPr lang="fr-FR"/>
                            <a:pPr/>
                            <a:t>[CELLRANGE]</a:t>
                          </a:fld>
                          <a:endParaRPr lang="fr-FR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6-89A5-42E1-88A4-2B504642F5B9}"/>
                      </c:ext>
                    </c:extLst>
                  </c:dLbl>
                  <c:dLbl>
                    <c:idx val="7"/>
                    <c:tx>
                      <c:rich>
                        <a:bodyPr/>
                        <a:lstStyle/>
                        <a:p>
                          <a:fld id="{1A5520A5-9FAC-4B6B-943F-5FBCA26A3C13}" type="CELLRANGE">
                            <a:rPr lang="fr-FR"/>
                            <a:pPr/>
                            <a:t>[CELLRANGE]</a:t>
                          </a:fld>
                          <a:endParaRPr lang="fr-FR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7-89A5-42E1-88A4-2B504642F5B9}"/>
                      </c:ext>
                    </c:extLst>
                  </c:dLbl>
                  <c:dLbl>
                    <c:idx val="8"/>
                    <c:tx>
                      <c:rich>
                        <a:bodyPr/>
                        <a:lstStyle/>
                        <a:p>
                          <a:fld id="{CE76F825-219C-4BE5-A975-E14AB216AF5D}" type="CELLRANGE">
                            <a:rPr lang="fr-FR"/>
                            <a:pPr/>
                            <a:t>[CELLRANGE]</a:t>
                          </a:fld>
                          <a:endParaRPr lang="fr-FR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8-89A5-42E1-88A4-2B504642F5B9}"/>
                      </c:ext>
                    </c:extLst>
                  </c:dLbl>
                  <c:dLbl>
                    <c:idx val="9"/>
                    <c:tx>
                      <c:rich>
                        <a:bodyPr/>
                        <a:lstStyle/>
                        <a:p>
                          <a:fld id="{56F82B30-389F-4FB7-9524-45B926F22C0A}" type="CELLRANGE">
                            <a:rPr lang="fr-FR"/>
                            <a:pPr/>
                            <a:t>[CELLRANGE]</a:t>
                          </a:fld>
                          <a:endParaRPr lang="fr-FR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9-89A5-42E1-88A4-2B504642F5B9}"/>
                      </c:ext>
                    </c:extLst>
                  </c:dLbl>
                  <c:dLbl>
                    <c:idx val="10"/>
                    <c:tx>
                      <c:rich>
                        <a:bodyPr/>
                        <a:lstStyle/>
                        <a:p>
                          <a:fld id="{08061893-0047-44DF-AE83-148C9C20896F}" type="CELLRANGE">
                            <a:rPr lang="fr-FR"/>
                            <a:pPr/>
                            <a:t>[CELLRANGE]</a:t>
                          </a:fld>
                          <a:endParaRPr lang="fr-FR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A-89A5-42E1-88A4-2B504642F5B9}"/>
                      </c:ext>
                    </c:extLst>
                  </c:dLbl>
                  <c:dLbl>
                    <c:idx val="11"/>
                    <c:tx>
                      <c:rich>
                        <a:bodyPr/>
                        <a:lstStyle/>
                        <a:p>
                          <a:fld id="{037EA2CA-17F9-4B8E-A18F-0861CEA4C876}" type="CELLRANGE">
                            <a:rPr lang="fr-FR"/>
                            <a:pPr/>
                            <a:t>[CELLRANGE]</a:t>
                          </a:fld>
                          <a:endParaRPr lang="fr-FR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B-89A5-42E1-88A4-2B504642F5B9}"/>
                      </c:ext>
                    </c:extLst>
                  </c:dLbl>
                  <c:dLbl>
                    <c:idx val="12"/>
                    <c:tx>
                      <c:rich>
                        <a:bodyPr/>
                        <a:lstStyle/>
                        <a:p>
                          <a:fld id="{36A0D6A0-2415-4AB4-BF03-997BEF855DCA}" type="CELLRANGE">
                            <a:rPr lang="fr-FR"/>
                            <a:pPr/>
                            <a:t>[CELLRANGE]</a:t>
                          </a:fld>
                          <a:endParaRPr lang="fr-FR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C-89A5-42E1-88A4-2B504642F5B9}"/>
                      </c:ext>
                    </c:extLst>
                  </c:dLbl>
                  <c:dLbl>
                    <c:idx val="13"/>
                    <c:tx>
                      <c:rich>
                        <a:bodyPr/>
                        <a:lstStyle/>
                        <a:p>
                          <a:fld id="{295E4AB7-F3F8-4F41-8854-B2A0CEA1965F}" type="CELLRANGE">
                            <a:rPr lang="fr-FR"/>
                            <a:pPr/>
                            <a:t>[CELLRANGE]</a:t>
                          </a:fld>
                          <a:endParaRPr lang="fr-FR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D-89A5-42E1-88A4-2B504642F5B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DataLabelsRange val="1"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'PORTFOLIO ALLOCATION'!$Q$5:$AD$5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0.18938321976046968</c:v>
                      </c:pt>
                      <c:pt idx="1">
                        <c:v>0.1956523695677683</c:v>
                      </c:pt>
                      <c:pt idx="2">
                        <c:v>0.24250558776098544</c:v>
                      </c:pt>
                      <c:pt idx="3">
                        <c:v>0.30877385419135234</c:v>
                      </c:pt>
                      <c:pt idx="4">
                        <c:v>0.29026043700096771</c:v>
                      </c:pt>
                      <c:pt idx="5">
                        <c:v>0.23471573795446757</c:v>
                      </c:pt>
                      <c:pt idx="6">
                        <c:v>0.45691517915206453</c:v>
                      </c:pt>
                      <c:pt idx="7">
                        <c:v>0.46238086647704252</c:v>
                      </c:pt>
                      <c:pt idx="8">
                        <c:v>0.3647318990329767</c:v>
                      </c:pt>
                      <c:pt idx="9">
                        <c:v>0.48662385848583234</c:v>
                      </c:pt>
                      <c:pt idx="10">
                        <c:v>0.23645604685563915</c:v>
                      </c:pt>
                      <c:pt idx="11">
                        <c:v>0.38824842359518269</c:v>
                      </c:pt>
                      <c:pt idx="12">
                        <c:v>0.32751912962976759</c:v>
                      </c:pt>
                      <c:pt idx="13">
                        <c:v>0.24841865114395065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'PORTFOLIO ALLOCATION'!$Q$6:$AD$6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8.9686924893646963E-2</c:v>
                      </c:pt>
                      <c:pt idx="1">
                        <c:v>0.16356335601594249</c:v>
                      </c:pt>
                      <c:pt idx="2">
                        <c:v>0.22459675793012671</c:v>
                      </c:pt>
                      <c:pt idx="3">
                        <c:v>0.16750054550911281</c:v>
                      </c:pt>
                      <c:pt idx="4">
                        <c:v>0.27124041217317707</c:v>
                      </c:pt>
                      <c:pt idx="5">
                        <c:v>0.14536706686114911</c:v>
                      </c:pt>
                      <c:pt idx="6">
                        <c:v>-0.26338569598152661</c:v>
                      </c:pt>
                      <c:pt idx="7">
                        <c:v>0.20881737450917087</c:v>
                      </c:pt>
                      <c:pt idx="8">
                        <c:v>-2.0219175977448194E-2</c:v>
                      </c:pt>
                      <c:pt idx="9">
                        <c:v>-8.4645019440479224E-2</c:v>
                      </c:pt>
                      <c:pt idx="10">
                        <c:v>0.10759567465733177</c:v>
                      </c:pt>
                      <c:pt idx="11">
                        <c:v>7.9016218047815667E-2</c:v>
                      </c:pt>
                      <c:pt idx="12">
                        <c:v>0.15546668353876067</c:v>
                      </c:pt>
                      <c:pt idx="13">
                        <c:v>0.17664899511189414</c:v>
                      </c:pt>
                    </c:numCache>
                  </c:numRef>
                </c:yVal>
                <c:smooth val="0"/>
                <c:extLst>
                  <c:ext uri="{02D57815-91ED-43cb-92C2-25804820EDAC}">
                    <c15:datalabelsRange>
                      <c15:f>'PORTFOLIO ALLOCATION'!$Q$11:$AD$11</c15:f>
                      <c15:dlblRangeCache>
                        <c:ptCount val="14"/>
                        <c:pt idx="0">
                          <c:v>NYSE</c:v>
                        </c:pt>
                        <c:pt idx="1">
                          <c:v>NASDAQ</c:v>
                        </c:pt>
                        <c:pt idx="2">
                          <c:v>GOOGL</c:v>
                        </c:pt>
                        <c:pt idx="3">
                          <c:v>YHOO</c:v>
                        </c:pt>
                        <c:pt idx="4">
                          <c:v>AAPL</c:v>
                        </c:pt>
                        <c:pt idx="5">
                          <c:v>MSFT</c:v>
                        </c:pt>
                        <c:pt idx="6">
                          <c:v>APOL</c:v>
                        </c:pt>
                        <c:pt idx="7">
                          <c:v>GT</c:v>
                        </c:pt>
                        <c:pt idx="8">
                          <c:v>POT</c:v>
                        </c:pt>
                        <c:pt idx="9">
                          <c:v>JCP</c:v>
                        </c:pt>
                        <c:pt idx="10">
                          <c:v>MRK</c:v>
                        </c:pt>
                        <c:pt idx="11">
                          <c:v>MET</c:v>
                        </c:pt>
                        <c:pt idx="12">
                          <c:v>TUP</c:v>
                        </c:pt>
                        <c:pt idx="13">
                          <c:v>NKE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00-0440-4E6A-97AC-3306C0DBCFAD}"/>
                  </c:ext>
                </c:extLst>
              </c15:ser>
            </c15:filteredScatterSeries>
          </c:ext>
        </c:extLst>
      </c:scatterChart>
      <c:valAx>
        <c:axId val="60252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Volatility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522520"/>
        <c:crosses val="autoZero"/>
        <c:crossBetween val="midCat"/>
      </c:valAx>
      <c:valAx>
        <c:axId val="60252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412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52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19</xdr:row>
      <xdr:rowOff>60325</xdr:rowOff>
    </xdr:from>
    <xdr:to>
      <xdr:col>14</xdr:col>
      <xdr:colOff>165100</xdr:colOff>
      <xdr:row>34</xdr:row>
      <xdr:rowOff>41275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222250</xdr:colOff>
      <xdr:row>35</xdr:row>
      <xdr:rowOff>114300</xdr:rowOff>
    </xdr:from>
    <xdr:to>
      <xdr:col>14</xdr:col>
      <xdr:colOff>374650</xdr:colOff>
      <xdr:row>51</xdr:row>
      <xdr:rowOff>101600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85724</xdr:colOff>
      <xdr:row>3</xdr:row>
      <xdr:rowOff>95250</xdr:rowOff>
    </xdr:from>
    <xdr:to>
      <xdr:col>13</xdr:col>
      <xdr:colOff>692149</xdr:colOff>
      <xdr:row>18</xdr:row>
      <xdr:rowOff>76200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82550</xdr:rowOff>
    </xdr:from>
    <xdr:to>
      <xdr:col>11</xdr:col>
      <xdr:colOff>206605</xdr:colOff>
      <xdr:row>1</xdr:row>
      <xdr:rowOff>19066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0" y="82550"/>
          <a:ext cx="4486505" cy="311166"/>
        </a:xfrm>
        <a:prstGeom prst="rect">
          <a:avLst/>
        </a:prstGeom>
      </xdr:spPr>
    </xdr:pic>
    <xdr:clientData/>
  </xdr:twoCellAnchor>
  <xdr:twoCellAnchor>
    <xdr:from>
      <xdr:col>31</xdr:col>
      <xdr:colOff>247650</xdr:colOff>
      <xdr:row>6</xdr:row>
      <xdr:rowOff>161925</xdr:rowOff>
    </xdr:from>
    <xdr:to>
      <xdr:col>41</xdr:col>
      <xdr:colOff>450849</xdr:colOff>
      <xdr:row>27</xdr:row>
      <xdr:rowOff>165099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330200</xdr:colOff>
      <xdr:row>11</xdr:row>
      <xdr:rowOff>57150</xdr:rowOff>
    </xdr:from>
    <xdr:to>
      <xdr:col>15</xdr:col>
      <xdr:colOff>1009650</xdr:colOff>
      <xdr:row>12</xdr:row>
      <xdr:rowOff>177800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6565900" y="2349500"/>
          <a:ext cx="679450" cy="3111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Step 1</a:t>
          </a:r>
        </a:p>
      </xdr:txBody>
    </xdr:sp>
    <xdr:clientData/>
  </xdr:twoCellAnchor>
  <xdr:twoCellAnchor>
    <xdr:from>
      <xdr:col>12</xdr:col>
      <xdr:colOff>254000</xdr:colOff>
      <xdr:row>1</xdr:row>
      <xdr:rowOff>63500</xdr:rowOff>
    </xdr:from>
    <xdr:to>
      <xdr:col>14</xdr:col>
      <xdr:colOff>273050</xdr:colOff>
      <xdr:row>2</xdr:row>
      <xdr:rowOff>184150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5499100" y="438150"/>
          <a:ext cx="679450" cy="3111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Step 2</a:t>
          </a:r>
        </a:p>
      </xdr:txBody>
    </xdr:sp>
    <xdr:clientData/>
  </xdr:twoCellAnchor>
  <xdr:twoCellAnchor>
    <xdr:from>
      <xdr:col>30</xdr:col>
      <xdr:colOff>38100</xdr:colOff>
      <xdr:row>7</xdr:row>
      <xdr:rowOff>158750</xdr:rowOff>
    </xdr:from>
    <xdr:to>
      <xdr:col>30</xdr:col>
      <xdr:colOff>717550</xdr:colOff>
      <xdr:row>9</xdr:row>
      <xdr:rowOff>95250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14871700" y="1695450"/>
          <a:ext cx="679450" cy="3111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Step 3</a:t>
          </a:r>
        </a:p>
      </xdr:txBody>
    </xdr:sp>
    <xdr:clientData/>
  </xdr:twoCellAnchor>
  <xdr:twoCellAnchor>
    <xdr:from>
      <xdr:col>32</xdr:col>
      <xdr:colOff>44450</xdr:colOff>
      <xdr:row>0</xdr:row>
      <xdr:rowOff>368300</xdr:rowOff>
    </xdr:from>
    <xdr:to>
      <xdr:col>32</xdr:col>
      <xdr:colOff>723900</xdr:colOff>
      <xdr:row>2</xdr:row>
      <xdr:rowOff>114300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16332200" y="368300"/>
          <a:ext cx="679450" cy="3111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Step 4</a:t>
          </a:r>
        </a:p>
      </xdr:txBody>
    </xdr:sp>
    <xdr:clientData/>
  </xdr:twoCellAnchor>
  <xdr:twoCellAnchor>
    <xdr:from>
      <xdr:col>33</xdr:col>
      <xdr:colOff>336550</xdr:colOff>
      <xdr:row>0</xdr:row>
      <xdr:rowOff>88900</xdr:rowOff>
    </xdr:from>
    <xdr:to>
      <xdr:col>37</xdr:col>
      <xdr:colOff>571500</xdr:colOff>
      <xdr:row>2</xdr:row>
      <xdr:rowOff>63500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17430750" y="88900"/>
          <a:ext cx="3460750" cy="5397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Step 5</a:t>
          </a:r>
          <a:r>
            <a:rPr lang="en-US" sz="1400" b="0">
              <a:solidFill>
                <a:sysClr val="windowText" lastClr="000000"/>
              </a:solidFill>
            </a:rPr>
            <a:t>:</a:t>
          </a:r>
          <a:r>
            <a:rPr lang="en-US" sz="1400" b="0" baseline="0">
              <a:solidFill>
                <a:sysClr val="windowText" lastClr="000000"/>
              </a:solidFill>
            </a:rPr>
            <a:t> Use the solver to get the optimal portfolio allocation</a:t>
          </a:r>
          <a:endParaRPr lang="en-US" sz="1400" b="1">
            <a:solidFill>
              <a:srgbClr val="00B050"/>
            </a:solidFill>
          </a:endParaRPr>
        </a:p>
      </xdr:txBody>
    </xdr:sp>
    <xdr:clientData/>
  </xdr:twoCellAnchor>
  <xdr:twoCellAnchor>
    <xdr:from>
      <xdr:col>33</xdr:col>
      <xdr:colOff>349250</xdr:colOff>
      <xdr:row>2</xdr:row>
      <xdr:rowOff>190500</xdr:rowOff>
    </xdr:from>
    <xdr:to>
      <xdr:col>37</xdr:col>
      <xdr:colOff>584200</xdr:colOff>
      <xdr:row>5</xdr:row>
      <xdr:rowOff>152400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17443450" y="755650"/>
          <a:ext cx="3460750" cy="5397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Step 6</a:t>
          </a:r>
          <a:r>
            <a:rPr lang="en-US" sz="1400" b="0">
              <a:solidFill>
                <a:sysClr val="windowText" lastClr="000000"/>
              </a:solidFill>
            </a:rPr>
            <a:t>:</a:t>
          </a:r>
          <a:r>
            <a:rPr lang="en-US" sz="1400" b="0" baseline="0">
              <a:solidFill>
                <a:sysClr val="windowText" lastClr="000000"/>
              </a:solidFill>
            </a:rPr>
            <a:t> Plot the SharP graph </a:t>
          </a:r>
          <a:endParaRPr lang="en-US" sz="1400" b="1">
            <a:solidFill>
              <a:srgbClr val="00B05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showGridLines="0" workbookViewId="0">
      <selection activeCell="B7" sqref="B7"/>
    </sheetView>
  </sheetViews>
  <sheetFormatPr defaultColWidth="10.6640625" defaultRowHeight="15.5" x14ac:dyDescent="0.35"/>
  <cols>
    <col min="1" max="1" width="28" style="98" bestFit="1" customWidth="1"/>
    <col min="2" max="2" width="57.83203125" style="98" customWidth="1"/>
    <col min="3" max="3" width="27" style="98" bestFit="1" customWidth="1"/>
    <col min="4" max="16384" width="10.6640625" style="98"/>
  </cols>
  <sheetData>
    <row r="1" spans="1:3" ht="16" thickBot="1" x14ac:dyDescent="0.4">
      <c r="A1" s="96" t="s">
        <v>84</v>
      </c>
      <c r="B1" s="97" t="s">
        <v>85</v>
      </c>
      <c r="C1" s="97" t="s">
        <v>83</v>
      </c>
    </row>
    <row r="2" spans="1:3" ht="26" customHeight="1" x14ac:dyDescent="0.35">
      <c r="A2" s="99" t="s">
        <v>16</v>
      </c>
      <c r="B2" s="100" t="s">
        <v>17</v>
      </c>
      <c r="C2" s="100" t="s">
        <v>80</v>
      </c>
    </row>
    <row r="3" spans="1:3" ht="26" customHeight="1" x14ac:dyDescent="0.35">
      <c r="A3" s="101" t="s">
        <v>24</v>
      </c>
      <c r="B3" s="92" t="s">
        <v>25</v>
      </c>
      <c r="C3" s="92" t="s">
        <v>80</v>
      </c>
    </row>
    <row r="4" spans="1:3" ht="26" customHeight="1" x14ac:dyDescent="0.35">
      <c r="A4" s="101" t="s">
        <v>29</v>
      </c>
      <c r="B4" s="92" t="s">
        <v>30</v>
      </c>
      <c r="C4" s="92" t="s">
        <v>31</v>
      </c>
    </row>
    <row r="5" spans="1:3" ht="26" customHeight="1" x14ac:dyDescent="0.35">
      <c r="A5" s="101" t="s">
        <v>53</v>
      </c>
      <c r="B5" s="92" t="s">
        <v>54</v>
      </c>
      <c r="C5" s="92"/>
    </row>
    <row r="6" spans="1:3" ht="47" thickBot="1" x14ac:dyDescent="0.4">
      <c r="A6" s="101" t="s">
        <v>55</v>
      </c>
      <c r="B6" s="92" t="s">
        <v>56</v>
      </c>
      <c r="C6" s="102" t="s">
        <v>81</v>
      </c>
    </row>
    <row r="7" spans="1:3" ht="62.5" thickBot="1" x14ac:dyDescent="0.4">
      <c r="A7" s="103" t="s">
        <v>79</v>
      </c>
      <c r="B7" s="93" t="s">
        <v>82</v>
      </c>
      <c r="C7" s="104" t="s">
        <v>87</v>
      </c>
    </row>
  </sheetData>
  <hyperlinks>
    <hyperlink ref="A2" location="'STOCK VALUATION'!A1" display="STOCK VALUATION " xr:uid="{00000000-0004-0000-0000-000000000000}"/>
    <hyperlink ref="A3" location="'BOND VALUATION'!A1" display="BOND VALUATION" xr:uid="{00000000-0004-0000-0000-000001000000}"/>
    <hyperlink ref="A4" location="'YIELD CURVE'!A1" display="YIELD CURVE" xr:uid="{00000000-0004-0000-0000-000003000000}"/>
    <hyperlink ref="A5" location="BETA!A1" display="BETA" xr:uid="{00000000-0004-0000-0000-000005000000}"/>
    <hyperlink ref="A6" location="'BETA APPL'!A1" display="BETA APPL" xr:uid="{00000000-0004-0000-0000-000006000000}"/>
    <hyperlink ref="A7" location="'PORTFOLIO ALLOCATION'!A1" display="PORTFOLIO ALLOCATION" xr:uid="{00000000-0004-0000-0000-00000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0"/>
  <dimension ref="A1:H29"/>
  <sheetViews>
    <sheetView showGridLines="0" workbookViewId="0">
      <selection activeCell="C15" sqref="C15"/>
    </sheetView>
  </sheetViews>
  <sheetFormatPr defaultColWidth="10.6640625" defaultRowHeight="15.5" x14ac:dyDescent="0.35"/>
  <cols>
    <col min="1" max="1" width="32" bestFit="1" customWidth="1"/>
    <col min="8" max="8" width="22.75" customWidth="1"/>
  </cols>
  <sheetData>
    <row r="1" spans="1:8" s="1" customFormat="1" ht="16" thickBot="1" x14ac:dyDescent="0.4">
      <c r="A1" s="1" t="s">
        <v>0</v>
      </c>
    </row>
    <row r="2" spans="1:8" x14ac:dyDescent="0.35">
      <c r="A2" s="4" t="s">
        <v>1</v>
      </c>
      <c r="B2" s="5">
        <v>0.12</v>
      </c>
    </row>
    <row r="3" spans="1:8" x14ac:dyDescent="0.35">
      <c r="A3" s="6" t="s">
        <v>2</v>
      </c>
      <c r="B3" s="7">
        <v>0.11</v>
      </c>
    </row>
    <row r="4" spans="1:8" x14ac:dyDescent="0.35">
      <c r="A4" s="6" t="s">
        <v>3</v>
      </c>
      <c r="B4" s="7">
        <v>0.1</v>
      </c>
    </row>
    <row r="5" spans="1:8" x14ac:dyDescent="0.35">
      <c r="A5" s="6" t="s">
        <v>4</v>
      </c>
      <c r="B5" s="7">
        <v>0.09</v>
      </c>
    </row>
    <row r="6" spans="1:8" x14ac:dyDescent="0.35">
      <c r="A6" s="6" t="s">
        <v>5</v>
      </c>
      <c r="B6" s="7">
        <v>0.08</v>
      </c>
    </row>
    <row r="7" spans="1:8" x14ac:dyDescent="0.35">
      <c r="A7" s="6" t="s">
        <v>6</v>
      </c>
      <c r="B7" s="7">
        <v>7.0000000000000007E-2</v>
      </c>
    </row>
    <row r="8" spans="1:8" x14ac:dyDescent="0.35">
      <c r="A8" s="6" t="s">
        <v>7</v>
      </c>
      <c r="B8" s="8">
        <v>6.64</v>
      </c>
    </row>
    <row r="9" spans="1:8" ht="16" thickBot="1" x14ac:dyDescent="0.4">
      <c r="A9" s="9" t="s">
        <v>8</v>
      </c>
      <c r="B9" s="10">
        <v>0.12</v>
      </c>
    </row>
    <row r="10" spans="1:8" ht="5.5" customHeight="1" thickBot="1" x14ac:dyDescent="0.4"/>
    <row r="11" spans="1:8" ht="16" thickBot="1" x14ac:dyDescent="0.4">
      <c r="B11" s="127" t="s">
        <v>9</v>
      </c>
      <c r="C11" s="128"/>
      <c r="D11" s="128"/>
      <c r="E11" s="128"/>
      <c r="F11" s="128"/>
      <c r="G11" s="129"/>
      <c r="H11" s="11" t="s">
        <v>10</v>
      </c>
    </row>
    <row r="12" spans="1:8" ht="16" thickBot="1" x14ac:dyDescent="0.4">
      <c r="A12" s="23" t="s">
        <v>11</v>
      </c>
      <c r="B12" s="24">
        <v>0</v>
      </c>
      <c r="C12" s="24">
        <v>1</v>
      </c>
      <c r="D12" s="24">
        <v>2</v>
      </c>
      <c r="E12" s="24">
        <v>3</v>
      </c>
      <c r="F12" s="24">
        <v>4</v>
      </c>
      <c r="G12" s="24">
        <v>5</v>
      </c>
      <c r="H12" s="25">
        <v>6</v>
      </c>
    </row>
    <row r="13" spans="1:8" ht="16" thickBot="1" x14ac:dyDescent="0.4">
      <c r="A13" s="20" t="s">
        <v>12</v>
      </c>
      <c r="C13" s="21">
        <f>B2</f>
        <v>0.12</v>
      </c>
      <c r="D13" s="22">
        <f>B3</f>
        <v>0.11</v>
      </c>
      <c r="E13" s="22">
        <f>B4</f>
        <v>0.1</v>
      </c>
      <c r="F13" s="22">
        <f>B5</f>
        <v>0.09</v>
      </c>
      <c r="G13" s="22">
        <f>B6</f>
        <v>0.08</v>
      </c>
      <c r="H13" s="10">
        <f>B7</f>
        <v>7.0000000000000007E-2</v>
      </c>
    </row>
    <row r="14" spans="1:8" ht="16" thickBot="1" x14ac:dyDescent="0.4">
      <c r="A14" s="18" t="s">
        <v>13</v>
      </c>
      <c r="B14" s="17">
        <f>B8</f>
        <v>6.64</v>
      </c>
      <c r="C14" s="12">
        <f>B14*(1+C13)</f>
        <v>7.4368000000000007</v>
      </c>
      <c r="D14" s="13">
        <f>C14*(1+D13)</f>
        <v>8.2548480000000009</v>
      </c>
      <c r="E14" s="13">
        <f t="shared" ref="E14:G14" si="0">D14*(1+E13)</f>
        <v>9.0803328000000025</v>
      </c>
      <c r="F14" s="13">
        <f t="shared" si="0"/>
        <v>9.8975627520000042</v>
      </c>
      <c r="G14" s="13">
        <f t="shared" si="0"/>
        <v>10.689367772160006</v>
      </c>
      <c r="H14" s="14">
        <f>G14*(1+H13)</f>
        <v>11.437623516211207</v>
      </c>
    </row>
    <row r="15" spans="1:8" ht="16" thickBot="1" x14ac:dyDescent="0.4">
      <c r="A15" s="112" t="s">
        <v>14</v>
      </c>
      <c r="B15" s="2"/>
      <c r="C15" s="2"/>
      <c r="D15" s="2"/>
      <c r="E15" s="2"/>
      <c r="F15" s="2"/>
      <c r="G15" s="111">
        <f>H14/(B9-H13)</f>
        <v>228.75247032422419</v>
      </c>
    </row>
    <row r="16" spans="1:8" ht="16" thickBot="1" x14ac:dyDescent="0.4">
      <c r="A16" s="19" t="s">
        <v>18</v>
      </c>
      <c r="B16" s="3"/>
      <c r="C16" s="12">
        <f>C14+C15</f>
        <v>7.4368000000000007</v>
      </c>
      <c r="D16" s="12">
        <f t="shared" ref="D16:F16" si="1">D14+D15</f>
        <v>8.2548480000000009</v>
      </c>
      <c r="E16" s="12">
        <f t="shared" si="1"/>
        <v>9.0803328000000025</v>
      </c>
      <c r="F16" s="12">
        <f t="shared" si="1"/>
        <v>9.8975627520000042</v>
      </c>
      <c r="G16" s="15">
        <f>G14+G15</f>
        <v>239.4418380963842</v>
      </c>
    </row>
    <row r="17" spans="1:7" ht="16" thickBot="1" x14ac:dyDescent="0.4">
      <c r="C17" s="2"/>
      <c r="D17" s="2"/>
      <c r="E17" s="2"/>
      <c r="F17" s="2"/>
      <c r="G17" s="2"/>
    </row>
    <row r="18" spans="1:7" ht="16" thickBot="1" x14ac:dyDescent="0.4">
      <c r="A18" s="16" t="s">
        <v>15</v>
      </c>
      <c r="B18" s="26">
        <f>NPV(B9,B16:H16)</f>
        <v>161.83972519588198</v>
      </c>
    </row>
    <row r="24" spans="1:7" x14ac:dyDescent="0.35">
      <c r="B24" s="109"/>
    </row>
    <row r="26" spans="1:7" x14ac:dyDescent="0.35">
      <c r="B26" s="2"/>
    </row>
    <row r="29" spans="1:7" x14ac:dyDescent="0.35">
      <c r="A29" s="109"/>
    </row>
  </sheetData>
  <mergeCells count="1">
    <mergeCell ref="B11:G11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11"/>
  <dimension ref="A1:J18"/>
  <sheetViews>
    <sheetView showGridLines="0" workbookViewId="0">
      <selection activeCell="B18" sqref="B18"/>
    </sheetView>
  </sheetViews>
  <sheetFormatPr defaultColWidth="10.6640625" defaultRowHeight="15.5" x14ac:dyDescent="0.35"/>
  <cols>
    <col min="1" max="1" width="32" bestFit="1" customWidth="1"/>
  </cols>
  <sheetData>
    <row r="1" spans="1:10" s="1" customFormat="1" ht="16" thickBot="1" x14ac:dyDescent="0.4">
      <c r="A1" s="1" t="s">
        <v>0</v>
      </c>
    </row>
    <row r="2" spans="1:10" x14ac:dyDescent="0.35">
      <c r="A2" s="4" t="s">
        <v>19</v>
      </c>
      <c r="B2" s="28">
        <v>1000</v>
      </c>
    </row>
    <row r="3" spans="1:10" x14ac:dyDescent="0.35">
      <c r="A3" s="6" t="s">
        <v>20</v>
      </c>
      <c r="B3" s="8">
        <v>20</v>
      </c>
    </row>
    <row r="4" spans="1:10" ht="16" thickBot="1" x14ac:dyDescent="0.4">
      <c r="A4" s="9" t="s">
        <v>21</v>
      </c>
      <c r="B4" s="116">
        <v>2.35E-2</v>
      </c>
      <c r="G4" s="120">
        <v>0.03</v>
      </c>
    </row>
    <row r="5" spans="1:10" ht="16" thickBot="1" x14ac:dyDescent="0.4"/>
    <row r="6" spans="1:10" ht="16" thickBot="1" x14ac:dyDescent="0.4">
      <c r="A6" s="29" t="s">
        <v>22</v>
      </c>
      <c r="B6" s="30">
        <v>0</v>
      </c>
      <c r="C6" s="30">
        <v>1</v>
      </c>
      <c r="D6" s="30">
        <v>2</v>
      </c>
      <c r="E6" s="30">
        <v>3</v>
      </c>
      <c r="F6" s="119">
        <v>4</v>
      </c>
      <c r="G6" s="30">
        <v>5</v>
      </c>
      <c r="H6" s="30">
        <v>6</v>
      </c>
      <c r="I6" s="30">
        <v>7</v>
      </c>
      <c r="J6" s="31">
        <v>8</v>
      </c>
    </row>
    <row r="7" spans="1:10" ht="16" thickBot="1" x14ac:dyDescent="0.4">
      <c r="A7" t="s">
        <v>20</v>
      </c>
      <c r="B7" s="3"/>
      <c r="C7" s="32">
        <f>$B$3</f>
        <v>20</v>
      </c>
      <c r="D7" s="33">
        <f t="shared" ref="D7:I7" si="0">$B$3</f>
        <v>20</v>
      </c>
      <c r="E7" s="33">
        <f t="shared" si="0"/>
        <v>20</v>
      </c>
      <c r="F7" s="33">
        <f t="shared" si="0"/>
        <v>20</v>
      </c>
      <c r="G7" s="33">
        <f t="shared" si="0"/>
        <v>20</v>
      </c>
      <c r="H7" s="33">
        <f t="shared" si="0"/>
        <v>20</v>
      </c>
      <c r="I7" s="33">
        <f t="shared" si="0"/>
        <v>20</v>
      </c>
      <c r="J7" s="17">
        <f>$B$3+B2</f>
        <v>1020</v>
      </c>
    </row>
    <row r="8" spans="1:10" ht="16" thickBot="1" x14ac:dyDescent="0.4">
      <c r="A8" s="27" t="s">
        <v>23</v>
      </c>
      <c r="B8" s="26">
        <f>NPV(B4,C7:J7)</f>
        <v>974.74324014852129</v>
      </c>
    </row>
    <row r="9" spans="1:10" x14ac:dyDescent="0.35">
      <c r="F9" t="s">
        <v>94</v>
      </c>
      <c r="G9" s="2">
        <f>+NPV(G4,G7:J7)</f>
        <v>962.8290159718963</v>
      </c>
    </row>
    <row r="11" spans="1:10" x14ac:dyDescent="0.35">
      <c r="A11" s="110" t="s">
        <v>88</v>
      </c>
      <c r="B11" s="110">
        <v>1000</v>
      </c>
    </row>
    <row r="12" spans="1:10" x14ac:dyDescent="0.35">
      <c r="A12" s="110" t="s">
        <v>89</v>
      </c>
      <c r="B12" s="113">
        <v>0.05</v>
      </c>
    </row>
    <row r="13" spans="1:10" x14ac:dyDescent="0.35">
      <c r="A13" s="110" t="s">
        <v>90</v>
      </c>
      <c r="B13" s="113">
        <v>5.1999999999999998E-2</v>
      </c>
    </row>
    <row r="14" spans="1:10" x14ac:dyDescent="0.35">
      <c r="A14" s="110" t="s">
        <v>26</v>
      </c>
      <c r="B14" s="114">
        <f ca="1">+TODAY()</f>
        <v>46283</v>
      </c>
    </row>
    <row r="15" spans="1:10" x14ac:dyDescent="0.35">
      <c r="A15" s="110" t="s">
        <v>27</v>
      </c>
      <c r="B15" s="114">
        <f ca="1">EDATE(B14,72)</f>
        <v>48475</v>
      </c>
    </row>
    <row r="16" spans="1:10" x14ac:dyDescent="0.35">
      <c r="A16" s="110" t="s">
        <v>92</v>
      </c>
      <c r="B16" s="110">
        <v>2</v>
      </c>
    </row>
    <row r="17" spans="1:4" ht="16" thickBot="1" x14ac:dyDescent="0.4"/>
    <row r="18" spans="1:4" ht="16" thickBot="1" x14ac:dyDescent="0.4">
      <c r="A18" s="34" t="s">
        <v>91</v>
      </c>
      <c r="B18" s="115">
        <f ca="1">+PRICE(B14,B15,B12,B13,100,B16)</f>
        <v>98.980406895561188</v>
      </c>
      <c r="D18" t="s">
        <v>93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showGridLines="0" workbookViewId="0">
      <selection activeCell="A9" sqref="A9"/>
    </sheetView>
  </sheetViews>
  <sheetFormatPr defaultColWidth="10.6640625" defaultRowHeight="15.5" x14ac:dyDescent="0.35"/>
  <cols>
    <col min="1" max="1" width="53.33203125" style="49" customWidth="1"/>
    <col min="2" max="2" width="80.9140625" style="48" customWidth="1"/>
    <col min="3" max="16384" width="10.6640625" style="49"/>
  </cols>
  <sheetData>
    <row r="1" spans="1:2" ht="21.5" thickBot="1" x14ac:dyDescent="0.4">
      <c r="A1" s="60" t="s">
        <v>52</v>
      </c>
    </row>
    <row r="2" spans="1:2" ht="47" thickBot="1" x14ac:dyDescent="0.4">
      <c r="A2" s="52" t="s">
        <v>45</v>
      </c>
      <c r="B2" s="53" t="s">
        <v>48</v>
      </c>
    </row>
    <row r="3" spans="1:2" ht="63.5" customHeight="1" thickBot="1" x14ac:dyDescent="0.4">
      <c r="A3" s="50" t="s">
        <v>46</v>
      </c>
      <c r="B3" s="51" t="s">
        <v>47</v>
      </c>
    </row>
    <row r="4" spans="1:2" ht="16" thickBot="1" x14ac:dyDescent="0.4">
      <c r="A4" s="54" t="s">
        <v>32</v>
      </c>
      <c r="B4" s="55" t="s">
        <v>49</v>
      </c>
    </row>
    <row r="5" spans="1:2" ht="31.5" thickBot="1" x14ac:dyDescent="0.4">
      <c r="A5" s="56" t="s">
        <v>51</v>
      </c>
      <c r="B5" s="57" t="s">
        <v>50</v>
      </c>
    </row>
    <row r="6" spans="1:2" x14ac:dyDescent="0.35">
      <c r="A6" s="58" t="s">
        <v>42</v>
      </c>
    </row>
    <row r="7" spans="1:2" x14ac:dyDescent="0.35">
      <c r="A7" s="58" t="s">
        <v>43</v>
      </c>
    </row>
    <row r="8" spans="1:2" ht="16" thickBot="1" x14ac:dyDescent="0.4">
      <c r="A8" s="59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7"/>
  <sheetViews>
    <sheetView workbookViewId="0">
      <selection activeCell="K3" sqref="K3"/>
    </sheetView>
  </sheetViews>
  <sheetFormatPr defaultColWidth="10.58203125" defaultRowHeight="14.5" x14ac:dyDescent="0.35"/>
  <cols>
    <col min="1" max="1" width="10.25" style="108" bestFit="1" customWidth="1"/>
    <col min="2" max="2" width="5.5" style="108" bestFit="1" customWidth="1"/>
    <col min="3" max="3" width="6.58203125" style="108" bestFit="1" customWidth="1"/>
    <col min="4" max="4" width="6.5" style="108" bestFit="1" customWidth="1"/>
    <col min="5" max="5" width="7.25" style="41" bestFit="1" customWidth="1"/>
    <col min="6" max="6" width="6.83203125" style="41" bestFit="1" customWidth="1"/>
    <col min="7" max="7" width="7" style="41" customWidth="1"/>
    <col min="8" max="8" width="4.83203125" style="41" customWidth="1"/>
    <col min="9" max="9" width="12.58203125" style="41" customWidth="1"/>
    <col min="10" max="16384" width="10.58203125" style="41"/>
  </cols>
  <sheetData>
    <row r="1" spans="1:11" s="39" customFormat="1" ht="29" x14ac:dyDescent="0.35">
      <c r="A1" s="35" t="s">
        <v>28</v>
      </c>
      <c r="B1" s="35" t="s">
        <v>33</v>
      </c>
      <c r="C1" s="35" t="s">
        <v>34</v>
      </c>
      <c r="D1" s="35" t="s">
        <v>35</v>
      </c>
      <c r="E1" s="35" t="s">
        <v>36</v>
      </c>
      <c r="F1" s="35" t="s">
        <v>37</v>
      </c>
      <c r="G1" s="35" t="s">
        <v>38</v>
      </c>
      <c r="H1" s="36"/>
      <c r="I1" s="37" t="s">
        <v>39</v>
      </c>
      <c r="J1" s="38" t="s">
        <v>40</v>
      </c>
      <c r="K1" s="38" t="s">
        <v>41</v>
      </c>
    </row>
    <row r="2" spans="1:11" x14ac:dyDescent="0.35">
      <c r="A2" s="106">
        <v>43132</v>
      </c>
      <c r="B2" s="107">
        <v>44.529998999999997</v>
      </c>
      <c r="C2" s="107">
        <v>2713.830078</v>
      </c>
      <c r="D2" s="107">
        <v>7273.0097660000001</v>
      </c>
      <c r="E2" s="40"/>
      <c r="F2" s="40"/>
      <c r="G2" s="40"/>
      <c r="I2" s="42" t="s">
        <v>34</v>
      </c>
      <c r="J2" s="43">
        <f>+_xlfn.COVARIANCE.S(E3:E37,F3:F37)/VARA(F3:F37)</f>
        <v>1.3484194548871618</v>
      </c>
      <c r="K2" s="43">
        <f>SLOPE(E3:E37,F3:F37)</f>
        <v>1.3484194548871613</v>
      </c>
    </row>
    <row r="3" spans="1:11" x14ac:dyDescent="0.35">
      <c r="A3" s="106">
        <v>43160</v>
      </c>
      <c r="B3" s="107">
        <v>41.945</v>
      </c>
      <c r="C3" s="107">
        <v>2640.8701169999999</v>
      </c>
      <c r="D3" s="107">
        <v>7063.4501950000003</v>
      </c>
      <c r="E3" s="44">
        <f>(B3-B2)/B2</f>
        <v>-5.805073114868016E-2</v>
      </c>
      <c r="F3" s="44">
        <f>(C3-C2)/C2</f>
        <v>-2.6884498624825112E-2</v>
      </c>
      <c r="G3" s="44">
        <f>(D3-D2)/D2</f>
        <v>-2.881332182168278E-2</v>
      </c>
      <c r="H3" s="45"/>
      <c r="I3" s="46" t="s">
        <v>35</v>
      </c>
      <c r="J3" s="47">
        <f>+_xlfn.COVARIANCE.S(E3:E37,G3:G37)/VARA(G3:G37)</f>
        <v>1.3144892412621498</v>
      </c>
      <c r="K3" s="47">
        <f>SLOPE(E3:E37,G3:G37)</f>
        <v>1.3144892412621503</v>
      </c>
    </row>
    <row r="4" spans="1:11" x14ac:dyDescent="0.35">
      <c r="A4" s="106">
        <v>43191</v>
      </c>
      <c r="B4" s="107">
        <v>41.314999</v>
      </c>
      <c r="C4" s="107">
        <v>2648.0500489999999</v>
      </c>
      <c r="D4" s="107">
        <v>7066.2700199999999</v>
      </c>
      <c r="E4" s="44">
        <f>(B4-B3)/B3</f>
        <v>-1.5019692454404578E-2</v>
      </c>
      <c r="F4" s="44">
        <f t="shared" ref="E4:G37" si="0">(C4-C3)/C3</f>
        <v>2.7187751316434801E-3</v>
      </c>
      <c r="G4" s="44">
        <f t="shared" si="0"/>
        <v>3.9921354609333124E-4</v>
      </c>
      <c r="H4" s="45"/>
      <c r="I4" s="45"/>
    </row>
    <row r="5" spans="1:11" x14ac:dyDescent="0.35">
      <c r="A5" s="106">
        <v>43221</v>
      </c>
      <c r="B5" s="107">
        <v>46.717498999999997</v>
      </c>
      <c r="C5" s="107">
        <v>2705.2700199999999</v>
      </c>
      <c r="D5" s="107">
        <v>7442.1201170000004</v>
      </c>
      <c r="E5" s="44">
        <f t="shared" si="0"/>
        <v>0.13076364833023466</v>
      </c>
      <c r="F5" s="44">
        <f t="shared" si="0"/>
        <v>2.1608341965291905E-2</v>
      </c>
      <c r="G5" s="44">
        <f t="shared" si="0"/>
        <v>5.3189319957518473E-2</v>
      </c>
      <c r="H5" s="45"/>
      <c r="I5" s="45"/>
    </row>
    <row r="6" spans="1:11" x14ac:dyDescent="0.35">
      <c r="A6" s="106">
        <v>43252</v>
      </c>
      <c r="B6" s="107">
        <v>46.277500000000003</v>
      </c>
      <c r="C6" s="107">
        <v>2718.3701169999999</v>
      </c>
      <c r="D6" s="107">
        <v>7510.2998049999997</v>
      </c>
      <c r="E6" s="44">
        <f t="shared" si="0"/>
        <v>-9.4182909919898142E-3</v>
      </c>
      <c r="F6" s="44">
        <f t="shared" si="0"/>
        <v>4.8424360241866009E-3</v>
      </c>
      <c r="G6" s="44">
        <f t="shared" si="0"/>
        <v>9.1613259297248801E-3</v>
      </c>
      <c r="H6" s="45"/>
      <c r="I6" s="45"/>
    </row>
    <row r="7" spans="1:11" x14ac:dyDescent="0.35">
      <c r="A7" s="106">
        <v>43282</v>
      </c>
      <c r="B7" s="107">
        <v>47.572498000000003</v>
      </c>
      <c r="C7" s="107">
        <v>2816.290039</v>
      </c>
      <c r="D7" s="107">
        <v>7671.7900390000004</v>
      </c>
      <c r="E7" s="44">
        <f t="shared" si="0"/>
        <v>2.7983318027119002E-2</v>
      </c>
      <c r="F7" s="44">
        <f t="shared" si="0"/>
        <v>3.6021556221367206E-2</v>
      </c>
      <c r="G7" s="44">
        <f t="shared" si="0"/>
        <v>2.1502501656789824E-2</v>
      </c>
      <c r="H7" s="45"/>
      <c r="I7" s="45"/>
    </row>
    <row r="8" spans="1:11" x14ac:dyDescent="0.35">
      <c r="A8" s="106">
        <v>43313</v>
      </c>
      <c r="B8" s="107">
        <v>56.907501000000003</v>
      </c>
      <c r="C8" s="107">
        <v>2901.5200199999999</v>
      </c>
      <c r="D8" s="107">
        <v>8109.5400390000004</v>
      </c>
      <c r="E8" s="44">
        <f t="shared" si="0"/>
        <v>0.19622688301968083</v>
      </c>
      <c r="F8" s="44">
        <f t="shared" si="0"/>
        <v>3.0263211466054526E-2</v>
      </c>
      <c r="G8" s="44">
        <f t="shared" si="0"/>
        <v>5.7059695035274929E-2</v>
      </c>
      <c r="H8" s="45"/>
      <c r="I8" s="45"/>
    </row>
    <row r="9" spans="1:11" x14ac:dyDescent="0.35">
      <c r="A9" s="106">
        <v>43344</v>
      </c>
      <c r="B9" s="107">
        <v>56.435001</v>
      </c>
      <c r="C9" s="107">
        <v>2913.9799800000001</v>
      </c>
      <c r="D9" s="107">
        <v>8046.3500979999999</v>
      </c>
      <c r="E9" s="44">
        <f t="shared" si="0"/>
        <v>-8.3029476202092171E-3</v>
      </c>
      <c r="F9" s="44">
        <f t="shared" si="0"/>
        <v>4.2942871026614999E-3</v>
      </c>
      <c r="G9" s="44">
        <f t="shared" si="0"/>
        <v>-7.7920499431670103E-3</v>
      </c>
      <c r="H9" s="45"/>
      <c r="I9" s="45"/>
    </row>
    <row r="10" spans="1:11" x14ac:dyDescent="0.35">
      <c r="A10" s="106">
        <v>43374</v>
      </c>
      <c r="B10" s="107">
        <v>54.715000000000003</v>
      </c>
      <c r="C10" s="107">
        <v>2711.73999</v>
      </c>
      <c r="D10" s="107">
        <v>7305.8999020000001</v>
      </c>
      <c r="E10" s="44">
        <f t="shared" si="0"/>
        <v>-3.0477557712810112E-2</v>
      </c>
      <c r="F10" s="44">
        <f t="shared" si="0"/>
        <v>-6.9403356024429527E-2</v>
      </c>
      <c r="G10" s="44">
        <f t="shared" si="0"/>
        <v>-9.2023114453352706E-2</v>
      </c>
      <c r="H10" s="45"/>
      <c r="I10" s="45"/>
    </row>
    <row r="11" spans="1:11" x14ac:dyDescent="0.35">
      <c r="A11" s="106">
        <v>43405</v>
      </c>
      <c r="B11" s="107">
        <v>44.645000000000003</v>
      </c>
      <c r="C11" s="107">
        <v>2760.169922</v>
      </c>
      <c r="D11" s="107">
        <v>7330.5400390000004</v>
      </c>
      <c r="E11" s="44">
        <f t="shared" si="0"/>
        <v>-0.18404459471808463</v>
      </c>
      <c r="F11" s="44">
        <f t="shared" si="0"/>
        <v>1.7859356788849069E-2</v>
      </c>
      <c r="G11" s="44">
        <f t="shared" si="0"/>
        <v>3.372635449502265E-3</v>
      </c>
      <c r="H11" s="45"/>
      <c r="I11" s="45"/>
    </row>
    <row r="12" spans="1:11" x14ac:dyDescent="0.35">
      <c r="A12" s="106">
        <v>43435</v>
      </c>
      <c r="B12" s="107">
        <v>39.435001</v>
      </c>
      <c r="C12" s="107">
        <v>2506.8500979999999</v>
      </c>
      <c r="D12" s="107">
        <v>6635.2797849999997</v>
      </c>
      <c r="E12" s="44">
        <f t="shared" si="0"/>
        <v>-0.11669837607794832</v>
      </c>
      <c r="F12" s="44">
        <f t="shared" si="0"/>
        <v>-9.1776894596563949E-2</v>
      </c>
      <c r="G12" s="44">
        <f t="shared" si="0"/>
        <v>-9.4844343022624705E-2</v>
      </c>
      <c r="H12" s="45"/>
      <c r="I12" s="45"/>
    </row>
    <row r="13" spans="1:11" x14ac:dyDescent="0.35">
      <c r="A13" s="106">
        <v>43466</v>
      </c>
      <c r="B13" s="107">
        <v>41.610000999999997</v>
      </c>
      <c r="C13" s="107">
        <v>2704.1000979999999</v>
      </c>
      <c r="D13" s="107">
        <v>7281.7402339999999</v>
      </c>
      <c r="E13" s="44">
        <f t="shared" si="0"/>
        <v>5.515404957134392E-2</v>
      </c>
      <c r="F13" s="44">
        <f t="shared" si="0"/>
        <v>7.8684401655036665E-2</v>
      </c>
      <c r="G13" s="44">
        <f t="shared" si="0"/>
        <v>9.742776038795177E-2</v>
      </c>
      <c r="H13" s="45"/>
      <c r="I13" s="45"/>
    </row>
    <row r="14" spans="1:11" x14ac:dyDescent="0.35">
      <c r="A14" s="106">
        <v>43497</v>
      </c>
      <c r="B14" s="107">
        <v>43.287497999999999</v>
      </c>
      <c r="C14" s="107">
        <v>2784.48999</v>
      </c>
      <c r="D14" s="107">
        <v>7532.5297849999997</v>
      </c>
      <c r="E14" s="44">
        <f t="shared" si="0"/>
        <v>4.0314755099381101E-2</v>
      </c>
      <c r="F14" s="44">
        <f t="shared" si="0"/>
        <v>2.9728889126352211E-2</v>
      </c>
      <c r="G14" s="44">
        <f t="shared" si="0"/>
        <v>3.4440881292223238E-2</v>
      </c>
      <c r="H14" s="45"/>
      <c r="I14" s="45"/>
    </row>
    <row r="15" spans="1:11" x14ac:dyDescent="0.35">
      <c r="A15" s="106">
        <v>43525</v>
      </c>
      <c r="B15" s="107">
        <v>47.487499</v>
      </c>
      <c r="C15" s="107">
        <v>2834.3999020000001</v>
      </c>
      <c r="D15" s="107">
        <v>7729.3198240000002</v>
      </c>
      <c r="E15" s="44">
        <f t="shared" si="0"/>
        <v>9.7025727844099477E-2</v>
      </c>
      <c r="F15" s="44">
        <f t="shared" si="0"/>
        <v>1.7924256211817115E-2</v>
      </c>
      <c r="G15" s="44">
        <f t="shared" si="0"/>
        <v>2.6125358228503898E-2</v>
      </c>
      <c r="H15" s="45"/>
      <c r="I15" s="45"/>
    </row>
    <row r="16" spans="1:11" x14ac:dyDescent="0.35">
      <c r="A16" s="106">
        <v>43556</v>
      </c>
      <c r="B16" s="107">
        <v>50.167499999999997</v>
      </c>
      <c r="C16" s="107">
        <v>2945.830078</v>
      </c>
      <c r="D16" s="107">
        <v>8095.3901370000003</v>
      </c>
      <c r="E16" s="44">
        <f t="shared" si="0"/>
        <v>5.6435926431922585E-2</v>
      </c>
      <c r="F16" s="44">
        <f t="shared" si="0"/>
        <v>3.9313498395682572E-2</v>
      </c>
      <c r="G16" s="44">
        <f t="shared" si="0"/>
        <v>4.7361258342982521E-2</v>
      </c>
      <c r="H16" s="45"/>
      <c r="I16" s="45"/>
    </row>
    <row r="17" spans="1:9" x14ac:dyDescent="0.35">
      <c r="A17" s="106">
        <v>43586</v>
      </c>
      <c r="B17" s="107">
        <v>43.767502</v>
      </c>
      <c r="C17" s="107">
        <v>2752.0600589999999</v>
      </c>
      <c r="D17" s="107">
        <v>7453.1499020000001</v>
      </c>
      <c r="E17" s="44">
        <f t="shared" si="0"/>
        <v>-0.1275725918174116</v>
      </c>
      <c r="F17" s="44">
        <f t="shared" si="0"/>
        <v>-6.5777731189286898E-2</v>
      </c>
      <c r="G17" s="44">
        <f t="shared" si="0"/>
        <v>-7.933406841810374E-2</v>
      </c>
      <c r="H17" s="45"/>
      <c r="I17" s="45"/>
    </row>
    <row r="18" spans="1:9" x14ac:dyDescent="0.35">
      <c r="A18" s="106">
        <v>43617</v>
      </c>
      <c r="B18" s="107">
        <v>49.48</v>
      </c>
      <c r="C18" s="107">
        <v>2941.76001</v>
      </c>
      <c r="D18" s="107">
        <v>8006.2402339999999</v>
      </c>
      <c r="E18" s="44">
        <f t="shared" si="0"/>
        <v>0.13051916922286305</v>
      </c>
      <c r="F18" s="44">
        <f t="shared" si="0"/>
        <v>6.8930163925612228E-2</v>
      </c>
      <c r="G18" s="44">
        <f t="shared" si="0"/>
        <v>7.4208937063184766E-2</v>
      </c>
      <c r="H18" s="45"/>
      <c r="I18" s="45"/>
    </row>
    <row r="19" spans="1:9" x14ac:dyDescent="0.35">
      <c r="A19" s="106">
        <v>43647</v>
      </c>
      <c r="B19" s="107">
        <v>53.259998000000003</v>
      </c>
      <c r="C19" s="107">
        <v>2980.3798830000001</v>
      </c>
      <c r="D19" s="107">
        <v>8175.419922</v>
      </c>
      <c r="E19" s="44">
        <f t="shared" si="0"/>
        <v>7.6394462409054287E-2</v>
      </c>
      <c r="F19" s="44">
        <f t="shared" si="0"/>
        <v>1.312815214997776E-2</v>
      </c>
      <c r="G19" s="44">
        <f t="shared" si="0"/>
        <v>2.1130978218908161E-2</v>
      </c>
      <c r="H19" s="45"/>
      <c r="I19" s="45"/>
    </row>
    <row r="20" spans="1:9" x14ac:dyDescent="0.35">
      <c r="A20" s="106">
        <v>43678</v>
      </c>
      <c r="B20" s="107">
        <v>52.185001</v>
      </c>
      <c r="C20" s="107">
        <v>2926.459961</v>
      </c>
      <c r="D20" s="107">
        <v>7962.8798829999996</v>
      </c>
      <c r="E20" s="44">
        <f t="shared" si="0"/>
        <v>-2.0183947434620694E-2</v>
      </c>
      <c r="F20" s="44">
        <f t="shared" si="0"/>
        <v>-1.8091627281326687E-2</v>
      </c>
      <c r="G20" s="44">
        <f t="shared" si="0"/>
        <v>-2.599744612849263E-2</v>
      </c>
      <c r="H20" s="45"/>
      <c r="I20" s="45"/>
    </row>
    <row r="21" spans="1:9" x14ac:dyDescent="0.35">
      <c r="A21" s="106">
        <v>43709</v>
      </c>
      <c r="B21" s="107">
        <v>55.9925</v>
      </c>
      <c r="C21" s="107">
        <v>2976.73999</v>
      </c>
      <c r="D21" s="107">
        <v>7999.3398440000001</v>
      </c>
      <c r="E21" s="44">
        <f t="shared" si="0"/>
        <v>7.2961558437068919E-2</v>
      </c>
      <c r="F21" s="44">
        <f t="shared" si="0"/>
        <v>1.7181177829208652E-2</v>
      </c>
      <c r="G21" s="44">
        <f t="shared" si="0"/>
        <v>4.5787405481073585E-3</v>
      </c>
      <c r="H21" s="45"/>
      <c r="I21" s="45"/>
    </row>
    <row r="22" spans="1:9" x14ac:dyDescent="0.35">
      <c r="A22" s="106">
        <v>43739</v>
      </c>
      <c r="B22" s="107">
        <v>62.189999</v>
      </c>
      <c r="C22" s="107">
        <v>3037.5600589999999</v>
      </c>
      <c r="D22" s="107">
        <v>8292.3603519999997</v>
      </c>
      <c r="E22" s="44">
        <f t="shared" si="0"/>
        <v>0.11068444881010851</v>
      </c>
      <c r="F22" s="44">
        <f t="shared" si="0"/>
        <v>2.0431770730503028E-2</v>
      </c>
      <c r="G22" s="44">
        <f t="shared" si="0"/>
        <v>3.6630586237660988E-2</v>
      </c>
      <c r="H22" s="45"/>
      <c r="I22" s="45"/>
    </row>
    <row r="23" spans="1:9" x14ac:dyDescent="0.35">
      <c r="A23" s="106">
        <v>43770</v>
      </c>
      <c r="B23" s="107">
        <v>66.8125</v>
      </c>
      <c r="C23" s="107">
        <v>3140.9799800000001</v>
      </c>
      <c r="D23" s="107">
        <v>8665.4697269999997</v>
      </c>
      <c r="E23" s="44">
        <f t="shared" si="0"/>
        <v>7.4328687479155608E-2</v>
      </c>
      <c r="F23" s="44">
        <f t="shared" si="0"/>
        <v>3.4047037421886299E-2</v>
      </c>
      <c r="G23" s="44">
        <f t="shared" si="0"/>
        <v>4.4994351326038469E-2</v>
      </c>
      <c r="H23" s="45"/>
      <c r="I23" s="45"/>
    </row>
    <row r="24" spans="1:9" x14ac:dyDescent="0.35">
      <c r="A24" s="106">
        <v>43800</v>
      </c>
      <c r="B24" s="107">
        <v>73.412497999999999</v>
      </c>
      <c r="C24" s="107">
        <v>3230.780029</v>
      </c>
      <c r="D24" s="107">
        <v>8972.5996090000008</v>
      </c>
      <c r="E24" s="44">
        <f t="shared" si="0"/>
        <v>9.8783880261927026E-2</v>
      </c>
      <c r="F24" s="44">
        <f t="shared" si="0"/>
        <v>2.8589818964716848E-2</v>
      </c>
      <c r="G24" s="44">
        <f t="shared" si="0"/>
        <v>3.5442958278769497E-2</v>
      </c>
      <c r="H24" s="45"/>
      <c r="I24" s="45"/>
    </row>
    <row r="25" spans="1:9" x14ac:dyDescent="0.35">
      <c r="A25" s="106">
        <v>43831</v>
      </c>
      <c r="B25" s="107">
        <v>77.377502000000007</v>
      </c>
      <c r="C25" s="107">
        <v>3225.5200199999999</v>
      </c>
      <c r="D25" s="107">
        <v>9150.9404300000006</v>
      </c>
      <c r="E25" s="44">
        <f t="shared" si="0"/>
        <v>5.4009931660410293E-2</v>
      </c>
      <c r="F25" s="44">
        <f t="shared" si="0"/>
        <v>-1.6280925822202059E-3</v>
      </c>
      <c r="G25" s="44">
        <f t="shared" si="0"/>
        <v>1.9876159504667337E-2</v>
      </c>
      <c r="H25" s="45"/>
      <c r="I25" s="45"/>
    </row>
    <row r="26" spans="1:9" x14ac:dyDescent="0.35">
      <c r="A26" s="106">
        <v>43862</v>
      </c>
      <c r="B26" s="107">
        <v>68.339995999999999</v>
      </c>
      <c r="C26" s="107">
        <v>2954.219971</v>
      </c>
      <c r="D26" s="107">
        <v>8567.3701170000004</v>
      </c>
      <c r="E26" s="44">
        <f t="shared" si="0"/>
        <v>-0.1167975931815427</v>
      </c>
      <c r="F26" s="44">
        <f t="shared" si="0"/>
        <v>-8.411048367946572E-2</v>
      </c>
      <c r="G26" s="44">
        <f t="shared" si="0"/>
        <v>-6.3771621885642643E-2</v>
      </c>
      <c r="H26" s="45"/>
      <c r="I26" s="45"/>
    </row>
    <row r="27" spans="1:9" x14ac:dyDescent="0.35">
      <c r="A27" s="106">
        <v>43891</v>
      </c>
      <c r="B27" s="107">
        <v>63.572498000000003</v>
      </c>
      <c r="C27" s="107">
        <v>2584.5900879999999</v>
      </c>
      <c r="D27" s="107">
        <v>7700.1000979999999</v>
      </c>
      <c r="E27" s="44">
        <f t="shared" si="0"/>
        <v>-6.976146150198774E-2</v>
      </c>
      <c r="F27" s="44">
        <f t="shared" si="0"/>
        <v>-0.12511928245982332</v>
      </c>
      <c r="G27" s="44">
        <f t="shared" si="0"/>
        <v>-0.10122943297139692</v>
      </c>
      <c r="H27" s="45"/>
      <c r="I27" s="45"/>
    </row>
    <row r="28" spans="1:9" x14ac:dyDescent="0.35">
      <c r="A28" s="106">
        <v>43922</v>
      </c>
      <c r="B28" s="107">
        <v>73.449996999999996</v>
      </c>
      <c r="C28" s="107">
        <v>2912.429932</v>
      </c>
      <c r="D28" s="107">
        <v>8889.5498050000006</v>
      </c>
      <c r="E28" s="44">
        <f t="shared" si="0"/>
        <v>0.15537377499307944</v>
      </c>
      <c r="F28" s="44">
        <f t="shared" si="0"/>
        <v>0.12684403825663829</v>
      </c>
      <c r="G28" s="44">
        <f t="shared" si="0"/>
        <v>0.15447197982646285</v>
      </c>
      <c r="H28" s="45"/>
      <c r="I28" s="45"/>
    </row>
    <row r="29" spans="1:9" x14ac:dyDescent="0.35">
      <c r="A29" s="106">
        <v>43952</v>
      </c>
      <c r="B29" s="107">
        <v>79.485000999999997</v>
      </c>
      <c r="C29" s="107">
        <v>3044.3100589999999</v>
      </c>
      <c r="D29" s="107">
        <v>9489.8701170000004</v>
      </c>
      <c r="E29" s="44">
        <f t="shared" si="0"/>
        <v>8.2164795731713924E-2</v>
      </c>
      <c r="F29" s="44">
        <f t="shared" si="0"/>
        <v>4.5281819676065566E-2</v>
      </c>
      <c r="G29" s="44">
        <f t="shared" si="0"/>
        <v>6.7531013962298145E-2</v>
      </c>
      <c r="H29" s="45"/>
      <c r="I29" s="45"/>
    </row>
    <row r="30" spans="1:9" x14ac:dyDescent="0.35">
      <c r="A30" s="106">
        <v>43983</v>
      </c>
      <c r="B30" s="107">
        <v>91.199996999999996</v>
      </c>
      <c r="C30" s="107">
        <v>3100.290039</v>
      </c>
      <c r="D30" s="107">
        <v>10058.769531</v>
      </c>
      <c r="E30" s="44">
        <f t="shared" si="0"/>
        <v>0.14738624712352963</v>
      </c>
      <c r="F30" s="44">
        <f t="shared" si="0"/>
        <v>1.8388396357494698E-2</v>
      </c>
      <c r="G30" s="44">
        <f t="shared" si="0"/>
        <v>5.9948071679177387E-2</v>
      </c>
      <c r="H30" s="45"/>
      <c r="I30" s="45"/>
    </row>
    <row r="31" spans="1:9" x14ac:dyDescent="0.35">
      <c r="A31" s="106">
        <v>44013</v>
      </c>
      <c r="B31" s="107">
        <v>106.260002</v>
      </c>
      <c r="C31" s="107">
        <v>3271.1201169999999</v>
      </c>
      <c r="D31" s="107">
        <v>10745.269531</v>
      </c>
      <c r="E31" s="44">
        <f t="shared" si="0"/>
        <v>0.16513163920389168</v>
      </c>
      <c r="F31" s="44">
        <f t="shared" si="0"/>
        <v>5.5101321441235633E-2</v>
      </c>
      <c r="G31" s="44">
        <f t="shared" si="0"/>
        <v>6.8248904389774906E-2</v>
      </c>
      <c r="H31" s="45"/>
      <c r="I31" s="45"/>
    </row>
    <row r="32" spans="1:9" x14ac:dyDescent="0.35">
      <c r="A32" s="106">
        <v>44044</v>
      </c>
      <c r="B32" s="107">
        <v>129.03999300000001</v>
      </c>
      <c r="C32" s="107">
        <v>3500.3100589999999</v>
      </c>
      <c r="D32" s="107">
        <v>11775.459961</v>
      </c>
      <c r="E32" s="44">
        <f t="shared" si="0"/>
        <v>0.21437973434256108</v>
      </c>
      <c r="F32" s="44">
        <f t="shared" si="0"/>
        <v>7.0064667087246554E-2</v>
      </c>
      <c r="G32" s="44">
        <f t="shared" si="0"/>
        <v>9.5873856586650624E-2</v>
      </c>
      <c r="H32" s="45"/>
      <c r="I32" s="45"/>
    </row>
    <row r="33" spans="1:9" x14ac:dyDescent="0.35">
      <c r="A33" s="106">
        <v>44075</v>
      </c>
      <c r="B33" s="107">
        <v>115.80999799999999</v>
      </c>
      <c r="C33" s="107">
        <v>3363</v>
      </c>
      <c r="D33" s="107">
        <v>11167.509765999999</v>
      </c>
      <c r="E33" s="44">
        <f t="shared" si="0"/>
        <v>-0.10252631523313874</v>
      </c>
      <c r="F33" s="44">
        <f t="shared" si="0"/>
        <v>-3.9227970289931365E-2</v>
      </c>
      <c r="G33" s="44">
        <f t="shared" si="0"/>
        <v>-5.1628573067507816E-2</v>
      </c>
      <c r="H33" s="45"/>
      <c r="I33" s="45"/>
    </row>
    <row r="34" spans="1:9" x14ac:dyDescent="0.35">
      <c r="A34" s="106">
        <v>44105</v>
      </c>
      <c r="B34" s="107">
        <v>108.860001</v>
      </c>
      <c r="C34" s="107">
        <v>3269.959961</v>
      </c>
      <c r="D34" s="107">
        <v>10911.589844</v>
      </c>
      <c r="E34" s="44">
        <f t="shared" si="0"/>
        <v>-6.0012063897971889E-2</v>
      </c>
      <c r="F34" s="44">
        <f t="shared" si="0"/>
        <v>-2.7665786202795119E-2</v>
      </c>
      <c r="G34" s="44">
        <f t="shared" si="0"/>
        <v>-2.2916471743696987E-2</v>
      </c>
      <c r="H34" s="45"/>
      <c r="I34" s="45"/>
    </row>
    <row r="35" spans="1:9" x14ac:dyDescent="0.35">
      <c r="A35" s="106">
        <v>44136</v>
      </c>
      <c r="B35" s="107">
        <v>119.050003</v>
      </c>
      <c r="C35" s="107">
        <v>3621.6298830000001</v>
      </c>
      <c r="D35" s="107">
        <v>12198.740234000001</v>
      </c>
      <c r="E35" s="44">
        <f t="shared" si="0"/>
        <v>9.3606484534204684E-2</v>
      </c>
      <c r="F35" s="44">
        <f t="shared" si="0"/>
        <v>0.10754563548003028</v>
      </c>
      <c r="G35" s="44">
        <f t="shared" si="0"/>
        <v>0.11796176436266721</v>
      </c>
      <c r="H35" s="45"/>
      <c r="I35" s="45"/>
    </row>
    <row r="36" spans="1:9" x14ac:dyDescent="0.35">
      <c r="A36" s="106">
        <v>44166</v>
      </c>
      <c r="B36" s="107">
        <v>132.69000199999999</v>
      </c>
      <c r="C36" s="107">
        <v>3756.070068</v>
      </c>
      <c r="D36" s="107">
        <v>12888.280273</v>
      </c>
      <c r="E36" s="44">
        <f t="shared" si="0"/>
        <v>0.11457369723879796</v>
      </c>
      <c r="F36" s="44">
        <f t="shared" si="0"/>
        <v>3.7121458940645682E-2</v>
      </c>
      <c r="G36" s="44">
        <f t="shared" si="0"/>
        <v>5.6525512124451345E-2</v>
      </c>
      <c r="H36" s="45"/>
      <c r="I36" s="45"/>
    </row>
    <row r="37" spans="1:9" x14ac:dyDescent="0.35">
      <c r="A37" s="106">
        <v>44197</v>
      </c>
      <c r="B37" s="107">
        <v>142.91999799999999</v>
      </c>
      <c r="C37" s="107">
        <v>3855.360107</v>
      </c>
      <c r="D37" s="107">
        <v>13635.990234000001</v>
      </c>
      <c r="E37" s="44">
        <f t="shared" si="0"/>
        <v>7.7096961683669279E-2</v>
      </c>
      <c r="F37" s="44">
        <f t="shared" si="0"/>
        <v>2.6434554521734224E-2</v>
      </c>
      <c r="G37" s="44">
        <f t="shared" si="0"/>
        <v>5.8014719199302164E-2</v>
      </c>
      <c r="H37" s="45"/>
      <c r="I37" s="45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2006"/>
  <sheetViews>
    <sheetView tabSelected="1" topLeftCell="AD22" zoomScaleNormal="100" workbookViewId="0">
      <selection activeCell="Z9" sqref="Z9"/>
    </sheetView>
  </sheetViews>
  <sheetFormatPr defaultColWidth="10.58203125" defaultRowHeight="14.5" x14ac:dyDescent="0.35"/>
  <cols>
    <col min="1" max="1" width="9.58203125" style="61" bestFit="1" customWidth="1"/>
    <col min="2" max="2" width="8" style="86" bestFit="1" customWidth="1"/>
    <col min="3" max="3" width="7.33203125" style="61" bestFit="1" customWidth="1"/>
    <col min="4" max="4" width="6.33203125" style="61" bestFit="1" customWidth="1"/>
    <col min="5" max="6" width="5.33203125" style="61" bestFit="1" customWidth="1"/>
    <col min="7" max="7" width="4.83203125" style="61" bestFit="1" customWidth="1"/>
    <col min="8" max="8" width="4.75" style="61" bestFit="1" customWidth="1"/>
    <col min="9" max="14" width="4.33203125" style="61" bestFit="1" customWidth="1"/>
    <col min="15" max="15" width="4.33203125" style="85" bestFit="1" customWidth="1"/>
    <col min="16" max="16" width="13.58203125" style="61" bestFit="1" customWidth="1"/>
    <col min="17" max="17" width="6.25" style="86" bestFit="1" customWidth="1"/>
    <col min="18" max="18" width="7.33203125" style="61" bestFit="1" customWidth="1"/>
    <col min="19" max="19" width="6.75" style="61" bestFit="1" customWidth="1"/>
    <col min="20" max="29" width="7.25" style="61" bestFit="1" customWidth="1"/>
    <col min="30" max="30" width="6.58203125" style="85" bestFit="1" customWidth="1"/>
    <col min="31" max="31" width="9.5" style="61" bestFit="1" customWidth="1"/>
    <col min="32" max="32" width="18.33203125" style="61" bestFit="1" customWidth="1"/>
    <col min="33" max="16384" width="10.58203125" style="61"/>
  </cols>
  <sheetData>
    <row r="1" spans="1:32" ht="29.5" thickBot="1" x14ac:dyDescent="0.4">
      <c r="B1" s="61"/>
      <c r="O1" s="61"/>
      <c r="P1" s="95" t="s">
        <v>86</v>
      </c>
      <c r="Q1" s="94">
        <v>250</v>
      </c>
      <c r="AD1" s="61"/>
      <c r="AE1" s="62" t="s">
        <v>57</v>
      </c>
      <c r="AF1" s="63" t="s">
        <v>58</v>
      </c>
    </row>
    <row r="2" spans="1:32" ht="15" thickBot="1" x14ac:dyDescent="0.4">
      <c r="B2" s="61"/>
      <c r="O2" s="61"/>
      <c r="Q2" s="61"/>
      <c r="AD2" s="61"/>
      <c r="AF2" s="117">
        <f>AE6/AE5</f>
        <v>1.1435115944042429</v>
      </c>
    </row>
    <row r="3" spans="1:32" ht="15.5" x14ac:dyDescent="0.35">
      <c r="B3" s="61"/>
      <c r="O3" s="61"/>
      <c r="P3" s="64" t="s">
        <v>59</v>
      </c>
      <c r="Q3" s="65">
        <f>_xlfn.STDEV.S(Q13:Q2006)</f>
        <v>1.1977646501185841E-2</v>
      </c>
      <c r="R3" s="65">
        <f>_xlfn.STDEV.S(R13:R2006)</f>
        <v>1.2374142348863228E-2</v>
      </c>
      <c r="S3" s="65">
        <f t="shared" ref="S3:AD3" si="0">_xlfn.STDEV.S(S13:S2006)</f>
        <v>1.5337400052851332E-2</v>
      </c>
      <c r="T3" s="65">
        <f t="shared" si="0"/>
        <v>1.952857322306804E-2</v>
      </c>
      <c r="U3" s="65">
        <f t="shared" si="0"/>
        <v>1.8357681911177429E-2</v>
      </c>
      <c r="V3" s="65">
        <f t="shared" si="0"/>
        <v>1.4844726692466963E-2</v>
      </c>
      <c r="W3" s="65">
        <f t="shared" si="0"/>
        <v>2.889785327248813E-2</v>
      </c>
      <c r="X3" s="65">
        <f t="shared" si="0"/>
        <v>2.9243533690992998E-2</v>
      </c>
      <c r="Y3" s="65">
        <f t="shared" si="0"/>
        <v>2.3067670725255424E-2</v>
      </c>
      <c r="Z3" s="65">
        <f t="shared" si="0"/>
        <v>3.0776795131893728E-2</v>
      </c>
      <c r="AA3" s="65">
        <f t="shared" si="0"/>
        <v>1.4954793491666304E-2</v>
      </c>
      <c r="AB3" s="65">
        <f t="shared" si="0"/>
        <v>2.4554986330612722E-2</v>
      </c>
      <c r="AC3" s="65">
        <f t="shared" si="0"/>
        <v>2.0714128538120113E-2</v>
      </c>
      <c r="AD3" s="65">
        <f t="shared" si="0"/>
        <v>1.5711375017633544E-2</v>
      </c>
      <c r="AE3" s="66">
        <f>_xlfn.STDEV.S(AE13:AE2006)</f>
        <v>1.1825518528054513E-2</v>
      </c>
    </row>
    <row r="4" spans="1:32" x14ac:dyDescent="0.35">
      <c r="B4" s="61"/>
      <c r="O4" s="61"/>
      <c r="P4" s="67" t="s">
        <v>60</v>
      </c>
      <c r="Q4" s="68">
        <f>AVERAGE(Q13:Q2006)</f>
        <v>3.5874769957458785E-4</v>
      </c>
      <c r="R4" s="68">
        <f>AVERAGE(R13:R2006)</f>
        <v>6.5425342406376992E-4</v>
      </c>
      <c r="S4" s="68">
        <f t="shared" ref="S4:AD4" si="1">AVERAGE(S13:S2006)</f>
        <v>8.9838703172050681E-4</v>
      </c>
      <c r="T4" s="68">
        <f t="shared" si="1"/>
        <v>6.7000218203645129E-4</v>
      </c>
      <c r="U4" s="68">
        <f t="shared" si="1"/>
        <v>1.0849616486927082E-3</v>
      </c>
      <c r="V4" s="68">
        <f t="shared" si="1"/>
        <v>5.8146826744459644E-4</v>
      </c>
      <c r="W4" s="68">
        <f>AVERAGE(W13:W2006)</f>
        <v>-1.0535427839261065E-3</v>
      </c>
      <c r="X4" s="68">
        <f t="shared" si="1"/>
        <v>8.3526949803668354E-4</v>
      </c>
      <c r="Y4" s="68">
        <f t="shared" si="1"/>
        <v>-8.0876703909792775E-5</v>
      </c>
      <c r="Z4" s="68">
        <f t="shared" si="1"/>
        <v>-3.3858007776191692E-4</v>
      </c>
      <c r="AA4" s="68">
        <f t="shared" si="1"/>
        <v>4.3038269862932712E-4</v>
      </c>
      <c r="AB4" s="68">
        <f t="shared" si="1"/>
        <v>3.1606487219126264E-4</v>
      </c>
      <c r="AC4" s="68">
        <f t="shared" si="1"/>
        <v>6.2186673415504264E-4</v>
      </c>
      <c r="AD4" s="68">
        <f t="shared" si="1"/>
        <v>7.065959804475765E-4</v>
      </c>
      <c r="AE4" s="69">
        <f>AVERAGE(AE13:AE2006)</f>
        <v>8.5524542749686975E-4</v>
      </c>
    </row>
    <row r="5" spans="1:32" ht="15.5" x14ac:dyDescent="0.35">
      <c r="B5" s="61"/>
      <c r="O5" s="61"/>
      <c r="P5" s="67" t="s">
        <v>61</v>
      </c>
      <c r="Q5" s="70">
        <f>SQRT($Q$1)*Q3</f>
        <v>0.18938321976046968</v>
      </c>
      <c r="R5" s="70">
        <f>SQRT($Q$1)*R3</f>
        <v>0.1956523695677683</v>
      </c>
      <c r="S5" s="70">
        <f t="shared" ref="S5:AD5" si="2">SQRT($Q$1)*S3</f>
        <v>0.24250558776098544</v>
      </c>
      <c r="T5" s="70">
        <f t="shared" si="2"/>
        <v>0.30877385419135234</v>
      </c>
      <c r="U5" s="70">
        <f t="shared" si="2"/>
        <v>0.29026043700096771</v>
      </c>
      <c r="V5" s="70">
        <f t="shared" si="2"/>
        <v>0.23471573795446757</v>
      </c>
      <c r="W5" s="70">
        <f t="shared" si="2"/>
        <v>0.45691517915206453</v>
      </c>
      <c r="X5" s="70">
        <f t="shared" si="2"/>
        <v>0.46238086647704252</v>
      </c>
      <c r="Y5" s="70">
        <f t="shared" si="2"/>
        <v>0.3647318990329767</v>
      </c>
      <c r="Z5" s="70">
        <f t="shared" si="2"/>
        <v>0.48662385848583234</v>
      </c>
      <c r="AA5" s="70">
        <f t="shared" si="2"/>
        <v>0.23645604685563915</v>
      </c>
      <c r="AB5" s="70">
        <f t="shared" si="2"/>
        <v>0.38824842359518269</v>
      </c>
      <c r="AC5" s="70">
        <f t="shared" si="2"/>
        <v>0.32751912962976759</v>
      </c>
      <c r="AD5" s="70">
        <f t="shared" si="2"/>
        <v>0.24841865114395065</v>
      </c>
      <c r="AE5" s="71">
        <f>SQRT($Q$1)*AE3</f>
        <v>0.18697786530587021</v>
      </c>
    </row>
    <row r="6" spans="1:32" ht="16" thickBot="1" x14ac:dyDescent="0.4">
      <c r="B6" s="61"/>
      <c r="O6" s="61"/>
      <c r="P6" s="72" t="s">
        <v>62</v>
      </c>
      <c r="Q6" s="73">
        <f>Q4*$Q$1</f>
        <v>8.9686924893646963E-2</v>
      </c>
      <c r="R6" s="73">
        <f>R4*$Q$1</f>
        <v>0.16356335601594249</v>
      </c>
      <c r="S6" s="73">
        <f t="shared" ref="S6:AD6" si="3">S4*$Q$1</f>
        <v>0.22459675793012671</v>
      </c>
      <c r="T6" s="73">
        <f t="shared" si="3"/>
        <v>0.16750054550911281</v>
      </c>
      <c r="U6" s="73">
        <f t="shared" si="3"/>
        <v>0.27124041217317707</v>
      </c>
      <c r="V6" s="73">
        <f t="shared" si="3"/>
        <v>0.14536706686114911</v>
      </c>
      <c r="W6" s="73">
        <f t="shared" si="3"/>
        <v>-0.26338569598152661</v>
      </c>
      <c r="X6" s="73">
        <f t="shared" si="3"/>
        <v>0.20881737450917087</v>
      </c>
      <c r="Y6" s="73">
        <f t="shared" si="3"/>
        <v>-2.0219175977448194E-2</v>
      </c>
      <c r="Z6" s="73">
        <f t="shared" si="3"/>
        <v>-8.4645019440479224E-2</v>
      </c>
      <c r="AA6" s="73">
        <f t="shared" si="3"/>
        <v>0.10759567465733177</v>
      </c>
      <c r="AB6" s="73">
        <f t="shared" si="3"/>
        <v>7.9016218047815667E-2</v>
      </c>
      <c r="AC6" s="73">
        <f t="shared" si="3"/>
        <v>0.15546668353876067</v>
      </c>
      <c r="AD6" s="73">
        <f t="shared" si="3"/>
        <v>0.17664899511189414</v>
      </c>
      <c r="AE6" s="74">
        <f>AE4*$Q$1</f>
        <v>0.21381135687421743</v>
      </c>
    </row>
    <row r="7" spans="1:32" ht="15" thickBot="1" x14ac:dyDescent="0.4">
      <c r="B7" s="61"/>
      <c r="O7" s="61"/>
      <c r="Q7" s="61"/>
      <c r="AD7" s="61"/>
    </row>
    <row r="8" spans="1:32" ht="15" thickBot="1" x14ac:dyDescent="0.4">
      <c r="B8" s="61"/>
      <c r="O8" s="61"/>
      <c r="P8" s="118">
        <f>+SUM(Q8:AD8)</f>
        <v>0.99999999999999989</v>
      </c>
      <c r="Q8" s="75">
        <v>0</v>
      </c>
      <c r="R8" s="76">
        <v>0.29974850185192936</v>
      </c>
      <c r="S8" s="76">
        <v>0.29276432672066122</v>
      </c>
      <c r="T8" s="76">
        <v>0</v>
      </c>
      <c r="U8" s="76">
        <v>0.28593892361655743</v>
      </c>
      <c r="V8" s="76">
        <v>0</v>
      </c>
      <c r="W8" s="76">
        <v>0</v>
      </c>
      <c r="X8" s="76">
        <v>0</v>
      </c>
      <c r="Y8" s="76">
        <v>0</v>
      </c>
      <c r="Z8" s="76">
        <v>0</v>
      </c>
      <c r="AA8" s="76">
        <v>0</v>
      </c>
      <c r="AB8" s="76">
        <v>0</v>
      </c>
      <c r="AC8" s="76">
        <v>0</v>
      </c>
      <c r="AD8" s="76">
        <v>0.1215482478108519</v>
      </c>
    </row>
    <row r="9" spans="1:32" x14ac:dyDescent="0.35">
      <c r="B9" s="61"/>
      <c r="O9" s="61"/>
      <c r="Q9" s="61"/>
      <c r="AD9" s="61"/>
    </row>
    <row r="10" spans="1:32" ht="15" thickBot="1" x14ac:dyDescent="0.4">
      <c r="B10" s="121" t="s">
        <v>63</v>
      </c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3"/>
      <c r="P10" s="77"/>
      <c r="Q10" s="124" t="s">
        <v>64</v>
      </c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6"/>
    </row>
    <row r="11" spans="1:32" ht="15" thickBot="1" x14ac:dyDescent="0.4">
      <c r="B11" s="78" t="s">
        <v>65</v>
      </c>
      <c r="C11" s="79" t="s">
        <v>66</v>
      </c>
      <c r="D11" s="79" t="s">
        <v>67</v>
      </c>
      <c r="E11" s="79" t="s">
        <v>68</v>
      </c>
      <c r="F11" s="79" t="s">
        <v>69</v>
      </c>
      <c r="G11" s="79" t="s">
        <v>70</v>
      </c>
      <c r="H11" s="79" t="s">
        <v>71</v>
      </c>
      <c r="I11" s="79" t="s">
        <v>72</v>
      </c>
      <c r="J11" s="79" t="s">
        <v>73</v>
      </c>
      <c r="K11" s="79" t="s">
        <v>74</v>
      </c>
      <c r="L11" s="79" t="s">
        <v>75</v>
      </c>
      <c r="M11" s="79" t="s">
        <v>76</v>
      </c>
      <c r="N11" s="79" t="s">
        <v>77</v>
      </c>
      <c r="O11" s="80" t="s">
        <v>78</v>
      </c>
      <c r="P11" s="79"/>
      <c r="Q11" s="78" t="s">
        <v>65</v>
      </c>
      <c r="R11" s="79" t="s">
        <v>66</v>
      </c>
      <c r="S11" s="79" t="s">
        <v>67</v>
      </c>
      <c r="T11" s="79" t="s">
        <v>68</v>
      </c>
      <c r="U11" s="79" t="s">
        <v>69</v>
      </c>
      <c r="V11" s="79" t="s">
        <v>70</v>
      </c>
      <c r="W11" s="79" t="s">
        <v>71</v>
      </c>
      <c r="X11" s="79" t="s">
        <v>72</v>
      </c>
      <c r="Y11" s="79" t="s">
        <v>73</v>
      </c>
      <c r="Z11" s="79" t="s">
        <v>74</v>
      </c>
      <c r="AA11" s="79" t="s">
        <v>75</v>
      </c>
      <c r="AB11" s="79" t="s">
        <v>76</v>
      </c>
      <c r="AC11" s="79" t="s">
        <v>77</v>
      </c>
      <c r="AD11" s="80" t="s">
        <v>78</v>
      </c>
      <c r="AE11" s="81" t="s">
        <v>57</v>
      </c>
    </row>
    <row r="12" spans="1:32" ht="15" thickBot="1" x14ac:dyDescent="0.4">
      <c r="A12" s="82">
        <v>39783</v>
      </c>
      <c r="B12" s="83">
        <v>5092.7</v>
      </c>
      <c r="C12" s="84">
        <v>1398.1</v>
      </c>
      <c r="D12" s="61">
        <v>133.1</v>
      </c>
      <c r="E12" s="61">
        <v>10.7</v>
      </c>
      <c r="F12" s="61">
        <v>12.7</v>
      </c>
      <c r="G12" s="61">
        <v>18.600000000000001</v>
      </c>
      <c r="H12" s="61">
        <v>71.099999999999994</v>
      </c>
      <c r="I12" s="61">
        <v>5.2</v>
      </c>
      <c r="J12" s="61">
        <v>18.8</v>
      </c>
      <c r="K12" s="61">
        <v>16.5</v>
      </c>
      <c r="L12" s="61">
        <v>24.8</v>
      </c>
      <c r="M12" s="61">
        <v>24.6</v>
      </c>
      <c r="N12" s="61">
        <v>16.899999999999999</v>
      </c>
      <c r="O12" s="85">
        <v>12</v>
      </c>
    </row>
    <row r="13" spans="1:32" ht="15.5" x14ac:dyDescent="0.35">
      <c r="A13" s="82">
        <v>39784</v>
      </c>
      <c r="B13" s="83">
        <v>5309</v>
      </c>
      <c r="C13" s="84">
        <v>1449.8</v>
      </c>
      <c r="D13" s="61">
        <v>131.4</v>
      </c>
      <c r="E13" s="61">
        <v>10.5</v>
      </c>
      <c r="F13" s="61">
        <v>12.4</v>
      </c>
      <c r="G13" s="61">
        <v>18.600000000000001</v>
      </c>
      <c r="H13" s="61">
        <v>72.900000000000006</v>
      </c>
      <c r="I13" s="61">
        <v>5.3</v>
      </c>
      <c r="J13" s="61">
        <v>17.7</v>
      </c>
      <c r="K13" s="61">
        <v>16.2</v>
      </c>
      <c r="L13" s="61">
        <v>25.4</v>
      </c>
      <c r="M13" s="61">
        <v>21.6</v>
      </c>
      <c r="N13" s="61">
        <v>16.8</v>
      </c>
      <c r="O13" s="85">
        <v>12.1</v>
      </c>
      <c r="P13" s="105"/>
      <c r="Q13" s="87">
        <f>+LN(B13/B12)</f>
        <v>4.1595351812556816E-2</v>
      </c>
      <c r="R13" s="87">
        <f t="shared" ref="R13:AD28" si="4">+LN(C13/C12)</f>
        <v>3.6311443872998596E-2</v>
      </c>
      <c r="S13" s="87">
        <f t="shared" si="4"/>
        <v>-1.2854619350555737E-2</v>
      </c>
      <c r="T13" s="87">
        <f t="shared" si="4"/>
        <v>-1.8868484304382691E-2</v>
      </c>
      <c r="U13" s="87">
        <f t="shared" si="4"/>
        <v>-2.3905520853554366E-2</v>
      </c>
      <c r="V13" s="87">
        <f t="shared" si="4"/>
        <v>0</v>
      </c>
      <c r="W13" s="87">
        <f t="shared" si="4"/>
        <v>2.5001302205417401E-2</v>
      </c>
      <c r="X13" s="87">
        <f t="shared" si="4"/>
        <v>1.9048194970694411E-2</v>
      </c>
      <c r="Y13" s="87">
        <f t="shared" si="4"/>
        <v>-6.0292230256120127E-2</v>
      </c>
      <c r="Z13" s="87">
        <f t="shared" si="4"/>
        <v>-1.8349138668196541E-2</v>
      </c>
      <c r="AA13" s="87">
        <f t="shared" si="4"/>
        <v>2.3905520853554386E-2</v>
      </c>
      <c r="AB13" s="87">
        <f t="shared" si="4"/>
        <v>-0.13005312824819779</v>
      </c>
      <c r="AC13" s="87">
        <f t="shared" si="4"/>
        <v>-5.9347355198144658E-3</v>
      </c>
      <c r="AD13" s="87">
        <f t="shared" si="4"/>
        <v>8.2988028146950641E-3</v>
      </c>
      <c r="AE13" s="88">
        <f>+SUMPRODUCT(Q13:AD13,$Q$8:$AD$8)</f>
        <v>1.2941129612913643E-3</v>
      </c>
      <c r="AF13" s="89"/>
    </row>
    <row r="14" spans="1:32" ht="15.5" x14ac:dyDescent="0.35">
      <c r="A14" s="82">
        <v>39785</v>
      </c>
      <c r="B14" s="83">
        <v>5405.5</v>
      </c>
      <c r="C14" s="84">
        <v>1492.4</v>
      </c>
      <c r="D14" s="61">
        <v>132.80000000000001</v>
      </c>
      <c r="E14" s="61">
        <v>10.7</v>
      </c>
      <c r="F14" s="61">
        <v>12.7</v>
      </c>
      <c r="G14" s="61">
        <v>18.600000000000001</v>
      </c>
      <c r="H14" s="61">
        <v>72.400000000000006</v>
      </c>
      <c r="I14" s="61">
        <v>5.3</v>
      </c>
      <c r="J14" s="61">
        <v>17.2</v>
      </c>
      <c r="K14" s="61">
        <v>16.8</v>
      </c>
      <c r="L14" s="61">
        <v>25.4</v>
      </c>
      <c r="M14" s="61">
        <v>22.1</v>
      </c>
      <c r="N14" s="61">
        <v>17.3</v>
      </c>
      <c r="O14" s="85">
        <v>12</v>
      </c>
      <c r="P14" s="105"/>
      <c r="Q14" s="87">
        <f>+LN(B14/B13)</f>
        <v>1.8013460149154593E-2</v>
      </c>
      <c r="R14" s="87">
        <f t="shared" si="4"/>
        <v>2.8959946480225495E-2</v>
      </c>
      <c r="S14" s="87">
        <f t="shared" si="4"/>
        <v>1.0598130991823284E-2</v>
      </c>
      <c r="T14" s="87">
        <f t="shared" si="4"/>
        <v>1.8868484304382736E-2</v>
      </c>
      <c r="U14" s="87">
        <f t="shared" si="4"/>
        <v>2.3905520853554386E-2</v>
      </c>
      <c r="V14" s="87">
        <f t="shared" si="4"/>
        <v>0</v>
      </c>
      <c r="W14" s="87">
        <f t="shared" si="4"/>
        <v>-6.8823396229417888E-3</v>
      </c>
      <c r="X14" s="87">
        <f t="shared" si="4"/>
        <v>0</v>
      </c>
      <c r="Y14" s="87">
        <f t="shared" si="4"/>
        <v>-2.8655255760376062E-2</v>
      </c>
      <c r="Z14" s="87">
        <f t="shared" si="4"/>
        <v>3.6367644170875006E-2</v>
      </c>
      <c r="AA14" s="87">
        <f t="shared" si="4"/>
        <v>0</v>
      </c>
      <c r="AB14" s="87">
        <f t="shared" si="4"/>
        <v>2.2884293833587806E-2</v>
      </c>
      <c r="AC14" s="87">
        <f t="shared" si="4"/>
        <v>2.9327615094519921E-2</v>
      </c>
      <c r="AD14" s="87">
        <f t="shared" si="4"/>
        <v>-8.2988028146950658E-3</v>
      </c>
      <c r="AE14" s="90">
        <f>+SUMPRODUCT(Q14:AD14,$Q$8:$AD$8)</f>
        <v>1.7610269215782719E-2</v>
      </c>
      <c r="AF14" s="89"/>
    </row>
    <row r="15" spans="1:32" ht="15.5" x14ac:dyDescent="0.35">
      <c r="A15" s="82">
        <v>39786</v>
      </c>
      <c r="B15" s="83">
        <v>5232.3</v>
      </c>
      <c r="C15" s="84">
        <v>1445.6</v>
      </c>
      <c r="D15" s="61">
        <v>134.5</v>
      </c>
      <c r="E15" s="61">
        <v>10.7</v>
      </c>
      <c r="F15" s="61">
        <v>12.7</v>
      </c>
      <c r="G15" s="61">
        <v>18.8</v>
      </c>
      <c r="H15" s="61">
        <v>73.2</v>
      </c>
      <c r="I15" s="61">
        <v>5.4</v>
      </c>
      <c r="J15" s="61">
        <v>16.3</v>
      </c>
      <c r="K15" s="61">
        <v>18.2</v>
      </c>
      <c r="L15" s="61">
        <v>24.6</v>
      </c>
      <c r="M15" s="61">
        <v>24.6</v>
      </c>
      <c r="N15" s="61">
        <v>15.7</v>
      </c>
      <c r="O15" s="85">
        <v>12.5</v>
      </c>
      <c r="P15" s="105"/>
      <c r="Q15" s="87">
        <f>+LN(B15/B14)</f>
        <v>-3.2566001790093488E-2</v>
      </c>
      <c r="R15" s="87">
        <f t="shared" si="4"/>
        <v>-3.1861102068984119E-2</v>
      </c>
      <c r="S15" s="87">
        <f t="shared" si="4"/>
        <v>1.2719961999560148E-2</v>
      </c>
      <c r="T15" s="87">
        <f t="shared" si="4"/>
        <v>0</v>
      </c>
      <c r="U15" s="87">
        <f t="shared" si="4"/>
        <v>0</v>
      </c>
      <c r="V15" s="87">
        <f t="shared" si="4"/>
        <v>1.069528911674795E-2</v>
      </c>
      <c r="W15" s="87">
        <f t="shared" si="4"/>
        <v>1.0989121575595165E-2</v>
      </c>
      <c r="X15" s="87">
        <f t="shared" si="4"/>
        <v>1.8692133012152546E-2</v>
      </c>
      <c r="Y15" s="87">
        <f t="shared" si="4"/>
        <v>-5.3744276006690572E-2</v>
      </c>
      <c r="Z15" s="87">
        <f t="shared" si="4"/>
        <v>8.0042707673536356E-2</v>
      </c>
      <c r="AA15" s="87">
        <f t="shared" si="4"/>
        <v>-3.200273108617372E-2</v>
      </c>
      <c r="AB15" s="87">
        <f t="shared" si="4"/>
        <v>0.10716883441461003</v>
      </c>
      <c r="AC15" s="87">
        <f t="shared" si="4"/>
        <v>-9.7045789149470957E-2</v>
      </c>
      <c r="AD15" s="87">
        <f t="shared" si="4"/>
        <v>4.08219945202552E-2</v>
      </c>
      <c r="AE15" s="90">
        <f>+SUMPRODUCT(Q15:AD15,$Q$8:$AD$8)</f>
        <v>-8.645245957345565E-4</v>
      </c>
      <c r="AF15" s="89"/>
    </row>
    <row r="16" spans="1:32" ht="15.5" x14ac:dyDescent="0.35">
      <c r="A16" s="82">
        <v>39787</v>
      </c>
      <c r="B16" s="83">
        <v>5401.3</v>
      </c>
      <c r="C16" s="84">
        <v>1509.3</v>
      </c>
      <c r="D16" s="61">
        <v>132.1</v>
      </c>
      <c r="E16" s="61">
        <v>10.6</v>
      </c>
      <c r="F16" s="61">
        <v>12.7</v>
      </c>
      <c r="G16" s="61">
        <v>18.5</v>
      </c>
      <c r="H16" s="61">
        <v>72.3</v>
      </c>
      <c r="I16" s="61">
        <v>5.3</v>
      </c>
      <c r="J16" s="61">
        <v>15.9</v>
      </c>
      <c r="K16" s="61">
        <v>18.600000000000001</v>
      </c>
      <c r="L16" s="61">
        <v>24.1</v>
      </c>
      <c r="M16" s="61">
        <v>25.5</v>
      </c>
      <c r="N16" s="61">
        <v>15.1</v>
      </c>
      <c r="O16" s="85">
        <v>12.4</v>
      </c>
      <c r="P16" s="105"/>
      <c r="Q16" s="87">
        <f t="shared" ref="Q16:Q77" si="5">+LN(B16/B15)</f>
        <v>3.1788713376971804E-2</v>
      </c>
      <c r="R16" s="87">
        <f t="shared" si="4"/>
        <v>4.3121506887363867E-2</v>
      </c>
      <c r="S16" s="87">
        <f t="shared" si="4"/>
        <v>-1.8004987513614196E-2</v>
      </c>
      <c r="T16" s="87">
        <f t="shared" si="4"/>
        <v>-9.3897403498390316E-3</v>
      </c>
      <c r="U16" s="87">
        <f t="shared" si="4"/>
        <v>0</v>
      </c>
      <c r="V16" s="87">
        <f t="shared" si="4"/>
        <v>-1.6086137751624381E-2</v>
      </c>
      <c r="W16" s="87">
        <f t="shared" si="4"/>
        <v>-1.2371291802546942E-2</v>
      </c>
      <c r="X16" s="87">
        <f t="shared" si="4"/>
        <v>-1.8692133012152633E-2</v>
      </c>
      <c r="Y16" s="87">
        <f t="shared" si="4"/>
        <v>-2.4845998586530776E-2</v>
      </c>
      <c r="Z16" s="87">
        <f t="shared" si="4"/>
        <v>2.1739986636406038E-2</v>
      </c>
      <c r="AA16" s="87">
        <f t="shared" si="4"/>
        <v>-2.0534602441707753E-2</v>
      </c>
      <c r="AB16" s="87">
        <f t="shared" si="4"/>
        <v>3.593200922606337E-2</v>
      </c>
      <c r="AC16" s="87">
        <f t="shared" si="4"/>
        <v>-3.8965968533383723E-2</v>
      </c>
      <c r="AD16" s="87">
        <f t="shared" si="4"/>
        <v>-8.0321716972642666E-3</v>
      </c>
      <c r="AE16" s="90">
        <f>+SUMPRODUCT(Q16:AD16,$Q$8:$AD$8)</f>
        <v>6.6780926441294131E-3</v>
      </c>
      <c r="AF16" s="89"/>
    </row>
    <row r="17" spans="1:32" ht="15.5" x14ac:dyDescent="0.35">
      <c r="A17" s="82">
        <v>39790</v>
      </c>
      <c r="B17" s="83">
        <v>5639.7</v>
      </c>
      <c r="C17" s="84">
        <v>1571.7</v>
      </c>
      <c r="D17" s="61">
        <v>141.1</v>
      </c>
      <c r="E17" s="61">
        <v>11.8</v>
      </c>
      <c r="F17" s="61">
        <v>13.7</v>
      </c>
      <c r="G17" s="61">
        <v>20.100000000000001</v>
      </c>
      <c r="H17" s="61">
        <v>74.900000000000006</v>
      </c>
      <c r="I17" s="61">
        <v>6.3</v>
      </c>
      <c r="J17" s="61">
        <v>18.7</v>
      </c>
      <c r="K17" s="61">
        <v>20.8</v>
      </c>
      <c r="L17" s="61">
        <v>26.8</v>
      </c>
      <c r="M17" s="61">
        <v>29.7</v>
      </c>
      <c r="N17" s="61">
        <v>17</v>
      </c>
      <c r="O17" s="85">
        <v>13.6</v>
      </c>
      <c r="P17" s="105"/>
      <c r="Q17" s="87">
        <f t="shared" si="5"/>
        <v>4.319120726832102E-2</v>
      </c>
      <c r="R17" s="87">
        <f t="shared" si="4"/>
        <v>4.0511868916901318E-2</v>
      </c>
      <c r="S17" s="87">
        <f t="shared" si="4"/>
        <v>6.5909647330488638E-2</v>
      </c>
      <c r="T17" s="87">
        <f t="shared" si="4"/>
        <v>0.1072455303535978</v>
      </c>
      <c r="U17" s="87">
        <f t="shared" si="4"/>
        <v>7.5793839369533725E-2</v>
      </c>
      <c r="V17" s="87">
        <f t="shared" si="4"/>
        <v>8.2949082980750932E-2</v>
      </c>
      <c r="W17" s="87">
        <f t="shared" si="4"/>
        <v>3.5329761358454885E-2</v>
      </c>
      <c r="X17" s="87">
        <f t="shared" si="4"/>
        <v>0.17284281283941083</v>
      </c>
      <c r="Y17" s="87">
        <f t="shared" si="4"/>
        <v>0.16220441463435506</v>
      </c>
      <c r="Z17" s="87">
        <f t="shared" si="4"/>
        <v>0.11179140598811663</v>
      </c>
      <c r="AA17" s="87">
        <f t="shared" si="4"/>
        <v>0.10619004702020172</v>
      </c>
      <c r="AB17" s="87">
        <f t="shared" si="4"/>
        <v>0.15246859364427354</v>
      </c>
      <c r="AC17" s="87">
        <f t="shared" si="4"/>
        <v>0.11851860023533742</v>
      </c>
      <c r="AD17" s="87">
        <f t="shared" si="4"/>
        <v>9.2373320131015069E-2</v>
      </c>
      <c r="AE17" s="90">
        <f t="shared" ref="AE17:AE78" si="6">+SUMPRODUCT(Q17:AD17,$Q$8:$AD$8)</f>
        <v>6.4339589592656149E-2</v>
      </c>
      <c r="AF17" s="89"/>
    </row>
    <row r="18" spans="1:32" ht="15.5" x14ac:dyDescent="0.35">
      <c r="A18" s="82">
        <v>39791</v>
      </c>
      <c r="B18" s="83">
        <v>5522.5</v>
      </c>
      <c r="C18" s="84">
        <v>1547.3</v>
      </c>
      <c r="D18" s="61">
        <v>148.69999999999999</v>
      </c>
      <c r="E18" s="61">
        <v>11.8</v>
      </c>
      <c r="F18" s="61">
        <v>13.9</v>
      </c>
      <c r="G18" s="61">
        <v>20.5</v>
      </c>
      <c r="H18" s="61">
        <v>72</v>
      </c>
      <c r="I18" s="61">
        <v>6.1</v>
      </c>
      <c r="J18" s="61">
        <v>19.7</v>
      </c>
      <c r="K18" s="61">
        <v>21.2</v>
      </c>
      <c r="L18" s="61">
        <v>26.2</v>
      </c>
      <c r="M18" s="61">
        <v>29.6</v>
      </c>
      <c r="N18" s="61">
        <v>17</v>
      </c>
      <c r="O18" s="85">
        <v>13</v>
      </c>
      <c r="P18" s="105"/>
      <c r="Q18" s="87">
        <f t="shared" si="5"/>
        <v>-2.1000216293753149E-2</v>
      </c>
      <c r="R18" s="87">
        <f t="shared" si="4"/>
        <v>-1.5646359586656798E-2</v>
      </c>
      <c r="S18" s="87">
        <f t="shared" si="4"/>
        <v>5.2461994607341057E-2</v>
      </c>
      <c r="T18" s="87">
        <f t="shared" si="4"/>
        <v>0</v>
      </c>
      <c r="U18" s="87">
        <f t="shared" si="4"/>
        <v>1.4493007302566824E-2</v>
      </c>
      <c r="V18" s="87">
        <f t="shared" si="4"/>
        <v>1.9705071079332337E-2</v>
      </c>
      <c r="W18" s="87">
        <f t="shared" si="4"/>
        <v>-3.9487771507118505E-2</v>
      </c>
      <c r="X18" s="87">
        <f t="shared" si="4"/>
        <v>-3.2260862218221435E-2</v>
      </c>
      <c r="Y18" s="87">
        <f t="shared" si="4"/>
        <v>5.2095111883401872E-2</v>
      </c>
      <c r="Z18" s="87">
        <f t="shared" si="4"/>
        <v>1.9048194970694411E-2</v>
      </c>
      <c r="AA18" s="87">
        <f t="shared" si="4"/>
        <v>-2.2642476749759891E-2</v>
      </c>
      <c r="AB18" s="87">
        <f t="shared" si="4"/>
        <v>-3.3726844786391187E-3</v>
      </c>
      <c r="AC18" s="87">
        <f t="shared" si="4"/>
        <v>0</v>
      </c>
      <c r="AD18" s="87">
        <f t="shared" si="4"/>
        <v>-4.5120435280469544E-2</v>
      </c>
      <c r="AE18" s="90">
        <f t="shared" si="6"/>
        <v>9.3288327433630643E-3</v>
      </c>
      <c r="AF18" s="89"/>
    </row>
    <row r="19" spans="1:32" ht="15.5" x14ac:dyDescent="0.35">
      <c r="A19" s="82">
        <v>39792</v>
      </c>
      <c r="B19" s="83">
        <v>5631.1</v>
      </c>
      <c r="C19" s="84">
        <v>1565.5</v>
      </c>
      <c r="D19" s="61">
        <v>152.4</v>
      </c>
      <c r="E19" s="61">
        <v>12.4</v>
      </c>
      <c r="F19" s="61">
        <v>13.8</v>
      </c>
      <c r="G19" s="61">
        <v>20.3</v>
      </c>
      <c r="H19" s="61">
        <v>72.400000000000006</v>
      </c>
      <c r="I19" s="61">
        <v>6.3</v>
      </c>
      <c r="J19" s="61">
        <v>21.1</v>
      </c>
      <c r="K19" s="61">
        <v>20.6</v>
      </c>
      <c r="L19" s="61">
        <v>26.4</v>
      </c>
      <c r="M19" s="61">
        <v>30.7</v>
      </c>
      <c r="N19" s="61">
        <v>18.8</v>
      </c>
      <c r="O19" s="85">
        <v>12.2</v>
      </c>
      <c r="P19" s="105"/>
      <c r="Q19" s="87">
        <f t="shared" si="5"/>
        <v>1.9474148637680502E-2</v>
      </c>
      <c r="R19" s="87">
        <f t="shared" si="4"/>
        <v>1.1693785270833397E-2</v>
      </c>
      <c r="S19" s="87">
        <f t="shared" si="4"/>
        <v>2.4577789786436557E-2</v>
      </c>
      <c r="T19" s="87">
        <f t="shared" si="4"/>
        <v>4.9596941139371978E-2</v>
      </c>
      <c r="U19" s="87">
        <f t="shared" si="4"/>
        <v>-7.2202479734870201E-3</v>
      </c>
      <c r="V19" s="87">
        <f t="shared" si="4"/>
        <v>-9.8040000966208556E-3</v>
      </c>
      <c r="W19" s="87">
        <f t="shared" si="4"/>
        <v>5.5401803756153509E-3</v>
      </c>
      <c r="X19" s="87">
        <f t="shared" si="4"/>
        <v>3.2260862218221477E-2</v>
      </c>
      <c r="Y19" s="87">
        <f t="shared" si="4"/>
        <v>6.8654404738078184E-2</v>
      </c>
      <c r="Z19" s="87">
        <f t="shared" si="4"/>
        <v>-2.8710105882431253E-2</v>
      </c>
      <c r="AA19" s="87">
        <f t="shared" si="4"/>
        <v>7.6045993852192125E-3</v>
      </c>
      <c r="AB19" s="87">
        <f t="shared" si="4"/>
        <v>3.6488293263136684E-2</v>
      </c>
      <c r="AC19" s="87">
        <f t="shared" si="4"/>
        <v>0.10064352577968751</v>
      </c>
      <c r="AD19" s="87">
        <f t="shared" si="4"/>
        <v>-6.3513405722325861E-2</v>
      </c>
      <c r="AE19" s="90">
        <f t="shared" si="6"/>
        <v>9.1620158318656084E-4</v>
      </c>
      <c r="AF19" s="89"/>
    </row>
    <row r="20" spans="1:32" ht="15.5" x14ac:dyDescent="0.35">
      <c r="A20" s="82">
        <v>39793</v>
      </c>
      <c r="B20" s="83">
        <v>5504.7</v>
      </c>
      <c r="C20" s="84">
        <v>1507.9</v>
      </c>
      <c r="D20" s="61">
        <v>149.1</v>
      </c>
      <c r="E20" s="61">
        <v>12.6</v>
      </c>
      <c r="F20" s="61">
        <v>13.6</v>
      </c>
      <c r="G20" s="61">
        <v>19.3</v>
      </c>
      <c r="H20" s="61">
        <v>72.3</v>
      </c>
      <c r="I20" s="61">
        <v>6</v>
      </c>
      <c r="J20" s="61">
        <v>21.6</v>
      </c>
      <c r="K20" s="61">
        <v>20.2</v>
      </c>
      <c r="L20" s="61">
        <v>26.2</v>
      </c>
      <c r="M20" s="61">
        <v>29.8</v>
      </c>
      <c r="N20" s="61">
        <v>17.600000000000001</v>
      </c>
      <c r="O20" s="85">
        <v>12.1</v>
      </c>
      <c r="P20" s="105"/>
      <c r="Q20" s="87">
        <f t="shared" si="5"/>
        <v>-2.2702532172935243E-2</v>
      </c>
      <c r="R20" s="87">
        <f t="shared" si="4"/>
        <v>-3.7487307394710415E-2</v>
      </c>
      <c r="S20" s="87">
        <f t="shared" si="4"/>
        <v>-2.1891421481853239E-2</v>
      </c>
      <c r="T20" s="87">
        <f t="shared" si="4"/>
        <v>1.600034134644112E-2</v>
      </c>
      <c r="U20" s="87">
        <f t="shared" si="4"/>
        <v>-1.4598799421152749E-2</v>
      </c>
      <c r="V20" s="87">
        <f t="shared" si="4"/>
        <v>-5.0515790136901835E-2</v>
      </c>
      <c r="W20" s="87">
        <f t="shared" si="4"/>
        <v>-1.3821702269517587E-3</v>
      </c>
      <c r="X20" s="87">
        <f t="shared" si="4"/>
        <v>-4.8790164169431945E-2</v>
      </c>
      <c r="Y20" s="87">
        <f t="shared" si="4"/>
        <v>2.3420274208098422E-2</v>
      </c>
      <c r="Z20" s="87">
        <f t="shared" si="4"/>
        <v>-1.9608471388376424E-2</v>
      </c>
      <c r="AA20" s="87">
        <f t="shared" si="4"/>
        <v>-7.6045993852193036E-3</v>
      </c>
      <c r="AB20" s="87">
        <f t="shared" si="4"/>
        <v>-2.9754261081792601E-2</v>
      </c>
      <c r="AC20" s="87">
        <f t="shared" si="4"/>
        <v>-6.5957967791797398E-2</v>
      </c>
      <c r="AD20" s="87">
        <f t="shared" si="4"/>
        <v>-8.23049913651548E-3</v>
      </c>
      <c r="AE20" s="90">
        <f t="shared" si="6"/>
        <v>-2.282055924235081E-2</v>
      </c>
      <c r="AF20" s="89"/>
    </row>
    <row r="21" spans="1:32" ht="15.5" x14ac:dyDescent="0.35">
      <c r="A21" s="82">
        <v>39794</v>
      </c>
      <c r="B21" s="83">
        <v>5544</v>
      </c>
      <c r="C21" s="84">
        <v>1540.7</v>
      </c>
      <c r="D21" s="61">
        <v>147.19999999999999</v>
      </c>
      <c r="E21" s="61">
        <v>12.2</v>
      </c>
      <c r="F21" s="61">
        <v>13.2</v>
      </c>
      <c r="G21" s="61">
        <v>18.7</v>
      </c>
      <c r="H21" s="61">
        <v>71.900000000000006</v>
      </c>
      <c r="I21" s="61">
        <v>5.3</v>
      </c>
      <c r="J21" s="61">
        <v>20.7</v>
      </c>
      <c r="K21" s="61">
        <v>19.7</v>
      </c>
      <c r="L21" s="61">
        <v>25.8</v>
      </c>
      <c r="M21" s="61">
        <v>28.5</v>
      </c>
      <c r="N21" s="61">
        <v>17</v>
      </c>
      <c r="O21" s="85">
        <v>11.9</v>
      </c>
      <c r="P21" s="105"/>
      <c r="Q21" s="87">
        <f t="shared" si="5"/>
        <v>7.1139891107215008E-3</v>
      </c>
      <c r="R21" s="87">
        <f t="shared" si="4"/>
        <v>2.1518904215979379E-2</v>
      </c>
      <c r="S21" s="87">
        <f t="shared" si="4"/>
        <v>-1.2825015475916881E-2</v>
      </c>
      <c r="T21" s="87">
        <f t="shared" si="4"/>
        <v>-3.2260862218221435E-2</v>
      </c>
      <c r="U21" s="87">
        <f t="shared" si="4"/>
        <v>-2.985296314968116E-2</v>
      </c>
      <c r="V21" s="87">
        <f t="shared" si="4"/>
        <v>-3.1581572050299045E-2</v>
      </c>
      <c r="W21" s="87">
        <f t="shared" si="4"/>
        <v>-5.5478644377178667E-3</v>
      </c>
      <c r="X21" s="87">
        <f t="shared" si="4"/>
        <v>-0.12405264866997888</v>
      </c>
      <c r="Y21" s="87">
        <f t="shared" si="4"/>
        <v>-4.2559614418796007E-2</v>
      </c>
      <c r="Z21" s="87">
        <f t="shared" si="4"/>
        <v>-2.5063968663216276E-2</v>
      </c>
      <c r="AA21" s="87">
        <f t="shared" si="4"/>
        <v>-1.5384918839479343E-2</v>
      </c>
      <c r="AB21" s="87">
        <f t="shared" si="4"/>
        <v>-4.4604306236753918E-2</v>
      </c>
      <c r="AC21" s="87">
        <f t="shared" si="4"/>
        <v>-3.4685557987890102E-2</v>
      </c>
      <c r="AD21" s="87">
        <f t="shared" si="4"/>
        <v>-1.6667052485211647E-2</v>
      </c>
      <c r="AE21" s="90">
        <f>+SUMPRODUCT(Q21:AD21,$Q$8:$AD$8)</f>
        <v>-7.866422896287445E-3</v>
      </c>
      <c r="AF21" s="89"/>
    </row>
    <row r="22" spans="1:32" ht="15.5" x14ac:dyDescent="0.35">
      <c r="A22" s="82">
        <v>39797</v>
      </c>
      <c r="B22" s="83">
        <v>5497.9</v>
      </c>
      <c r="C22" s="84">
        <v>1508.3</v>
      </c>
      <c r="D22" s="61">
        <v>152.69999999999999</v>
      </c>
      <c r="E22" s="61">
        <v>12.6</v>
      </c>
      <c r="F22" s="61">
        <v>13.3</v>
      </c>
      <c r="G22" s="61">
        <v>18.899999999999999</v>
      </c>
      <c r="H22" s="61">
        <v>70.8</v>
      </c>
      <c r="I22" s="61">
        <v>5.8</v>
      </c>
      <c r="J22" s="61">
        <v>22.4</v>
      </c>
      <c r="K22" s="61">
        <v>19.2</v>
      </c>
      <c r="L22" s="61">
        <v>26.2</v>
      </c>
      <c r="M22" s="61">
        <v>29.1</v>
      </c>
      <c r="N22" s="61">
        <v>17.600000000000001</v>
      </c>
      <c r="O22" s="85">
        <v>11.8</v>
      </c>
      <c r="P22" s="105"/>
      <c r="Q22" s="87">
        <f t="shared" si="5"/>
        <v>-8.3500607421168969E-3</v>
      </c>
      <c r="R22" s="87">
        <f t="shared" si="4"/>
        <v>-2.1253669813522794E-2</v>
      </c>
      <c r="S22" s="87">
        <f t="shared" si="4"/>
        <v>3.6683005929810983E-2</v>
      </c>
      <c r="T22" s="87">
        <f t="shared" si="4"/>
        <v>3.2260862218221477E-2</v>
      </c>
      <c r="U22" s="87">
        <f t="shared" si="4"/>
        <v>7.5472056353831241E-3</v>
      </c>
      <c r="V22" s="87">
        <f t="shared" si="4"/>
        <v>1.0638398205055797E-2</v>
      </c>
      <c r="W22" s="87">
        <f t="shared" si="4"/>
        <v>-1.5417264027327054E-2</v>
      </c>
      <c r="X22" s="87">
        <f t="shared" si="4"/>
        <v>9.0151096994297478E-2</v>
      </c>
      <c r="Y22" s="87">
        <f t="shared" si="4"/>
        <v>7.8927258589670701E-2</v>
      </c>
      <c r="Z22" s="87">
        <f t="shared" si="4"/>
        <v>-2.5708356710206923E-2</v>
      </c>
      <c r="AA22" s="87">
        <f t="shared" si="4"/>
        <v>1.5384918839479456E-2</v>
      </c>
      <c r="AB22" s="87">
        <f t="shared" si="4"/>
        <v>2.0834086902842053E-2</v>
      </c>
      <c r="AC22" s="87">
        <f t="shared" si="4"/>
        <v>3.4685557987890109E-2</v>
      </c>
      <c r="AD22" s="87">
        <f t="shared" si="4"/>
        <v>-8.4388686458645949E-3</v>
      </c>
      <c r="AE22" s="90">
        <f t="shared" si="6"/>
        <v>5.5010300059555916E-3</v>
      </c>
      <c r="AF22" s="89"/>
    </row>
    <row r="23" spans="1:32" ht="15.5" x14ac:dyDescent="0.35">
      <c r="A23" s="82">
        <v>39798</v>
      </c>
      <c r="B23" s="83">
        <v>5805</v>
      </c>
      <c r="C23" s="84">
        <v>1589.9</v>
      </c>
      <c r="D23" s="61">
        <v>155.80000000000001</v>
      </c>
      <c r="E23" s="61">
        <v>12.9</v>
      </c>
      <c r="F23" s="61">
        <v>13.3</v>
      </c>
      <c r="G23" s="61">
        <v>19</v>
      </c>
      <c r="H23" s="61">
        <v>72.599999999999994</v>
      </c>
      <c r="I23" s="61">
        <v>6</v>
      </c>
      <c r="J23" s="61">
        <v>24.1</v>
      </c>
      <c r="K23" s="61">
        <v>19.5</v>
      </c>
      <c r="L23" s="61">
        <v>26.5</v>
      </c>
      <c r="M23" s="61">
        <v>30.1</v>
      </c>
      <c r="N23" s="61">
        <v>18.399999999999999</v>
      </c>
      <c r="O23" s="85">
        <v>11.9</v>
      </c>
      <c r="P23" s="105"/>
      <c r="Q23" s="87">
        <f t="shared" si="5"/>
        <v>5.4353414004369688E-2</v>
      </c>
      <c r="R23" s="87">
        <f t="shared" si="4"/>
        <v>5.2687932380456819E-2</v>
      </c>
      <c r="S23" s="87">
        <f t="shared" si="4"/>
        <v>2.0097921212061332E-2</v>
      </c>
      <c r="T23" s="87">
        <f t="shared" si="4"/>
        <v>2.3530497410194251E-2</v>
      </c>
      <c r="U23" s="87">
        <f t="shared" si="4"/>
        <v>0</v>
      </c>
      <c r="V23" s="87">
        <f t="shared" si="4"/>
        <v>5.2770571008438193E-3</v>
      </c>
      <c r="W23" s="87">
        <f t="shared" si="4"/>
        <v>2.5105921131076261E-2</v>
      </c>
      <c r="X23" s="87">
        <f t="shared" si="4"/>
        <v>3.3901551675681416E-2</v>
      </c>
      <c r="Y23" s="87">
        <f t="shared" si="4"/>
        <v>7.31508816356152E-2</v>
      </c>
      <c r="Z23" s="87">
        <f t="shared" si="4"/>
        <v>1.5504186535965254E-2</v>
      </c>
      <c r="AA23" s="87">
        <f t="shared" si="4"/>
        <v>1.1385322225125429E-2</v>
      </c>
      <c r="AB23" s="87">
        <f t="shared" si="4"/>
        <v>3.3786997577383314E-2</v>
      </c>
      <c r="AC23" s="87">
        <f t="shared" si="4"/>
        <v>4.4451762570833588E-2</v>
      </c>
      <c r="AD23" s="87">
        <f t="shared" si="4"/>
        <v>8.4388686458646035E-3</v>
      </c>
      <c r="AE23" s="90">
        <f>+SUMPRODUCT(Q23:AD23,$Q$8:$AD$8)</f>
        <v>2.2702812866262499E-2</v>
      </c>
      <c r="AF23" s="89"/>
    </row>
    <row r="24" spans="1:32" ht="15.5" x14ac:dyDescent="0.35">
      <c r="A24" s="82">
        <v>39799</v>
      </c>
      <c r="B24" s="83">
        <v>5769.8</v>
      </c>
      <c r="C24" s="84">
        <v>1579.3</v>
      </c>
      <c r="D24" s="61">
        <v>156.4</v>
      </c>
      <c r="E24" s="61">
        <v>12.8</v>
      </c>
      <c r="F24" s="61">
        <v>12.6</v>
      </c>
      <c r="G24" s="61">
        <v>19.5</v>
      </c>
      <c r="H24" s="61">
        <v>73.8</v>
      </c>
      <c r="I24" s="61">
        <v>6.1</v>
      </c>
      <c r="J24" s="61">
        <v>25.4</v>
      </c>
      <c r="K24" s="61">
        <v>19.7</v>
      </c>
      <c r="L24" s="61">
        <v>26.9</v>
      </c>
      <c r="M24" s="61">
        <v>32.799999999999997</v>
      </c>
      <c r="N24" s="61">
        <v>19.100000000000001</v>
      </c>
      <c r="O24" s="85">
        <v>12.2</v>
      </c>
      <c r="P24" s="105"/>
      <c r="Q24" s="87">
        <f t="shared" si="5"/>
        <v>-6.0821972756498607E-3</v>
      </c>
      <c r="R24" s="87">
        <f t="shared" si="4"/>
        <v>-6.6894102786546174E-3</v>
      </c>
      <c r="S24" s="87">
        <f t="shared" si="4"/>
        <v>3.8436946745627151E-3</v>
      </c>
      <c r="T24" s="87">
        <f t="shared" si="4"/>
        <v>-7.7821404420549628E-3</v>
      </c>
      <c r="U24" s="87">
        <f t="shared" si="4"/>
        <v>-5.4067221270275821E-2</v>
      </c>
      <c r="V24" s="87">
        <f t="shared" si="4"/>
        <v>2.5975486403260736E-2</v>
      </c>
      <c r="W24" s="87">
        <f t="shared" si="4"/>
        <v>1.6393809775676352E-2</v>
      </c>
      <c r="X24" s="87">
        <f t="shared" si="4"/>
        <v>1.6529301951210506E-2</v>
      </c>
      <c r="Y24" s="87">
        <f t="shared" si="4"/>
        <v>5.2537333527881404E-2</v>
      </c>
      <c r="Z24" s="87">
        <f t="shared" si="4"/>
        <v>1.0204170174241668E-2</v>
      </c>
      <c r="AA24" s="87">
        <f t="shared" si="4"/>
        <v>1.4981553615616894E-2</v>
      </c>
      <c r="AB24" s="87">
        <f t="shared" si="4"/>
        <v>8.5903343635267831E-2</v>
      </c>
      <c r="AC24" s="87">
        <f t="shared" si="4"/>
        <v>3.7337670437644313E-2</v>
      </c>
      <c r="AD24" s="87">
        <f t="shared" si="4"/>
        <v>2.4897551621727087E-2</v>
      </c>
      <c r="AE24" s="90">
        <f t="shared" si="6"/>
        <v>-1.3313513304341221E-2</v>
      </c>
      <c r="AF24" s="89"/>
    </row>
    <row r="25" spans="1:32" ht="15.5" x14ac:dyDescent="0.35">
      <c r="A25" s="82">
        <v>39800</v>
      </c>
      <c r="B25" s="83">
        <v>5617.8</v>
      </c>
      <c r="C25" s="84">
        <v>1552.4</v>
      </c>
      <c r="D25" s="61">
        <v>154.69999999999999</v>
      </c>
      <c r="E25" s="61">
        <v>12.7</v>
      </c>
      <c r="F25" s="61">
        <v>12.6</v>
      </c>
      <c r="G25" s="61">
        <v>19</v>
      </c>
      <c r="H25" s="61">
        <v>73.8</v>
      </c>
      <c r="I25" s="61">
        <v>5.9</v>
      </c>
      <c r="J25" s="61">
        <v>24.5</v>
      </c>
      <c r="K25" s="61">
        <v>20.399999999999999</v>
      </c>
      <c r="L25" s="61">
        <v>27.1</v>
      </c>
      <c r="M25" s="61">
        <v>33.200000000000003</v>
      </c>
      <c r="N25" s="61">
        <v>19.2</v>
      </c>
      <c r="O25" s="85">
        <v>12.6</v>
      </c>
      <c r="P25" s="105"/>
      <c r="Q25" s="87">
        <f t="shared" si="5"/>
        <v>-2.6697289683443603E-2</v>
      </c>
      <c r="R25" s="87">
        <f t="shared" si="4"/>
        <v>-1.717959038125761E-2</v>
      </c>
      <c r="S25" s="87">
        <f t="shared" si="4"/>
        <v>-1.092907053219043E-2</v>
      </c>
      <c r="T25" s="87">
        <f t="shared" si="4"/>
        <v>-7.8431774610260054E-3</v>
      </c>
      <c r="U25" s="87">
        <f t="shared" si="4"/>
        <v>0</v>
      </c>
      <c r="V25" s="87">
        <f t="shared" si="4"/>
        <v>-2.5975486403260677E-2</v>
      </c>
      <c r="W25" s="87">
        <f t="shared" si="4"/>
        <v>0</v>
      </c>
      <c r="X25" s="87">
        <f t="shared" si="4"/>
        <v>-3.3336420267591718E-2</v>
      </c>
      <c r="Y25" s="87">
        <f t="shared" si="4"/>
        <v>-3.6076056473809535E-2</v>
      </c>
      <c r="Z25" s="87">
        <f t="shared" si="4"/>
        <v>3.4916265106227883E-2</v>
      </c>
      <c r="AA25" s="87">
        <f t="shared" si="4"/>
        <v>7.4074412778618176E-3</v>
      </c>
      <c r="AB25" s="87">
        <f t="shared" si="4"/>
        <v>1.2121360532345041E-2</v>
      </c>
      <c r="AC25" s="87">
        <f t="shared" si="4"/>
        <v>5.2219439811516249E-3</v>
      </c>
      <c r="AD25" s="87">
        <f t="shared" si="4"/>
        <v>3.2260862218221477E-2</v>
      </c>
      <c r="AE25" s="90">
        <f t="shared" si="6"/>
        <v>-4.4279471797590009E-3</v>
      </c>
      <c r="AF25" s="89"/>
    </row>
    <row r="26" spans="1:32" ht="15.5" x14ac:dyDescent="0.35">
      <c r="A26" s="82">
        <v>39801</v>
      </c>
      <c r="B26" s="83">
        <v>5616.1</v>
      </c>
      <c r="C26" s="84">
        <v>1564.3</v>
      </c>
      <c r="D26" s="61">
        <v>154.69999999999999</v>
      </c>
      <c r="E26" s="61">
        <v>12.7</v>
      </c>
      <c r="F26" s="61">
        <v>12.7</v>
      </c>
      <c r="G26" s="61">
        <v>19.100000000000001</v>
      </c>
      <c r="H26" s="61">
        <v>74.900000000000006</v>
      </c>
      <c r="I26" s="61">
        <v>5.9</v>
      </c>
      <c r="J26" s="61">
        <v>23.1</v>
      </c>
      <c r="K26" s="61">
        <v>19.7</v>
      </c>
      <c r="L26" s="61">
        <v>27.7</v>
      </c>
      <c r="M26" s="61">
        <v>34.799999999999997</v>
      </c>
      <c r="N26" s="61">
        <v>19.399999999999999</v>
      </c>
      <c r="O26" s="85">
        <v>12.6</v>
      </c>
      <c r="P26" s="105"/>
      <c r="Q26" s="87">
        <f t="shared" si="5"/>
        <v>-3.026553579747393E-4</v>
      </c>
      <c r="R26" s="87">
        <f t="shared" si="4"/>
        <v>7.636319072973359E-3</v>
      </c>
      <c r="S26" s="87">
        <f t="shared" si="4"/>
        <v>0</v>
      </c>
      <c r="T26" s="87">
        <f t="shared" si="4"/>
        <v>0</v>
      </c>
      <c r="U26" s="87">
        <f t="shared" si="4"/>
        <v>7.9051795071132473E-3</v>
      </c>
      <c r="V26" s="87">
        <f t="shared" si="4"/>
        <v>5.249355886143745E-3</v>
      </c>
      <c r="W26" s="87">
        <f t="shared" si="4"/>
        <v>1.4795158916747117E-2</v>
      </c>
      <c r="X26" s="87">
        <f t="shared" si="4"/>
        <v>0</v>
      </c>
      <c r="Y26" s="87">
        <f t="shared" si="4"/>
        <v>-5.8840500022933347E-2</v>
      </c>
      <c r="Z26" s="87">
        <f t="shared" si="4"/>
        <v>-3.4916265106227876E-2</v>
      </c>
      <c r="AA26" s="87">
        <f t="shared" si="4"/>
        <v>2.1898685307637524E-2</v>
      </c>
      <c r="AB26" s="87">
        <f t="shared" si="4"/>
        <v>4.7067510857985731E-2</v>
      </c>
      <c r="AC26" s="87">
        <f t="shared" si="4"/>
        <v>1.0362787035546658E-2</v>
      </c>
      <c r="AD26" s="87">
        <f t="shared" si="4"/>
        <v>0</v>
      </c>
      <c r="AE26" s="90">
        <f t="shared" si="6"/>
        <v>4.5493737210467082E-3</v>
      </c>
      <c r="AF26" s="89"/>
    </row>
    <row r="27" spans="1:32" ht="15.5" x14ac:dyDescent="0.35">
      <c r="A27" s="82">
        <v>39804</v>
      </c>
      <c r="B27" s="83">
        <v>5520.8</v>
      </c>
      <c r="C27" s="84">
        <v>1532.3</v>
      </c>
      <c r="D27" s="61">
        <v>145.5</v>
      </c>
      <c r="E27" s="61">
        <v>12</v>
      </c>
      <c r="F27" s="61">
        <v>12.1</v>
      </c>
      <c r="G27" s="61">
        <v>18.899999999999999</v>
      </c>
      <c r="H27" s="61">
        <v>73.599999999999994</v>
      </c>
      <c r="I27" s="61">
        <v>5.5</v>
      </c>
      <c r="J27" s="61">
        <v>21.6</v>
      </c>
      <c r="K27" s="61">
        <v>18.399999999999999</v>
      </c>
      <c r="L27" s="61">
        <v>28.3</v>
      </c>
      <c r="M27" s="61">
        <v>31.9</v>
      </c>
      <c r="N27" s="61">
        <v>19.8</v>
      </c>
      <c r="O27" s="85">
        <v>12</v>
      </c>
      <c r="P27" s="105"/>
      <c r="Q27" s="87">
        <f t="shared" si="5"/>
        <v>-1.7114695508531601E-2</v>
      </c>
      <c r="R27" s="87">
        <f t="shared" si="4"/>
        <v>-2.0668564983594026E-2</v>
      </c>
      <c r="S27" s="87">
        <f t="shared" si="4"/>
        <v>-6.1311670967473128E-2</v>
      </c>
      <c r="T27" s="87">
        <f t="shared" si="4"/>
        <v>-5.6695343676545176E-2</v>
      </c>
      <c r="U27" s="87">
        <f t="shared" si="4"/>
        <v>-4.8396540861850211E-2</v>
      </c>
      <c r="V27" s="87">
        <f t="shared" si="4"/>
        <v>-1.0526412986987617E-2</v>
      </c>
      <c r="W27" s="87">
        <f t="shared" si="4"/>
        <v>-1.7508864788343341E-2</v>
      </c>
      <c r="X27" s="87">
        <f t="shared" si="4"/>
        <v>-7.0204258673248573E-2</v>
      </c>
      <c r="Y27" s="87">
        <f t="shared" si="4"/>
        <v>-6.7139302837628562E-2</v>
      </c>
      <c r="Z27" s="87">
        <f t="shared" si="4"/>
        <v>-6.8267971129002986E-2</v>
      </c>
      <c r="AA27" s="87">
        <f t="shared" si="4"/>
        <v>2.142939145589921E-2</v>
      </c>
      <c r="AB27" s="87">
        <f t="shared" si="4"/>
        <v>-8.7011376989629685E-2</v>
      </c>
      <c r="AC27" s="87">
        <f t="shared" si="4"/>
        <v>2.0408871631207252E-2</v>
      </c>
      <c r="AD27" s="87">
        <f t="shared" si="4"/>
        <v>-4.8790164169431945E-2</v>
      </c>
      <c r="AE27" s="90">
        <f t="shared" si="6"/>
        <v>-4.3914055226172984E-2</v>
      </c>
      <c r="AF27" s="89"/>
    </row>
    <row r="28" spans="1:32" ht="15.5" x14ac:dyDescent="0.35">
      <c r="A28" s="82">
        <v>39805</v>
      </c>
      <c r="B28" s="83">
        <v>5468.3</v>
      </c>
      <c r="C28" s="84">
        <v>1521.5</v>
      </c>
      <c r="D28" s="61">
        <v>148.5</v>
      </c>
      <c r="E28" s="61">
        <v>12.3</v>
      </c>
      <c r="F28" s="61">
        <v>12.3</v>
      </c>
      <c r="G28" s="61">
        <v>19</v>
      </c>
      <c r="H28" s="61">
        <v>74</v>
      </c>
      <c r="I28" s="61">
        <v>5.5</v>
      </c>
      <c r="J28" s="61">
        <v>22.4</v>
      </c>
      <c r="K28" s="61">
        <v>18</v>
      </c>
      <c r="L28" s="61">
        <v>29.2</v>
      </c>
      <c r="M28" s="61">
        <v>31.1</v>
      </c>
      <c r="N28" s="61">
        <v>19.899999999999999</v>
      </c>
      <c r="O28" s="85">
        <v>11.8</v>
      </c>
      <c r="P28" s="105"/>
      <c r="Q28" s="87">
        <f t="shared" si="5"/>
        <v>-9.5549953004083147E-3</v>
      </c>
      <c r="R28" s="87">
        <f t="shared" si="4"/>
        <v>-7.073184247104721E-3</v>
      </c>
      <c r="S28" s="87">
        <f t="shared" si="4"/>
        <v>2.0408871631207033E-2</v>
      </c>
      <c r="T28" s="87">
        <f t="shared" si="4"/>
        <v>2.4692612590371633E-2</v>
      </c>
      <c r="U28" s="87">
        <f t="shared" si="4"/>
        <v>1.639380977567657E-2</v>
      </c>
      <c r="V28" s="87">
        <f t="shared" si="4"/>
        <v>5.2770571008438193E-3</v>
      </c>
      <c r="W28" s="87">
        <f t="shared" si="4"/>
        <v>5.4200674693393345E-3</v>
      </c>
      <c r="X28" s="87">
        <f t="shared" si="4"/>
        <v>0</v>
      </c>
      <c r="Y28" s="87">
        <f t="shared" si="4"/>
        <v>3.6367644170874791E-2</v>
      </c>
      <c r="Z28" s="87">
        <f t="shared" si="4"/>
        <v>-2.1978906718775115E-2</v>
      </c>
      <c r="AA28" s="87">
        <f t="shared" si="4"/>
        <v>3.1306904625044124E-2</v>
      </c>
      <c r="AB28" s="87">
        <f t="shared" si="4"/>
        <v>-2.5398190605610344E-2</v>
      </c>
      <c r="AC28" s="87">
        <f t="shared" si="4"/>
        <v>5.037794029957081E-3</v>
      </c>
      <c r="AD28" s="87">
        <f t="shared" si="4"/>
        <v>-1.6807118316381174E-2</v>
      </c>
      <c r="AE28" s="90">
        <f t="shared" si="6"/>
        <v>6.499565719972171E-3</v>
      </c>
      <c r="AF28" s="89"/>
    </row>
    <row r="29" spans="1:32" ht="15.5" x14ac:dyDescent="0.35">
      <c r="A29" s="82">
        <v>39806</v>
      </c>
      <c r="B29" s="83">
        <v>5487.3</v>
      </c>
      <c r="C29" s="84">
        <v>1524.9</v>
      </c>
      <c r="D29" s="61">
        <v>149.30000000000001</v>
      </c>
      <c r="E29" s="61">
        <v>12.3</v>
      </c>
      <c r="F29" s="61">
        <v>12.1</v>
      </c>
      <c r="G29" s="61">
        <v>19.100000000000001</v>
      </c>
      <c r="H29" s="61">
        <v>75.3</v>
      </c>
      <c r="I29" s="61">
        <v>5.5</v>
      </c>
      <c r="J29" s="61">
        <v>22.1</v>
      </c>
      <c r="K29" s="61">
        <v>18</v>
      </c>
      <c r="L29" s="61">
        <v>29.1</v>
      </c>
      <c r="M29" s="61">
        <v>31.2</v>
      </c>
      <c r="N29" s="61">
        <v>19.8</v>
      </c>
      <c r="O29" s="85">
        <v>11.9</v>
      </c>
      <c r="P29" s="105"/>
      <c r="Q29" s="87">
        <f t="shared" si="5"/>
        <v>3.4685492440059648E-3</v>
      </c>
      <c r="R29" s="87">
        <f t="shared" ref="R29:AD46" si="7">+LN(C29/C28)</f>
        <v>2.232143783940856E-3</v>
      </c>
      <c r="S29" s="87">
        <f t="shared" si="7"/>
        <v>5.372746302390501E-3</v>
      </c>
      <c r="T29" s="87">
        <f t="shared" si="7"/>
        <v>0</v>
      </c>
      <c r="U29" s="87">
        <f t="shared" si="7"/>
        <v>-1.6393809775676497E-2</v>
      </c>
      <c r="V29" s="87">
        <f t="shared" si="7"/>
        <v>5.249355886143745E-3</v>
      </c>
      <c r="W29" s="87">
        <f t="shared" si="7"/>
        <v>1.7415041601678071E-2</v>
      </c>
      <c r="X29" s="87">
        <f t="shared" si="7"/>
        <v>0</v>
      </c>
      <c r="Y29" s="87">
        <f t="shared" si="7"/>
        <v>-1.3483350337286875E-2</v>
      </c>
      <c r="Z29" s="87">
        <f t="shared" si="7"/>
        <v>0</v>
      </c>
      <c r="AA29" s="87">
        <f t="shared" si="7"/>
        <v>-3.4305350967891368E-3</v>
      </c>
      <c r="AB29" s="87">
        <f t="shared" si="7"/>
        <v>3.2102756302481894E-3</v>
      </c>
      <c r="AC29" s="87">
        <f t="shared" si="7"/>
        <v>-5.0377940299570698E-3</v>
      </c>
      <c r="AD29" s="87">
        <f t="shared" si="7"/>
        <v>8.4388686458646035E-3</v>
      </c>
      <c r="AE29" s="90">
        <f t="shared" si="6"/>
        <v>-1.4198684148061102E-3</v>
      </c>
      <c r="AF29" s="89"/>
    </row>
    <row r="30" spans="1:32" ht="15.5" x14ac:dyDescent="0.35">
      <c r="A30" s="82">
        <v>39808</v>
      </c>
      <c r="B30" s="83">
        <v>5538.2</v>
      </c>
      <c r="C30" s="84">
        <v>1530.2</v>
      </c>
      <c r="D30" s="61">
        <v>149.30000000000001</v>
      </c>
      <c r="E30" s="61">
        <v>12.2</v>
      </c>
      <c r="F30" s="61">
        <v>12.2</v>
      </c>
      <c r="G30" s="61">
        <v>19.100000000000001</v>
      </c>
      <c r="H30" s="61">
        <v>76</v>
      </c>
      <c r="I30" s="61">
        <v>5.5</v>
      </c>
      <c r="J30" s="61">
        <v>22.2</v>
      </c>
      <c r="K30" s="61">
        <v>18</v>
      </c>
      <c r="L30" s="61">
        <v>28.8</v>
      </c>
      <c r="M30" s="61">
        <v>32.700000000000003</v>
      </c>
      <c r="N30" s="61">
        <v>20.2</v>
      </c>
      <c r="O30" s="85">
        <v>12.3</v>
      </c>
      <c r="P30" s="105"/>
      <c r="Q30" s="87">
        <f t="shared" si="5"/>
        <v>9.2332069494392953E-3</v>
      </c>
      <c r="R30" s="87">
        <f t="shared" si="7"/>
        <v>3.4696116767850222E-3</v>
      </c>
      <c r="S30" s="87">
        <f t="shared" si="7"/>
        <v>0</v>
      </c>
      <c r="T30" s="87">
        <f t="shared" si="7"/>
        <v>-8.1633106391610939E-3</v>
      </c>
      <c r="U30" s="87">
        <f t="shared" si="7"/>
        <v>8.2304991365154435E-3</v>
      </c>
      <c r="V30" s="87">
        <f t="shared" si="7"/>
        <v>0</v>
      </c>
      <c r="W30" s="87">
        <f t="shared" si="7"/>
        <v>9.2532054804831763E-3</v>
      </c>
      <c r="X30" s="87">
        <f t="shared" si="7"/>
        <v>0</v>
      </c>
      <c r="Y30" s="87">
        <f t="shared" si="7"/>
        <v>4.514680354526613E-3</v>
      </c>
      <c r="Z30" s="87">
        <f t="shared" si="7"/>
        <v>0</v>
      </c>
      <c r="AA30" s="87">
        <f t="shared" si="7"/>
        <v>-1.0362787035546659E-2</v>
      </c>
      <c r="AB30" s="87">
        <f t="shared" si="7"/>
        <v>4.6956983087771083E-2</v>
      </c>
      <c r="AC30" s="87">
        <f t="shared" si="7"/>
        <v>2.0000666706669435E-2</v>
      </c>
      <c r="AD30" s="87">
        <f t="shared" si="7"/>
        <v>3.306086226088821E-2</v>
      </c>
      <c r="AE30" s="90">
        <f t="shared" si="6"/>
        <v>7.4119208449733845E-3</v>
      </c>
      <c r="AF30" s="89"/>
    </row>
    <row r="31" spans="1:32" ht="15.5" x14ac:dyDescent="0.35">
      <c r="A31" s="82">
        <v>39811</v>
      </c>
      <c r="B31" s="83">
        <v>5534.6</v>
      </c>
      <c r="C31" s="84">
        <v>1510.3</v>
      </c>
      <c r="D31" s="61">
        <v>145.9</v>
      </c>
      <c r="E31" s="61">
        <v>11.5</v>
      </c>
      <c r="F31" s="61">
        <v>12.2</v>
      </c>
      <c r="G31" s="61">
        <v>18.600000000000001</v>
      </c>
      <c r="H31" s="61">
        <v>75.099999999999994</v>
      </c>
      <c r="I31" s="61">
        <v>5.3</v>
      </c>
      <c r="J31" s="61">
        <v>23.4</v>
      </c>
      <c r="K31" s="61">
        <v>17.7</v>
      </c>
      <c r="L31" s="61">
        <v>27.9</v>
      </c>
      <c r="M31" s="61">
        <v>31.6</v>
      </c>
      <c r="N31" s="61">
        <v>19.899999999999999</v>
      </c>
      <c r="O31" s="85">
        <v>12.1</v>
      </c>
      <c r="P31" s="105"/>
      <c r="Q31" s="87">
        <f t="shared" si="5"/>
        <v>-6.5024205744596279E-4</v>
      </c>
      <c r="R31" s="87">
        <f t="shared" si="7"/>
        <v>-1.3090139225455696E-2</v>
      </c>
      <c r="S31" s="87">
        <f t="shared" si="7"/>
        <v>-2.3036249016404827E-2</v>
      </c>
      <c r="T31" s="87">
        <f t="shared" si="7"/>
        <v>-5.908891637000644E-2</v>
      </c>
      <c r="U31" s="87">
        <f t="shared" si="7"/>
        <v>0</v>
      </c>
      <c r="V31" s="87">
        <f t="shared" si="7"/>
        <v>-2.6526754333428597E-2</v>
      </c>
      <c r="W31" s="87">
        <f t="shared" si="7"/>
        <v>-1.1912781516242112E-2</v>
      </c>
      <c r="X31" s="87">
        <f t="shared" si="7"/>
        <v>-3.7041271680349097E-2</v>
      </c>
      <c r="Y31" s="87">
        <f t="shared" si="7"/>
        <v>5.2643733485421881E-2</v>
      </c>
      <c r="Z31" s="87">
        <f t="shared" si="7"/>
        <v>-1.6807118316381289E-2</v>
      </c>
      <c r="AA31" s="87">
        <f t="shared" si="7"/>
        <v>-3.1748698314580416E-2</v>
      </c>
      <c r="AB31" s="87">
        <f t="shared" si="7"/>
        <v>-3.4217957310341378E-2</v>
      </c>
      <c r="AC31" s="87">
        <f t="shared" si="7"/>
        <v>-1.4962872676712377E-2</v>
      </c>
      <c r="AD31" s="87">
        <f t="shared" si="7"/>
        <v>-1.6393809775676497E-2</v>
      </c>
      <c r="AE31" s="90">
        <f t="shared" si="6"/>
        <v>-1.2660580408498667E-2</v>
      </c>
      <c r="AF31" s="89"/>
    </row>
    <row r="32" spans="1:32" ht="15.5" x14ac:dyDescent="0.35">
      <c r="A32" s="82">
        <v>39812</v>
      </c>
      <c r="B32" s="83">
        <v>5670</v>
      </c>
      <c r="C32" s="84">
        <v>1550.7</v>
      </c>
      <c r="D32" s="61">
        <v>149.5</v>
      </c>
      <c r="E32" s="61">
        <v>11.7</v>
      </c>
      <c r="F32" s="61">
        <v>12.1</v>
      </c>
      <c r="G32" s="61">
        <v>19</v>
      </c>
      <c r="H32" s="61">
        <v>76.400000000000006</v>
      </c>
      <c r="I32" s="61">
        <v>5.5</v>
      </c>
      <c r="J32" s="61">
        <v>23.8</v>
      </c>
      <c r="K32" s="61">
        <v>17.600000000000001</v>
      </c>
      <c r="L32" s="61">
        <v>28.7</v>
      </c>
      <c r="M32" s="61">
        <v>33</v>
      </c>
      <c r="N32" s="61">
        <v>20.8</v>
      </c>
      <c r="O32" s="85">
        <v>12.2</v>
      </c>
      <c r="P32" s="105"/>
      <c r="Q32" s="87">
        <f t="shared" si="5"/>
        <v>2.41698215798146E-2</v>
      </c>
      <c r="R32" s="87">
        <f t="shared" si="7"/>
        <v>2.6398135297807462E-2</v>
      </c>
      <c r="S32" s="87">
        <f t="shared" si="7"/>
        <v>2.4374937302001052E-2</v>
      </c>
      <c r="T32" s="87">
        <f t="shared" si="7"/>
        <v>1.7241806434505954E-2</v>
      </c>
      <c r="U32" s="87">
        <f t="shared" si="7"/>
        <v>-8.23049913651548E-3</v>
      </c>
      <c r="V32" s="87">
        <f t="shared" si="7"/>
        <v>2.1277398447284879E-2</v>
      </c>
      <c r="W32" s="87">
        <f t="shared" si="7"/>
        <v>1.7162137402385834E-2</v>
      </c>
      <c r="X32" s="87">
        <f t="shared" si="7"/>
        <v>3.7041271680349076E-2</v>
      </c>
      <c r="Y32" s="87">
        <f t="shared" si="7"/>
        <v>1.6949558313773424E-2</v>
      </c>
      <c r="Z32" s="87">
        <f t="shared" si="7"/>
        <v>-5.6657375356771959E-3</v>
      </c>
      <c r="AA32" s="87">
        <f t="shared" si="7"/>
        <v>2.8270433938255526E-2</v>
      </c>
      <c r="AB32" s="87">
        <f t="shared" si="7"/>
        <v>4.3350440873613817E-2</v>
      </c>
      <c r="AC32" s="87">
        <f t="shared" si="7"/>
        <v>4.4233254976825662E-2</v>
      </c>
      <c r="AD32" s="87">
        <f t="shared" si="7"/>
        <v>8.2304991365154435E-3</v>
      </c>
      <c r="AE32" s="90">
        <f t="shared" si="6"/>
        <v>1.369589630001093E-2</v>
      </c>
      <c r="AF32" s="89"/>
    </row>
    <row r="33" spans="1:32" ht="15.5" x14ac:dyDescent="0.35">
      <c r="A33" s="82">
        <v>39813</v>
      </c>
      <c r="B33" s="83">
        <v>5757</v>
      </c>
      <c r="C33" s="84">
        <v>1577</v>
      </c>
      <c r="D33" s="61">
        <v>151.5</v>
      </c>
      <c r="E33" s="61">
        <v>11.9</v>
      </c>
      <c r="F33" s="61">
        <v>12.2</v>
      </c>
      <c r="G33" s="61">
        <v>19.3</v>
      </c>
      <c r="H33" s="61">
        <v>76.599999999999994</v>
      </c>
      <c r="I33" s="61">
        <v>5.6</v>
      </c>
      <c r="J33" s="61">
        <v>24.2</v>
      </c>
      <c r="K33" s="61">
        <v>18.600000000000001</v>
      </c>
      <c r="L33" s="61">
        <v>29.7</v>
      </c>
      <c r="M33" s="61">
        <v>33.5</v>
      </c>
      <c r="N33" s="61">
        <v>21.9</v>
      </c>
      <c r="O33" s="85">
        <v>12.4</v>
      </c>
      <c r="P33" s="105"/>
      <c r="Q33" s="87">
        <f t="shared" si="5"/>
        <v>1.5227387954011939E-2</v>
      </c>
      <c r="R33" s="87">
        <f t="shared" si="7"/>
        <v>1.6817866092935112E-2</v>
      </c>
      <c r="S33" s="87">
        <f t="shared" si="7"/>
        <v>1.3289232118682706E-2</v>
      </c>
      <c r="T33" s="87">
        <f t="shared" si="7"/>
        <v>1.6949558313773424E-2</v>
      </c>
      <c r="U33" s="87">
        <f t="shared" si="7"/>
        <v>8.2304991365154435E-3</v>
      </c>
      <c r="V33" s="87">
        <f t="shared" si="7"/>
        <v>1.5666116744399456E-2</v>
      </c>
      <c r="W33" s="87">
        <f t="shared" si="7"/>
        <v>2.614380574070672E-3</v>
      </c>
      <c r="X33" s="87">
        <f t="shared" si="7"/>
        <v>1.8018505502678212E-2</v>
      </c>
      <c r="Y33" s="87">
        <f t="shared" si="7"/>
        <v>1.6667052485211643E-2</v>
      </c>
      <c r="Z33" s="87">
        <f t="shared" si="7"/>
        <v>5.5262678675049519E-2</v>
      </c>
      <c r="AA33" s="87">
        <f t="shared" si="7"/>
        <v>3.4249923043078445E-2</v>
      </c>
      <c r="AB33" s="87">
        <f t="shared" si="7"/>
        <v>1.5037877364540502E-2</v>
      </c>
      <c r="AC33" s="87">
        <f t="shared" si="7"/>
        <v>5.1533650115182669E-2</v>
      </c>
      <c r="AD33" s="87">
        <f t="shared" si="7"/>
        <v>1.6260520871780326E-2</v>
      </c>
      <c r="AE33" s="90">
        <f t="shared" si="6"/>
        <v>1.3261601143943305E-2</v>
      </c>
      <c r="AF33" s="89"/>
    </row>
    <row r="34" spans="1:32" ht="15.5" x14ac:dyDescent="0.35">
      <c r="A34" s="82">
        <v>39815</v>
      </c>
      <c r="B34" s="83">
        <v>5915.7</v>
      </c>
      <c r="C34" s="84">
        <v>1632.2</v>
      </c>
      <c r="D34" s="61">
        <v>152.9</v>
      </c>
      <c r="E34" s="61">
        <v>12.1</v>
      </c>
      <c r="F34" s="61">
        <v>12.2</v>
      </c>
      <c r="G34" s="61">
        <v>19.399999999999999</v>
      </c>
      <c r="H34" s="61">
        <v>76.2</v>
      </c>
      <c r="I34" s="61">
        <v>6</v>
      </c>
      <c r="J34" s="61">
        <v>24.6</v>
      </c>
      <c r="K34" s="61">
        <v>19.2</v>
      </c>
      <c r="L34" s="61">
        <v>30.3</v>
      </c>
      <c r="M34" s="61">
        <v>33.4</v>
      </c>
      <c r="N34" s="61">
        <v>22.2</v>
      </c>
      <c r="O34" s="85">
        <v>12.6</v>
      </c>
      <c r="P34" s="105"/>
      <c r="Q34" s="87">
        <f t="shared" si="5"/>
        <v>2.7193327929940218E-2</v>
      </c>
      <c r="R34" s="87">
        <f t="shared" si="7"/>
        <v>3.4404490072104138E-2</v>
      </c>
      <c r="S34" s="87">
        <f t="shared" si="7"/>
        <v>9.1984879855927185E-3</v>
      </c>
      <c r="T34" s="87">
        <f t="shared" si="7"/>
        <v>1.6667052485211643E-2</v>
      </c>
      <c r="U34" s="87">
        <f t="shared" si="7"/>
        <v>0</v>
      </c>
      <c r="V34" s="87">
        <f t="shared" si="7"/>
        <v>5.1679701584423773E-3</v>
      </c>
      <c r="W34" s="87">
        <f t="shared" si="7"/>
        <v>-5.2356140539449401E-3</v>
      </c>
      <c r="X34" s="87">
        <f t="shared" si="7"/>
        <v>6.8992871486951421E-2</v>
      </c>
      <c r="Y34" s="87">
        <f t="shared" si="7"/>
        <v>1.639380977567657E-2</v>
      </c>
      <c r="Z34" s="87">
        <f t="shared" si="7"/>
        <v>3.174869831458027E-2</v>
      </c>
      <c r="AA34" s="87">
        <f t="shared" si="7"/>
        <v>2.000066670666965E-2</v>
      </c>
      <c r="AB34" s="87">
        <f t="shared" si="7"/>
        <v>-2.9895388483660483E-3</v>
      </c>
      <c r="AC34" s="87">
        <f t="shared" si="7"/>
        <v>1.3605652055778678E-2</v>
      </c>
      <c r="AD34" s="87">
        <f t="shared" si="7"/>
        <v>1.600034134644112E-2</v>
      </c>
      <c r="AE34" s="90">
        <f t="shared" si="6"/>
        <v>1.4950496953078382E-2</v>
      </c>
      <c r="AF34" s="89"/>
    </row>
    <row r="35" spans="1:32" ht="15.5" x14ac:dyDescent="0.35">
      <c r="A35" s="82">
        <v>39818</v>
      </c>
      <c r="B35" s="83">
        <v>5908.4</v>
      </c>
      <c r="C35" s="84">
        <v>1628</v>
      </c>
      <c r="D35" s="61">
        <v>157.69999999999999</v>
      </c>
      <c r="E35" s="61">
        <v>12.4</v>
      </c>
      <c r="F35" s="61">
        <v>13.2</v>
      </c>
      <c r="G35" s="61">
        <v>20.100000000000001</v>
      </c>
      <c r="H35" s="61">
        <v>76.599999999999994</v>
      </c>
      <c r="I35" s="61">
        <v>6.3</v>
      </c>
      <c r="J35" s="61">
        <v>25.8</v>
      </c>
      <c r="K35" s="61">
        <v>20.3</v>
      </c>
      <c r="L35" s="61">
        <v>30.3</v>
      </c>
      <c r="M35" s="61">
        <v>34.799999999999997</v>
      </c>
      <c r="N35" s="61">
        <v>22.5</v>
      </c>
      <c r="O35" s="85">
        <v>13.1</v>
      </c>
      <c r="P35" s="105"/>
      <c r="Q35" s="87">
        <f t="shared" si="5"/>
        <v>-1.2347664393052408E-3</v>
      </c>
      <c r="R35" s="87">
        <f t="shared" si="7"/>
        <v>-2.5765304726569041E-3</v>
      </c>
      <c r="S35" s="87">
        <f t="shared" si="7"/>
        <v>3.0910381033976069E-2</v>
      </c>
      <c r="T35" s="87">
        <f t="shared" si="7"/>
        <v>2.4491020008295911E-2</v>
      </c>
      <c r="U35" s="87">
        <f t="shared" si="7"/>
        <v>7.8780877853114384E-2</v>
      </c>
      <c r="V35" s="87">
        <f t="shared" si="7"/>
        <v>3.5446748995747707E-2</v>
      </c>
      <c r="W35" s="87">
        <f t="shared" si="7"/>
        <v>5.2356140539449427E-3</v>
      </c>
      <c r="X35" s="87">
        <f t="shared" si="7"/>
        <v>4.8790164169432049E-2</v>
      </c>
      <c r="Y35" s="87">
        <f t="shared" si="7"/>
        <v>4.7628048989254664E-2</v>
      </c>
      <c r="Z35" s="87">
        <f t="shared" si="7"/>
        <v>5.5710607014005854E-2</v>
      </c>
      <c r="AA35" s="87">
        <f t="shared" si="7"/>
        <v>0</v>
      </c>
      <c r="AB35" s="87">
        <f t="shared" si="7"/>
        <v>4.1061486797773918E-2</v>
      </c>
      <c r="AC35" s="87">
        <f t="shared" si="7"/>
        <v>1.3423020332140771E-2</v>
      </c>
      <c r="AD35" s="87">
        <f t="shared" si="7"/>
        <v>3.8915416249673623E-2</v>
      </c>
      <c r="AE35" s="90">
        <f t="shared" si="6"/>
        <v>3.5533765815801151E-2</v>
      </c>
      <c r="AF35" s="89"/>
    </row>
    <row r="36" spans="1:32" ht="15.5" x14ac:dyDescent="0.35">
      <c r="A36" s="82">
        <v>39819</v>
      </c>
      <c r="B36" s="83">
        <v>5968.8</v>
      </c>
      <c r="C36" s="84">
        <v>1652.4</v>
      </c>
      <c r="D36" s="61">
        <v>163.4</v>
      </c>
      <c r="E36" s="61">
        <v>12.9</v>
      </c>
      <c r="F36" s="61">
        <v>13.2</v>
      </c>
      <c r="G36" s="61">
        <v>20.6</v>
      </c>
      <c r="H36" s="61">
        <v>77</v>
      </c>
      <c r="I36" s="61">
        <v>6.9</v>
      </c>
      <c r="J36" s="61">
        <v>26.9</v>
      </c>
      <c r="K36" s="61">
        <v>21</v>
      </c>
      <c r="L36" s="61">
        <v>29.6</v>
      </c>
      <c r="M36" s="61">
        <v>35.299999999999997</v>
      </c>
      <c r="N36" s="61">
        <v>23.3</v>
      </c>
      <c r="O36" s="85">
        <v>13</v>
      </c>
      <c r="P36" s="105"/>
      <c r="Q36" s="87">
        <f t="shared" si="5"/>
        <v>1.0170834990859919E-2</v>
      </c>
      <c r="R36" s="87">
        <f t="shared" si="7"/>
        <v>1.4876508960123993E-2</v>
      </c>
      <c r="S36" s="87">
        <f t="shared" si="7"/>
        <v>3.5506688456909817E-2</v>
      </c>
      <c r="T36" s="87">
        <f t="shared" si="7"/>
        <v>3.9530838756635218E-2</v>
      </c>
      <c r="U36" s="87">
        <f t="shared" si="7"/>
        <v>0</v>
      </c>
      <c r="V36" s="87">
        <f t="shared" si="7"/>
        <v>2.4571260730505327E-2</v>
      </c>
      <c r="W36" s="87">
        <f t="shared" si="7"/>
        <v>5.2083451071382597E-3</v>
      </c>
      <c r="X36" s="87">
        <f t="shared" si="7"/>
        <v>9.0971778205726786E-2</v>
      </c>
      <c r="Y36" s="87">
        <f t="shared" si="7"/>
        <v>4.1751794680221541E-2</v>
      </c>
      <c r="Z36" s="87">
        <f t="shared" si="7"/>
        <v>3.3901551675681416E-2</v>
      </c>
      <c r="AA36" s="87">
        <f t="shared" si="7"/>
        <v>-2.3373351185308713E-2</v>
      </c>
      <c r="AB36" s="87">
        <f t="shared" si="7"/>
        <v>1.4265577158822439E-2</v>
      </c>
      <c r="AC36" s="87">
        <f t="shared" si="7"/>
        <v>3.4938051361280441E-2</v>
      </c>
      <c r="AD36" s="87">
        <f t="shared" si="7"/>
        <v>-7.6628727455691371E-3</v>
      </c>
      <c r="AE36" s="90">
        <f>+SUMPRODUCT(Q36:AD36,$Q$8:$AD$8)</f>
        <v>1.3922894258329988E-2</v>
      </c>
      <c r="AF36" s="89"/>
    </row>
    <row r="37" spans="1:32" ht="15.5" x14ac:dyDescent="0.35">
      <c r="A37" s="82">
        <v>39820</v>
      </c>
      <c r="B37" s="83">
        <v>5799</v>
      </c>
      <c r="C37" s="84">
        <v>1599.1</v>
      </c>
      <c r="D37" s="61">
        <v>159.5</v>
      </c>
      <c r="E37" s="61">
        <v>12.5</v>
      </c>
      <c r="F37" s="61">
        <v>12.9</v>
      </c>
      <c r="G37" s="61">
        <v>19.5</v>
      </c>
      <c r="H37" s="61">
        <v>75.8</v>
      </c>
      <c r="I37" s="61">
        <v>7.2</v>
      </c>
      <c r="J37" s="61">
        <v>27.3</v>
      </c>
      <c r="K37" s="61">
        <v>21.1</v>
      </c>
      <c r="L37" s="61">
        <v>29.2</v>
      </c>
      <c r="M37" s="61">
        <v>31.9</v>
      </c>
      <c r="N37" s="61">
        <v>23.8</v>
      </c>
      <c r="O37" s="85">
        <v>12.6</v>
      </c>
      <c r="P37" s="105"/>
      <c r="Q37" s="87">
        <f t="shared" si="5"/>
        <v>-2.8860413280864031E-2</v>
      </c>
      <c r="R37" s="87">
        <f t="shared" si="7"/>
        <v>-3.2787805557213133E-2</v>
      </c>
      <c r="S37" s="87">
        <f t="shared" si="7"/>
        <v>-2.4157260201003321E-2</v>
      </c>
      <c r="T37" s="87">
        <f t="shared" si="7"/>
        <v>-3.1498667059371051E-2</v>
      </c>
      <c r="U37" s="87">
        <f t="shared" si="7"/>
        <v>-2.2989518224698604E-2</v>
      </c>
      <c r="V37" s="87">
        <f t="shared" si="7"/>
        <v>-5.4876610225834371E-2</v>
      </c>
      <c r="W37" s="87">
        <f t="shared" si="7"/>
        <v>-1.570712920535788E-2</v>
      </c>
      <c r="X37" s="87">
        <f t="shared" si="7"/>
        <v>4.2559614418795903E-2</v>
      </c>
      <c r="Y37" s="87">
        <f t="shared" si="7"/>
        <v>1.4760415583120674E-2</v>
      </c>
      <c r="Z37" s="87">
        <f t="shared" si="7"/>
        <v>4.7506027585977988E-3</v>
      </c>
      <c r="AA37" s="87">
        <f t="shared" si="7"/>
        <v>-1.3605652055778709E-2</v>
      </c>
      <c r="AB37" s="87">
        <f t="shared" si="7"/>
        <v>-0.10127695414845211</v>
      </c>
      <c r="AC37" s="87">
        <f t="shared" si="7"/>
        <v>2.1232220105774118E-2</v>
      </c>
      <c r="AD37" s="87">
        <f t="shared" si="7"/>
        <v>-3.1252543504104426E-2</v>
      </c>
      <c r="AE37" s="90">
        <f t="shared" si="6"/>
        <v>-2.7272769611139426E-2</v>
      </c>
      <c r="AF37" s="89"/>
    </row>
    <row r="38" spans="1:32" ht="15.5" x14ac:dyDescent="0.35">
      <c r="A38" s="82">
        <v>39821</v>
      </c>
      <c r="B38" s="83">
        <v>5837.1</v>
      </c>
      <c r="C38" s="84">
        <v>1617</v>
      </c>
      <c r="D38" s="61">
        <v>158.80000000000001</v>
      </c>
      <c r="E38" s="61">
        <v>12.3</v>
      </c>
      <c r="F38" s="61">
        <v>12.9</v>
      </c>
      <c r="G38" s="61">
        <v>19.600000000000001</v>
      </c>
      <c r="H38" s="61">
        <v>75.3</v>
      </c>
      <c r="I38" s="61">
        <v>7.4</v>
      </c>
      <c r="J38" s="61">
        <v>26.4</v>
      </c>
      <c r="K38" s="61">
        <v>20.9</v>
      </c>
      <c r="L38" s="61">
        <v>29</v>
      </c>
      <c r="M38" s="61">
        <v>32.1</v>
      </c>
      <c r="N38" s="61">
        <v>23.7</v>
      </c>
      <c r="O38" s="85">
        <v>12.4</v>
      </c>
      <c r="P38" s="105"/>
      <c r="Q38" s="87">
        <f t="shared" si="5"/>
        <v>6.5486092689995504E-3</v>
      </c>
      <c r="R38" s="87">
        <f t="shared" si="7"/>
        <v>1.1131609611710586E-2</v>
      </c>
      <c r="S38" s="87">
        <f t="shared" si="7"/>
        <v>-4.3983734118638925E-3</v>
      </c>
      <c r="T38" s="87">
        <f t="shared" si="7"/>
        <v>-1.6129381929883529E-2</v>
      </c>
      <c r="U38" s="87">
        <f t="shared" si="7"/>
        <v>0</v>
      </c>
      <c r="V38" s="87">
        <f t="shared" si="7"/>
        <v>5.1151006667704089E-3</v>
      </c>
      <c r="W38" s="87">
        <f t="shared" si="7"/>
        <v>-6.6181578424781172E-3</v>
      </c>
      <c r="X38" s="87">
        <f t="shared" si="7"/>
        <v>2.7398974188114562E-2</v>
      </c>
      <c r="Y38" s="87">
        <f t="shared" si="7"/>
        <v>-3.3522692038643678E-2</v>
      </c>
      <c r="Z38" s="87">
        <f t="shared" si="7"/>
        <v>-9.5238815112555896E-3</v>
      </c>
      <c r="AA38" s="87">
        <f t="shared" si="7"/>
        <v>-6.8728792877620643E-3</v>
      </c>
      <c r="AB38" s="87">
        <f t="shared" si="7"/>
        <v>6.2500203451713258E-3</v>
      </c>
      <c r="AC38" s="87">
        <f t="shared" si="7"/>
        <v>-4.2105325363436053E-3</v>
      </c>
      <c r="AD38" s="87">
        <f t="shared" si="7"/>
        <v>-1.6000341346441075E-2</v>
      </c>
      <c r="AE38" s="90">
        <f t="shared" si="6"/>
        <v>1.0418301868495581E-4</v>
      </c>
      <c r="AF38" s="89"/>
    </row>
    <row r="39" spans="1:32" ht="15.5" x14ac:dyDescent="0.35">
      <c r="A39" s="82">
        <v>39822</v>
      </c>
      <c r="B39" s="83">
        <v>5702.4</v>
      </c>
      <c r="C39" s="84">
        <v>1571.6</v>
      </c>
      <c r="D39" s="61">
        <v>156.9</v>
      </c>
      <c r="E39" s="61">
        <v>12.9</v>
      </c>
      <c r="F39" s="61">
        <v>12.9</v>
      </c>
      <c r="G39" s="61">
        <v>19.399999999999999</v>
      </c>
      <c r="H39" s="61">
        <v>84.6</v>
      </c>
      <c r="I39" s="61">
        <v>7.5</v>
      </c>
      <c r="J39" s="61">
        <v>27.5</v>
      </c>
      <c r="K39" s="61">
        <v>20.9</v>
      </c>
      <c r="L39" s="61">
        <v>28.5</v>
      </c>
      <c r="M39" s="61">
        <v>31.6</v>
      </c>
      <c r="N39" s="61">
        <v>23.3</v>
      </c>
      <c r="O39" s="85">
        <v>12.3</v>
      </c>
      <c r="P39" s="105"/>
      <c r="Q39" s="87">
        <f t="shared" si="5"/>
        <v>-2.3346959309004749E-2</v>
      </c>
      <c r="R39" s="87">
        <f t="shared" si="7"/>
        <v>-2.8478371892802216E-2</v>
      </c>
      <c r="S39" s="87">
        <f t="shared" si="7"/>
        <v>-1.2036889074048426E-2</v>
      </c>
      <c r="T39" s="87">
        <f t="shared" si="7"/>
        <v>4.7628048989254664E-2</v>
      </c>
      <c r="U39" s="87">
        <f t="shared" si="7"/>
        <v>0</v>
      </c>
      <c r="V39" s="87">
        <f t="shared" si="7"/>
        <v>-1.0256500167189221E-2</v>
      </c>
      <c r="W39" s="87">
        <f t="shared" si="7"/>
        <v>0.1164541318063296</v>
      </c>
      <c r="X39" s="87">
        <f t="shared" si="7"/>
        <v>1.342302033214055E-2</v>
      </c>
      <c r="Y39" s="87">
        <f t="shared" si="7"/>
        <v>4.08219945202552E-2</v>
      </c>
      <c r="Z39" s="87">
        <f t="shared" si="7"/>
        <v>0</v>
      </c>
      <c r="AA39" s="87">
        <f t="shared" si="7"/>
        <v>-1.7391742711869222E-2</v>
      </c>
      <c r="AB39" s="87">
        <f t="shared" si="7"/>
        <v>-1.5698909543103753E-2</v>
      </c>
      <c r="AC39" s="87">
        <f t="shared" si="7"/>
        <v>-1.7021687569430524E-2</v>
      </c>
      <c r="AD39" s="87">
        <f t="shared" si="7"/>
        <v>-8.0972102326193618E-3</v>
      </c>
      <c r="AE39" s="90">
        <f t="shared" si="6"/>
        <v>-1.3044522751555611E-2</v>
      </c>
      <c r="AF39" s="89"/>
    </row>
    <row r="40" spans="1:32" ht="15.5" x14ac:dyDescent="0.35">
      <c r="A40" s="82">
        <v>39825</v>
      </c>
      <c r="B40" s="83">
        <v>5551</v>
      </c>
      <c r="C40" s="84">
        <v>1538.8</v>
      </c>
      <c r="D40" s="61">
        <v>155.30000000000001</v>
      </c>
      <c r="E40" s="61">
        <v>12.1</v>
      </c>
      <c r="F40" s="61">
        <v>12.5</v>
      </c>
      <c r="G40" s="61">
        <v>19.3</v>
      </c>
      <c r="H40" s="61">
        <v>84.6</v>
      </c>
      <c r="I40" s="61">
        <v>6.5</v>
      </c>
      <c r="J40" s="61">
        <v>24.4</v>
      </c>
      <c r="K40" s="61">
        <v>20.399999999999999</v>
      </c>
      <c r="L40" s="61">
        <v>28.3</v>
      </c>
      <c r="M40" s="61">
        <v>28.5</v>
      </c>
      <c r="N40" s="61">
        <v>22.8</v>
      </c>
      <c r="O40" s="85">
        <v>12.2</v>
      </c>
      <c r="P40" s="105"/>
      <c r="Q40" s="87">
        <f t="shared" si="5"/>
        <v>-2.6909047146274092E-2</v>
      </c>
      <c r="R40" s="87">
        <f t="shared" si="7"/>
        <v>-2.1091316806164568E-2</v>
      </c>
      <c r="S40" s="87">
        <f t="shared" si="7"/>
        <v>-1.0249929584345431E-2</v>
      </c>
      <c r="T40" s="87">
        <f t="shared" si="7"/>
        <v>-6.4021858764931022E-2</v>
      </c>
      <c r="U40" s="87">
        <f t="shared" si="7"/>
        <v>-3.1498667059371051E-2</v>
      </c>
      <c r="V40" s="87">
        <f t="shared" si="7"/>
        <v>-5.1679701584424493E-3</v>
      </c>
      <c r="W40" s="87">
        <f t="shared" si="7"/>
        <v>0</v>
      </c>
      <c r="X40" s="87">
        <f t="shared" si="7"/>
        <v>-0.1431008436406733</v>
      </c>
      <c r="Y40" s="87">
        <f t="shared" si="7"/>
        <v>-0.11960287237336949</v>
      </c>
      <c r="Z40" s="87">
        <f t="shared" si="7"/>
        <v>-2.4214258120594627E-2</v>
      </c>
      <c r="AA40" s="87">
        <f t="shared" si="7"/>
        <v>-7.0422826254129232E-3</v>
      </c>
      <c r="AB40" s="87">
        <f t="shared" si="7"/>
        <v>-0.10325303331826167</v>
      </c>
      <c r="AC40" s="87">
        <f t="shared" si="7"/>
        <v>-2.1692824611259785E-2</v>
      </c>
      <c r="AD40" s="87">
        <f t="shared" si="7"/>
        <v>-8.1633106391610939E-3</v>
      </c>
      <c r="AE40" s="90">
        <f t="shared" si="6"/>
        <v>-1.9321835407265911E-2</v>
      </c>
      <c r="AF40" s="89"/>
    </row>
    <row r="41" spans="1:32" ht="15.5" x14ac:dyDescent="0.35">
      <c r="A41" s="82">
        <v>39826</v>
      </c>
      <c r="B41" s="83">
        <v>5538.8</v>
      </c>
      <c r="C41" s="84">
        <v>1546.5</v>
      </c>
      <c r="D41" s="61">
        <v>155.4</v>
      </c>
      <c r="E41" s="61">
        <v>11.8</v>
      </c>
      <c r="F41" s="61">
        <v>12.3</v>
      </c>
      <c r="G41" s="61">
        <v>19.5</v>
      </c>
      <c r="H41" s="61">
        <v>78.8</v>
      </c>
      <c r="I41" s="61">
        <v>6</v>
      </c>
      <c r="J41" s="61">
        <v>24</v>
      </c>
      <c r="K41" s="61">
        <v>19.8</v>
      </c>
      <c r="L41" s="61">
        <v>28.2</v>
      </c>
      <c r="M41" s="61">
        <v>28.7</v>
      </c>
      <c r="N41" s="61">
        <v>22</v>
      </c>
      <c r="O41" s="85">
        <v>12.3</v>
      </c>
      <c r="P41" s="105"/>
      <c r="Q41" s="87">
        <f t="shared" si="5"/>
        <v>-2.2002209096024235E-3</v>
      </c>
      <c r="R41" s="87">
        <f t="shared" si="7"/>
        <v>4.9914212469843256E-3</v>
      </c>
      <c r="S41" s="87">
        <f t="shared" si="7"/>
        <v>6.4370777890569199E-4</v>
      </c>
      <c r="T41" s="87">
        <f t="shared" si="7"/>
        <v>-2.5105921131076243E-2</v>
      </c>
      <c r="U41" s="87">
        <f t="shared" si="7"/>
        <v>-1.6129381929883529E-2</v>
      </c>
      <c r="V41" s="87">
        <f t="shared" si="7"/>
        <v>1.0309369658861287E-2</v>
      </c>
      <c r="W41" s="87">
        <f t="shared" si="7"/>
        <v>-7.1021269748344135E-2</v>
      </c>
      <c r="X41" s="87">
        <f t="shared" si="7"/>
        <v>-8.004270767353637E-2</v>
      </c>
      <c r="Y41" s="87">
        <f t="shared" si="7"/>
        <v>-1.6529301951210471E-2</v>
      </c>
      <c r="Z41" s="87">
        <f t="shared" si="7"/>
        <v>-2.9852963149681045E-2</v>
      </c>
      <c r="AA41" s="87">
        <f t="shared" si="7"/>
        <v>-3.5398267051240623E-3</v>
      </c>
      <c r="AB41" s="87">
        <f t="shared" si="7"/>
        <v>6.9930354909706043E-3</v>
      </c>
      <c r="AC41" s="87">
        <f t="shared" si="7"/>
        <v>-3.5718082602079232E-2</v>
      </c>
      <c r="AD41" s="87">
        <f t="shared" si="7"/>
        <v>8.1633106391610557E-3</v>
      </c>
      <c r="AE41" s="90">
        <f t="shared" si="6"/>
        <v>-1.9351562877139188E-3</v>
      </c>
      <c r="AF41" s="89"/>
    </row>
    <row r="42" spans="1:32" ht="15.5" x14ac:dyDescent="0.35">
      <c r="A42" s="82">
        <v>39827</v>
      </c>
      <c r="B42" s="83">
        <v>5328.7</v>
      </c>
      <c r="C42" s="84">
        <v>1489.6</v>
      </c>
      <c r="D42" s="61">
        <v>149</v>
      </c>
      <c r="E42" s="61">
        <v>11.8</v>
      </c>
      <c r="F42" s="61">
        <v>12.1</v>
      </c>
      <c r="G42" s="61">
        <v>19</v>
      </c>
      <c r="H42" s="61">
        <v>79.5</v>
      </c>
      <c r="I42" s="61">
        <v>5.5</v>
      </c>
      <c r="J42" s="61">
        <v>23.2</v>
      </c>
      <c r="K42" s="61">
        <v>18.7</v>
      </c>
      <c r="L42" s="61">
        <v>27.4</v>
      </c>
      <c r="M42" s="61">
        <v>26.7</v>
      </c>
      <c r="N42" s="61">
        <v>20.8</v>
      </c>
      <c r="O42" s="85">
        <v>11.5</v>
      </c>
      <c r="P42" s="105"/>
      <c r="Q42" s="87">
        <f t="shared" si="5"/>
        <v>-3.8670564808730323E-2</v>
      </c>
      <c r="R42" s="87">
        <f t="shared" si="7"/>
        <v>-3.7486685602321747E-2</v>
      </c>
      <c r="S42" s="87">
        <f t="shared" si="7"/>
        <v>-4.2056131988087914E-2</v>
      </c>
      <c r="T42" s="87">
        <f t="shared" si="7"/>
        <v>0</v>
      </c>
      <c r="U42" s="87">
        <f t="shared" si="7"/>
        <v>-1.6393809775676497E-2</v>
      </c>
      <c r="V42" s="87">
        <f t="shared" si="7"/>
        <v>-2.5975486403260677E-2</v>
      </c>
      <c r="W42" s="87">
        <f t="shared" si="7"/>
        <v>8.8440247964527742E-3</v>
      </c>
      <c r="X42" s="87">
        <f t="shared" si="7"/>
        <v>-8.701137698962981E-2</v>
      </c>
      <c r="Y42" s="87">
        <f t="shared" si="7"/>
        <v>-3.3901551675681339E-2</v>
      </c>
      <c r="Z42" s="87">
        <f t="shared" si="7"/>
        <v>-5.7158413839948637E-2</v>
      </c>
      <c r="AA42" s="87">
        <f t="shared" si="7"/>
        <v>-2.8778964550043404E-2</v>
      </c>
      <c r="AB42" s="87">
        <f t="shared" si="7"/>
        <v>-7.2233557359371564E-2</v>
      </c>
      <c r="AC42" s="87">
        <f t="shared" si="7"/>
        <v>-5.6089466651043585E-2</v>
      </c>
      <c r="AD42" s="87">
        <f t="shared" si="7"/>
        <v>-6.7252227009167456E-2</v>
      </c>
      <c r="AE42" s="90">
        <f t="shared" si="6"/>
        <v>-3.6411131690231545E-2</v>
      </c>
      <c r="AF42" s="89"/>
    </row>
    <row r="43" spans="1:32" ht="15.5" x14ac:dyDescent="0.35">
      <c r="A43" s="82">
        <v>39828</v>
      </c>
      <c r="B43" s="83">
        <v>5347.8</v>
      </c>
      <c r="C43" s="84">
        <v>1511.8</v>
      </c>
      <c r="D43" s="61">
        <v>143.5</v>
      </c>
      <c r="E43" s="61">
        <v>11.2</v>
      </c>
      <c r="F43" s="61">
        <v>11.4</v>
      </c>
      <c r="G43" s="61">
        <v>18.5</v>
      </c>
      <c r="H43" s="61">
        <v>80.8</v>
      </c>
      <c r="I43" s="61">
        <v>5.7</v>
      </c>
      <c r="J43" s="61">
        <v>21.6</v>
      </c>
      <c r="K43" s="61">
        <v>18.3</v>
      </c>
      <c r="L43" s="61">
        <v>27.4</v>
      </c>
      <c r="M43" s="61">
        <v>26.3</v>
      </c>
      <c r="N43" s="61">
        <v>20.3</v>
      </c>
      <c r="O43" s="85">
        <v>11.4</v>
      </c>
      <c r="P43" s="105"/>
      <c r="Q43" s="87">
        <f t="shared" si="5"/>
        <v>3.5779553928980139E-3</v>
      </c>
      <c r="R43" s="87">
        <f t="shared" si="7"/>
        <v>1.4793366335273834E-2</v>
      </c>
      <c r="S43" s="87">
        <f t="shared" si="7"/>
        <v>-3.7611270745783347E-2</v>
      </c>
      <c r="T43" s="87">
        <f t="shared" si="7"/>
        <v>-5.2185753170570309E-2</v>
      </c>
      <c r="U43" s="87">
        <f t="shared" si="7"/>
        <v>-5.9592097202245543E-2</v>
      </c>
      <c r="V43" s="87">
        <f t="shared" si="7"/>
        <v>-2.6668247082161294E-2</v>
      </c>
      <c r="W43" s="87">
        <f t="shared" si="7"/>
        <v>1.6219943866763474E-2</v>
      </c>
      <c r="X43" s="87">
        <f t="shared" si="7"/>
        <v>3.5718082602079246E-2</v>
      </c>
      <c r="Y43" s="87">
        <f t="shared" si="7"/>
        <v>-7.1458963982144866E-2</v>
      </c>
      <c r="Z43" s="87">
        <f t="shared" si="7"/>
        <v>-2.1622464013165657E-2</v>
      </c>
      <c r="AA43" s="87">
        <f t="shared" si="7"/>
        <v>0</v>
      </c>
      <c r="AB43" s="87">
        <f t="shared" si="7"/>
        <v>-1.5094626222484904E-2</v>
      </c>
      <c r="AC43" s="87">
        <f t="shared" si="7"/>
        <v>-2.4332100659530669E-2</v>
      </c>
      <c r="AD43" s="87">
        <f t="shared" si="7"/>
        <v>-8.7336799687545534E-3</v>
      </c>
      <c r="AE43" s="90">
        <f t="shared" si="6"/>
        <v>-2.4678212587858871E-2</v>
      </c>
      <c r="AF43" s="89"/>
    </row>
    <row r="44" spans="1:32" ht="15.5" x14ac:dyDescent="0.35">
      <c r="A44" s="82">
        <v>39829</v>
      </c>
      <c r="B44" s="83">
        <v>5387.5</v>
      </c>
      <c r="C44" s="84">
        <v>1529.3</v>
      </c>
      <c r="D44" s="61">
        <v>148</v>
      </c>
      <c r="E44" s="61">
        <v>11.4</v>
      </c>
      <c r="F44" s="61">
        <v>11.5</v>
      </c>
      <c r="G44" s="61">
        <v>19.2</v>
      </c>
      <c r="H44" s="61">
        <v>86.6</v>
      </c>
      <c r="I44" s="61">
        <v>6.1</v>
      </c>
      <c r="J44" s="61">
        <v>23.1</v>
      </c>
      <c r="K44" s="61">
        <v>18.7</v>
      </c>
      <c r="L44" s="61">
        <v>27.4</v>
      </c>
      <c r="M44" s="61">
        <v>27.5</v>
      </c>
      <c r="N44" s="61">
        <v>20.7</v>
      </c>
      <c r="O44" s="85">
        <v>11.5</v>
      </c>
      <c r="P44" s="105"/>
      <c r="Q44" s="87">
        <f t="shared" si="5"/>
        <v>7.3961940472765178E-3</v>
      </c>
      <c r="R44" s="87">
        <f t="shared" si="7"/>
        <v>1.1509120496001222E-2</v>
      </c>
      <c r="S44" s="87">
        <f t="shared" si="7"/>
        <v>3.0877238564439229E-2</v>
      </c>
      <c r="T44" s="87">
        <f t="shared" si="7"/>
        <v>1.7699577099401075E-2</v>
      </c>
      <c r="U44" s="87">
        <f t="shared" si="7"/>
        <v>8.7336799687546315E-3</v>
      </c>
      <c r="V44" s="87">
        <f t="shared" si="7"/>
        <v>3.7139546949456786E-2</v>
      </c>
      <c r="W44" s="87">
        <f t="shared" si="7"/>
        <v>6.932285004133984E-2</v>
      </c>
      <c r="X44" s="87">
        <f t="shared" si="7"/>
        <v>6.7822596338761088E-2</v>
      </c>
      <c r="Y44" s="87">
        <f t="shared" si="7"/>
        <v>6.713930283762852E-2</v>
      </c>
      <c r="Z44" s="87">
        <f t="shared" si="7"/>
        <v>2.1622464013165709E-2</v>
      </c>
      <c r="AA44" s="87">
        <f t="shared" si="7"/>
        <v>0</v>
      </c>
      <c r="AB44" s="87">
        <f t="shared" si="7"/>
        <v>4.4617065488806694E-2</v>
      </c>
      <c r="AC44" s="87">
        <f t="shared" si="7"/>
        <v>1.9512814223581719E-2</v>
      </c>
      <c r="AD44" s="87">
        <f t="shared" si="7"/>
        <v>8.7336799687546315E-3</v>
      </c>
      <c r="AE44" s="90">
        <f t="shared" si="6"/>
        <v>1.6048458132241036E-2</v>
      </c>
      <c r="AF44" s="89"/>
    </row>
    <row r="45" spans="1:32" ht="15.5" x14ac:dyDescent="0.35">
      <c r="A45" s="82">
        <v>39833</v>
      </c>
      <c r="B45" s="83">
        <v>5058.1000000000004</v>
      </c>
      <c r="C45" s="84">
        <v>1440.9</v>
      </c>
      <c r="D45" s="61">
        <v>141.5</v>
      </c>
      <c r="E45" s="61">
        <v>11</v>
      </c>
      <c r="F45" s="61">
        <v>11.2</v>
      </c>
      <c r="G45" s="61">
        <v>18.399999999999999</v>
      </c>
      <c r="H45" s="61">
        <v>86.3</v>
      </c>
      <c r="I45" s="61">
        <v>5.7</v>
      </c>
      <c r="J45" s="61">
        <v>22.3</v>
      </c>
      <c r="K45" s="61">
        <v>17.2</v>
      </c>
      <c r="L45" s="61">
        <v>27.8</v>
      </c>
      <c r="M45" s="61">
        <v>23.8</v>
      </c>
      <c r="N45" s="61">
        <v>20.100000000000001</v>
      </c>
      <c r="O45" s="85">
        <v>11</v>
      </c>
      <c r="P45" s="105"/>
      <c r="Q45" s="87">
        <f t="shared" si="5"/>
        <v>-6.3090536717189616E-2</v>
      </c>
      <c r="R45" s="87">
        <f t="shared" si="7"/>
        <v>-5.9542196015189175E-2</v>
      </c>
      <c r="S45" s="87">
        <f t="shared" si="7"/>
        <v>-4.49125566808228E-2</v>
      </c>
      <c r="T45" s="87">
        <f t="shared" si="7"/>
        <v>-3.5718082602079232E-2</v>
      </c>
      <c r="U45" s="87">
        <f t="shared" si="7"/>
        <v>-2.6433257068155597E-2</v>
      </c>
      <c r="V45" s="87">
        <f t="shared" si="7"/>
        <v>-4.2559614418796007E-2</v>
      </c>
      <c r="W45" s="87">
        <f t="shared" si="7"/>
        <v>-3.4702174790072174E-3</v>
      </c>
      <c r="X45" s="87">
        <f t="shared" si="7"/>
        <v>-6.782259633876106E-2</v>
      </c>
      <c r="Y45" s="87">
        <f t="shared" si="7"/>
        <v>-3.5245939061674829E-2</v>
      </c>
      <c r="Z45" s="87">
        <f t="shared" si="7"/>
        <v>-8.3614140041133572E-2</v>
      </c>
      <c r="AA45" s="87">
        <f t="shared" si="7"/>
        <v>1.4493007302566824E-2</v>
      </c>
      <c r="AB45" s="87">
        <f t="shared" si="7"/>
        <v>-0.14450042399509658</v>
      </c>
      <c r="AC45" s="87">
        <f t="shared" si="7"/>
        <v>-2.9413885206293226E-2</v>
      </c>
      <c r="AD45" s="87">
        <f t="shared" si="7"/>
        <v>-4.445176257083381E-2</v>
      </c>
      <c r="AE45" s="90">
        <f t="shared" si="6"/>
        <v>-4.3957809396828529E-2</v>
      </c>
      <c r="AF45" s="89"/>
    </row>
    <row r="46" spans="1:32" ht="15.5" x14ac:dyDescent="0.35">
      <c r="A46" s="82">
        <v>39834</v>
      </c>
      <c r="B46" s="83">
        <v>5274</v>
      </c>
      <c r="C46" s="84">
        <v>1507.1</v>
      </c>
      <c r="D46" s="61">
        <v>144.30000000000001</v>
      </c>
      <c r="E46" s="61">
        <v>11.1</v>
      </c>
      <c r="F46" s="61">
        <v>11.3</v>
      </c>
      <c r="G46" s="61">
        <v>18.5</v>
      </c>
      <c r="H46" s="61">
        <v>83</v>
      </c>
      <c r="I46" s="61">
        <v>5.6</v>
      </c>
      <c r="J46" s="61">
        <v>22.2</v>
      </c>
      <c r="K46" s="61">
        <v>17.100000000000001</v>
      </c>
      <c r="L46" s="61">
        <v>26.9</v>
      </c>
      <c r="M46" s="61">
        <v>24.5</v>
      </c>
      <c r="N46" s="61">
        <v>19.8</v>
      </c>
      <c r="O46" s="85">
        <v>10.9</v>
      </c>
      <c r="P46" s="105"/>
      <c r="Q46" s="87">
        <f t="shared" si="5"/>
        <v>4.1798169218418273E-2</v>
      </c>
      <c r="R46" s="87">
        <f t="shared" si="7"/>
        <v>4.491935608674217E-2</v>
      </c>
      <c r="S46" s="87">
        <f t="shared" ref="S46:AD67" si="8">+LN(D46/D45)</f>
        <v>1.9594748696532879E-2</v>
      </c>
      <c r="T46" s="87">
        <f t="shared" si="8"/>
        <v>9.0498355199178562E-3</v>
      </c>
      <c r="U46" s="87">
        <f t="shared" si="8"/>
        <v>8.8889474172462145E-3</v>
      </c>
      <c r="V46" s="87">
        <f t="shared" si="8"/>
        <v>5.4200674693393345E-3</v>
      </c>
      <c r="W46" s="87">
        <f t="shared" si="8"/>
        <v>-3.8988990292784263E-2</v>
      </c>
      <c r="X46" s="87">
        <f t="shared" si="8"/>
        <v>-1.7699577099400975E-2</v>
      </c>
      <c r="Y46" s="87">
        <f t="shared" si="8"/>
        <v>-4.4943895878393264E-3</v>
      </c>
      <c r="Z46" s="87">
        <f t="shared" si="8"/>
        <v>-5.8309203107930986E-3</v>
      </c>
      <c r="AA46" s="87">
        <f t="shared" si="8"/>
        <v>-3.2909734088797979E-2</v>
      </c>
      <c r="AB46" s="87">
        <f t="shared" si="8"/>
        <v>2.8987536873252187E-2</v>
      </c>
      <c r="AC46" s="87">
        <f t="shared" si="8"/>
        <v>-1.5037877364540559E-2</v>
      </c>
      <c r="AD46" s="87">
        <f t="shared" si="8"/>
        <v>-9.1324835632724741E-3</v>
      </c>
      <c r="AE46" s="90">
        <f t="shared" si="6"/>
        <v>2.0632811781849697E-2</v>
      </c>
      <c r="AF46" s="89"/>
    </row>
    <row r="47" spans="1:32" ht="15.5" x14ac:dyDescent="0.35">
      <c r="A47" s="82">
        <v>39835</v>
      </c>
      <c r="B47" s="83">
        <v>5171.7</v>
      </c>
      <c r="C47" s="84">
        <v>1465.5</v>
      </c>
      <c r="D47" s="61">
        <v>147.69999999999999</v>
      </c>
      <c r="E47" s="61">
        <v>10.9</v>
      </c>
      <c r="F47" s="61">
        <v>12.3</v>
      </c>
      <c r="G47" s="61">
        <v>17.100000000000001</v>
      </c>
      <c r="H47" s="61">
        <v>85.6</v>
      </c>
      <c r="I47" s="61">
        <v>5.7</v>
      </c>
      <c r="J47" s="61">
        <v>22</v>
      </c>
      <c r="K47" s="61">
        <v>17.399999999999999</v>
      </c>
      <c r="L47" s="61">
        <v>26.9</v>
      </c>
      <c r="M47" s="61">
        <v>24.5</v>
      </c>
      <c r="N47" s="61">
        <v>20.3</v>
      </c>
      <c r="O47" s="85">
        <v>11</v>
      </c>
      <c r="P47" s="105"/>
      <c r="Q47" s="87">
        <f t="shared" si="5"/>
        <v>-1.9587633344189365E-2</v>
      </c>
      <c r="R47" s="87">
        <f t="shared" ref="R47:X104" si="9">+LN(C47/C46)</f>
        <v>-2.7990793274683474E-2</v>
      </c>
      <c r="S47" s="87">
        <f t="shared" si="8"/>
        <v>2.3288723757508678E-2</v>
      </c>
      <c r="T47" s="87">
        <f t="shared" si="8"/>
        <v>-1.818231908319036E-2</v>
      </c>
      <c r="U47" s="87">
        <f t="shared" si="8"/>
        <v>8.4796536660076846E-2</v>
      </c>
      <c r="V47" s="87">
        <f t="shared" si="8"/>
        <v>-7.8692268575664859E-2</v>
      </c>
      <c r="W47" s="87">
        <f t="shared" si="8"/>
        <v>3.0844675351098354E-2</v>
      </c>
      <c r="X47" s="87">
        <f t="shared" si="8"/>
        <v>1.7699577099401075E-2</v>
      </c>
      <c r="Y47" s="87">
        <f t="shared" si="8"/>
        <v>-9.0498355199179273E-3</v>
      </c>
      <c r="Z47" s="87">
        <f t="shared" si="8"/>
        <v>1.739174271186902E-2</v>
      </c>
      <c r="AA47" s="87">
        <f t="shared" si="8"/>
        <v>0</v>
      </c>
      <c r="AB47" s="87">
        <f t="shared" si="8"/>
        <v>0</v>
      </c>
      <c r="AC47" s="87">
        <f t="shared" si="8"/>
        <v>2.4938948347252146E-2</v>
      </c>
      <c r="AD47" s="87">
        <f t="shared" si="8"/>
        <v>9.1324835632724723E-3</v>
      </c>
      <c r="AE47" s="90">
        <f t="shared" si="6"/>
        <v>2.3784576975588563E-2</v>
      </c>
      <c r="AF47" s="89"/>
    </row>
    <row r="48" spans="1:32" ht="15.5" x14ac:dyDescent="0.35">
      <c r="A48" s="82">
        <v>39836</v>
      </c>
      <c r="B48" s="83">
        <v>5195.5</v>
      </c>
      <c r="C48" s="84">
        <v>1477.3</v>
      </c>
      <c r="D48" s="61">
        <v>152.30000000000001</v>
      </c>
      <c r="E48" s="61">
        <v>10.9</v>
      </c>
      <c r="F48" s="61">
        <v>12.4</v>
      </c>
      <c r="G48" s="61">
        <v>16.8</v>
      </c>
      <c r="H48" s="61">
        <v>82.3</v>
      </c>
      <c r="I48" s="61">
        <v>5.8</v>
      </c>
      <c r="J48" s="61">
        <v>23</v>
      </c>
      <c r="K48" s="61">
        <v>17.2</v>
      </c>
      <c r="L48" s="61">
        <v>27.5</v>
      </c>
      <c r="M48" s="61">
        <v>23.4</v>
      </c>
      <c r="N48" s="61">
        <v>19.899999999999999</v>
      </c>
      <c r="O48" s="85">
        <v>11</v>
      </c>
      <c r="P48" s="105"/>
      <c r="Q48" s="87">
        <f t="shared" si="5"/>
        <v>4.5914117236587121E-3</v>
      </c>
      <c r="R48" s="87">
        <f t="shared" si="9"/>
        <v>8.0196161766152019E-3</v>
      </c>
      <c r="S48" s="87">
        <f t="shared" si="8"/>
        <v>3.0669070363782167E-2</v>
      </c>
      <c r="T48" s="87">
        <f t="shared" si="8"/>
        <v>0</v>
      </c>
      <c r="U48" s="87">
        <f t="shared" si="8"/>
        <v>8.0972102326193028E-3</v>
      </c>
      <c r="V48" s="87">
        <f t="shared" si="8"/>
        <v>-1.7699577099400975E-2</v>
      </c>
      <c r="W48" s="87">
        <f t="shared" si="8"/>
        <v>-3.9314175464672252E-2</v>
      </c>
      <c r="X48" s="87">
        <f t="shared" si="8"/>
        <v>1.739174271186902E-2</v>
      </c>
      <c r="Y48" s="87">
        <f t="shared" si="8"/>
        <v>4.4451762570833796E-2</v>
      </c>
      <c r="Z48" s="87">
        <f t="shared" si="8"/>
        <v>-1.1560822401075971E-2</v>
      </c>
      <c r="AA48" s="87">
        <f t="shared" si="8"/>
        <v>2.2059718064732257E-2</v>
      </c>
      <c r="AB48" s="87">
        <f t="shared" si="8"/>
        <v>-4.5937095187025656E-2</v>
      </c>
      <c r="AC48" s="87">
        <f t="shared" si="8"/>
        <v>-1.9901154317295024E-2</v>
      </c>
      <c r="AD48" s="87">
        <f t="shared" si="8"/>
        <v>0</v>
      </c>
      <c r="AE48" s="90">
        <f t="shared" si="6"/>
        <v>1.3697985248781314E-2</v>
      </c>
      <c r="AF48" s="89"/>
    </row>
    <row r="49" spans="1:32" ht="15.5" x14ac:dyDescent="0.35">
      <c r="A49" s="82">
        <v>39839</v>
      </c>
      <c r="B49" s="83">
        <v>5244.6</v>
      </c>
      <c r="C49" s="84">
        <v>1489.5</v>
      </c>
      <c r="D49" s="61">
        <v>160.4</v>
      </c>
      <c r="E49" s="61">
        <v>10.8</v>
      </c>
      <c r="F49" s="61">
        <v>12.6</v>
      </c>
      <c r="G49" s="61">
        <v>17.2</v>
      </c>
      <c r="H49" s="61">
        <v>78.7</v>
      </c>
      <c r="I49" s="61">
        <v>5.9</v>
      </c>
      <c r="J49" s="61">
        <v>25.1</v>
      </c>
      <c r="K49" s="61">
        <v>17.7</v>
      </c>
      <c r="L49" s="61">
        <v>27.5</v>
      </c>
      <c r="M49" s="61">
        <v>25.8</v>
      </c>
      <c r="N49" s="61">
        <v>20.6</v>
      </c>
      <c r="O49" s="85">
        <v>11.3</v>
      </c>
      <c r="P49" s="105"/>
      <c r="Q49" s="87">
        <f t="shared" si="5"/>
        <v>9.4061095217959825E-3</v>
      </c>
      <c r="R49" s="87">
        <f t="shared" si="9"/>
        <v>8.2243958257745674E-3</v>
      </c>
      <c r="S49" s="87">
        <f t="shared" si="8"/>
        <v>5.1818435531297911E-2</v>
      </c>
      <c r="T49" s="87">
        <f t="shared" si="8"/>
        <v>-9.2166551049239522E-3</v>
      </c>
      <c r="U49" s="87">
        <f t="shared" si="8"/>
        <v>1.600034134644112E-2</v>
      </c>
      <c r="V49" s="87">
        <f t="shared" si="8"/>
        <v>2.3530497410194036E-2</v>
      </c>
      <c r="W49" s="87">
        <f t="shared" si="8"/>
        <v>-4.4727952259666498E-2</v>
      </c>
      <c r="X49" s="87">
        <f t="shared" si="8"/>
        <v>1.7094433359300255E-2</v>
      </c>
      <c r="Y49" s="87">
        <f t="shared" si="8"/>
        <v>8.737363020858864E-2</v>
      </c>
      <c r="Z49" s="87">
        <f t="shared" si="8"/>
        <v>2.8655255760376148E-2</v>
      </c>
      <c r="AA49" s="87">
        <f t="shared" si="8"/>
        <v>0</v>
      </c>
      <c r="AB49" s="87">
        <f t="shared" si="8"/>
        <v>9.7638469563916072E-2</v>
      </c>
      <c r="AC49" s="87">
        <f t="shared" si="8"/>
        <v>3.4571344065088723E-2</v>
      </c>
      <c r="AD49" s="87">
        <f t="shared" si="8"/>
        <v>2.6907452919924402E-2</v>
      </c>
      <c r="AE49" s="90">
        <f t="shared" si="6"/>
        <v>2.5481513855020281E-2</v>
      </c>
      <c r="AF49" s="89"/>
    </row>
    <row r="50" spans="1:32" ht="15.5" x14ac:dyDescent="0.35">
      <c r="A50" s="82">
        <v>39840</v>
      </c>
      <c r="B50" s="83">
        <v>5315.4</v>
      </c>
      <c r="C50" s="84">
        <v>1504.9</v>
      </c>
      <c r="D50" s="61">
        <v>162.30000000000001</v>
      </c>
      <c r="E50" s="61">
        <v>10.9</v>
      </c>
      <c r="F50" s="61">
        <v>12.8</v>
      </c>
      <c r="G50" s="61">
        <v>17.399999999999999</v>
      </c>
      <c r="H50" s="61">
        <v>78.7</v>
      </c>
      <c r="I50" s="61">
        <v>6.1</v>
      </c>
      <c r="J50" s="61">
        <v>25.1</v>
      </c>
      <c r="K50" s="61">
        <v>17.399999999999999</v>
      </c>
      <c r="L50" s="61">
        <v>27.9</v>
      </c>
      <c r="M50" s="61">
        <v>26.3</v>
      </c>
      <c r="N50" s="61">
        <v>21.3</v>
      </c>
      <c r="O50" s="85">
        <v>11.2</v>
      </c>
      <c r="P50" s="105"/>
      <c r="Q50" s="87">
        <f t="shared" si="5"/>
        <v>1.3409291831544344E-2</v>
      </c>
      <c r="R50" s="87">
        <f t="shared" si="9"/>
        <v>1.0285957639336049E-2</v>
      </c>
      <c r="S50" s="87">
        <f t="shared" si="8"/>
        <v>1.1775779088131419E-2</v>
      </c>
      <c r="T50" s="87">
        <f t="shared" si="8"/>
        <v>9.2166551049240476E-3</v>
      </c>
      <c r="U50" s="87">
        <f t="shared" si="8"/>
        <v>1.5748356968139331E-2</v>
      </c>
      <c r="V50" s="87">
        <f t="shared" si="8"/>
        <v>1.1560822401076006E-2</v>
      </c>
      <c r="W50" s="87">
        <f t="shared" si="8"/>
        <v>0</v>
      </c>
      <c r="X50" s="87">
        <f t="shared" si="8"/>
        <v>3.3336420267591711E-2</v>
      </c>
      <c r="Y50" s="87">
        <f t="shared" si="8"/>
        <v>0</v>
      </c>
      <c r="Z50" s="87">
        <f t="shared" si="8"/>
        <v>-1.7094433359300183E-2</v>
      </c>
      <c r="AA50" s="87">
        <f t="shared" si="8"/>
        <v>1.4440684154794209E-2</v>
      </c>
      <c r="AB50" s="87">
        <f t="shared" si="8"/>
        <v>1.9194447256147159E-2</v>
      </c>
      <c r="AC50" s="87">
        <f t="shared" si="8"/>
        <v>3.3415996919844017E-2</v>
      </c>
      <c r="AD50" s="87">
        <f t="shared" si="8"/>
        <v>-8.888947417246152E-3</v>
      </c>
      <c r="AE50" s="90">
        <f t="shared" si="6"/>
        <v>9.9533606856014312E-3</v>
      </c>
      <c r="AF50" s="89"/>
    </row>
    <row r="51" spans="1:32" ht="15.5" x14ac:dyDescent="0.35">
      <c r="A51" s="82">
        <v>39841</v>
      </c>
      <c r="B51" s="83">
        <v>5501.5</v>
      </c>
      <c r="C51" s="84">
        <v>1558.3</v>
      </c>
      <c r="D51" s="61">
        <v>168.3</v>
      </c>
      <c r="E51" s="61">
        <v>11.9</v>
      </c>
      <c r="F51" s="61">
        <v>13.1</v>
      </c>
      <c r="G51" s="61">
        <v>17.8</v>
      </c>
      <c r="H51" s="61">
        <v>77.900000000000006</v>
      </c>
      <c r="I51" s="61">
        <v>6.2</v>
      </c>
      <c r="J51" s="61">
        <v>25.8</v>
      </c>
      <c r="K51" s="61">
        <v>18.399999999999999</v>
      </c>
      <c r="L51" s="61">
        <v>28.4</v>
      </c>
      <c r="M51" s="61">
        <v>29.6</v>
      </c>
      <c r="N51" s="61">
        <v>22.8</v>
      </c>
      <c r="O51" s="85">
        <v>11.6</v>
      </c>
      <c r="P51" s="105"/>
      <c r="Q51" s="87">
        <f t="shared" si="5"/>
        <v>3.4412514663925711E-2</v>
      </c>
      <c r="R51" s="87">
        <f t="shared" si="9"/>
        <v>3.4869032658895766E-2</v>
      </c>
      <c r="S51" s="87">
        <f t="shared" si="8"/>
        <v>3.6301626676214817E-2</v>
      </c>
      <c r="T51" s="87">
        <f t="shared" si="8"/>
        <v>8.7775610882385585E-2</v>
      </c>
      <c r="U51" s="87">
        <f t="shared" si="8"/>
        <v>2.3167059281534379E-2</v>
      </c>
      <c r="V51" s="87">
        <f t="shared" si="8"/>
        <v>2.272825107755631E-2</v>
      </c>
      <c r="W51" s="87">
        <f t="shared" si="8"/>
        <v>-1.021720254665494E-2</v>
      </c>
      <c r="X51" s="87">
        <f t="shared" si="8"/>
        <v>1.6260520871780326E-2</v>
      </c>
      <c r="Y51" s="87">
        <f t="shared" si="8"/>
        <v>2.7506645789833514E-2</v>
      </c>
      <c r="Z51" s="87">
        <f t="shared" si="8"/>
        <v>5.5880458394456628E-2</v>
      </c>
      <c r="AA51" s="87">
        <f t="shared" si="8"/>
        <v>1.7762456339840468E-2</v>
      </c>
      <c r="AB51" s="87">
        <f t="shared" si="8"/>
        <v>0.11820542214629588</v>
      </c>
      <c r="AC51" s="87">
        <f t="shared" si="8"/>
        <v>6.8053463245015572E-2</v>
      </c>
      <c r="AD51" s="87">
        <f t="shared" si="8"/>
        <v>3.5091319811270193E-2</v>
      </c>
      <c r="AE51" s="90">
        <f t="shared" si="6"/>
        <v>3.1969414024009872E-2</v>
      </c>
      <c r="AF51" s="89"/>
    </row>
    <row r="52" spans="1:32" ht="15.5" x14ac:dyDescent="0.35">
      <c r="A52" s="82">
        <v>39842</v>
      </c>
      <c r="B52" s="83">
        <v>5300.9</v>
      </c>
      <c r="C52" s="84">
        <v>1507.8</v>
      </c>
      <c r="D52" s="61">
        <v>170.2</v>
      </c>
      <c r="E52" s="61">
        <v>11.7</v>
      </c>
      <c r="F52" s="61">
        <v>13.2</v>
      </c>
      <c r="G52" s="61">
        <v>17.600000000000001</v>
      </c>
      <c r="H52" s="61">
        <v>80.3</v>
      </c>
      <c r="I52" s="61">
        <v>6.3</v>
      </c>
      <c r="J52" s="61">
        <v>25.6</v>
      </c>
      <c r="K52" s="61">
        <v>17.8</v>
      </c>
      <c r="L52" s="61">
        <v>28.4</v>
      </c>
      <c r="M52" s="61">
        <v>29.9</v>
      </c>
      <c r="N52" s="61">
        <v>21.3</v>
      </c>
      <c r="O52" s="85">
        <v>11.5</v>
      </c>
      <c r="P52" s="105"/>
      <c r="Q52" s="87">
        <f t="shared" si="5"/>
        <v>-3.7144164865309817E-2</v>
      </c>
      <c r="R52" s="87">
        <f t="shared" si="9"/>
        <v>-3.2943848673967345E-2</v>
      </c>
      <c r="S52" s="87">
        <f t="shared" si="8"/>
        <v>1.1226114942513238E-2</v>
      </c>
      <c r="T52" s="87">
        <f t="shared" si="8"/>
        <v>-1.694955831377332E-2</v>
      </c>
      <c r="U52" s="87">
        <f t="shared" si="8"/>
        <v>7.6045993852192125E-3</v>
      </c>
      <c r="V52" s="87">
        <f t="shared" si="8"/>
        <v>-1.1299555253933282E-2</v>
      </c>
      <c r="W52" s="87">
        <f t="shared" si="8"/>
        <v>3.0343668076013266E-2</v>
      </c>
      <c r="X52" s="87">
        <f t="shared" si="8"/>
        <v>1.600034134644112E-2</v>
      </c>
      <c r="Y52" s="87">
        <f t="shared" si="8"/>
        <v>-7.7821404420549628E-3</v>
      </c>
      <c r="Z52" s="87">
        <f t="shared" si="8"/>
        <v>-3.3152207316900391E-2</v>
      </c>
      <c r="AA52" s="87">
        <f t="shared" si="8"/>
        <v>0</v>
      </c>
      <c r="AB52" s="87">
        <f t="shared" si="8"/>
        <v>1.0084119066626008E-2</v>
      </c>
      <c r="AC52" s="87">
        <f t="shared" si="8"/>
        <v>-6.8053463245015641E-2</v>
      </c>
      <c r="AD52" s="87">
        <f t="shared" si="8"/>
        <v>-8.6580627431145415E-3</v>
      </c>
      <c r="AE52" s="90">
        <f t="shared" si="6"/>
        <v>-5.4661846955420127E-3</v>
      </c>
      <c r="AF52" s="89"/>
    </row>
    <row r="53" spans="1:32" ht="15.5" x14ac:dyDescent="0.35">
      <c r="A53" s="82">
        <v>39843</v>
      </c>
      <c r="B53" s="83">
        <v>5195.8</v>
      </c>
      <c r="C53" s="84">
        <v>1476.4</v>
      </c>
      <c r="D53" s="61">
        <v>168.2</v>
      </c>
      <c r="E53" s="61">
        <v>11.5</v>
      </c>
      <c r="F53" s="61">
        <v>12.9</v>
      </c>
      <c r="G53" s="61">
        <v>17.100000000000001</v>
      </c>
      <c r="H53" s="61">
        <v>80.900000000000006</v>
      </c>
      <c r="I53" s="61">
        <v>6.1</v>
      </c>
      <c r="J53" s="61">
        <v>24.7</v>
      </c>
      <c r="K53" s="61">
        <v>16.600000000000001</v>
      </c>
      <c r="L53" s="61">
        <v>28.3</v>
      </c>
      <c r="M53" s="61">
        <v>28.2</v>
      </c>
      <c r="N53" s="61">
        <v>20.3</v>
      </c>
      <c r="O53" s="85">
        <v>11.2</v>
      </c>
      <c r="P53" s="105"/>
      <c r="Q53" s="87">
        <f t="shared" si="5"/>
        <v>-2.0026010542006756E-2</v>
      </c>
      <c r="R53" s="87">
        <f t="shared" si="9"/>
        <v>-2.1044942621757868E-2</v>
      </c>
      <c r="S53" s="87">
        <f t="shared" si="8"/>
        <v>-1.1820468600426067E-2</v>
      </c>
      <c r="T53" s="87">
        <f t="shared" si="8"/>
        <v>-1.7241806434505992E-2</v>
      </c>
      <c r="U53" s="87">
        <f t="shared" si="8"/>
        <v>-2.2989518224698604E-2</v>
      </c>
      <c r="V53" s="87">
        <f t="shared" si="8"/>
        <v>-2.8820438535491971E-2</v>
      </c>
      <c r="W53" s="87">
        <f t="shared" si="8"/>
        <v>7.4442031117300462E-3</v>
      </c>
      <c r="X53" s="87">
        <f t="shared" si="8"/>
        <v>-3.2260862218221435E-2</v>
      </c>
      <c r="Y53" s="87">
        <f t="shared" si="8"/>
        <v>-3.5789107851585393E-2</v>
      </c>
      <c r="Z53" s="87">
        <f t="shared" si="8"/>
        <v>-6.979576193554185E-2</v>
      </c>
      <c r="AA53" s="87">
        <f t="shared" si="8"/>
        <v>-3.5273405179682992E-3</v>
      </c>
      <c r="AB53" s="87">
        <f t="shared" si="8"/>
        <v>-5.8536502452572796E-2</v>
      </c>
      <c r="AC53" s="87">
        <f t="shared" si="8"/>
        <v>-4.8086186667637795E-2</v>
      </c>
      <c r="AD53" s="87">
        <f t="shared" si="8"/>
        <v>-2.6433257068155597E-2</v>
      </c>
      <c r="AE53" s="90">
        <f t="shared" si="6"/>
        <v>-1.9555315729959867E-2</v>
      </c>
      <c r="AF53" s="89"/>
    </row>
    <row r="54" spans="1:32" ht="15.5" x14ac:dyDescent="0.35">
      <c r="A54" s="82">
        <v>39846</v>
      </c>
      <c r="B54" s="83">
        <v>5166.5</v>
      </c>
      <c r="C54" s="84">
        <v>1494.4</v>
      </c>
      <c r="D54" s="61">
        <v>166.2</v>
      </c>
      <c r="E54" s="61">
        <v>11.5</v>
      </c>
      <c r="F54" s="61">
        <v>12.7</v>
      </c>
      <c r="G54" s="61">
        <v>17</v>
      </c>
      <c r="H54" s="61">
        <v>81.5</v>
      </c>
      <c r="I54" s="61">
        <v>5.9</v>
      </c>
      <c r="J54" s="61">
        <v>24</v>
      </c>
      <c r="K54" s="61">
        <v>16.2</v>
      </c>
      <c r="L54" s="61">
        <v>28</v>
      </c>
      <c r="M54" s="61">
        <v>27.7</v>
      </c>
      <c r="N54" s="61">
        <v>19.899999999999999</v>
      </c>
      <c r="O54" s="85">
        <v>11</v>
      </c>
      <c r="P54" s="105"/>
      <c r="Q54" s="87">
        <f t="shared" si="5"/>
        <v>-5.655130248241211E-3</v>
      </c>
      <c r="R54" s="87">
        <f t="shared" si="9"/>
        <v>1.2118096318734771E-2</v>
      </c>
      <c r="S54" s="87">
        <f t="shared" si="8"/>
        <v>-1.1961865117499824E-2</v>
      </c>
      <c r="T54" s="87">
        <f t="shared" si="8"/>
        <v>0</v>
      </c>
      <c r="U54" s="87">
        <f t="shared" si="8"/>
        <v>-1.562531790308087E-2</v>
      </c>
      <c r="V54" s="87">
        <f t="shared" si="8"/>
        <v>-5.8651194523981339E-3</v>
      </c>
      <c r="W54" s="87">
        <f t="shared" si="8"/>
        <v>7.3891961823708647E-3</v>
      </c>
      <c r="X54" s="87">
        <f t="shared" si="8"/>
        <v>-3.3336420267591718E-2</v>
      </c>
      <c r="Y54" s="87">
        <f t="shared" si="8"/>
        <v>-2.8749413285985823E-2</v>
      </c>
      <c r="Z54" s="87">
        <f t="shared" si="8"/>
        <v>-2.4391453124159239E-2</v>
      </c>
      <c r="AA54" s="87">
        <f t="shared" si="8"/>
        <v>-1.0657294473988093E-2</v>
      </c>
      <c r="AB54" s="87">
        <f t="shared" si="8"/>
        <v>-1.7889564750775057E-2</v>
      </c>
      <c r="AC54" s="87">
        <f t="shared" si="8"/>
        <v>-1.9901154317295024E-2</v>
      </c>
      <c r="AD54" s="87">
        <f t="shared" si="8"/>
        <v>-1.801850550267825E-2</v>
      </c>
      <c r="AE54" s="90">
        <f t="shared" si="6"/>
        <v>-6.527630525004274E-3</v>
      </c>
      <c r="AF54" s="89"/>
    </row>
    <row r="55" spans="1:32" ht="15.5" x14ac:dyDescent="0.35">
      <c r="A55" s="82">
        <v>39847</v>
      </c>
      <c r="B55" s="83">
        <v>5268</v>
      </c>
      <c r="C55" s="84">
        <v>1516.3</v>
      </c>
      <c r="D55" s="61">
        <v>167.1</v>
      </c>
      <c r="E55" s="61">
        <v>12</v>
      </c>
      <c r="F55" s="61">
        <v>12.9</v>
      </c>
      <c r="G55" s="61">
        <v>17.600000000000001</v>
      </c>
      <c r="H55" s="61">
        <v>84.8</v>
      </c>
      <c r="I55" s="61">
        <v>5.6</v>
      </c>
      <c r="J55" s="61">
        <v>24.4</v>
      </c>
      <c r="K55" s="61">
        <v>16</v>
      </c>
      <c r="L55" s="61">
        <v>28.9</v>
      </c>
      <c r="M55" s="61">
        <v>28.4</v>
      </c>
      <c r="N55" s="61">
        <v>20.100000000000001</v>
      </c>
      <c r="O55" s="85">
        <v>11</v>
      </c>
      <c r="P55" s="105"/>
      <c r="Q55" s="87">
        <f t="shared" si="5"/>
        <v>1.9455307208761954E-2</v>
      </c>
      <c r="R55" s="87">
        <f t="shared" si="9"/>
        <v>1.4548368332315376E-2</v>
      </c>
      <c r="S55" s="87">
        <f t="shared" si="8"/>
        <v>5.4005531800002888E-3</v>
      </c>
      <c r="T55" s="87">
        <f t="shared" si="8"/>
        <v>4.2559614418795903E-2</v>
      </c>
      <c r="U55" s="87">
        <f t="shared" si="8"/>
        <v>1.5625317903081033E-2</v>
      </c>
      <c r="V55" s="87">
        <f t="shared" si="8"/>
        <v>3.4685557987890109E-2</v>
      </c>
      <c r="W55" s="87">
        <f t="shared" si="8"/>
        <v>3.9692522551040353E-2</v>
      </c>
      <c r="X55" s="87">
        <f t="shared" si="8"/>
        <v>-5.2185753170570309E-2</v>
      </c>
      <c r="Y55" s="87">
        <f t="shared" si="8"/>
        <v>1.6529301951210506E-2</v>
      </c>
      <c r="Z55" s="87">
        <f t="shared" si="8"/>
        <v>-1.2422519998557096E-2</v>
      </c>
      <c r="AA55" s="87">
        <f t="shared" si="8"/>
        <v>3.1637084943182445E-2</v>
      </c>
      <c r="AB55" s="87">
        <f t="shared" si="8"/>
        <v>2.4956731973867458E-2</v>
      </c>
      <c r="AC55" s="87">
        <f t="shared" si="8"/>
        <v>1.0000083334583399E-2</v>
      </c>
      <c r="AD55" s="87">
        <f t="shared" si="8"/>
        <v>0</v>
      </c>
      <c r="AE55" s="90">
        <f t="shared" si="6"/>
        <v>1.0409827510037011E-2</v>
      </c>
      <c r="AF55" s="89"/>
    </row>
    <row r="56" spans="1:32" ht="15.5" x14ac:dyDescent="0.35">
      <c r="A56" s="82">
        <v>39848</v>
      </c>
      <c r="B56" s="83">
        <v>5242.8</v>
      </c>
      <c r="C56" s="84">
        <v>1515.1</v>
      </c>
      <c r="D56" s="61">
        <v>169.8</v>
      </c>
      <c r="E56" s="61">
        <v>12.6</v>
      </c>
      <c r="F56" s="61">
        <v>13.3</v>
      </c>
      <c r="G56" s="61">
        <v>18.5</v>
      </c>
      <c r="H56" s="61">
        <v>84.9</v>
      </c>
      <c r="I56" s="61">
        <v>5.9</v>
      </c>
      <c r="J56" s="61">
        <v>25.7</v>
      </c>
      <c r="K56" s="61">
        <v>15.2</v>
      </c>
      <c r="L56" s="61">
        <v>29.6</v>
      </c>
      <c r="M56" s="61">
        <v>28.6</v>
      </c>
      <c r="N56" s="61">
        <v>17.8</v>
      </c>
      <c r="O56" s="85">
        <v>11.3</v>
      </c>
      <c r="P56" s="105"/>
      <c r="Q56" s="87">
        <f t="shared" si="5"/>
        <v>-4.7950771177810722E-3</v>
      </c>
      <c r="R56" s="87">
        <f t="shared" si="9"/>
        <v>-7.9171344110381308E-4</v>
      </c>
      <c r="S56" s="87">
        <f t="shared" si="8"/>
        <v>1.6028838275898991E-2</v>
      </c>
      <c r="T56" s="87">
        <f t="shared" si="8"/>
        <v>4.8790164169432049E-2</v>
      </c>
      <c r="U56" s="87">
        <f t="shared" si="8"/>
        <v>3.0536723860081702E-2</v>
      </c>
      <c r="V56" s="87">
        <f t="shared" si="8"/>
        <v>4.987183004017294E-2</v>
      </c>
      <c r="W56" s="87">
        <f t="shared" si="8"/>
        <v>1.1785505194444241E-3</v>
      </c>
      <c r="X56" s="87">
        <f t="shared" si="8"/>
        <v>5.2185753170570247E-2</v>
      </c>
      <c r="Y56" s="87">
        <f t="shared" si="8"/>
        <v>5.1907859602017936E-2</v>
      </c>
      <c r="Z56" s="87">
        <f t="shared" si="8"/>
        <v>-5.1293294387550578E-2</v>
      </c>
      <c r="AA56" s="87">
        <f t="shared" si="8"/>
        <v>2.3932766211628358E-2</v>
      </c>
      <c r="AB56" s="87">
        <f t="shared" si="8"/>
        <v>7.0175726586465398E-3</v>
      </c>
      <c r="AC56" s="87">
        <f t="shared" si="8"/>
        <v>-0.12152135776699065</v>
      </c>
      <c r="AD56" s="87">
        <f t="shared" si="8"/>
        <v>2.6907452919924402E-2</v>
      </c>
      <c r="AE56" s="90">
        <f t="shared" si="6"/>
        <v>1.6457548834888636E-2</v>
      </c>
      <c r="AF56" s="89"/>
    </row>
    <row r="57" spans="1:32" ht="15.5" x14ac:dyDescent="0.35">
      <c r="A57" s="82">
        <v>39849</v>
      </c>
      <c r="B57" s="83">
        <v>5326</v>
      </c>
      <c r="C57" s="84">
        <v>1546.2</v>
      </c>
      <c r="D57" s="61">
        <v>168.7</v>
      </c>
      <c r="E57" s="61">
        <v>12.9</v>
      </c>
      <c r="F57" s="61">
        <v>13.2</v>
      </c>
      <c r="G57" s="61">
        <v>18.3</v>
      </c>
      <c r="H57" s="61">
        <v>83.6</v>
      </c>
      <c r="I57" s="61">
        <v>6.2</v>
      </c>
      <c r="J57" s="61">
        <v>26.2</v>
      </c>
      <c r="K57" s="61">
        <v>14.5</v>
      </c>
      <c r="L57" s="61">
        <v>28.6</v>
      </c>
      <c r="M57" s="61">
        <v>28.8</v>
      </c>
      <c r="N57" s="61">
        <v>17.600000000000001</v>
      </c>
      <c r="O57" s="85">
        <v>11.3</v>
      </c>
      <c r="P57" s="105"/>
      <c r="Q57" s="87">
        <f t="shared" si="5"/>
        <v>1.5744780628486981E-2</v>
      </c>
      <c r="R57" s="87">
        <f t="shared" si="9"/>
        <v>2.0318864520584727E-2</v>
      </c>
      <c r="S57" s="87">
        <f t="shared" si="8"/>
        <v>-6.4992843253244828E-3</v>
      </c>
      <c r="T57" s="87">
        <f t="shared" si="8"/>
        <v>2.3530497410194251E-2</v>
      </c>
      <c r="U57" s="87">
        <f t="shared" si="8"/>
        <v>-7.5472056353829663E-3</v>
      </c>
      <c r="V57" s="87">
        <f t="shared" si="8"/>
        <v>-1.0869672236903879E-2</v>
      </c>
      <c r="W57" s="87">
        <f t="shared" si="8"/>
        <v>-1.5430573226645804E-2</v>
      </c>
      <c r="X57" s="87">
        <f t="shared" si="8"/>
        <v>4.9596941139371978E-2</v>
      </c>
      <c r="Y57" s="87">
        <f t="shared" si="8"/>
        <v>1.9268418865876987E-2</v>
      </c>
      <c r="Z57" s="87">
        <f t="shared" si="8"/>
        <v>-4.714677842570196E-2</v>
      </c>
      <c r="AA57" s="87">
        <f t="shared" si="8"/>
        <v>-3.4367643504207769E-2</v>
      </c>
      <c r="AB57" s="87">
        <f t="shared" si="8"/>
        <v>6.9686693160932152E-3</v>
      </c>
      <c r="AC57" s="87">
        <f t="shared" si="8"/>
        <v>-1.1299555253933282E-2</v>
      </c>
      <c r="AD57" s="87">
        <f t="shared" si="8"/>
        <v>0</v>
      </c>
      <c r="AE57" s="90">
        <f t="shared" si="6"/>
        <v>2.0297507440136028E-3</v>
      </c>
      <c r="AF57" s="89"/>
    </row>
    <row r="58" spans="1:32" ht="15.5" x14ac:dyDescent="0.35">
      <c r="A58" s="82">
        <v>39850</v>
      </c>
      <c r="B58" s="83">
        <v>5475.3</v>
      </c>
      <c r="C58" s="84">
        <v>1591.7</v>
      </c>
      <c r="D58" s="61">
        <v>177.9</v>
      </c>
      <c r="E58" s="61">
        <v>13.2</v>
      </c>
      <c r="F58" s="61">
        <v>13.9</v>
      </c>
      <c r="G58" s="61">
        <v>19.100000000000001</v>
      </c>
      <c r="H58" s="61">
        <v>81.8</v>
      </c>
      <c r="I58" s="61">
        <v>6.8</v>
      </c>
      <c r="J58" s="61">
        <v>29.2</v>
      </c>
      <c r="K58" s="61">
        <v>15.1</v>
      </c>
      <c r="L58" s="61">
        <v>30</v>
      </c>
      <c r="M58" s="61">
        <v>30</v>
      </c>
      <c r="N58" s="61">
        <v>18.3</v>
      </c>
      <c r="O58" s="85">
        <v>11.7</v>
      </c>
      <c r="P58" s="105"/>
      <c r="Q58" s="87">
        <f t="shared" si="5"/>
        <v>2.7646581330207053E-2</v>
      </c>
      <c r="R58" s="87">
        <f t="shared" si="9"/>
        <v>2.9002319549434379E-2</v>
      </c>
      <c r="S58" s="87">
        <f t="shared" si="8"/>
        <v>5.3099605119866868E-2</v>
      </c>
      <c r="T58" s="87">
        <f t="shared" si="8"/>
        <v>2.2989518224698562E-2</v>
      </c>
      <c r="U58" s="87">
        <f t="shared" si="8"/>
        <v>5.1672010544321072E-2</v>
      </c>
      <c r="V58" s="87">
        <f t="shared" si="8"/>
        <v>4.2787275205208981E-2</v>
      </c>
      <c r="W58" s="87">
        <f t="shared" si="8"/>
        <v>-2.1766276481954512E-2</v>
      </c>
      <c r="X58" s="87">
        <f t="shared" si="8"/>
        <v>9.2373320131015069E-2</v>
      </c>
      <c r="Y58" s="87">
        <f t="shared" si="8"/>
        <v>0.10840929850718496</v>
      </c>
      <c r="Z58" s="87">
        <f t="shared" si="8"/>
        <v>4.0546094394350009E-2</v>
      </c>
      <c r="AA58" s="87">
        <f t="shared" si="8"/>
        <v>4.7790663836348481E-2</v>
      </c>
      <c r="AB58" s="87">
        <f t="shared" si="8"/>
        <v>4.08219945202552E-2</v>
      </c>
      <c r="AC58" s="87">
        <f t="shared" si="8"/>
        <v>3.9002157803269176E-2</v>
      </c>
      <c r="AD58" s="87">
        <f t="shared" si="8"/>
        <v>3.4786116085415389E-2</v>
      </c>
      <c r="AE58" s="90">
        <f t="shared" si="6"/>
        <v>4.3242302511698381E-2</v>
      </c>
      <c r="AF58" s="89"/>
    </row>
    <row r="59" spans="1:32" ht="15.5" x14ac:dyDescent="0.35">
      <c r="A59" s="82">
        <v>39853</v>
      </c>
      <c r="B59" s="83">
        <v>5479.9</v>
      </c>
      <c r="C59" s="84">
        <v>1591.6</v>
      </c>
      <c r="D59" s="61">
        <v>183.8</v>
      </c>
      <c r="E59" s="61">
        <v>13.5</v>
      </c>
      <c r="F59" s="61">
        <v>14.2</v>
      </c>
      <c r="G59" s="61">
        <v>19.3</v>
      </c>
      <c r="H59" s="61">
        <v>83.1</v>
      </c>
      <c r="I59" s="61">
        <v>7</v>
      </c>
      <c r="J59" s="61">
        <v>29.3</v>
      </c>
      <c r="K59" s="61">
        <v>15.5</v>
      </c>
      <c r="L59" s="61">
        <v>30.2</v>
      </c>
      <c r="M59" s="61">
        <v>30.4</v>
      </c>
      <c r="N59" s="61">
        <v>18.600000000000001</v>
      </c>
      <c r="O59" s="85">
        <v>11.8</v>
      </c>
      <c r="P59" s="105"/>
      <c r="Q59" s="87">
        <f t="shared" si="5"/>
        <v>8.3978389629415118E-4</v>
      </c>
      <c r="R59" s="87">
        <f t="shared" si="9"/>
        <v>-6.282788303520549E-5</v>
      </c>
      <c r="S59" s="87">
        <f t="shared" si="8"/>
        <v>3.2626615249797299E-2</v>
      </c>
      <c r="T59" s="87">
        <f t="shared" si="8"/>
        <v>2.2472855852058576E-2</v>
      </c>
      <c r="U59" s="87">
        <f t="shared" si="8"/>
        <v>2.1353124470568842E-2</v>
      </c>
      <c r="V59" s="87">
        <f t="shared" si="8"/>
        <v>1.041676085825558E-2</v>
      </c>
      <c r="W59" s="87">
        <f t="shared" si="8"/>
        <v>1.5767458252701018E-2</v>
      </c>
      <c r="X59" s="87">
        <f t="shared" si="8"/>
        <v>2.8987536873252406E-2</v>
      </c>
      <c r="Y59" s="87">
        <f t="shared" si="8"/>
        <v>3.4188067487856823E-3</v>
      </c>
      <c r="Z59" s="87">
        <f t="shared" si="8"/>
        <v>2.6145280104322207E-2</v>
      </c>
      <c r="AA59" s="87">
        <f t="shared" si="8"/>
        <v>6.6445427186685108E-3</v>
      </c>
      <c r="AB59" s="87">
        <f t="shared" si="8"/>
        <v>1.3245226750020505E-2</v>
      </c>
      <c r="AC59" s="87">
        <f t="shared" si="8"/>
        <v>1.6260520871780326E-2</v>
      </c>
      <c r="AD59" s="87">
        <f t="shared" si="8"/>
        <v>8.5106896679088308E-3</v>
      </c>
      <c r="AE59" s="90">
        <f t="shared" si="6"/>
        <v>1.6673225326727697E-2</v>
      </c>
      <c r="AF59" s="89"/>
    </row>
    <row r="60" spans="1:32" ht="15.5" x14ac:dyDescent="0.35">
      <c r="A60" s="82">
        <v>39854</v>
      </c>
      <c r="B60" s="83">
        <v>5214.7</v>
      </c>
      <c r="C60" s="84">
        <v>1524.7</v>
      </c>
      <c r="D60" s="61">
        <v>179.1</v>
      </c>
      <c r="E60" s="61">
        <v>12.7</v>
      </c>
      <c r="F60" s="61">
        <v>13.9</v>
      </c>
      <c r="G60" s="61">
        <v>18.7</v>
      </c>
      <c r="H60" s="61">
        <v>80.8</v>
      </c>
      <c r="I60" s="61">
        <v>6.6</v>
      </c>
      <c r="J60" s="61">
        <v>29</v>
      </c>
      <c r="K60" s="61">
        <v>15.2</v>
      </c>
      <c r="L60" s="61">
        <v>28.9</v>
      </c>
      <c r="M60" s="61">
        <v>27.3</v>
      </c>
      <c r="N60" s="61">
        <v>17.8</v>
      </c>
      <c r="O60" s="85">
        <v>11.2</v>
      </c>
      <c r="P60" s="105"/>
      <c r="Q60" s="87">
        <f t="shared" si="5"/>
        <v>-4.9605292186462015E-2</v>
      </c>
      <c r="R60" s="87">
        <f t="shared" si="9"/>
        <v>-4.2942130174912108E-2</v>
      </c>
      <c r="S60" s="87">
        <f t="shared" si="8"/>
        <v>-2.5903900854920659E-2</v>
      </c>
      <c r="T60" s="87">
        <f t="shared" si="8"/>
        <v>-6.1087691979838266E-2</v>
      </c>
      <c r="U60" s="87">
        <f t="shared" si="8"/>
        <v>-2.1353124470568946E-2</v>
      </c>
      <c r="V60" s="87">
        <f t="shared" si="8"/>
        <v>-3.1581572050299045E-2</v>
      </c>
      <c r="W60" s="87">
        <f t="shared" si="8"/>
        <v>-2.8067736334352798E-2</v>
      </c>
      <c r="X60" s="87">
        <f t="shared" si="8"/>
        <v>-5.8840500022933465E-2</v>
      </c>
      <c r="Y60" s="87">
        <f t="shared" si="8"/>
        <v>-1.0291686036547636E-2</v>
      </c>
      <c r="Z60" s="87">
        <f t="shared" si="8"/>
        <v>-1.9544596072970283E-2</v>
      </c>
      <c r="AA60" s="87">
        <f t="shared" si="8"/>
        <v>-4.4000329262437472E-2</v>
      </c>
      <c r="AB60" s="87">
        <f t="shared" si="8"/>
        <v>-0.10755590622126185</v>
      </c>
      <c r="AC60" s="87">
        <f t="shared" si="8"/>
        <v>-4.3963123421116176E-2</v>
      </c>
      <c r="AD60" s="87">
        <f t="shared" si="8"/>
        <v>-5.2185753170570309E-2</v>
      </c>
      <c r="AE60" s="90">
        <f t="shared" si="6"/>
        <v>-3.2904353565027328E-2</v>
      </c>
      <c r="AF60" s="89"/>
    </row>
    <row r="61" spans="1:32" ht="15.5" x14ac:dyDescent="0.35">
      <c r="A61" s="82">
        <v>39855</v>
      </c>
      <c r="B61" s="83">
        <v>5252.7</v>
      </c>
      <c r="C61" s="84">
        <v>1530.5</v>
      </c>
      <c r="D61" s="61">
        <v>176.7</v>
      </c>
      <c r="E61" s="61">
        <v>12.4</v>
      </c>
      <c r="F61" s="61">
        <v>13.7</v>
      </c>
      <c r="G61" s="61">
        <v>18.899999999999999</v>
      </c>
      <c r="H61" s="61">
        <v>81.599999999999994</v>
      </c>
      <c r="I61" s="61">
        <v>6.7</v>
      </c>
      <c r="J61" s="61">
        <v>27.5</v>
      </c>
      <c r="K61" s="61">
        <v>15.2</v>
      </c>
      <c r="L61" s="61">
        <v>29</v>
      </c>
      <c r="M61" s="61">
        <v>26.8</v>
      </c>
      <c r="N61" s="61">
        <v>17.8</v>
      </c>
      <c r="O61" s="85">
        <v>10.8</v>
      </c>
      <c r="P61" s="105"/>
      <c r="Q61" s="87">
        <f t="shared" si="5"/>
        <v>7.2606696864641407E-3</v>
      </c>
      <c r="R61" s="87">
        <f t="shared" si="9"/>
        <v>3.7968100076058785E-3</v>
      </c>
      <c r="S61" s="87">
        <f t="shared" si="8"/>
        <v>-1.3490929741015402E-2</v>
      </c>
      <c r="T61" s="87">
        <f t="shared" si="8"/>
        <v>-2.3905520853554366E-2</v>
      </c>
      <c r="U61" s="87">
        <f t="shared" si="8"/>
        <v>-1.4493007302566864E-2</v>
      </c>
      <c r="V61" s="87">
        <f t="shared" si="8"/>
        <v>1.0638398205055797E-2</v>
      </c>
      <c r="W61" s="87">
        <f t="shared" si="8"/>
        <v>9.8522964430116395E-3</v>
      </c>
      <c r="X61" s="87">
        <f t="shared" si="8"/>
        <v>1.5037877364540502E-2</v>
      </c>
      <c r="Y61" s="87">
        <f t="shared" si="8"/>
        <v>-5.3109825313948408E-2</v>
      </c>
      <c r="Z61" s="87">
        <f t="shared" si="8"/>
        <v>0</v>
      </c>
      <c r="AA61" s="87">
        <f t="shared" si="8"/>
        <v>3.4542348680876036E-3</v>
      </c>
      <c r="AB61" s="87">
        <f t="shared" si="8"/>
        <v>-1.8484814674103102E-2</v>
      </c>
      <c r="AC61" s="87">
        <f t="shared" si="8"/>
        <v>0</v>
      </c>
      <c r="AD61" s="87">
        <f t="shared" si="8"/>
        <v>-3.6367644170874715E-2</v>
      </c>
      <c r="AE61" s="90">
        <f t="shared" si="6"/>
        <v>-1.1376113184909083E-2</v>
      </c>
      <c r="AF61" s="89"/>
    </row>
    <row r="62" spans="1:32" ht="15.5" x14ac:dyDescent="0.35">
      <c r="A62" s="82">
        <v>39856</v>
      </c>
      <c r="B62" s="83">
        <v>5256.5</v>
      </c>
      <c r="C62" s="84">
        <v>1541.7</v>
      </c>
      <c r="D62" s="61">
        <v>175.9</v>
      </c>
      <c r="E62" s="61">
        <v>12.1</v>
      </c>
      <c r="F62" s="61">
        <v>13.7</v>
      </c>
      <c r="G62" s="61">
        <v>18.5</v>
      </c>
      <c r="H62" s="61">
        <v>76.400000000000006</v>
      </c>
      <c r="I62" s="61">
        <v>6.6</v>
      </c>
      <c r="J62" s="61">
        <v>27</v>
      </c>
      <c r="K62" s="61">
        <v>15</v>
      </c>
      <c r="L62" s="61">
        <v>28.5</v>
      </c>
      <c r="M62" s="61">
        <v>26.4</v>
      </c>
      <c r="N62" s="61">
        <v>17.7</v>
      </c>
      <c r="O62" s="85">
        <v>10.7</v>
      </c>
      <c r="P62" s="105"/>
      <c r="Q62" s="87">
        <f t="shared" si="5"/>
        <v>7.2317591550477046E-4</v>
      </c>
      <c r="R62" s="87">
        <f t="shared" si="9"/>
        <v>7.29122428082644E-3</v>
      </c>
      <c r="S62" s="87">
        <f t="shared" si="8"/>
        <v>-4.5377275821381589E-3</v>
      </c>
      <c r="T62" s="87">
        <f t="shared" si="8"/>
        <v>-2.449102000829587E-2</v>
      </c>
      <c r="U62" s="87">
        <f t="shared" si="8"/>
        <v>0</v>
      </c>
      <c r="V62" s="87">
        <f t="shared" si="8"/>
        <v>-2.1391189981317445E-2</v>
      </c>
      <c r="W62" s="87">
        <f t="shared" si="8"/>
        <v>-6.5846565797586395E-2</v>
      </c>
      <c r="X62" s="87">
        <f t="shared" si="8"/>
        <v>-1.5037877364540559E-2</v>
      </c>
      <c r="Y62" s="87">
        <f t="shared" si="8"/>
        <v>-1.8349138668196541E-2</v>
      </c>
      <c r="Z62" s="87">
        <f t="shared" si="8"/>
        <v>-1.3245226750020567E-2</v>
      </c>
      <c r="AA62" s="87">
        <f t="shared" si="8"/>
        <v>-1.7391742711869222E-2</v>
      </c>
      <c r="AB62" s="87">
        <f t="shared" si="8"/>
        <v>-1.5037877364540559E-2</v>
      </c>
      <c r="AC62" s="87">
        <f t="shared" si="8"/>
        <v>-5.633817718256131E-3</v>
      </c>
      <c r="AD62" s="87">
        <f t="shared" si="8"/>
        <v>-9.302392662313674E-3</v>
      </c>
      <c r="AE62" s="90">
        <f t="shared" si="6"/>
        <v>-2.7364073413506862E-4</v>
      </c>
      <c r="AF62" s="89"/>
    </row>
    <row r="63" spans="1:32" ht="15.5" x14ac:dyDescent="0.35">
      <c r="A63" s="82">
        <v>39857</v>
      </c>
      <c r="B63" s="83">
        <v>5206.8</v>
      </c>
      <c r="C63" s="84">
        <v>1534.4</v>
      </c>
      <c r="D63" s="61">
        <v>177.8</v>
      </c>
      <c r="E63" s="61">
        <v>12.6</v>
      </c>
      <c r="F63" s="61">
        <v>14</v>
      </c>
      <c r="G63" s="61">
        <v>19</v>
      </c>
      <c r="H63" s="61">
        <v>80.900000000000006</v>
      </c>
      <c r="I63" s="61">
        <v>6.8</v>
      </c>
      <c r="J63" s="61">
        <v>28.5</v>
      </c>
      <c r="K63" s="61">
        <v>15.3</v>
      </c>
      <c r="L63" s="61">
        <v>28.5</v>
      </c>
      <c r="M63" s="61">
        <v>26.8</v>
      </c>
      <c r="N63" s="61">
        <v>18.100000000000001</v>
      </c>
      <c r="O63" s="85">
        <v>10.8</v>
      </c>
      <c r="P63" s="105"/>
      <c r="Q63" s="87">
        <f t="shared" si="5"/>
        <v>-9.4999424235802828E-3</v>
      </c>
      <c r="R63" s="87">
        <f t="shared" si="9"/>
        <v>-4.7462785371197884E-3</v>
      </c>
      <c r="S63" s="87">
        <f t="shared" si="8"/>
        <v>1.0743671336291767E-2</v>
      </c>
      <c r="T63" s="87">
        <f t="shared" si="8"/>
        <v>4.0491361354736993E-2</v>
      </c>
      <c r="U63" s="87">
        <f t="shared" si="8"/>
        <v>2.1661496781179467E-2</v>
      </c>
      <c r="V63" s="87">
        <f t="shared" si="8"/>
        <v>2.6668247082161273E-2</v>
      </c>
      <c r="W63" s="87">
        <f t="shared" si="8"/>
        <v>5.7231127891971136E-2</v>
      </c>
      <c r="X63" s="87">
        <f t="shared" si="8"/>
        <v>2.9852963149681128E-2</v>
      </c>
      <c r="Y63" s="87">
        <f t="shared" si="8"/>
        <v>5.4067221270275793E-2</v>
      </c>
      <c r="Z63" s="87">
        <f t="shared" si="8"/>
        <v>1.980262729617973E-2</v>
      </c>
      <c r="AA63" s="87">
        <f t="shared" si="8"/>
        <v>0</v>
      </c>
      <c r="AB63" s="87">
        <f t="shared" si="8"/>
        <v>1.5037877364540502E-2</v>
      </c>
      <c r="AC63" s="87">
        <f t="shared" si="8"/>
        <v>2.2347298691996618E-2</v>
      </c>
      <c r="AD63" s="87">
        <f t="shared" si="8"/>
        <v>9.3023926623136306E-3</v>
      </c>
      <c r="AE63" s="90">
        <f t="shared" si="6"/>
        <v>9.0472284264906302E-3</v>
      </c>
      <c r="AF63" s="89"/>
    </row>
    <row r="64" spans="1:32" ht="15.5" x14ac:dyDescent="0.35">
      <c r="A64" s="82">
        <v>39861</v>
      </c>
      <c r="B64" s="83">
        <v>4939.1000000000004</v>
      </c>
      <c r="C64" s="84">
        <v>1470.7</v>
      </c>
      <c r="D64" s="61">
        <v>170</v>
      </c>
      <c r="E64" s="61">
        <v>12</v>
      </c>
      <c r="F64" s="61">
        <v>13.5</v>
      </c>
      <c r="G64" s="61">
        <v>17.899999999999999</v>
      </c>
      <c r="H64" s="61">
        <v>79.2</v>
      </c>
      <c r="I64" s="61">
        <v>5.9</v>
      </c>
      <c r="J64" s="61">
        <v>26</v>
      </c>
      <c r="K64" s="61">
        <v>15.1</v>
      </c>
      <c r="L64" s="61">
        <v>27.9</v>
      </c>
      <c r="M64" s="61">
        <v>24.1</v>
      </c>
      <c r="N64" s="61">
        <v>17.2</v>
      </c>
      <c r="O64" s="85">
        <v>10.3</v>
      </c>
      <c r="P64" s="105"/>
      <c r="Q64" s="87">
        <f t="shared" si="5"/>
        <v>-5.2782335243082977E-2</v>
      </c>
      <c r="R64" s="87">
        <f t="shared" si="9"/>
        <v>-4.2400947222905806E-2</v>
      </c>
      <c r="S64" s="87">
        <f t="shared" si="8"/>
        <v>-4.4860886029542454E-2</v>
      </c>
      <c r="T64" s="87">
        <f t="shared" si="8"/>
        <v>-4.8790164169431945E-2</v>
      </c>
      <c r="U64" s="87">
        <f t="shared" si="8"/>
        <v>-3.6367644170874833E-2</v>
      </c>
      <c r="V64" s="87">
        <f t="shared" si="8"/>
        <v>-5.9638266319731223E-2</v>
      </c>
      <c r="W64" s="87">
        <f t="shared" si="8"/>
        <v>-2.1237525244065875E-2</v>
      </c>
      <c r="X64" s="87">
        <f t="shared" si="8"/>
        <v>-0.14197026127038723</v>
      </c>
      <c r="Y64" s="87">
        <f t="shared" si="8"/>
        <v>-9.1807549253122858E-2</v>
      </c>
      <c r="Z64" s="87">
        <f t="shared" si="8"/>
        <v>-1.3158084577511199E-2</v>
      </c>
      <c r="AA64" s="87">
        <f t="shared" si="8"/>
        <v>-2.1277398447284965E-2</v>
      </c>
      <c r="AB64" s="87">
        <f t="shared" si="8"/>
        <v>-0.1061900470202017</v>
      </c>
      <c r="AC64" s="87">
        <f t="shared" si="8"/>
        <v>-5.1002554452372804E-2</v>
      </c>
      <c r="AD64" s="87">
        <f t="shared" si="8"/>
        <v>-4.7402238894583906E-2</v>
      </c>
      <c r="AE64" s="90">
        <f t="shared" si="6"/>
        <v>-4.2003871610338056E-2</v>
      </c>
      <c r="AF64" s="89"/>
    </row>
    <row r="65" spans="1:32" ht="15.5" x14ac:dyDescent="0.35">
      <c r="A65" s="82">
        <v>39862</v>
      </c>
      <c r="B65" s="83">
        <v>4924.5</v>
      </c>
      <c r="C65" s="84">
        <v>1468</v>
      </c>
      <c r="D65" s="61">
        <v>170.4</v>
      </c>
      <c r="E65" s="61">
        <v>12.1</v>
      </c>
      <c r="F65" s="61">
        <v>13.3</v>
      </c>
      <c r="G65" s="61">
        <v>18</v>
      </c>
      <c r="H65" s="61">
        <v>80.400000000000006</v>
      </c>
      <c r="I65" s="61">
        <v>5.5</v>
      </c>
      <c r="J65" s="61">
        <v>25.5</v>
      </c>
      <c r="K65" s="61">
        <v>14.7</v>
      </c>
      <c r="L65" s="61">
        <v>28</v>
      </c>
      <c r="M65" s="61">
        <v>23.4</v>
      </c>
      <c r="N65" s="61">
        <v>16.899999999999999</v>
      </c>
      <c r="O65" s="85">
        <v>10.5</v>
      </c>
      <c r="P65" s="105"/>
      <c r="Q65" s="87">
        <f t="shared" si="5"/>
        <v>-2.9603817394652974E-3</v>
      </c>
      <c r="R65" s="87">
        <f t="shared" si="9"/>
        <v>-1.8375477318071517E-3</v>
      </c>
      <c r="S65" s="87">
        <f t="shared" si="8"/>
        <v>2.350177344953673E-3</v>
      </c>
      <c r="T65" s="87">
        <f t="shared" si="8"/>
        <v>8.2988028146950641E-3</v>
      </c>
      <c r="U65" s="87">
        <f t="shared" si="8"/>
        <v>-1.4925650216675593E-2</v>
      </c>
      <c r="V65" s="87">
        <f t="shared" si="8"/>
        <v>5.5710450494554295E-3</v>
      </c>
      <c r="W65" s="87">
        <f t="shared" si="8"/>
        <v>1.5037877364540502E-2</v>
      </c>
      <c r="X65" s="87">
        <f t="shared" si="8"/>
        <v>-7.0204258673248573E-2</v>
      </c>
      <c r="Y65" s="87">
        <f t="shared" si="8"/>
        <v>-1.9418085857101627E-2</v>
      </c>
      <c r="Z65" s="87">
        <f t="shared" si="8"/>
        <v>-2.6847250036188052E-2</v>
      </c>
      <c r="AA65" s="87">
        <f t="shared" si="8"/>
        <v>3.5778213478841235E-3</v>
      </c>
      <c r="AB65" s="87">
        <f t="shared" si="8"/>
        <v>-2.9475818132953691E-2</v>
      </c>
      <c r="AC65" s="87">
        <f t="shared" si="8"/>
        <v>-1.7595761890379601E-2</v>
      </c>
      <c r="AD65" s="87">
        <f t="shared" si="8"/>
        <v>1.9231361927887592E-2</v>
      </c>
      <c r="AE65" s="90">
        <f t="shared" si="6"/>
        <v>-1.7930401035034841E-3</v>
      </c>
      <c r="AF65" s="89"/>
    </row>
    <row r="66" spans="1:32" ht="15.5" x14ac:dyDescent="0.35">
      <c r="A66" s="82">
        <v>39863</v>
      </c>
      <c r="B66" s="83">
        <v>4881.2</v>
      </c>
      <c r="C66" s="84">
        <v>1442.8</v>
      </c>
      <c r="D66" s="61">
        <v>170.9</v>
      </c>
      <c r="E66" s="61">
        <v>11.9</v>
      </c>
      <c r="F66" s="61">
        <v>12.9</v>
      </c>
      <c r="G66" s="61">
        <v>17.8</v>
      </c>
      <c r="H66" s="61">
        <v>75.7</v>
      </c>
      <c r="I66" s="61">
        <v>6.1</v>
      </c>
      <c r="J66" s="61">
        <v>27.3</v>
      </c>
      <c r="K66" s="61">
        <v>14.9</v>
      </c>
      <c r="L66" s="61">
        <v>28.5</v>
      </c>
      <c r="M66" s="61">
        <v>22.1</v>
      </c>
      <c r="N66" s="61">
        <v>16.5</v>
      </c>
      <c r="O66" s="85">
        <v>10.6</v>
      </c>
      <c r="P66" s="105"/>
      <c r="Q66" s="87">
        <f t="shared" si="5"/>
        <v>-8.8316553520726617E-3</v>
      </c>
      <c r="R66" s="87">
        <f t="shared" si="9"/>
        <v>-1.7315260145076939E-2</v>
      </c>
      <c r="S66" s="87">
        <f t="shared" si="8"/>
        <v>2.9299757263298635E-3</v>
      </c>
      <c r="T66" s="87">
        <f t="shared" si="8"/>
        <v>-1.6667052485211647E-2</v>
      </c>
      <c r="U66" s="87">
        <f t="shared" si="8"/>
        <v>-3.053672386008165E-2</v>
      </c>
      <c r="V66" s="87">
        <f t="shared" si="8"/>
        <v>-1.1173300598125189E-2</v>
      </c>
      <c r="W66" s="87">
        <f t="shared" si="8"/>
        <v>-6.0236015741517636E-2</v>
      </c>
      <c r="X66" s="87">
        <f t="shared" si="8"/>
        <v>0.10354067894084036</v>
      </c>
      <c r="Y66" s="87">
        <f t="shared" si="8"/>
        <v>6.8208250026533565E-2</v>
      </c>
      <c r="Z66" s="87">
        <f t="shared" si="8"/>
        <v>1.3513719166722855E-2</v>
      </c>
      <c r="AA66" s="87">
        <f t="shared" si="8"/>
        <v>1.7699577099400857E-2</v>
      </c>
      <c r="AB66" s="87">
        <f t="shared" si="8"/>
        <v>-5.7158413839948519E-2</v>
      </c>
      <c r="AC66" s="87">
        <f t="shared" si="8"/>
        <v>-2.3953241022492758E-2</v>
      </c>
      <c r="AD66" s="87">
        <f t="shared" si="8"/>
        <v>9.4787439545437387E-3</v>
      </c>
      <c r="AE66" s="90">
        <f t="shared" si="6"/>
        <v>-1.1911944149041688E-2</v>
      </c>
      <c r="AF66" s="89"/>
    </row>
    <row r="67" spans="1:32" ht="15.5" x14ac:dyDescent="0.35">
      <c r="A67" s="82">
        <v>39864</v>
      </c>
      <c r="B67" s="83">
        <v>4804.5</v>
      </c>
      <c r="C67" s="84">
        <v>1441.2</v>
      </c>
      <c r="D67" s="61">
        <v>167.7</v>
      </c>
      <c r="E67" s="61">
        <v>11.8</v>
      </c>
      <c r="F67" s="61">
        <v>12.7</v>
      </c>
      <c r="G67" s="61">
        <v>17.7</v>
      </c>
      <c r="H67" s="61">
        <v>76.3</v>
      </c>
      <c r="I67" s="61">
        <v>5.5</v>
      </c>
      <c r="J67" s="61">
        <v>26.4</v>
      </c>
      <c r="K67" s="61">
        <v>14.2</v>
      </c>
      <c r="L67" s="61">
        <v>27.8</v>
      </c>
      <c r="M67" s="61">
        <v>19.399999999999999</v>
      </c>
      <c r="N67" s="61">
        <v>15.7</v>
      </c>
      <c r="O67" s="85">
        <v>10.5</v>
      </c>
      <c r="P67" s="105"/>
      <c r="Q67" s="87">
        <f t="shared" si="5"/>
        <v>-1.5838112540361871E-2</v>
      </c>
      <c r="R67" s="87">
        <f t="shared" si="9"/>
        <v>-1.1095701554457058E-3</v>
      </c>
      <c r="S67" s="87">
        <f t="shared" si="8"/>
        <v>-1.8901921292382121E-2</v>
      </c>
      <c r="T67" s="87">
        <f t="shared" si="8"/>
        <v>-8.4388686458645949E-3</v>
      </c>
      <c r="U67" s="87">
        <f t="shared" si="8"/>
        <v>-1.562531790308087E-2</v>
      </c>
      <c r="V67" s="87">
        <f t="shared" ref="V67:AD95" si="10">+LN(G67/G66)</f>
        <v>-5.633817718256131E-3</v>
      </c>
      <c r="W67" s="87">
        <f t="shared" si="10"/>
        <v>7.894777847008063E-3</v>
      </c>
      <c r="X67" s="87">
        <f t="shared" si="10"/>
        <v>-0.10354067894084033</v>
      </c>
      <c r="Y67" s="87">
        <f t="shared" si="10"/>
        <v>-3.3522692038643678E-2</v>
      </c>
      <c r="Z67" s="87">
        <f t="shared" si="10"/>
        <v>-4.8119248344198458E-2</v>
      </c>
      <c r="AA67" s="87">
        <f t="shared" si="10"/>
        <v>-2.4868066578013423E-2</v>
      </c>
      <c r="AB67" s="87">
        <f t="shared" si="10"/>
        <v>-0.13030454245442483</v>
      </c>
      <c r="AC67" s="87">
        <f t="shared" si="10"/>
        <v>-4.9699668552272647E-2</v>
      </c>
      <c r="AD67" s="87">
        <f t="shared" si="10"/>
        <v>-9.47874395454377E-3</v>
      </c>
      <c r="AE67" s="90">
        <f t="shared" si="6"/>
        <v>-1.1486411554181614E-2</v>
      </c>
      <c r="AF67" s="89"/>
    </row>
    <row r="68" spans="1:32" ht="15.5" x14ac:dyDescent="0.35">
      <c r="A68" s="82">
        <v>39867</v>
      </c>
      <c r="B68" s="83">
        <v>4633.8</v>
      </c>
      <c r="C68" s="84">
        <v>1387.7</v>
      </c>
      <c r="D68" s="61">
        <v>164.9</v>
      </c>
      <c r="E68" s="61">
        <v>11.8</v>
      </c>
      <c r="F68" s="61">
        <v>12.4</v>
      </c>
      <c r="G68" s="61">
        <v>17.2</v>
      </c>
      <c r="H68" s="61">
        <v>78.3</v>
      </c>
      <c r="I68" s="61">
        <v>5.2</v>
      </c>
      <c r="J68" s="61">
        <v>25.4</v>
      </c>
      <c r="K68" s="61">
        <v>14.4</v>
      </c>
      <c r="L68" s="61">
        <v>27.6</v>
      </c>
      <c r="M68" s="61">
        <v>20.3</v>
      </c>
      <c r="N68" s="61">
        <v>15.1</v>
      </c>
      <c r="O68" s="85">
        <v>10.4</v>
      </c>
      <c r="P68" s="105"/>
      <c r="Q68" s="87">
        <f t="shared" si="5"/>
        <v>-3.6175712914049279E-2</v>
      </c>
      <c r="R68" s="87">
        <f t="shared" si="9"/>
        <v>-3.7828399496973433E-2</v>
      </c>
      <c r="S68" s="87">
        <f t="shared" si="9"/>
        <v>-1.6837439263609796E-2</v>
      </c>
      <c r="T68" s="87">
        <f t="shared" si="9"/>
        <v>0</v>
      </c>
      <c r="U68" s="87">
        <f t="shared" si="9"/>
        <v>-2.3905520853554366E-2</v>
      </c>
      <c r="V68" s="87">
        <f t="shared" si="10"/>
        <v>-2.8655255760376062E-2</v>
      </c>
      <c r="W68" s="87">
        <f t="shared" si="10"/>
        <v>2.587466470634613E-2</v>
      </c>
      <c r="X68" s="87">
        <f t="shared" si="10"/>
        <v>-5.6089466651043585E-2</v>
      </c>
      <c r="Y68" s="87">
        <f t="shared" si="10"/>
        <v>-3.8614836127779543E-2</v>
      </c>
      <c r="Z68" s="87">
        <f t="shared" si="10"/>
        <v>1.398624197473987E-2</v>
      </c>
      <c r="AA68" s="87">
        <f t="shared" si="10"/>
        <v>-7.2202479734870201E-3</v>
      </c>
      <c r="AB68" s="87">
        <f t="shared" si="10"/>
        <v>4.5347819978459256E-2</v>
      </c>
      <c r="AC68" s="87">
        <f t="shared" si="10"/>
        <v>-3.8965968533383723E-2</v>
      </c>
      <c r="AD68" s="87">
        <f t="shared" si="10"/>
        <v>-9.5694510161506725E-3</v>
      </c>
      <c r="AE68" s="90">
        <f t="shared" si="6"/>
        <v>-2.4267076551268203E-2</v>
      </c>
      <c r="AF68" s="89"/>
    </row>
    <row r="69" spans="1:32" ht="15.5" x14ac:dyDescent="0.35">
      <c r="A69" s="82">
        <v>39868</v>
      </c>
      <c r="B69" s="83">
        <v>4821.7</v>
      </c>
      <c r="C69" s="84">
        <v>1441.8</v>
      </c>
      <c r="D69" s="61">
        <v>165.6</v>
      </c>
      <c r="E69" s="61">
        <v>12.3</v>
      </c>
      <c r="F69" s="61">
        <v>12.4</v>
      </c>
      <c r="G69" s="61">
        <v>16.399999999999999</v>
      </c>
      <c r="H69" s="61">
        <v>74.7</v>
      </c>
      <c r="I69" s="61">
        <v>4.8</v>
      </c>
      <c r="J69" s="61">
        <v>25.5</v>
      </c>
      <c r="K69" s="61">
        <v>14.2</v>
      </c>
      <c r="L69" s="61">
        <v>27.5</v>
      </c>
      <c r="M69" s="61">
        <v>19.5</v>
      </c>
      <c r="N69" s="61">
        <v>15.1</v>
      </c>
      <c r="O69" s="85">
        <v>10.1</v>
      </c>
      <c r="P69" s="105"/>
      <c r="Q69" s="87">
        <f t="shared" si="5"/>
        <v>3.9749297153808497E-2</v>
      </c>
      <c r="R69" s="87">
        <f t="shared" si="9"/>
        <v>3.8244632593513378E-2</v>
      </c>
      <c r="S69" s="87">
        <f t="shared" si="9"/>
        <v>4.2360123856060843E-3</v>
      </c>
      <c r="T69" s="87">
        <f t="shared" si="9"/>
        <v>4.149973090675263E-2</v>
      </c>
      <c r="U69" s="87">
        <f t="shared" si="9"/>
        <v>0</v>
      </c>
      <c r="V69" s="87">
        <f t="shared" si="10"/>
        <v>-4.7628048989254705E-2</v>
      </c>
      <c r="W69" s="87">
        <f t="shared" si="10"/>
        <v>-4.7067510857985738E-2</v>
      </c>
      <c r="X69" s="87">
        <f t="shared" si="10"/>
        <v>-8.0042707673536495E-2</v>
      </c>
      <c r="Y69" s="87">
        <f t="shared" si="10"/>
        <v>3.929278139889557E-3</v>
      </c>
      <c r="Z69" s="87">
        <f t="shared" si="10"/>
        <v>-1.3986241974739952E-2</v>
      </c>
      <c r="AA69" s="87">
        <f t="shared" si="10"/>
        <v>-3.6297680505787237E-3</v>
      </c>
      <c r="AB69" s="87">
        <f t="shared" si="10"/>
        <v>-4.0206420478040593E-2</v>
      </c>
      <c r="AC69" s="87">
        <f t="shared" si="10"/>
        <v>0</v>
      </c>
      <c r="AD69" s="87">
        <f t="shared" si="10"/>
        <v>-2.9270382300113338E-2</v>
      </c>
      <c r="AE69" s="90">
        <f t="shared" si="6"/>
        <v>9.1461609565028999E-3</v>
      </c>
      <c r="AF69" s="89"/>
    </row>
    <row r="70" spans="1:32" ht="15.5" x14ac:dyDescent="0.35">
      <c r="A70" s="82">
        <v>39869</v>
      </c>
      <c r="B70" s="83">
        <v>4753.2</v>
      </c>
      <c r="C70" s="84">
        <v>1425.4</v>
      </c>
      <c r="D70" s="61">
        <v>169.6</v>
      </c>
      <c r="E70" s="61">
        <v>12.3</v>
      </c>
      <c r="F70" s="61">
        <v>12.8</v>
      </c>
      <c r="G70" s="61">
        <v>16.5</v>
      </c>
      <c r="H70" s="61">
        <v>74.2</v>
      </c>
      <c r="I70" s="61">
        <v>4.9000000000000004</v>
      </c>
      <c r="J70" s="61">
        <v>26.7</v>
      </c>
      <c r="K70" s="61">
        <v>14.9</v>
      </c>
      <c r="L70" s="61">
        <v>27.7</v>
      </c>
      <c r="M70" s="61">
        <v>20.5</v>
      </c>
      <c r="N70" s="61">
        <v>14.8</v>
      </c>
      <c r="O70" s="85">
        <v>10.4</v>
      </c>
      <c r="P70" s="105"/>
      <c r="Q70" s="87">
        <f t="shared" si="5"/>
        <v>-1.4308487541210635E-2</v>
      </c>
      <c r="R70" s="87">
        <f t="shared" si="9"/>
        <v>-1.1439856902707775E-2</v>
      </c>
      <c r="S70" s="87">
        <f t="shared" si="9"/>
        <v>2.3867481406643486E-2</v>
      </c>
      <c r="T70" s="87">
        <f t="shared" si="9"/>
        <v>0</v>
      </c>
      <c r="U70" s="87">
        <f t="shared" si="9"/>
        <v>3.174869831458027E-2</v>
      </c>
      <c r="V70" s="87">
        <f t="shared" si="10"/>
        <v>6.0790460763821925E-3</v>
      </c>
      <c r="W70" s="87">
        <f t="shared" si="10"/>
        <v>-6.7159419654368299E-3</v>
      </c>
      <c r="X70" s="87">
        <f t="shared" si="10"/>
        <v>2.0619287202735825E-2</v>
      </c>
      <c r="Y70" s="87">
        <f t="shared" si="10"/>
        <v>4.5985113241823437E-2</v>
      </c>
      <c r="Z70" s="87">
        <f t="shared" si="10"/>
        <v>4.8119248344198562E-2</v>
      </c>
      <c r="AA70" s="87">
        <f t="shared" si="10"/>
        <v>7.2464085207672533E-3</v>
      </c>
      <c r="AB70" s="87">
        <f t="shared" si="10"/>
        <v>5.0010420574661416E-2</v>
      </c>
      <c r="AC70" s="87">
        <f t="shared" si="10"/>
        <v>-2.0067563050809142E-2</v>
      </c>
      <c r="AD70" s="87">
        <f t="shared" si="10"/>
        <v>2.9270382300113237E-2</v>
      </c>
      <c r="AE70" s="90">
        <f t="shared" si="6"/>
        <v>1.61944194601772E-2</v>
      </c>
      <c r="AF70" s="89"/>
    </row>
    <row r="71" spans="1:32" ht="15.5" x14ac:dyDescent="0.35">
      <c r="A71" s="82">
        <v>39870</v>
      </c>
      <c r="B71" s="83">
        <v>4713</v>
      </c>
      <c r="C71" s="84">
        <v>1391.5</v>
      </c>
      <c r="D71" s="61">
        <v>168.8</v>
      </c>
      <c r="E71" s="61">
        <v>12.7</v>
      </c>
      <c r="F71" s="61">
        <v>12.7</v>
      </c>
      <c r="G71" s="61">
        <v>16.399999999999999</v>
      </c>
      <c r="H71" s="61">
        <v>70.2</v>
      </c>
      <c r="I71" s="61">
        <v>4.5999999999999996</v>
      </c>
      <c r="J71" s="61">
        <v>27.4</v>
      </c>
      <c r="K71" s="61">
        <v>15.4</v>
      </c>
      <c r="L71" s="61">
        <v>26</v>
      </c>
      <c r="M71" s="61">
        <v>22</v>
      </c>
      <c r="N71" s="61">
        <v>14.6</v>
      </c>
      <c r="O71" s="85">
        <v>10.3</v>
      </c>
      <c r="P71" s="105"/>
      <c r="Q71" s="87">
        <f t="shared" si="5"/>
        <v>-8.4934274921403645E-3</v>
      </c>
      <c r="R71" s="87">
        <f t="shared" si="9"/>
        <v>-2.4070174101824934E-2</v>
      </c>
      <c r="S71" s="87">
        <f t="shared" si="9"/>
        <v>-4.7281411959459001E-3</v>
      </c>
      <c r="T71" s="87">
        <f t="shared" si="9"/>
        <v>3.2002731086173734E-2</v>
      </c>
      <c r="U71" s="87">
        <f t="shared" si="9"/>
        <v>-7.8431774610260054E-3</v>
      </c>
      <c r="V71" s="87">
        <f t="shared" si="10"/>
        <v>-6.0790460763822263E-3</v>
      </c>
      <c r="W71" s="87">
        <f t="shared" si="10"/>
        <v>-5.5415839141569383E-2</v>
      </c>
      <c r="X71" s="87">
        <f t="shared" si="10"/>
        <v>-6.3178901621531794E-2</v>
      </c>
      <c r="Y71" s="87">
        <f t="shared" si="10"/>
        <v>2.5879447987820759E-2</v>
      </c>
      <c r="Z71" s="87">
        <f t="shared" si="10"/>
        <v>3.3006296468170077E-2</v>
      </c>
      <c r="AA71" s="87">
        <f t="shared" si="10"/>
        <v>-6.333587517181076E-2</v>
      </c>
      <c r="AB71" s="87">
        <f t="shared" si="10"/>
        <v>7.0617567213953417E-2</v>
      </c>
      <c r="AC71" s="87">
        <f t="shared" si="10"/>
        <v>-1.3605652055778709E-2</v>
      </c>
      <c r="AD71" s="87">
        <f t="shared" si="10"/>
        <v>-9.6619109117368589E-3</v>
      </c>
      <c r="AE71" s="90">
        <f t="shared" si="6"/>
        <v>-1.2016287762974042E-2</v>
      </c>
      <c r="AF71" s="89"/>
    </row>
    <row r="72" spans="1:32" ht="15.5" x14ac:dyDescent="0.35">
      <c r="A72" s="82">
        <v>39871</v>
      </c>
      <c r="B72" s="83">
        <v>4617</v>
      </c>
      <c r="C72" s="84">
        <v>1377.8</v>
      </c>
      <c r="D72" s="61">
        <v>165.7</v>
      </c>
      <c r="E72" s="61">
        <v>12.6</v>
      </c>
      <c r="F72" s="61">
        <v>12.5</v>
      </c>
      <c r="G72" s="61">
        <v>16.100000000000001</v>
      </c>
      <c r="H72" s="61">
        <v>72.099999999999994</v>
      </c>
      <c r="I72" s="61">
        <v>4.3</v>
      </c>
      <c r="J72" s="61">
        <v>27</v>
      </c>
      <c r="K72" s="61">
        <v>15</v>
      </c>
      <c r="L72" s="61">
        <v>24.2</v>
      </c>
      <c r="M72" s="61">
        <v>17.7</v>
      </c>
      <c r="N72" s="61">
        <v>14.1</v>
      </c>
      <c r="O72" s="85">
        <v>10</v>
      </c>
      <c r="P72" s="105"/>
      <c r="Q72" s="87">
        <f t="shared" si="5"/>
        <v>-2.0579504416741914E-2</v>
      </c>
      <c r="R72" s="87">
        <f t="shared" si="9"/>
        <v>-9.8942778068500728E-3</v>
      </c>
      <c r="S72" s="87">
        <f t="shared" si="9"/>
        <v>-1.853565772933969E-2</v>
      </c>
      <c r="T72" s="87">
        <f t="shared" si="9"/>
        <v>-7.9051795071132611E-3</v>
      </c>
      <c r="U72" s="87">
        <f t="shared" si="9"/>
        <v>-1.5873349156290122E-2</v>
      </c>
      <c r="V72" s="87">
        <f t="shared" si="10"/>
        <v>-1.8462062839735217E-2</v>
      </c>
      <c r="W72" s="87">
        <f t="shared" si="10"/>
        <v>2.670573325913779E-2</v>
      </c>
      <c r="X72" s="87">
        <f t="shared" si="10"/>
        <v>-6.7441280795532535E-2</v>
      </c>
      <c r="Y72" s="87">
        <f t="shared" si="10"/>
        <v>-1.4706147389695449E-2</v>
      </c>
      <c r="Z72" s="87">
        <f t="shared" si="10"/>
        <v>-2.6317308317373417E-2</v>
      </c>
      <c r="AA72" s="87">
        <f t="shared" si="10"/>
        <v>-7.1743904858841301E-2</v>
      </c>
      <c r="AB72" s="87">
        <f t="shared" si="10"/>
        <v>-0.21747781377853237</v>
      </c>
      <c r="AC72" s="87">
        <f t="shared" si="10"/>
        <v>-3.484673133016819E-2</v>
      </c>
      <c r="AD72" s="87">
        <f t="shared" si="10"/>
        <v>-2.9558802241544505E-2</v>
      </c>
      <c r="AE72" s="90">
        <f t="shared" si="6"/>
        <v>-1.6524003296751459E-2</v>
      </c>
      <c r="AF72" s="89"/>
    </row>
    <row r="73" spans="1:32" ht="15.5" x14ac:dyDescent="0.35">
      <c r="A73" s="82">
        <v>39874</v>
      </c>
      <c r="B73" s="83">
        <v>4361</v>
      </c>
      <c r="C73" s="84">
        <v>1322.8</v>
      </c>
      <c r="D73" s="61">
        <v>163.19999999999999</v>
      </c>
      <c r="E73" s="61">
        <v>12.5</v>
      </c>
      <c r="F73" s="61">
        <v>12.5</v>
      </c>
      <c r="G73" s="61">
        <v>15.7</v>
      </c>
      <c r="H73" s="61">
        <v>71</v>
      </c>
      <c r="I73" s="61">
        <v>3.9</v>
      </c>
      <c r="J73" s="61">
        <v>24.7</v>
      </c>
      <c r="K73" s="61">
        <v>14.7</v>
      </c>
      <c r="L73" s="61">
        <v>23.4</v>
      </c>
      <c r="M73" s="61">
        <v>16.399999999999999</v>
      </c>
      <c r="N73" s="61">
        <v>12.9</v>
      </c>
      <c r="O73" s="85">
        <v>9.9</v>
      </c>
      <c r="P73" s="105"/>
      <c r="Q73" s="87">
        <f t="shared" si="5"/>
        <v>-5.7043754664222505E-2</v>
      </c>
      <c r="R73" s="87">
        <f t="shared" si="9"/>
        <v>-4.0737322051457699E-2</v>
      </c>
      <c r="S73" s="87">
        <f t="shared" si="9"/>
        <v>-1.5202481902510586E-2</v>
      </c>
      <c r="T73" s="87">
        <f t="shared" si="9"/>
        <v>-7.9681696491768449E-3</v>
      </c>
      <c r="U73" s="87">
        <f t="shared" si="9"/>
        <v>0</v>
      </c>
      <c r="V73" s="87">
        <f t="shared" si="10"/>
        <v>-2.5158559636155101E-2</v>
      </c>
      <c r="W73" s="87">
        <f t="shared" si="10"/>
        <v>-1.5374167249587851E-2</v>
      </c>
      <c r="X73" s="87">
        <f t="shared" si="10"/>
        <v>-9.7638469563915933E-2</v>
      </c>
      <c r="Y73" s="87">
        <f t="shared" si="10"/>
        <v>-8.9033622370397636E-2</v>
      </c>
      <c r="Z73" s="87">
        <f t="shared" si="10"/>
        <v>-2.0202707317519466E-2</v>
      </c>
      <c r="AA73" s="87">
        <f t="shared" si="10"/>
        <v>-3.3616610798984974E-2</v>
      </c>
      <c r="AB73" s="87">
        <f t="shared" si="10"/>
        <v>-7.6283304749630701E-2</v>
      </c>
      <c r="AC73" s="87">
        <f t="shared" si="10"/>
        <v>-8.8947486016496061E-2</v>
      </c>
      <c r="AD73" s="87">
        <f t="shared" si="10"/>
        <v>-1.0050335853501451E-2</v>
      </c>
      <c r="AE73" s="90">
        <f t="shared" si="6"/>
        <v>-1.7883296345959244E-2</v>
      </c>
      <c r="AF73" s="89"/>
    </row>
    <row r="74" spans="1:32" ht="15.5" x14ac:dyDescent="0.35">
      <c r="A74" s="82">
        <v>39875</v>
      </c>
      <c r="B74" s="83">
        <v>4334.7</v>
      </c>
      <c r="C74" s="84">
        <v>1321</v>
      </c>
      <c r="D74" s="61">
        <v>161.30000000000001</v>
      </c>
      <c r="E74" s="61">
        <v>12.3</v>
      </c>
      <c r="F74" s="61">
        <v>12.6</v>
      </c>
      <c r="G74" s="61">
        <v>15.6</v>
      </c>
      <c r="H74" s="61">
        <v>71.099999999999994</v>
      </c>
      <c r="I74" s="61">
        <v>3.7</v>
      </c>
      <c r="J74" s="61">
        <v>24.9</v>
      </c>
      <c r="K74" s="61">
        <v>14.1</v>
      </c>
      <c r="L74" s="61">
        <v>22.9</v>
      </c>
      <c r="M74" s="61">
        <v>13.4</v>
      </c>
      <c r="N74" s="61">
        <v>12.6</v>
      </c>
      <c r="O74" s="85">
        <v>10</v>
      </c>
      <c r="P74" s="105"/>
      <c r="Q74" s="87">
        <f t="shared" si="5"/>
        <v>-6.0489851750912278E-3</v>
      </c>
      <c r="R74" s="87">
        <f t="shared" si="9"/>
        <v>-1.3616765853123321E-3</v>
      </c>
      <c r="S74" s="87">
        <f t="shared" si="9"/>
        <v>-1.1710457398843303E-2</v>
      </c>
      <c r="T74" s="87">
        <f t="shared" si="9"/>
        <v>-1.6129381929883529E-2</v>
      </c>
      <c r="U74" s="87">
        <f t="shared" si="9"/>
        <v>7.9681696491768813E-3</v>
      </c>
      <c r="V74" s="87">
        <f t="shared" si="10"/>
        <v>-6.38979809877101E-3</v>
      </c>
      <c r="W74" s="87">
        <f t="shared" si="10"/>
        <v>1.4074597678797698E-3</v>
      </c>
      <c r="X74" s="87">
        <f t="shared" si="10"/>
        <v>-5.2643733485421909E-2</v>
      </c>
      <c r="Y74" s="87">
        <f t="shared" si="10"/>
        <v>8.0645598367304946E-3</v>
      </c>
      <c r="Z74" s="87">
        <f t="shared" si="10"/>
        <v>-4.1672696400567956E-2</v>
      </c>
      <c r="AA74" s="87">
        <f t="shared" si="10"/>
        <v>-2.1599111803461815E-2</v>
      </c>
      <c r="AB74" s="87">
        <f t="shared" si="10"/>
        <v>-0.20202662787328698</v>
      </c>
      <c r="AC74" s="87">
        <f t="shared" si="10"/>
        <v>-2.3530497410194161E-2</v>
      </c>
      <c r="AD74" s="87">
        <f t="shared" si="10"/>
        <v>1.0050335853501506E-2</v>
      </c>
      <c r="AE74" s="90">
        <f t="shared" si="6"/>
        <v>-3.3655412683411719E-4</v>
      </c>
      <c r="AF74" s="89"/>
    </row>
    <row r="75" spans="1:32" ht="15.5" x14ac:dyDescent="0.35">
      <c r="A75" s="82">
        <v>39876</v>
      </c>
      <c r="B75" s="83">
        <v>4464.8999999999996</v>
      </c>
      <c r="C75" s="84">
        <v>1353.7</v>
      </c>
      <c r="D75" s="61">
        <v>157.9</v>
      </c>
      <c r="E75" s="61">
        <v>12.5</v>
      </c>
      <c r="F75" s="61">
        <v>12.8</v>
      </c>
      <c r="G75" s="61">
        <v>15.9</v>
      </c>
      <c r="H75" s="61">
        <v>66.2</v>
      </c>
      <c r="I75" s="61">
        <v>3.8</v>
      </c>
      <c r="J75" s="61">
        <v>24.3</v>
      </c>
      <c r="K75" s="61">
        <v>14.6</v>
      </c>
      <c r="L75" s="61">
        <v>22.4</v>
      </c>
      <c r="M75" s="61">
        <v>12.8</v>
      </c>
      <c r="N75" s="61">
        <v>12.7</v>
      </c>
      <c r="O75" s="85">
        <v>10.199999999999999</v>
      </c>
      <c r="P75" s="105"/>
      <c r="Q75" s="87">
        <f t="shared" si="5"/>
        <v>2.9594413975547275E-2</v>
      </c>
      <c r="R75" s="87">
        <f t="shared" si="9"/>
        <v>2.4452558669415134E-2</v>
      </c>
      <c r="S75" s="87">
        <f t="shared" si="9"/>
        <v>-2.1304063869566767E-2</v>
      </c>
      <c r="T75" s="87">
        <f t="shared" si="9"/>
        <v>1.6129381929883498E-2</v>
      </c>
      <c r="U75" s="87">
        <f t="shared" si="9"/>
        <v>1.5748356968139331E-2</v>
      </c>
      <c r="V75" s="87">
        <f t="shared" si="10"/>
        <v>1.904819497069463E-2</v>
      </c>
      <c r="W75" s="87">
        <f t="shared" si="10"/>
        <v>-7.1406873866232554E-2</v>
      </c>
      <c r="X75" s="87">
        <f t="shared" si="10"/>
        <v>2.6668247082161273E-2</v>
      </c>
      <c r="Y75" s="87">
        <f t="shared" si="10"/>
        <v>-2.4391453124159124E-2</v>
      </c>
      <c r="Z75" s="87">
        <f t="shared" si="10"/>
        <v>3.48467313301681E-2</v>
      </c>
      <c r="AA75" s="87">
        <f t="shared" si="10"/>
        <v>-2.2075951699199847E-2</v>
      </c>
      <c r="AB75" s="87">
        <f t="shared" si="10"/>
        <v>-4.5809536031294222E-2</v>
      </c>
      <c r="AC75" s="87">
        <f t="shared" si="10"/>
        <v>7.9051795071132473E-3</v>
      </c>
      <c r="AD75" s="87">
        <f t="shared" si="10"/>
        <v>1.980262729617973E-2</v>
      </c>
      <c r="AE75" s="90">
        <f t="shared" si="6"/>
        <v>8.0025908025169804E-3</v>
      </c>
      <c r="AF75" s="89"/>
    </row>
    <row r="76" spans="1:32" ht="15.5" x14ac:dyDescent="0.35">
      <c r="A76" s="82">
        <v>39877</v>
      </c>
      <c r="B76" s="83">
        <v>4267.6000000000004</v>
      </c>
      <c r="C76" s="84">
        <v>1299.5999999999999</v>
      </c>
      <c r="D76" s="61">
        <v>151.5</v>
      </c>
      <c r="E76" s="61">
        <v>12.5</v>
      </c>
      <c r="F76" s="61">
        <v>12.6</v>
      </c>
      <c r="G76" s="61">
        <v>15.3</v>
      </c>
      <c r="H76" s="61">
        <v>64.599999999999994</v>
      </c>
      <c r="I76" s="61">
        <v>3.5</v>
      </c>
      <c r="J76" s="61">
        <v>22.7</v>
      </c>
      <c r="K76" s="61">
        <v>14.2</v>
      </c>
      <c r="L76" s="61">
        <v>21.9</v>
      </c>
      <c r="M76" s="61">
        <v>11.4</v>
      </c>
      <c r="N76" s="61">
        <v>11.7</v>
      </c>
      <c r="O76" s="85">
        <v>9.9</v>
      </c>
      <c r="P76" s="105"/>
      <c r="Q76" s="87">
        <f t="shared" si="5"/>
        <v>-4.5195209325916197E-2</v>
      </c>
      <c r="R76" s="87">
        <f t="shared" si="9"/>
        <v>-4.078505939679538E-2</v>
      </c>
      <c r="S76" s="87">
        <f t="shared" si="9"/>
        <v>-4.1376296312172552E-2</v>
      </c>
      <c r="T76" s="87">
        <f t="shared" si="9"/>
        <v>0</v>
      </c>
      <c r="U76" s="87">
        <f t="shared" si="9"/>
        <v>-1.5748356968139282E-2</v>
      </c>
      <c r="V76" s="87">
        <f t="shared" si="10"/>
        <v>-3.8466280827796052E-2</v>
      </c>
      <c r="W76" s="87">
        <f t="shared" si="10"/>
        <v>-2.4466052154406497E-2</v>
      </c>
      <c r="X76" s="87">
        <f t="shared" si="10"/>
        <v>-8.2238098236971993E-2</v>
      </c>
      <c r="Y76" s="87">
        <f t="shared" si="10"/>
        <v>-6.8111425859145813E-2</v>
      </c>
      <c r="Z76" s="87">
        <f t="shared" si="10"/>
        <v>-2.7779564107075706E-2</v>
      </c>
      <c r="AA76" s="87">
        <f t="shared" si="10"/>
        <v>-2.2574322038539065E-2</v>
      </c>
      <c r="AB76" s="87">
        <f t="shared" si="10"/>
        <v>-0.1158318155251217</v>
      </c>
      <c r="AC76" s="87">
        <f t="shared" si="10"/>
        <v>-8.2013151660835129E-2</v>
      </c>
      <c r="AD76" s="87">
        <f t="shared" si="10"/>
        <v>-2.9852963149681045E-2</v>
      </c>
      <c r="AE76" s="90">
        <f t="shared" si="6"/>
        <v>-3.2470407587163859E-2</v>
      </c>
      <c r="AF76" s="89"/>
    </row>
    <row r="77" spans="1:32" ht="15.5" x14ac:dyDescent="0.35">
      <c r="A77" s="82">
        <v>39878</v>
      </c>
      <c r="B77" s="83">
        <v>4284.5</v>
      </c>
      <c r="C77" s="84">
        <v>1293.8</v>
      </c>
      <c r="D77" s="61">
        <v>147.30000000000001</v>
      </c>
      <c r="E77" s="61">
        <v>12.5</v>
      </c>
      <c r="F77" s="61">
        <v>11.8</v>
      </c>
      <c r="G77" s="61">
        <v>14.9</v>
      </c>
      <c r="H77" s="61">
        <v>63.4</v>
      </c>
      <c r="I77" s="61">
        <v>3.2</v>
      </c>
      <c r="J77" s="61">
        <v>21.5</v>
      </c>
      <c r="K77" s="61">
        <v>13.7</v>
      </c>
      <c r="L77" s="61">
        <v>22</v>
      </c>
      <c r="M77" s="61">
        <v>11.4</v>
      </c>
      <c r="N77" s="61">
        <v>10.9</v>
      </c>
      <c r="O77" s="85">
        <v>9.8000000000000007</v>
      </c>
      <c r="P77" s="105"/>
      <c r="Q77" s="87">
        <f t="shared" si="5"/>
        <v>3.9522507918672706E-3</v>
      </c>
      <c r="R77" s="87">
        <f t="shared" si="9"/>
        <v>-4.472900185060141E-3</v>
      </c>
      <c r="S77" s="87">
        <f t="shared" si="9"/>
        <v>-2.8114301480839158E-2</v>
      </c>
      <c r="T77" s="87">
        <f t="shared" si="9"/>
        <v>0</v>
      </c>
      <c r="U77" s="87">
        <f t="shared" si="9"/>
        <v>-6.5597282485813119E-2</v>
      </c>
      <c r="V77" s="87">
        <f t="shared" si="10"/>
        <v>-2.6491615446976341E-2</v>
      </c>
      <c r="W77" s="87">
        <f t="shared" si="10"/>
        <v>-1.8750549345375806E-2</v>
      </c>
      <c r="X77" s="87">
        <f t="shared" si="10"/>
        <v>-8.9612158689687041E-2</v>
      </c>
      <c r="Y77" s="87">
        <f t="shared" si="10"/>
        <v>-5.4311989353739841E-2</v>
      </c>
      <c r="Z77" s="87">
        <f t="shared" si="10"/>
        <v>-3.5846131773135767E-2</v>
      </c>
      <c r="AA77" s="87">
        <f t="shared" si="10"/>
        <v>4.5558165358608824E-3</v>
      </c>
      <c r="AB77" s="87">
        <f t="shared" si="10"/>
        <v>0</v>
      </c>
      <c r="AC77" s="87">
        <f t="shared" si="10"/>
        <v>-7.0826052568612283E-2</v>
      </c>
      <c r="AD77" s="87">
        <f t="shared" si="10"/>
        <v>-1.0152371464017962E-2</v>
      </c>
      <c r="AE77" s="90">
        <f t="shared" si="6"/>
        <v>-2.9562428982405495E-2</v>
      </c>
      <c r="AF77" s="89"/>
    </row>
    <row r="78" spans="1:32" ht="15.5" x14ac:dyDescent="0.35">
      <c r="A78" s="82">
        <v>39881</v>
      </c>
      <c r="B78" s="83">
        <v>4226.3</v>
      </c>
      <c r="C78" s="84">
        <v>1268.5999999999999</v>
      </c>
      <c r="D78" s="61">
        <v>144.9</v>
      </c>
      <c r="E78" s="61">
        <v>12.6</v>
      </c>
      <c r="F78" s="61">
        <v>11.8</v>
      </c>
      <c r="G78" s="61">
        <v>15.1</v>
      </c>
      <c r="H78" s="61">
        <v>63.8</v>
      </c>
      <c r="I78" s="61">
        <v>3.5</v>
      </c>
      <c r="J78" s="61">
        <v>21.2</v>
      </c>
      <c r="K78" s="61">
        <v>14</v>
      </c>
      <c r="L78" s="61">
        <v>20.100000000000001</v>
      </c>
      <c r="M78" s="61">
        <v>11.5</v>
      </c>
      <c r="N78" s="61">
        <v>11.2</v>
      </c>
      <c r="O78" s="85">
        <v>9.6</v>
      </c>
      <c r="P78" s="105"/>
      <c r="Q78" s="87">
        <f t="shared" ref="Q78:Q141" si="11">+LN(B78/B77)</f>
        <v>-1.3676953337777045E-2</v>
      </c>
      <c r="R78" s="87">
        <f t="shared" si="9"/>
        <v>-1.9669694410088336E-2</v>
      </c>
      <c r="S78" s="87">
        <f t="shared" si="9"/>
        <v>-1.642747414194793E-2</v>
      </c>
      <c r="T78" s="87">
        <f t="shared" si="9"/>
        <v>7.9681696491768813E-3</v>
      </c>
      <c r="U78" s="87">
        <f t="shared" si="9"/>
        <v>0</v>
      </c>
      <c r="V78" s="87">
        <f t="shared" si="10"/>
        <v>1.3333530869465168E-2</v>
      </c>
      <c r="W78" s="87">
        <f t="shared" si="10"/>
        <v>6.2893289075639184E-3</v>
      </c>
      <c r="X78" s="87">
        <f t="shared" si="10"/>
        <v>8.9612158689687138E-2</v>
      </c>
      <c r="Y78" s="87">
        <f t="shared" si="10"/>
        <v>-1.4051753455650415E-2</v>
      </c>
      <c r="Z78" s="87">
        <f t="shared" si="10"/>
        <v>2.1661496781179467E-2</v>
      </c>
      <c r="AA78" s="87">
        <f t="shared" si="10"/>
        <v>-9.0322638293285726E-2</v>
      </c>
      <c r="AB78" s="87">
        <f t="shared" si="10"/>
        <v>8.7336799687546315E-3</v>
      </c>
      <c r="AC78" s="87">
        <f t="shared" si="10"/>
        <v>2.7150989065950683E-2</v>
      </c>
      <c r="AD78" s="87">
        <f t="shared" si="10"/>
        <v>-2.0619287202735818E-2</v>
      </c>
      <c r="AE78" s="90">
        <f t="shared" si="6"/>
        <v>-1.3211578068798968E-2</v>
      </c>
      <c r="AF78" s="89"/>
    </row>
    <row r="79" spans="1:32" ht="15.5" x14ac:dyDescent="0.35">
      <c r="A79" s="82">
        <v>39882</v>
      </c>
      <c r="B79" s="83">
        <v>4499.3999999999996</v>
      </c>
      <c r="C79" s="84">
        <v>1358.3</v>
      </c>
      <c r="D79" s="61">
        <v>147.30000000000001</v>
      </c>
      <c r="E79" s="61">
        <v>12.8</v>
      </c>
      <c r="F79" s="61">
        <v>12.1</v>
      </c>
      <c r="G79" s="61">
        <v>15.3</v>
      </c>
      <c r="H79" s="61">
        <v>66.599999999999994</v>
      </c>
      <c r="I79" s="61">
        <v>4.0999999999999996</v>
      </c>
      <c r="J79" s="61">
        <v>23.8</v>
      </c>
      <c r="K79" s="61">
        <v>14.4</v>
      </c>
      <c r="L79" s="61">
        <v>21.4</v>
      </c>
      <c r="M79" s="61">
        <v>12.9</v>
      </c>
      <c r="N79" s="61">
        <v>11.6</v>
      </c>
      <c r="O79" s="85">
        <v>9.6999999999999993</v>
      </c>
      <c r="P79" s="105"/>
      <c r="Q79" s="87">
        <f t="shared" si="11"/>
        <v>6.2617148764002165E-2</v>
      </c>
      <c r="R79" s="87">
        <f t="shared" si="9"/>
        <v>6.8319987628648424E-2</v>
      </c>
      <c r="S79" s="87">
        <f t="shared" si="9"/>
        <v>1.6427474141947996E-2</v>
      </c>
      <c r="T79" s="87">
        <f t="shared" si="9"/>
        <v>1.5748356968139331E-2</v>
      </c>
      <c r="U79" s="87">
        <f t="shared" si="9"/>
        <v>2.5105921131076261E-2</v>
      </c>
      <c r="V79" s="87">
        <f t="shared" si="10"/>
        <v>1.3158084577511201E-2</v>
      </c>
      <c r="W79" s="87">
        <f t="shared" si="10"/>
        <v>4.295138719559926E-2</v>
      </c>
      <c r="X79" s="87">
        <f t="shared" si="10"/>
        <v>0.15822400521489399</v>
      </c>
      <c r="Y79" s="87">
        <f t="shared" si="10"/>
        <v>0.11568439899946231</v>
      </c>
      <c r="Z79" s="87">
        <f t="shared" si="10"/>
        <v>2.8170876966696439E-2</v>
      </c>
      <c r="AA79" s="87">
        <f t="shared" si="10"/>
        <v>6.2671106962775558E-2</v>
      </c>
      <c r="AB79" s="87">
        <f t="shared" si="10"/>
        <v>0.11488027599842202</v>
      </c>
      <c r="AC79" s="87">
        <f t="shared" si="10"/>
        <v>3.5091319811270193E-2</v>
      </c>
      <c r="AD79" s="87">
        <f t="shared" si="10"/>
        <v>1.0362787035546658E-2</v>
      </c>
      <c r="AE79" s="90">
        <f t="shared" ref="AE79:AE142" si="12">+SUMPRODUCT(Q79:AD79,$Q$8:$AD$8)</f>
        <v>3.3726531016348024E-2</v>
      </c>
      <c r="AF79" s="89"/>
    </row>
    <row r="80" spans="1:32" ht="15.5" x14ac:dyDescent="0.35">
      <c r="A80" s="82">
        <v>39883</v>
      </c>
      <c r="B80" s="83">
        <v>4505.3999999999996</v>
      </c>
      <c r="C80" s="84">
        <v>1371.6</v>
      </c>
      <c r="D80" s="61">
        <v>153</v>
      </c>
      <c r="E80" s="61">
        <v>13</v>
      </c>
      <c r="F80" s="61">
        <v>12.8</v>
      </c>
      <c r="G80" s="61">
        <v>16.399999999999999</v>
      </c>
      <c r="H80" s="61">
        <v>68.099999999999994</v>
      </c>
      <c r="I80" s="61">
        <v>4.5</v>
      </c>
      <c r="J80" s="61">
        <v>24.7</v>
      </c>
      <c r="K80" s="61">
        <v>15.5</v>
      </c>
      <c r="L80" s="61">
        <v>21.8</v>
      </c>
      <c r="M80" s="61">
        <v>13.9</v>
      </c>
      <c r="N80" s="61">
        <v>12.2</v>
      </c>
      <c r="O80" s="85">
        <v>10.4</v>
      </c>
      <c r="P80" s="105"/>
      <c r="Q80" s="87">
        <f t="shared" si="11"/>
        <v>1.3326227984946011E-3</v>
      </c>
      <c r="R80" s="87">
        <f t="shared" si="9"/>
        <v>9.7440237603201984E-3</v>
      </c>
      <c r="S80" s="87">
        <f t="shared" si="9"/>
        <v>3.7966597923850723E-2</v>
      </c>
      <c r="T80" s="87">
        <f t="shared" si="9"/>
        <v>1.5504186535965254E-2</v>
      </c>
      <c r="U80" s="87">
        <f t="shared" si="9"/>
        <v>5.6239718322876109E-2</v>
      </c>
      <c r="V80" s="87">
        <f t="shared" si="10"/>
        <v>6.9428506431762932E-2</v>
      </c>
      <c r="W80" s="87">
        <f t="shared" si="10"/>
        <v>2.2272635609123223E-2</v>
      </c>
      <c r="X80" s="87">
        <f t="shared" si="10"/>
        <v>9.3090423066012035E-2</v>
      </c>
      <c r="Y80" s="87">
        <f t="shared" si="10"/>
        <v>3.7117662956502373E-2</v>
      </c>
      <c r="Z80" s="87">
        <f t="shared" si="10"/>
        <v>7.3611817343245955E-2</v>
      </c>
      <c r="AA80" s="87">
        <f t="shared" si="10"/>
        <v>1.8519047767237531E-2</v>
      </c>
      <c r="AB80" s="87">
        <f t="shared" si="10"/>
        <v>7.4661528769019561E-2</v>
      </c>
      <c r="AC80" s="87">
        <f t="shared" si="10"/>
        <v>5.0430853626891904E-2</v>
      </c>
      <c r="AD80" s="87">
        <f t="shared" si="10"/>
        <v>6.9679920637990014E-2</v>
      </c>
      <c r="AE80" s="90">
        <f t="shared" si="12"/>
        <v>3.8586618786104268E-2</v>
      </c>
      <c r="AF80" s="89"/>
    </row>
    <row r="81" spans="1:32" ht="15.5" x14ac:dyDescent="0.35">
      <c r="A81" s="82">
        <v>39884</v>
      </c>
      <c r="B81" s="83">
        <v>4685</v>
      </c>
      <c r="C81" s="84">
        <v>1426.1</v>
      </c>
      <c r="D81" s="61">
        <v>157</v>
      </c>
      <c r="E81" s="61">
        <v>13.1</v>
      </c>
      <c r="F81" s="61">
        <v>13.1</v>
      </c>
      <c r="G81" s="61">
        <v>16.5</v>
      </c>
      <c r="H81" s="61">
        <v>67.599999999999994</v>
      </c>
      <c r="I81" s="61">
        <v>4.5999999999999996</v>
      </c>
      <c r="J81" s="61">
        <v>24.4</v>
      </c>
      <c r="K81" s="61">
        <v>15.6</v>
      </c>
      <c r="L81" s="61">
        <v>21.7</v>
      </c>
      <c r="M81" s="61">
        <v>14.3</v>
      </c>
      <c r="N81" s="61">
        <v>12.1</v>
      </c>
      <c r="O81" s="85">
        <v>10.6</v>
      </c>
      <c r="P81" s="105"/>
      <c r="Q81" s="87">
        <f t="shared" si="11"/>
        <v>3.9089238338629352E-2</v>
      </c>
      <c r="R81" s="87">
        <f t="shared" si="9"/>
        <v>3.8965504153955943E-2</v>
      </c>
      <c r="S81" s="87">
        <f t="shared" si="9"/>
        <v>2.5807883955872503E-2</v>
      </c>
      <c r="T81" s="87">
        <f t="shared" si="9"/>
        <v>7.6628727455690972E-3</v>
      </c>
      <c r="U81" s="87">
        <f t="shared" si="9"/>
        <v>2.3167059281534379E-2</v>
      </c>
      <c r="V81" s="87">
        <f t="shared" si="10"/>
        <v>6.0790460763821925E-3</v>
      </c>
      <c r="W81" s="87">
        <f t="shared" si="10"/>
        <v>-7.3692301065482208E-3</v>
      </c>
      <c r="X81" s="87">
        <f t="shared" si="10"/>
        <v>2.1978906718775167E-2</v>
      </c>
      <c r="Y81" s="87">
        <f t="shared" si="10"/>
        <v>-1.2220111334775333E-2</v>
      </c>
      <c r="Z81" s="87">
        <f t="shared" si="10"/>
        <v>6.4308903302903314E-3</v>
      </c>
      <c r="AA81" s="87">
        <f t="shared" si="10"/>
        <v>-4.5977092486295425E-3</v>
      </c>
      <c r="AB81" s="87">
        <f t="shared" si="10"/>
        <v>2.8370697129215566E-2</v>
      </c>
      <c r="AC81" s="87">
        <f t="shared" si="10"/>
        <v>-8.23049913651548E-3</v>
      </c>
      <c r="AD81" s="87">
        <f t="shared" si="10"/>
        <v>1.9048194970694411E-2</v>
      </c>
      <c r="AE81" s="90">
        <f t="shared" si="12"/>
        <v>2.8175117981449699E-2</v>
      </c>
      <c r="AF81" s="89"/>
    </row>
    <row r="82" spans="1:32" ht="15.5" x14ac:dyDescent="0.35">
      <c r="A82" s="82">
        <v>39885</v>
      </c>
      <c r="B82" s="83">
        <v>4721</v>
      </c>
      <c r="C82" s="84">
        <v>1431.5</v>
      </c>
      <c r="D82" s="61">
        <v>159.69999999999999</v>
      </c>
      <c r="E82" s="61">
        <v>13.3</v>
      </c>
      <c r="F82" s="61">
        <v>13.6</v>
      </c>
      <c r="G82" s="61">
        <v>16.2</v>
      </c>
      <c r="H82" s="61">
        <v>64.099999999999994</v>
      </c>
      <c r="I82" s="61">
        <v>5</v>
      </c>
      <c r="J82" s="61">
        <v>25.1</v>
      </c>
      <c r="K82" s="61">
        <v>16.100000000000001</v>
      </c>
      <c r="L82" s="61">
        <v>24.3</v>
      </c>
      <c r="M82" s="61">
        <v>16.100000000000001</v>
      </c>
      <c r="N82" s="61">
        <v>12.7</v>
      </c>
      <c r="O82" s="85">
        <v>10.8</v>
      </c>
      <c r="P82" s="105"/>
      <c r="Q82" s="87">
        <f t="shared" si="11"/>
        <v>7.65472587376407E-3</v>
      </c>
      <c r="R82" s="87">
        <f t="shared" si="9"/>
        <v>3.7793997954484347E-3</v>
      </c>
      <c r="S82" s="87">
        <f t="shared" si="9"/>
        <v>1.7051249872658578E-2</v>
      </c>
      <c r="T82" s="87">
        <f t="shared" si="9"/>
        <v>1.5151805020602246E-2</v>
      </c>
      <c r="U82" s="87">
        <f t="shared" si="9"/>
        <v>3.7457562534900415E-2</v>
      </c>
      <c r="V82" s="87">
        <f t="shared" si="10"/>
        <v>-1.8349138668196541E-2</v>
      </c>
      <c r="W82" s="87">
        <f t="shared" si="10"/>
        <v>-5.3163619122294038E-2</v>
      </c>
      <c r="X82" s="87">
        <f t="shared" si="10"/>
        <v>8.3381608939051208E-2</v>
      </c>
      <c r="Y82" s="87">
        <f t="shared" si="10"/>
        <v>2.8284713838582103E-2</v>
      </c>
      <c r="Z82" s="87">
        <f t="shared" si="10"/>
        <v>3.1548357734926057E-2</v>
      </c>
      <c r="AA82" s="87">
        <f t="shared" si="10"/>
        <v>0.11316408980008903</v>
      </c>
      <c r="AB82" s="87">
        <f t="shared" si="10"/>
        <v>0.11855973472455568</v>
      </c>
      <c r="AC82" s="87">
        <f t="shared" si="10"/>
        <v>4.8396540861850239E-2</v>
      </c>
      <c r="AD82" s="87">
        <f t="shared" si="10"/>
        <v>1.8692133012152546E-2</v>
      </c>
      <c r="AE82" s="90">
        <f t="shared" si="12"/>
        <v>1.9107438243303642E-2</v>
      </c>
      <c r="AF82" s="89"/>
    </row>
    <row r="83" spans="1:32" ht="15.5" x14ac:dyDescent="0.35">
      <c r="A83" s="82">
        <v>39888</v>
      </c>
      <c r="B83" s="83">
        <v>4728.8999999999996</v>
      </c>
      <c r="C83" s="84">
        <v>1404</v>
      </c>
      <c r="D83" s="61">
        <v>159.5</v>
      </c>
      <c r="E83" s="61">
        <v>13.2</v>
      </c>
      <c r="F83" s="61">
        <v>13.5</v>
      </c>
      <c r="G83" s="61">
        <v>16.2</v>
      </c>
      <c r="H83" s="61">
        <v>62</v>
      </c>
      <c r="I83" s="61">
        <v>5.2</v>
      </c>
      <c r="J83" s="61">
        <v>25.2</v>
      </c>
      <c r="K83" s="61">
        <v>16.100000000000001</v>
      </c>
      <c r="L83" s="61">
        <v>26.1</v>
      </c>
      <c r="M83" s="61">
        <v>17.8</v>
      </c>
      <c r="N83" s="61">
        <v>13</v>
      </c>
      <c r="O83" s="85">
        <v>10.9</v>
      </c>
      <c r="P83" s="105"/>
      <c r="Q83" s="87">
        <f t="shared" si="11"/>
        <v>1.6719757543195138E-3</v>
      </c>
      <c r="R83" s="87">
        <f t="shared" si="9"/>
        <v>-1.9397539952413344E-2</v>
      </c>
      <c r="S83" s="87">
        <f t="shared" si="9"/>
        <v>-1.253132996067422E-3</v>
      </c>
      <c r="T83" s="87">
        <f t="shared" si="9"/>
        <v>-7.5472056353829663E-3</v>
      </c>
      <c r="U83" s="87">
        <f t="shared" si="9"/>
        <v>-7.3801072976225337E-3</v>
      </c>
      <c r="V83" s="87">
        <f t="shared" si="10"/>
        <v>0</v>
      </c>
      <c r="W83" s="87">
        <f t="shared" si="10"/>
        <v>-3.330997888153274E-2</v>
      </c>
      <c r="X83" s="87">
        <f t="shared" si="10"/>
        <v>3.9220713153281329E-2</v>
      </c>
      <c r="Y83" s="87">
        <f t="shared" si="10"/>
        <v>3.9761483796394168E-3</v>
      </c>
      <c r="Z83" s="87">
        <f t="shared" si="10"/>
        <v>0</v>
      </c>
      <c r="AA83" s="87">
        <f t="shared" si="10"/>
        <v>7.1458963982145046E-2</v>
      </c>
      <c r="AB83" s="87">
        <f t="shared" si="10"/>
        <v>0.10037918530762203</v>
      </c>
      <c r="AC83" s="87">
        <f t="shared" si="10"/>
        <v>2.3347363996991107E-2</v>
      </c>
      <c r="AD83" s="87">
        <f t="shared" si="10"/>
        <v>9.2166551049240476E-3</v>
      </c>
      <c r="AE83" s="90">
        <f t="shared" si="12"/>
        <v>-7.1712478364103945E-3</v>
      </c>
      <c r="AF83" s="89"/>
    </row>
    <row r="84" spans="1:32" ht="15.5" x14ac:dyDescent="0.35">
      <c r="A84" s="82">
        <v>39889</v>
      </c>
      <c r="B84" s="83">
        <v>4868.1000000000004</v>
      </c>
      <c r="C84" s="84">
        <v>1462.1</v>
      </c>
      <c r="D84" s="61">
        <v>159.69999999999999</v>
      </c>
      <c r="E84" s="61">
        <v>13.2</v>
      </c>
      <c r="F84" s="61">
        <v>13.6</v>
      </c>
      <c r="G84" s="61">
        <v>16.3</v>
      </c>
      <c r="H84" s="61">
        <v>65.900000000000006</v>
      </c>
      <c r="I84" s="61">
        <v>5</v>
      </c>
      <c r="J84" s="61">
        <v>24.4</v>
      </c>
      <c r="K84" s="61">
        <v>16</v>
      </c>
      <c r="L84" s="61">
        <v>25.8</v>
      </c>
      <c r="M84" s="61">
        <v>18.7</v>
      </c>
      <c r="N84" s="61">
        <v>12.7</v>
      </c>
      <c r="O84" s="85">
        <v>10.9</v>
      </c>
      <c r="P84" s="105"/>
      <c r="Q84" s="87">
        <f t="shared" si="11"/>
        <v>2.9011099912994508E-2</v>
      </c>
      <c r="R84" s="87">
        <f t="shared" si="9"/>
        <v>4.0548452837635855E-2</v>
      </c>
      <c r="S84" s="87">
        <f t="shared" si="9"/>
        <v>1.2531329960674502E-3</v>
      </c>
      <c r="T84" s="87">
        <f t="shared" si="9"/>
        <v>0</v>
      </c>
      <c r="U84" s="87">
        <f t="shared" si="9"/>
        <v>7.38010729762246E-3</v>
      </c>
      <c r="V84" s="87">
        <f t="shared" si="10"/>
        <v>6.1538655743782859E-3</v>
      </c>
      <c r="W84" s="87">
        <f t="shared" si="10"/>
        <v>6.1004056463370052E-2</v>
      </c>
      <c r="X84" s="87">
        <f t="shared" si="10"/>
        <v>-3.9220713153281385E-2</v>
      </c>
      <c r="Y84" s="87">
        <f t="shared" si="10"/>
        <v>-3.2260862218221435E-2</v>
      </c>
      <c r="Z84" s="87">
        <f t="shared" si="10"/>
        <v>-6.2305497506361975E-3</v>
      </c>
      <c r="AA84" s="87">
        <f t="shared" si="10"/>
        <v>-1.1560822401075971E-2</v>
      </c>
      <c r="AB84" s="87">
        <f t="shared" si="10"/>
        <v>4.9325066562501491E-2</v>
      </c>
      <c r="AC84" s="87">
        <f t="shared" si="10"/>
        <v>-2.3347363996991177E-2</v>
      </c>
      <c r="AD84" s="87">
        <f t="shared" si="10"/>
        <v>0</v>
      </c>
      <c r="AE84" s="90">
        <f t="shared" si="12"/>
        <v>1.463147056523696E-2</v>
      </c>
      <c r="AF84" s="89"/>
    </row>
    <row r="85" spans="1:32" ht="15.5" x14ac:dyDescent="0.35">
      <c r="A85" s="82">
        <v>39890</v>
      </c>
      <c r="B85" s="83">
        <v>4975.3</v>
      </c>
      <c r="C85" s="84">
        <v>1491.2</v>
      </c>
      <c r="D85" s="61">
        <v>164.2</v>
      </c>
      <c r="E85" s="61">
        <v>13.2</v>
      </c>
      <c r="F85" s="61">
        <v>14.3</v>
      </c>
      <c r="G85" s="61">
        <v>16.600000000000001</v>
      </c>
      <c r="H85" s="61">
        <v>68.3</v>
      </c>
      <c r="I85" s="61">
        <v>5.2</v>
      </c>
      <c r="J85" s="61">
        <v>24.8</v>
      </c>
      <c r="K85" s="61">
        <v>16.5</v>
      </c>
      <c r="L85" s="61">
        <v>26.1</v>
      </c>
      <c r="M85" s="61">
        <v>21.3</v>
      </c>
      <c r="N85" s="61">
        <v>13.6</v>
      </c>
      <c r="O85" s="85">
        <v>11.2</v>
      </c>
      <c r="P85" s="105"/>
      <c r="Q85" s="87">
        <f t="shared" si="11"/>
        <v>2.1781953068567231E-2</v>
      </c>
      <c r="R85" s="87">
        <f t="shared" si="9"/>
        <v>1.9707406507934597E-2</v>
      </c>
      <c r="S85" s="87">
        <f t="shared" si="9"/>
        <v>2.7788141797361061E-2</v>
      </c>
      <c r="T85" s="87">
        <f t="shared" si="9"/>
        <v>0</v>
      </c>
      <c r="U85" s="87">
        <f t="shared" si="9"/>
        <v>5.0189744523855308E-2</v>
      </c>
      <c r="V85" s="87">
        <f t="shared" si="10"/>
        <v>1.8237587549781012E-2</v>
      </c>
      <c r="W85" s="87">
        <f t="shared" si="10"/>
        <v>3.5771325068282803E-2</v>
      </c>
      <c r="X85" s="87">
        <f t="shared" si="10"/>
        <v>3.9220713153281329E-2</v>
      </c>
      <c r="Y85" s="87">
        <f t="shared" si="10"/>
        <v>1.6260520871780326E-2</v>
      </c>
      <c r="Z85" s="87">
        <f t="shared" si="10"/>
        <v>3.0771658666753687E-2</v>
      </c>
      <c r="AA85" s="87">
        <f t="shared" si="10"/>
        <v>1.1560822401076006E-2</v>
      </c>
      <c r="AB85" s="87">
        <f t="shared" si="10"/>
        <v>0.1301835488548386</v>
      </c>
      <c r="AC85" s="87">
        <f t="shared" si="10"/>
        <v>6.8467799277460828E-2</v>
      </c>
      <c r="AD85" s="87">
        <f t="shared" si="10"/>
        <v>2.7150989065950683E-2</v>
      </c>
      <c r="AE85" s="90">
        <f t="shared" si="12"/>
        <v>3.1693998873302133E-2</v>
      </c>
      <c r="AF85" s="89"/>
    </row>
    <row r="86" spans="1:32" ht="15.5" x14ac:dyDescent="0.35">
      <c r="A86" s="82">
        <v>39891</v>
      </c>
      <c r="B86" s="83">
        <v>4937.2</v>
      </c>
      <c r="C86" s="84">
        <v>1483.5</v>
      </c>
      <c r="D86" s="61">
        <v>163.9</v>
      </c>
      <c r="E86" s="61">
        <v>13.6</v>
      </c>
      <c r="F86" s="61">
        <v>14.3</v>
      </c>
      <c r="G86" s="61">
        <v>16.899999999999999</v>
      </c>
      <c r="H86" s="61">
        <v>69.099999999999994</v>
      </c>
      <c r="I86" s="61">
        <v>6</v>
      </c>
      <c r="J86" s="61">
        <v>26.3</v>
      </c>
      <c r="K86" s="61">
        <v>17.5</v>
      </c>
      <c r="L86" s="61">
        <v>25.7</v>
      </c>
      <c r="M86" s="61">
        <v>22.2</v>
      </c>
      <c r="N86" s="61">
        <v>13.6</v>
      </c>
      <c r="O86" s="85">
        <v>10.8</v>
      </c>
      <c r="P86" s="105"/>
      <c r="Q86" s="87">
        <f t="shared" si="11"/>
        <v>-7.687301412394449E-3</v>
      </c>
      <c r="R86" s="87">
        <f t="shared" si="9"/>
        <v>-5.1770042004503219E-3</v>
      </c>
      <c r="S86" s="87">
        <f t="shared" si="9"/>
        <v>-1.8287112685437803E-3</v>
      </c>
      <c r="T86" s="87">
        <f t="shared" si="9"/>
        <v>2.9852963149681128E-2</v>
      </c>
      <c r="U86" s="87">
        <f t="shared" si="9"/>
        <v>0</v>
      </c>
      <c r="V86" s="87">
        <f t="shared" si="10"/>
        <v>1.7910926566530025E-2</v>
      </c>
      <c r="W86" s="87">
        <f t="shared" si="10"/>
        <v>1.1644964196879834E-2</v>
      </c>
      <c r="X86" s="87">
        <f t="shared" si="10"/>
        <v>0.14310084364067324</v>
      </c>
      <c r="Y86" s="87">
        <f t="shared" si="10"/>
        <v>5.8725286012782429E-2</v>
      </c>
      <c r="Z86" s="87">
        <f t="shared" si="10"/>
        <v>5.8840500022933395E-2</v>
      </c>
      <c r="AA86" s="87">
        <f t="shared" si="10"/>
        <v>-1.5444322427473744E-2</v>
      </c>
      <c r="AB86" s="87">
        <f t="shared" si="10"/>
        <v>4.1385216162854281E-2</v>
      </c>
      <c r="AC86" s="87">
        <f t="shared" si="10"/>
        <v>0</v>
      </c>
      <c r="AD86" s="87">
        <f t="shared" si="10"/>
        <v>-3.6367644170874715E-2</v>
      </c>
      <c r="AE86" s="90">
        <f t="shared" si="12"/>
        <v>-6.5076041024461993E-3</v>
      </c>
      <c r="AF86" s="89"/>
    </row>
    <row r="87" spans="1:32" ht="15.5" x14ac:dyDescent="0.35">
      <c r="A87" s="82">
        <v>39892</v>
      </c>
      <c r="B87" s="83">
        <v>4832.1000000000004</v>
      </c>
      <c r="C87" s="84">
        <v>1457.3</v>
      </c>
      <c r="D87" s="61">
        <v>163.30000000000001</v>
      </c>
      <c r="E87" s="61">
        <v>13.5</v>
      </c>
      <c r="F87" s="61">
        <v>14.4</v>
      </c>
      <c r="G87" s="61">
        <v>16.899999999999999</v>
      </c>
      <c r="H87" s="61">
        <v>70.8</v>
      </c>
      <c r="I87" s="61">
        <v>5.6</v>
      </c>
      <c r="J87" s="61">
        <v>25.6</v>
      </c>
      <c r="K87" s="61">
        <v>16.8</v>
      </c>
      <c r="L87" s="61">
        <v>26.3</v>
      </c>
      <c r="M87" s="61">
        <v>20.399999999999999</v>
      </c>
      <c r="N87" s="61">
        <v>12.9</v>
      </c>
      <c r="O87" s="85">
        <v>11.1</v>
      </c>
      <c r="P87" s="105"/>
      <c r="Q87" s="87">
        <f t="shared" si="11"/>
        <v>-2.1517213105030363E-2</v>
      </c>
      <c r="R87" s="87">
        <f t="shared" si="9"/>
        <v>-1.7818752191225543E-2</v>
      </c>
      <c r="S87" s="87">
        <f t="shared" si="9"/>
        <v>-3.6674857733645068E-3</v>
      </c>
      <c r="T87" s="87">
        <f t="shared" si="9"/>
        <v>-7.3801072976225337E-3</v>
      </c>
      <c r="U87" s="87">
        <f t="shared" si="9"/>
        <v>6.9686693160932152E-3</v>
      </c>
      <c r="V87" s="87">
        <f t="shared" si="10"/>
        <v>0</v>
      </c>
      <c r="W87" s="87">
        <f t="shared" si="10"/>
        <v>2.4304269926049948E-2</v>
      </c>
      <c r="X87" s="87">
        <f t="shared" si="10"/>
        <v>-6.899287148695156E-2</v>
      </c>
      <c r="Y87" s="87">
        <f t="shared" si="10"/>
        <v>-2.6976587698202083E-2</v>
      </c>
      <c r="Z87" s="87">
        <f t="shared" si="10"/>
        <v>-4.0821994520255048E-2</v>
      </c>
      <c r="AA87" s="87">
        <f t="shared" si="10"/>
        <v>2.3077947282544888E-2</v>
      </c>
      <c r="AB87" s="87">
        <f t="shared" si="10"/>
        <v>-8.4557388028063118E-2</v>
      </c>
      <c r="AC87" s="87">
        <f t="shared" si="10"/>
        <v>-5.2842481374379816E-2</v>
      </c>
      <c r="AD87" s="87">
        <f t="shared" si="10"/>
        <v>2.7398974188114347E-2</v>
      </c>
      <c r="AE87" s="90">
        <f t="shared" si="12"/>
        <v>-1.0919421697238199E-3</v>
      </c>
      <c r="AF87" s="89"/>
    </row>
    <row r="88" spans="1:32" ht="15.5" x14ac:dyDescent="0.35">
      <c r="A88" s="82">
        <v>39895</v>
      </c>
      <c r="B88" s="83">
        <v>5185.8999999999996</v>
      </c>
      <c r="C88" s="84">
        <v>1555.8</v>
      </c>
      <c r="D88" s="61">
        <v>166.7</v>
      </c>
      <c r="E88" s="61">
        <v>13.6</v>
      </c>
      <c r="F88" s="61">
        <v>14.5</v>
      </c>
      <c r="G88" s="61">
        <v>17.3</v>
      </c>
      <c r="H88" s="61">
        <v>71.8</v>
      </c>
      <c r="I88" s="61">
        <v>6</v>
      </c>
      <c r="J88" s="61">
        <v>26.1</v>
      </c>
      <c r="K88" s="61">
        <v>17.3</v>
      </c>
      <c r="L88" s="61">
        <v>26.8</v>
      </c>
      <c r="M88" s="61">
        <v>21.7</v>
      </c>
      <c r="N88" s="61">
        <v>13.3</v>
      </c>
      <c r="O88" s="85">
        <v>11.2</v>
      </c>
      <c r="P88" s="105"/>
      <c r="Q88" s="87">
        <f t="shared" si="11"/>
        <v>7.0662248463803354E-2</v>
      </c>
      <c r="R88" s="87">
        <f t="shared" si="9"/>
        <v>6.5404474233022813E-2</v>
      </c>
      <c r="S88" s="87">
        <f t="shared" si="9"/>
        <v>2.0606789780328691E-2</v>
      </c>
      <c r="T88" s="87">
        <f t="shared" si="9"/>
        <v>7.38010729762246E-3</v>
      </c>
      <c r="U88" s="87">
        <f t="shared" si="9"/>
        <v>6.920442844573757E-3</v>
      </c>
      <c r="V88" s="87">
        <f t="shared" si="10"/>
        <v>2.3392879574705594E-2</v>
      </c>
      <c r="W88" s="87">
        <f t="shared" si="10"/>
        <v>1.4025475354504458E-2</v>
      </c>
      <c r="X88" s="87">
        <f t="shared" si="10"/>
        <v>6.8992871486951421E-2</v>
      </c>
      <c r="Y88" s="87">
        <f t="shared" si="10"/>
        <v>1.9342962843130935E-2</v>
      </c>
      <c r="Z88" s="87">
        <f t="shared" si="10"/>
        <v>2.9327615094519921E-2</v>
      </c>
      <c r="AA88" s="87">
        <f t="shared" si="10"/>
        <v>1.8832948333092178E-2</v>
      </c>
      <c r="AB88" s="87">
        <f t="shared" si="10"/>
        <v>6.1777359696243157E-2</v>
      </c>
      <c r="AC88" s="87">
        <f t="shared" si="10"/>
        <v>3.0536723860081702E-2</v>
      </c>
      <c r="AD88" s="87">
        <f t="shared" si="10"/>
        <v>8.9686699827603161E-3</v>
      </c>
      <c r="AE88" s="90">
        <f t="shared" si="12"/>
        <v>2.8706776201199463E-2</v>
      </c>
      <c r="AF88" s="89"/>
    </row>
    <row r="89" spans="1:32" ht="15.5" x14ac:dyDescent="0.35">
      <c r="A89" s="82">
        <v>39896</v>
      </c>
      <c r="B89" s="83">
        <v>5064.3</v>
      </c>
      <c r="C89" s="84">
        <v>1516.5</v>
      </c>
      <c r="D89" s="61">
        <v>172.2</v>
      </c>
      <c r="E89" s="61">
        <v>13.6</v>
      </c>
      <c r="F89" s="61">
        <v>15.1</v>
      </c>
      <c r="G89" s="61">
        <v>17.8</v>
      </c>
      <c r="H89" s="61">
        <v>74.5</v>
      </c>
      <c r="I89" s="61">
        <v>6.3</v>
      </c>
      <c r="J89" s="61">
        <v>26.9</v>
      </c>
      <c r="K89" s="61">
        <v>18.3</v>
      </c>
      <c r="L89" s="61">
        <v>27.5</v>
      </c>
      <c r="M89" s="61">
        <v>22.7</v>
      </c>
      <c r="N89" s="61">
        <v>14.3</v>
      </c>
      <c r="O89" s="85">
        <v>11.3</v>
      </c>
      <c r="P89" s="105"/>
      <c r="Q89" s="87">
        <f t="shared" si="11"/>
        <v>-2.3727479453093902E-2</v>
      </c>
      <c r="R89" s="87">
        <f t="shared" si="9"/>
        <v>-2.5584834644037834E-2</v>
      </c>
      <c r="S89" s="87">
        <f t="shared" si="9"/>
        <v>3.2460802236882212E-2</v>
      </c>
      <c r="T89" s="87">
        <f t="shared" si="9"/>
        <v>0</v>
      </c>
      <c r="U89" s="87">
        <f t="shared" si="9"/>
        <v>4.0546094394350009E-2</v>
      </c>
      <c r="V89" s="87">
        <f t="shared" si="10"/>
        <v>2.8491955794306242E-2</v>
      </c>
      <c r="W89" s="87">
        <f t="shared" si="10"/>
        <v>3.6914649331335425E-2</v>
      </c>
      <c r="X89" s="87">
        <f t="shared" si="10"/>
        <v>4.8790164169432049E-2</v>
      </c>
      <c r="Y89" s="87">
        <f t="shared" si="10"/>
        <v>3.0190972279145516E-2</v>
      </c>
      <c r="Z89" s="87">
        <f t="shared" si="10"/>
        <v>5.6194558343642072E-2</v>
      </c>
      <c r="AA89" s="87">
        <f t="shared" si="10"/>
        <v>2.5784117155714634E-2</v>
      </c>
      <c r="AB89" s="87">
        <f t="shared" si="10"/>
        <v>4.5052663940943143E-2</v>
      </c>
      <c r="AC89" s="87">
        <f t="shared" si="10"/>
        <v>7.2495502038153609E-2</v>
      </c>
      <c r="AD89" s="87">
        <f t="shared" si="10"/>
        <v>8.8889474172462145E-3</v>
      </c>
      <c r="AE89" s="90">
        <f t="shared" si="12"/>
        <v>1.4508491628438524E-2</v>
      </c>
      <c r="AF89" s="89"/>
    </row>
    <row r="90" spans="1:32" ht="15.5" x14ac:dyDescent="0.35">
      <c r="A90" s="82">
        <v>39897</v>
      </c>
      <c r="B90" s="83">
        <v>5127</v>
      </c>
      <c r="C90" s="84">
        <v>1528.9</v>
      </c>
      <c r="D90" s="61">
        <v>168.3</v>
      </c>
      <c r="E90" s="61">
        <v>13.4</v>
      </c>
      <c r="F90" s="61">
        <v>14.8</v>
      </c>
      <c r="G90" s="61">
        <v>17.5</v>
      </c>
      <c r="H90" s="61">
        <v>74.900000000000006</v>
      </c>
      <c r="I90" s="61">
        <v>6.2</v>
      </c>
      <c r="J90" s="61">
        <v>27.1</v>
      </c>
      <c r="K90" s="61">
        <v>18.2</v>
      </c>
      <c r="L90" s="61">
        <v>26.8</v>
      </c>
      <c r="M90" s="61">
        <v>22.5</v>
      </c>
      <c r="N90" s="61">
        <v>14.9</v>
      </c>
      <c r="O90" s="85">
        <v>11.3</v>
      </c>
      <c r="P90" s="105"/>
      <c r="Q90" s="87">
        <f t="shared" si="11"/>
        <v>1.2304768008247861E-2</v>
      </c>
      <c r="R90" s="87">
        <f t="shared" si="9"/>
        <v>8.1434744379323062E-3</v>
      </c>
      <c r="S90" s="87">
        <f t="shared" si="9"/>
        <v>-2.2908490796870025E-2</v>
      </c>
      <c r="T90" s="87">
        <f t="shared" si="9"/>
        <v>-1.4815085785140587E-2</v>
      </c>
      <c r="U90" s="87">
        <f t="shared" si="9"/>
        <v>-2.0067563050809142E-2</v>
      </c>
      <c r="V90" s="87">
        <f t="shared" si="10"/>
        <v>-1.6997576368571136E-2</v>
      </c>
      <c r="W90" s="87">
        <f t="shared" si="10"/>
        <v>5.3547651376600874E-3</v>
      </c>
      <c r="X90" s="87">
        <f t="shared" si="10"/>
        <v>-1.6000341346441075E-2</v>
      </c>
      <c r="Y90" s="87">
        <f t="shared" si="10"/>
        <v>7.4074412778618176E-3</v>
      </c>
      <c r="Z90" s="87">
        <f t="shared" si="10"/>
        <v>-5.4794657646257076E-3</v>
      </c>
      <c r="AA90" s="87">
        <f t="shared" si="10"/>
        <v>-2.5784117155714555E-2</v>
      </c>
      <c r="AB90" s="87">
        <f t="shared" si="10"/>
        <v>-8.8496152769824993E-3</v>
      </c>
      <c r="AC90" s="87">
        <f t="shared" si="10"/>
        <v>4.1101675685551779E-2</v>
      </c>
      <c r="AD90" s="87">
        <f t="shared" si="10"/>
        <v>0</v>
      </c>
      <c r="AE90" s="90">
        <f t="shared" si="12"/>
        <v>-1.0003892000048191E-2</v>
      </c>
      <c r="AF90" s="89"/>
    </row>
    <row r="91" spans="1:32" ht="15.5" x14ac:dyDescent="0.35">
      <c r="A91" s="82">
        <v>39898</v>
      </c>
      <c r="B91" s="83">
        <v>5230.5</v>
      </c>
      <c r="C91" s="84">
        <v>1587</v>
      </c>
      <c r="D91" s="61">
        <v>174.4</v>
      </c>
      <c r="E91" s="61">
        <v>13</v>
      </c>
      <c r="F91" s="61">
        <v>15.4</v>
      </c>
      <c r="G91" s="61">
        <v>18.100000000000001</v>
      </c>
      <c r="H91" s="61">
        <v>77.2</v>
      </c>
      <c r="I91" s="61">
        <v>6.6</v>
      </c>
      <c r="J91" s="61">
        <v>28</v>
      </c>
      <c r="K91" s="61">
        <v>19.399999999999999</v>
      </c>
      <c r="L91" s="61">
        <v>27.1</v>
      </c>
      <c r="M91" s="61">
        <v>23.8</v>
      </c>
      <c r="N91" s="61">
        <v>15.9</v>
      </c>
      <c r="O91" s="85">
        <v>11.6</v>
      </c>
      <c r="P91" s="105"/>
      <c r="Q91" s="87">
        <f t="shared" si="11"/>
        <v>1.998618300011492E-2</v>
      </c>
      <c r="R91" s="87">
        <f t="shared" si="9"/>
        <v>3.729691895984099E-2</v>
      </c>
      <c r="S91" s="87">
        <f t="shared" si="9"/>
        <v>3.5603410278118905E-2</v>
      </c>
      <c r="T91" s="87">
        <f t="shared" si="9"/>
        <v>-3.0305349495328922E-2</v>
      </c>
      <c r="U91" s="87">
        <f t="shared" si="9"/>
        <v>3.9740328649514121E-2</v>
      </c>
      <c r="V91" s="87">
        <f t="shared" si="10"/>
        <v>3.3711057342311876E-2</v>
      </c>
      <c r="W91" s="87">
        <f t="shared" si="10"/>
        <v>3.024556650755662E-2</v>
      </c>
      <c r="X91" s="87">
        <f t="shared" si="10"/>
        <v>6.252035698133393E-2</v>
      </c>
      <c r="Y91" s="87">
        <f t="shared" si="10"/>
        <v>3.26707822895487E-2</v>
      </c>
      <c r="Z91" s="87">
        <f t="shared" si="10"/>
        <v>6.3851471986532765E-2</v>
      </c>
      <c r="AA91" s="87">
        <f t="shared" si="10"/>
        <v>1.1131840368844199E-2</v>
      </c>
      <c r="AB91" s="87">
        <f t="shared" si="10"/>
        <v>5.6170271467054493E-2</v>
      </c>
      <c r="AC91" s="87">
        <f t="shared" si="10"/>
        <v>6.4957896274772289E-2</v>
      </c>
      <c r="AD91" s="87">
        <f t="shared" si="10"/>
        <v>2.6202372394023902E-2</v>
      </c>
      <c r="AE91" s="90">
        <f t="shared" si="12"/>
        <v>3.6151263272129461E-2</v>
      </c>
      <c r="AF91" s="89"/>
    </row>
    <row r="92" spans="1:32" ht="15.5" x14ac:dyDescent="0.35">
      <c r="A92" s="82">
        <v>39899</v>
      </c>
      <c r="B92" s="83">
        <v>5096.6000000000004</v>
      </c>
      <c r="C92" s="84">
        <v>1545.2</v>
      </c>
      <c r="D92" s="61">
        <v>172.9</v>
      </c>
      <c r="E92" s="61">
        <v>13.1</v>
      </c>
      <c r="F92" s="61">
        <v>15.2</v>
      </c>
      <c r="G92" s="61">
        <v>18.100000000000001</v>
      </c>
      <c r="H92" s="61">
        <v>75.900000000000006</v>
      </c>
      <c r="I92" s="61">
        <v>6.7</v>
      </c>
      <c r="J92" s="61">
        <v>29</v>
      </c>
      <c r="K92" s="61">
        <v>19.899999999999999</v>
      </c>
      <c r="L92" s="61">
        <v>26.8</v>
      </c>
      <c r="M92" s="61">
        <v>24.2</v>
      </c>
      <c r="N92" s="61">
        <v>16.3</v>
      </c>
      <c r="O92" s="85">
        <v>11.6</v>
      </c>
      <c r="P92" s="105"/>
      <c r="Q92" s="87">
        <f t="shared" si="11"/>
        <v>-2.5933225059102064E-2</v>
      </c>
      <c r="R92" s="87">
        <f t="shared" si="9"/>
        <v>-2.6692089734282803E-2</v>
      </c>
      <c r="S92" s="87">
        <f t="shared" si="9"/>
        <v>-8.638118785634398E-3</v>
      </c>
      <c r="T92" s="87">
        <f t="shared" si="9"/>
        <v>7.6628727455690972E-3</v>
      </c>
      <c r="U92" s="87">
        <f t="shared" si="9"/>
        <v>-1.3072081567352888E-2</v>
      </c>
      <c r="V92" s="87">
        <f t="shared" si="10"/>
        <v>0</v>
      </c>
      <c r="W92" s="87">
        <f t="shared" si="10"/>
        <v>-1.6982772629146194E-2</v>
      </c>
      <c r="X92" s="87">
        <f t="shared" si="10"/>
        <v>1.5037877364540502E-2</v>
      </c>
      <c r="Y92" s="87">
        <f t="shared" si="10"/>
        <v>3.5091319811270193E-2</v>
      </c>
      <c r="Z92" s="87">
        <f t="shared" si="10"/>
        <v>2.5446665661164176E-2</v>
      </c>
      <c r="AA92" s="87">
        <f t="shared" si="10"/>
        <v>-1.1131840368844294E-2</v>
      </c>
      <c r="AB92" s="87">
        <f t="shared" si="10"/>
        <v>1.6667052485211643E-2</v>
      </c>
      <c r="AC92" s="87">
        <f t="shared" si="10"/>
        <v>2.4845998586530804E-2</v>
      </c>
      <c r="AD92" s="87">
        <f t="shared" si="10"/>
        <v>0</v>
      </c>
      <c r="AE92" s="90">
        <f t="shared" si="12"/>
        <v>-1.4267663872354612E-2</v>
      </c>
      <c r="AF92" s="89"/>
    </row>
    <row r="93" spans="1:32" ht="15.5" x14ac:dyDescent="0.35">
      <c r="A93" s="82">
        <v>39902</v>
      </c>
      <c r="B93" s="83">
        <v>4899</v>
      </c>
      <c r="C93" s="84">
        <v>1501.8</v>
      </c>
      <c r="D93" s="61">
        <v>168.2</v>
      </c>
      <c r="E93" s="61">
        <v>12.5</v>
      </c>
      <c r="F93" s="61">
        <v>14.7</v>
      </c>
      <c r="G93" s="61">
        <v>17.3</v>
      </c>
      <c r="H93" s="61">
        <v>74.8</v>
      </c>
      <c r="I93" s="61">
        <v>5.9</v>
      </c>
      <c r="J93" s="61">
        <v>26.9</v>
      </c>
      <c r="K93" s="61">
        <v>20</v>
      </c>
      <c r="L93" s="61">
        <v>26.1</v>
      </c>
      <c r="M93" s="61">
        <v>21.3</v>
      </c>
      <c r="N93" s="61">
        <v>15.8</v>
      </c>
      <c r="O93" s="85">
        <v>11.3</v>
      </c>
      <c r="P93" s="105"/>
      <c r="Q93" s="87">
        <f t="shared" si="11"/>
        <v>-3.9542548086138662E-2</v>
      </c>
      <c r="R93" s="87">
        <f t="shared" si="9"/>
        <v>-2.8488963126342713E-2</v>
      </c>
      <c r="S93" s="87">
        <f t="shared" si="9"/>
        <v>-2.7559645150397254E-2</v>
      </c>
      <c r="T93" s="87">
        <f t="shared" si="9"/>
        <v>-4.6883585898850381E-2</v>
      </c>
      <c r="U93" s="87">
        <f t="shared" si="9"/>
        <v>-3.3447934067540132E-2</v>
      </c>
      <c r="V93" s="87">
        <f t="shared" si="10"/>
        <v>-4.5205436768046801E-2</v>
      </c>
      <c r="W93" s="87">
        <f t="shared" si="10"/>
        <v>-1.4598799421152749E-2</v>
      </c>
      <c r="X93" s="87">
        <f t="shared" si="10"/>
        <v>-0.12715517548524663</v>
      </c>
      <c r="Y93" s="87">
        <f t="shared" si="10"/>
        <v>-7.5169543378680648E-2</v>
      </c>
      <c r="Z93" s="87">
        <f t="shared" si="10"/>
        <v>5.0125418235444138E-3</v>
      </c>
      <c r="AA93" s="87">
        <f t="shared" si="10"/>
        <v>-2.6466573188163287E-2</v>
      </c>
      <c r="AB93" s="87">
        <f t="shared" si="10"/>
        <v>-0.12764556044726122</v>
      </c>
      <c r="AC93" s="87">
        <f t="shared" si="10"/>
        <v>-3.1155167779795576E-2</v>
      </c>
      <c r="AD93" s="87">
        <f t="shared" si="10"/>
        <v>-2.6202372394023961E-2</v>
      </c>
      <c r="AE93" s="90">
        <f t="shared" si="12"/>
        <v>-2.9356923691003532E-2</v>
      </c>
      <c r="AF93" s="89"/>
    </row>
    <row r="94" spans="1:32" ht="15.5" x14ac:dyDescent="0.35">
      <c r="A94" s="82">
        <v>39903</v>
      </c>
      <c r="B94" s="83">
        <v>4979</v>
      </c>
      <c r="C94" s="84">
        <v>1528.6</v>
      </c>
      <c r="D94" s="61">
        <v>173.3</v>
      </c>
      <c r="E94" s="61">
        <v>12.7</v>
      </c>
      <c r="F94" s="61">
        <v>15</v>
      </c>
      <c r="G94" s="61">
        <v>17.8</v>
      </c>
      <c r="H94" s="61">
        <v>76.900000000000006</v>
      </c>
      <c r="I94" s="61">
        <v>5.9</v>
      </c>
      <c r="J94" s="61">
        <v>26.9</v>
      </c>
      <c r="K94" s="61">
        <v>19.3</v>
      </c>
      <c r="L94" s="61">
        <v>26.5</v>
      </c>
      <c r="M94" s="61">
        <v>21.8</v>
      </c>
      <c r="N94" s="61">
        <v>16.600000000000001</v>
      </c>
      <c r="O94" s="85">
        <v>11.5</v>
      </c>
      <c r="P94" s="105"/>
      <c r="Q94" s="87">
        <f t="shared" si="11"/>
        <v>1.6197965003607918E-2</v>
      </c>
      <c r="R94" s="87">
        <f t="shared" si="9"/>
        <v>1.7687895143000058E-2</v>
      </c>
      <c r="S94" s="87">
        <f t="shared" si="9"/>
        <v>2.9870449182712859E-2</v>
      </c>
      <c r="T94" s="87">
        <f t="shared" si="9"/>
        <v>1.5873349156290163E-2</v>
      </c>
      <c r="U94" s="87">
        <f t="shared" si="9"/>
        <v>2.0202707317519469E-2</v>
      </c>
      <c r="V94" s="87">
        <f t="shared" si="10"/>
        <v>2.8491955794306242E-2</v>
      </c>
      <c r="W94" s="87">
        <f t="shared" si="10"/>
        <v>2.7687991531166949E-2</v>
      </c>
      <c r="X94" s="87">
        <f t="shared" si="10"/>
        <v>0</v>
      </c>
      <c r="Y94" s="87">
        <f t="shared" si="10"/>
        <v>0</v>
      </c>
      <c r="Z94" s="87">
        <f t="shared" si="10"/>
        <v>-3.5627177643151042E-2</v>
      </c>
      <c r="AA94" s="87">
        <f t="shared" si="10"/>
        <v>1.5209418663528708E-2</v>
      </c>
      <c r="AB94" s="87">
        <f t="shared" si="10"/>
        <v>2.3202897079663793E-2</v>
      </c>
      <c r="AC94" s="87">
        <f t="shared" si="10"/>
        <v>4.9392755329576474E-2</v>
      </c>
      <c r="AD94" s="87">
        <f t="shared" si="10"/>
        <v>1.7544309650909525E-2</v>
      </c>
      <c r="AE94" s="90">
        <f t="shared" si="12"/>
        <v>2.1956142495479881E-2</v>
      </c>
      <c r="AF94" s="89"/>
    </row>
    <row r="95" spans="1:32" ht="15.5" x14ac:dyDescent="0.35">
      <c r="A95" s="82">
        <v>39904</v>
      </c>
      <c r="B95" s="83">
        <v>5085.8</v>
      </c>
      <c r="C95" s="84">
        <v>1551.6</v>
      </c>
      <c r="D95" s="61">
        <v>170.5</v>
      </c>
      <c r="E95" s="61">
        <v>12.6</v>
      </c>
      <c r="F95" s="61">
        <v>14.8</v>
      </c>
      <c r="G95" s="61">
        <v>18.2</v>
      </c>
      <c r="H95" s="61">
        <v>63.4</v>
      </c>
      <c r="I95" s="61">
        <v>6</v>
      </c>
      <c r="J95" s="61">
        <v>26</v>
      </c>
      <c r="K95" s="61">
        <v>19.5</v>
      </c>
      <c r="L95" s="61">
        <v>25.8</v>
      </c>
      <c r="M95" s="61">
        <v>21.3</v>
      </c>
      <c r="N95" s="61">
        <v>16.5</v>
      </c>
      <c r="O95" s="85">
        <v>11.4</v>
      </c>
      <c r="P95" s="105"/>
      <c r="Q95" s="87">
        <f t="shared" si="11"/>
        <v>2.1223274933184065E-2</v>
      </c>
      <c r="R95" s="87">
        <f t="shared" si="9"/>
        <v>1.4934372757028426E-2</v>
      </c>
      <c r="S95" s="87">
        <f t="shared" si="9"/>
        <v>-1.6288899997989031E-2</v>
      </c>
      <c r="T95" s="87">
        <f t="shared" si="9"/>
        <v>-7.9051795071132611E-3</v>
      </c>
      <c r="U95" s="87">
        <f t="shared" si="9"/>
        <v>-1.3423020332140661E-2</v>
      </c>
      <c r="V95" s="87">
        <f t="shared" si="10"/>
        <v>2.2223136784710041E-2</v>
      </c>
      <c r="W95" s="87">
        <f t="shared" si="10"/>
        <v>-0.1930420150684182</v>
      </c>
      <c r="X95" s="87">
        <f t="shared" si="10"/>
        <v>1.6807118316381191E-2</v>
      </c>
      <c r="Y95" s="87">
        <f t="shared" ref="Y95:AD137" si="13">+LN(J95/J94)</f>
        <v>-3.4029748586311373E-2</v>
      </c>
      <c r="Z95" s="87">
        <f t="shared" si="13"/>
        <v>1.0309369658861287E-2</v>
      </c>
      <c r="AA95" s="87">
        <f t="shared" si="13"/>
        <v>-2.677024106460478E-2</v>
      </c>
      <c r="AB95" s="87">
        <f t="shared" si="13"/>
        <v>-2.3202897079663869E-2</v>
      </c>
      <c r="AC95" s="87">
        <f t="shared" si="13"/>
        <v>-6.0423144559626982E-3</v>
      </c>
      <c r="AD95" s="87">
        <f t="shared" si="13"/>
        <v>-8.7336799687545534E-3</v>
      </c>
      <c r="AE95" s="90">
        <f t="shared" si="12"/>
        <v>-5.1919804635122179E-3</v>
      </c>
      <c r="AF95" s="89"/>
    </row>
    <row r="96" spans="1:32" ht="15.5" x14ac:dyDescent="0.35">
      <c r="A96" s="82">
        <v>39905</v>
      </c>
      <c r="B96" s="83">
        <v>5267.1</v>
      </c>
      <c r="C96" s="84">
        <v>1602.6</v>
      </c>
      <c r="D96" s="61">
        <v>180.3</v>
      </c>
      <c r="E96" s="61">
        <v>12.8</v>
      </c>
      <c r="F96" s="61">
        <v>15.7</v>
      </c>
      <c r="G96" s="61">
        <v>19</v>
      </c>
      <c r="H96" s="61">
        <v>67.400000000000006</v>
      </c>
      <c r="I96" s="61">
        <v>6.7</v>
      </c>
      <c r="J96" s="61">
        <v>27.9</v>
      </c>
      <c r="K96" s="61">
        <v>20.8</v>
      </c>
      <c r="L96" s="61">
        <v>26.4</v>
      </c>
      <c r="M96" s="61">
        <v>24.4</v>
      </c>
      <c r="N96" s="61">
        <v>17.899999999999999</v>
      </c>
      <c r="O96" s="85">
        <v>11.9</v>
      </c>
      <c r="P96" s="105"/>
      <c r="Q96" s="87">
        <f t="shared" si="11"/>
        <v>3.5027583867905804E-2</v>
      </c>
      <c r="R96" s="87">
        <f t="shared" si="9"/>
        <v>3.2340653778158188E-2</v>
      </c>
      <c r="S96" s="87">
        <f t="shared" si="9"/>
        <v>5.5886833485700227E-2</v>
      </c>
      <c r="T96" s="87">
        <f t="shared" si="9"/>
        <v>1.5748356968139331E-2</v>
      </c>
      <c r="U96" s="87">
        <f t="shared" si="9"/>
        <v>5.903353158419293E-2</v>
      </c>
      <c r="V96" s="87">
        <f t="shared" si="9"/>
        <v>4.3017385083690858E-2</v>
      </c>
      <c r="W96" s="87">
        <f t="shared" si="9"/>
        <v>6.1181156475081162E-2</v>
      </c>
      <c r="X96" s="87">
        <f t="shared" si="9"/>
        <v>0.11034805716886541</v>
      </c>
      <c r="Y96" s="87">
        <f t="shared" si="13"/>
        <v>7.0530150805837868E-2</v>
      </c>
      <c r="Z96" s="87">
        <f t="shared" si="13"/>
        <v>6.4538521137571164E-2</v>
      </c>
      <c r="AA96" s="87">
        <f t="shared" si="13"/>
        <v>2.2989518224698562E-2</v>
      </c>
      <c r="AB96" s="87">
        <f t="shared" si="13"/>
        <v>0.13587605958377666</v>
      </c>
      <c r="AC96" s="87">
        <f t="shared" si="13"/>
        <v>8.1440331940174276E-2</v>
      </c>
      <c r="AD96" s="87">
        <f t="shared" si="13"/>
        <v>4.2925044717033844E-2</v>
      </c>
      <c r="AE96" s="90">
        <f t="shared" si="12"/>
        <v>4.8153182147931683E-2</v>
      </c>
      <c r="AF96" s="89"/>
    </row>
    <row r="97" spans="1:32" ht="15.5" x14ac:dyDescent="0.35">
      <c r="A97" s="82">
        <v>39906</v>
      </c>
      <c r="B97" s="83">
        <v>5318.8</v>
      </c>
      <c r="C97" s="84">
        <v>1621.9</v>
      </c>
      <c r="D97" s="61">
        <v>179.2</v>
      </c>
      <c r="E97" s="61">
        <v>12.8</v>
      </c>
      <c r="F97" s="61">
        <v>16.2</v>
      </c>
      <c r="G97" s="61">
        <v>18.399999999999999</v>
      </c>
      <c r="H97" s="61">
        <v>67</v>
      </c>
      <c r="I97" s="61">
        <v>6.9</v>
      </c>
      <c r="J97" s="61">
        <v>27.9</v>
      </c>
      <c r="K97" s="61">
        <v>21.8</v>
      </c>
      <c r="L97" s="61">
        <v>26.1</v>
      </c>
      <c r="M97" s="61">
        <v>24.3</v>
      </c>
      <c r="N97" s="61">
        <v>18.7</v>
      </c>
      <c r="O97" s="85">
        <v>12.6</v>
      </c>
      <c r="P97" s="105"/>
      <c r="Q97" s="87">
        <f t="shared" si="11"/>
        <v>9.7677875392781759E-3</v>
      </c>
      <c r="R97" s="87">
        <f t="shared" si="9"/>
        <v>1.197099114967365E-2</v>
      </c>
      <c r="S97" s="87">
        <f t="shared" si="9"/>
        <v>-6.1196296684415969E-3</v>
      </c>
      <c r="T97" s="87">
        <f t="shared" si="9"/>
        <v>0</v>
      </c>
      <c r="U97" s="87">
        <f t="shared" si="9"/>
        <v>3.1350529884076009E-2</v>
      </c>
      <c r="V97" s="87">
        <f t="shared" si="9"/>
        <v>-3.208831455150063E-2</v>
      </c>
      <c r="W97" s="87">
        <f t="shared" si="9"/>
        <v>-5.9523985272953847E-3</v>
      </c>
      <c r="X97" s="87">
        <f t="shared" si="9"/>
        <v>2.9413885206293407E-2</v>
      </c>
      <c r="Y97" s="87">
        <f t="shared" si="13"/>
        <v>0</v>
      </c>
      <c r="Z97" s="87">
        <f t="shared" si="13"/>
        <v>4.6956983087771083E-2</v>
      </c>
      <c r="AA97" s="87">
        <f t="shared" si="13"/>
        <v>-1.1428695823622631E-2</v>
      </c>
      <c r="AB97" s="87">
        <f t="shared" si="13"/>
        <v>-4.1067819526533593E-3</v>
      </c>
      <c r="AC97" s="87">
        <f t="shared" si="13"/>
        <v>4.3722811013831582E-2</v>
      </c>
      <c r="AD97" s="87">
        <f t="shared" si="13"/>
        <v>5.7158413839948623E-2</v>
      </c>
      <c r="AE97" s="90">
        <f t="shared" si="12"/>
        <v>1.7708519222891007E-2</v>
      </c>
      <c r="AF97" s="89"/>
    </row>
    <row r="98" spans="1:32" ht="15.5" x14ac:dyDescent="0.35">
      <c r="A98" s="82">
        <v>39909</v>
      </c>
      <c r="B98" s="83">
        <v>5249.5</v>
      </c>
      <c r="C98" s="84">
        <v>1606.7</v>
      </c>
      <c r="D98" s="61">
        <v>180.9</v>
      </c>
      <c r="E98" s="61">
        <v>13</v>
      </c>
      <c r="F98" s="61">
        <v>16.2</v>
      </c>
      <c r="G98" s="61">
        <v>18.3</v>
      </c>
      <c r="H98" s="61">
        <v>68.3</v>
      </c>
      <c r="I98" s="61">
        <v>7.1</v>
      </c>
      <c r="J98" s="61">
        <v>27.4</v>
      </c>
      <c r="K98" s="61">
        <v>21.6</v>
      </c>
      <c r="L98" s="61">
        <v>26.3</v>
      </c>
      <c r="M98" s="61">
        <v>24.4</v>
      </c>
      <c r="N98" s="61">
        <v>18.899999999999999</v>
      </c>
      <c r="O98" s="85">
        <v>12.6</v>
      </c>
      <c r="P98" s="105"/>
      <c r="Q98" s="87">
        <f t="shared" si="11"/>
        <v>-1.3114880027554896E-2</v>
      </c>
      <c r="R98" s="87">
        <f t="shared" si="9"/>
        <v>-9.4159154443544269E-3</v>
      </c>
      <c r="S98" s="87">
        <f t="shared" si="9"/>
        <v>9.4418918604194154E-3</v>
      </c>
      <c r="T98" s="87">
        <f t="shared" si="9"/>
        <v>1.5504186535965254E-2</v>
      </c>
      <c r="U98" s="87">
        <f t="shared" si="9"/>
        <v>0</v>
      </c>
      <c r="V98" s="87">
        <f t="shared" si="9"/>
        <v>-5.4496047675645911E-3</v>
      </c>
      <c r="W98" s="87">
        <f t="shared" si="9"/>
        <v>1.9217147185778351E-2</v>
      </c>
      <c r="X98" s="87">
        <f t="shared" si="9"/>
        <v>2.8573372444055948E-2</v>
      </c>
      <c r="Y98" s="87">
        <f t="shared" si="13"/>
        <v>-1.8083675433295351E-2</v>
      </c>
      <c r="Z98" s="87">
        <f t="shared" si="13"/>
        <v>-9.2166551049239522E-3</v>
      </c>
      <c r="AA98" s="87">
        <f t="shared" si="13"/>
        <v>7.6336248550712051E-3</v>
      </c>
      <c r="AB98" s="87">
        <f t="shared" si="13"/>
        <v>4.1067819526532812E-3</v>
      </c>
      <c r="AC98" s="87">
        <f t="shared" si="13"/>
        <v>1.0638398205055797E-2</v>
      </c>
      <c r="AD98" s="87">
        <f t="shared" si="13"/>
        <v>0</v>
      </c>
      <c r="AE98" s="90">
        <f t="shared" si="12"/>
        <v>-5.8157434524701464E-5</v>
      </c>
      <c r="AF98" s="89"/>
    </row>
    <row r="99" spans="1:32" ht="15.5" x14ac:dyDescent="0.35">
      <c r="A99" s="82">
        <v>39910</v>
      </c>
      <c r="B99" s="83">
        <v>5120.7</v>
      </c>
      <c r="C99" s="84">
        <v>1561.6</v>
      </c>
      <c r="D99" s="61">
        <v>177.8</v>
      </c>
      <c r="E99" s="61">
        <v>12.7</v>
      </c>
      <c r="F99" s="61">
        <v>16.3</v>
      </c>
      <c r="G99" s="61">
        <v>18.600000000000001</v>
      </c>
      <c r="H99" s="61">
        <v>62.6</v>
      </c>
      <c r="I99" s="61">
        <v>7</v>
      </c>
      <c r="J99" s="61">
        <v>26.5</v>
      </c>
      <c r="K99" s="61">
        <v>20.8</v>
      </c>
      <c r="L99" s="61">
        <v>26</v>
      </c>
      <c r="M99" s="61">
        <v>24.1</v>
      </c>
      <c r="N99" s="61">
        <v>19</v>
      </c>
      <c r="O99" s="85">
        <v>12.4</v>
      </c>
      <c r="P99" s="105"/>
      <c r="Q99" s="87">
        <f t="shared" si="11"/>
        <v>-2.4841685516599075E-2</v>
      </c>
      <c r="R99" s="87">
        <f t="shared" si="9"/>
        <v>-2.8471449390461423E-2</v>
      </c>
      <c r="S99" s="87">
        <f t="shared" si="9"/>
        <v>-1.7285069321445166E-2</v>
      </c>
      <c r="T99" s="87">
        <f t="shared" si="9"/>
        <v>-2.3347363996991177E-2</v>
      </c>
      <c r="U99" s="87">
        <f t="shared" si="9"/>
        <v>6.1538655743782859E-3</v>
      </c>
      <c r="V99" s="87">
        <f t="shared" si="9"/>
        <v>1.6260520871780326E-2</v>
      </c>
      <c r="W99" s="87">
        <f t="shared" si="9"/>
        <v>-8.714448847069145E-2</v>
      </c>
      <c r="X99" s="87">
        <f t="shared" si="9"/>
        <v>-1.4184634991956413E-2</v>
      </c>
      <c r="Y99" s="87">
        <f t="shared" si="13"/>
        <v>-3.3398280401847918E-2</v>
      </c>
      <c r="Z99" s="87">
        <f t="shared" si="13"/>
        <v>-3.7740327982847086E-2</v>
      </c>
      <c r="AA99" s="87">
        <f t="shared" si="13"/>
        <v>-1.1472401162236807E-2</v>
      </c>
      <c r="AB99" s="87">
        <f t="shared" si="13"/>
        <v>-1.2371291802546718E-2</v>
      </c>
      <c r="AC99" s="87">
        <f t="shared" si="13"/>
        <v>5.2770571008438193E-3</v>
      </c>
      <c r="AD99" s="87">
        <f t="shared" si="13"/>
        <v>-1.6000341346441075E-2</v>
      </c>
      <c r="AE99" s="90">
        <f t="shared" si="12"/>
        <v>-1.3779909739173415E-2</v>
      </c>
      <c r="AF99" s="89"/>
    </row>
    <row r="100" spans="1:32" ht="15.5" x14ac:dyDescent="0.35">
      <c r="A100" s="82">
        <v>39911</v>
      </c>
      <c r="B100" s="83">
        <v>5176.3999999999996</v>
      </c>
      <c r="C100" s="84">
        <v>1590.7</v>
      </c>
      <c r="D100" s="61">
        <v>178.3</v>
      </c>
      <c r="E100" s="61">
        <v>12.8</v>
      </c>
      <c r="F100" s="61">
        <v>16.399999999999999</v>
      </c>
      <c r="G100" s="61">
        <v>19</v>
      </c>
      <c r="H100" s="61">
        <v>62</v>
      </c>
      <c r="I100" s="61">
        <v>7.5</v>
      </c>
      <c r="J100" s="61">
        <v>25.7</v>
      </c>
      <c r="K100" s="61">
        <v>21.6</v>
      </c>
      <c r="L100" s="61">
        <v>26.2</v>
      </c>
      <c r="M100" s="61">
        <v>23.8</v>
      </c>
      <c r="N100" s="61">
        <v>19.3</v>
      </c>
      <c r="O100" s="85">
        <v>12.4</v>
      </c>
      <c r="P100" s="105"/>
      <c r="Q100" s="87">
        <f t="shared" si="11"/>
        <v>1.0818685509117958E-2</v>
      </c>
      <c r="R100" s="87">
        <f t="shared" si="9"/>
        <v>1.8463234245486917E-2</v>
      </c>
      <c r="S100" s="87">
        <f t="shared" si="9"/>
        <v>2.8082017892905472E-3</v>
      </c>
      <c r="T100" s="87">
        <f t="shared" si="9"/>
        <v>7.843177461026099E-3</v>
      </c>
      <c r="U100" s="87">
        <f t="shared" si="9"/>
        <v>6.1162270174360536E-3</v>
      </c>
      <c r="V100" s="87">
        <f t="shared" si="9"/>
        <v>2.1277398447284879E-2</v>
      </c>
      <c r="W100" s="87">
        <f t="shared" si="9"/>
        <v>-9.6308930609613E-3</v>
      </c>
      <c r="X100" s="87">
        <f t="shared" si="9"/>
        <v>6.8992871486951421E-2</v>
      </c>
      <c r="Y100" s="87">
        <f t="shared" si="13"/>
        <v>-3.0653741091002402E-2</v>
      </c>
      <c r="Z100" s="87">
        <f t="shared" si="13"/>
        <v>3.7740327982847113E-2</v>
      </c>
      <c r="AA100" s="87">
        <f t="shared" si="13"/>
        <v>7.6628727455690972E-3</v>
      </c>
      <c r="AB100" s="87">
        <f t="shared" si="13"/>
        <v>-1.2526259819180369E-2</v>
      </c>
      <c r="AC100" s="87">
        <f t="shared" si="13"/>
        <v>1.5666116744399456E-2</v>
      </c>
      <c r="AD100" s="87">
        <f t="shared" si="13"/>
        <v>0</v>
      </c>
      <c r="AE100" s="90">
        <f t="shared" si="12"/>
        <v>8.1053354805235168E-3</v>
      </c>
      <c r="AF100" s="89"/>
    </row>
    <row r="101" spans="1:32" ht="15.5" x14ac:dyDescent="0.35">
      <c r="A101" s="82">
        <v>39912</v>
      </c>
      <c r="B101" s="83">
        <v>5376.4</v>
      </c>
      <c r="C101" s="84">
        <v>1652.5</v>
      </c>
      <c r="D101" s="61">
        <v>183.3</v>
      </c>
      <c r="E101" s="61">
        <v>13.1</v>
      </c>
      <c r="F101" s="61">
        <v>16.899999999999999</v>
      </c>
      <c r="G101" s="61">
        <v>19.2</v>
      </c>
      <c r="H101" s="61">
        <v>60.2</v>
      </c>
      <c r="I101" s="61">
        <v>7.9</v>
      </c>
      <c r="J101" s="61">
        <v>28</v>
      </c>
      <c r="K101" s="61">
        <v>23.5</v>
      </c>
      <c r="L101" s="61">
        <v>26.1</v>
      </c>
      <c r="M101" s="61">
        <v>25.6</v>
      </c>
      <c r="N101" s="61">
        <v>19.8</v>
      </c>
      <c r="O101" s="85">
        <v>12.7</v>
      </c>
      <c r="P101" s="105"/>
      <c r="Q101" s="87">
        <f t="shared" si="11"/>
        <v>3.7909171249478193E-2</v>
      </c>
      <c r="R101" s="87">
        <f t="shared" si="9"/>
        <v>3.8115121821526501E-2</v>
      </c>
      <c r="S101" s="87">
        <f t="shared" si="9"/>
        <v>2.765662997656463E-2</v>
      </c>
      <c r="T101" s="87">
        <f t="shared" si="9"/>
        <v>2.3167059281534379E-2</v>
      </c>
      <c r="U101" s="87">
        <f t="shared" si="9"/>
        <v>3.0032287098875076E-2</v>
      </c>
      <c r="V101" s="87">
        <f t="shared" si="9"/>
        <v>1.0471299867295437E-2</v>
      </c>
      <c r="W101" s="87">
        <f t="shared" si="9"/>
        <v>-2.9462032730316105E-2</v>
      </c>
      <c r="X101" s="87">
        <f t="shared" si="9"/>
        <v>5.1959738930711166E-2</v>
      </c>
      <c r="Y101" s="87">
        <f t="shared" si="13"/>
        <v>8.5713518274029926E-2</v>
      </c>
      <c r="Z101" s="87">
        <f t="shared" si="13"/>
        <v>8.4307106459993814E-2</v>
      </c>
      <c r="AA101" s="87">
        <f t="shared" si="13"/>
        <v>-3.8240964384033942E-3</v>
      </c>
      <c r="AB101" s="87">
        <f t="shared" si="13"/>
        <v>7.2906770808087731E-2</v>
      </c>
      <c r="AC101" s="87">
        <f t="shared" si="13"/>
        <v>2.5576841789649776E-2</v>
      </c>
      <c r="AD101" s="87">
        <f t="shared" si="13"/>
        <v>2.3905520853554386E-2</v>
      </c>
      <c r="AE101" s="90">
        <f t="shared" si="12"/>
        <v>3.1014899337908828E-2</v>
      </c>
      <c r="AF101" s="89"/>
    </row>
    <row r="102" spans="1:32" ht="15.5" x14ac:dyDescent="0.35">
      <c r="A102" s="82">
        <v>39916</v>
      </c>
      <c r="B102" s="83">
        <v>5410.3</v>
      </c>
      <c r="C102" s="84">
        <v>1653.3</v>
      </c>
      <c r="D102" s="61">
        <v>185.3</v>
      </c>
      <c r="E102" s="61">
        <v>13.9</v>
      </c>
      <c r="F102" s="61">
        <v>17</v>
      </c>
      <c r="G102" s="61">
        <v>19.399999999999999</v>
      </c>
      <c r="H102" s="61">
        <v>59.6</v>
      </c>
      <c r="I102" s="61">
        <v>8.1</v>
      </c>
      <c r="J102" s="61">
        <v>28.1</v>
      </c>
      <c r="K102" s="61">
        <v>25.4</v>
      </c>
      <c r="L102" s="61">
        <v>25.9</v>
      </c>
      <c r="M102" s="61">
        <v>26</v>
      </c>
      <c r="N102" s="61">
        <v>20.5</v>
      </c>
      <c r="O102" s="85">
        <v>12.9</v>
      </c>
      <c r="P102" s="105"/>
      <c r="Q102" s="87">
        <f t="shared" si="11"/>
        <v>6.2855389711454776E-3</v>
      </c>
      <c r="R102" s="87">
        <f t="shared" si="9"/>
        <v>4.839978314580482E-4</v>
      </c>
      <c r="S102" s="87">
        <f t="shared" si="9"/>
        <v>1.085197844565485E-2</v>
      </c>
      <c r="T102" s="87">
        <f t="shared" si="9"/>
        <v>5.9276609929540307E-2</v>
      </c>
      <c r="U102" s="87">
        <f t="shared" si="9"/>
        <v>5.899722127188322E-3</v>
      </c>
      <c r="V102" s="87">
        <f t="shared" si="9"/>
        <v>1.0362787035546658E-2</v>
      </c>
      <c r="W102" s="87">
        <f t="shared" si="9"/>
        <v>-1.0016778243471344E-2</v>
      </c>
      <c r="X102" s="87">
        <f t="shared" si="9"/>
        <v>2.5001302205417186E-2</v>
      </c>
      <c r="Y102" s="87">
        <f t="shared" si="13"/>
        <v>3.5650661644961446E-3</v>
      </c>
      <c r="Z102" s="87">
        <f t="shared" si="13"/>
        <v>7.774875287437763E-2</v>
      </c>
      <c r="AA102" s="87">
        <f t="shared" si="13"/>
        <v>-7.6923456231557255E-3</v>
      </c>
      <c r="AB102" s="87">
        <f t="shared" si="13"/>
        <v>1.5504186535965254E-2</v>
      </c>
      <c r="AC102" s="87">
        <f t="shared" si="13"/>
        <v>3.4742948443872837E-2</v>
      </c>
      <c r="AD102" s="87">
        <f t="shared" si="13"/>
        <v>1.5625317903081033E-2</v>
      </c>
      <c r="AE102" s="90">
        <f t="shared" si="12"/>
        <v>6.9083399954004516E-3</v>
      </c>
      <c r="AF102" s="89"/>
    </row>
    <row r="103" spans="1:32" ht="15.5" x14ac:dyDescent="0.35">
      <c r="A103" s="82">
        <v>39917</v>
      </c>
      <c r="B103" s="83">
        <v>5301.5</v>
      </c>
      <c r="C103" s="84">
        <v>1625.7</v>
      </c>
      <c r="D103" s="61">
        <v>183</v>
      </c>
      <c r="E103" s="61">
        <v>14</v>
      </c>
      <c r="F103" s="61">
        <v>16.8</v>
      </c>
      <c r="G103" s="61">
        <v>19</v>
      </c>
      <c r="H103" s="61">
        <v>60</v>
      </c>
      <c r="I103" s="61">
        <v>8.4</v>
      </c>
      <c r="J103" s="61">
        <v>29.1</v>
      </c>
      <c r="K103" s="61">
        <v>25.4</v>
      </c>
      <c r="L103" s="61">
        <v>25.6</v>
      </c>
      <c r="M103" s="61">
        <v>26.3</v>
      </c>
      <c r="N103" s="61">
        <v>20.3</v>
      </c>
      <c r="O103" s="85">
        <v>12.5</v>
      </c>
      <c r="P103" s="105"/>
      <c r="Q103" s="87">
        <f t="shared" si="11"/>
        <v>-2.0314744802285793E-2</v>
      </c>
      <c r="R103" s="87">
        <f t="shared" si="9"/>
        <v>-1.6834798317121029E-2</v>
      </c>
      <c r="S103" s="87">
        <f t="shared" si="9"/>
        <v>-1.2489980449893174E-2</v>
      </c>
      <c r="T103" s="87">
        <f t="shared" si="9"/>
        <v>7.168489478612497E-3</v>
      </c>
      <c r="U103" s="87">
        <f t="shared" si="9"/>
        <v>-1.1834457647002796E-2</v>
      </c>
      <c r="V103" s="87">
        <f t="shared" si="9"/>
        <v>-2.0834086902841914E-2</v>
      </c>
      <c r="W103" s="87">
        <f t="shared" si="9"/>
        <v>6.6889881507964889E-3</v>
      </c>
      <c r="X103" s="87">
        <f t="shared" si="9"/>
        <v>3.6367644170875006E-2</v>
      </c>
      <c r="Y103" s="87">
        <f t="shared" si="13"/>
        <v>3.4968597837746855E-2</v>
      </c>
      <c r="Z103" s="87">
        <f t="shared" si="13"/>
        <v>0</v>
      </c>
      <c r="AA103" s="87">
        <f t="shared" si="13"/>
        <v>-1.1650617219975139E-2</v>
      </c>
      <c r="AB103" s="87">
        <f t="shared" si="13"/>
        <v>1.1472401162236781E-2</v>
      </c>
      <c r="AC103" s="87">
        <f t="shared" si="13"/>
        <v>-9.8040000966208556E-3</v>
      </c>
      <c r="AD103" s="87">
        <f t="shared" si="13"/>
        <v>-3.1498667059371051E-2</v>
      </c>
      <c r="AE103" s="90">
        <f t="shared" si="12"/>
        <v>-1.5915366162317271E-2</v>
      </c>
      <c r="AF103" s="89"/>
    </row>
    <row r="104" spans="1:32" ht="15.5" x14ac:dyDescent="0.35">
      <c r="A104" s="82">
        <v>39918</v>
      </c>
      <c r="B104" s="83">
        <v>5385</v>
      </c>
      <c r="C104" s="84">
        <v>1626.8</v>
      </c>
      <c r="D104" s="61">
        <v>182.3</v>
      </c>
      <c r="E104" s="61">
        <v>13.8</v>
      </c>
      <c r="F104" s="61">
        <v>16.5</v>
      </c>
      <c r="G104" s="61">
        <v>18.5</v>
      </c>
      <c r="H104" s="61">
        <v>62.4</v>
      </c>
      <c r="I104" s="61">
        <v>8.5</v>
      </c>
      <c r="J104" s="61">
        <v>29.1</v>
      </c>
      <c r="K104" s="61">
        <v>24.3</v>
      </c>
      <c r="L104" s="61">
        <v>25.5</v>
      </c>
      <c r="M104" s="61">
        <v>25.2</v>
      </c>
      <c r="N104" s="61">
        <v>20.100000000000001</v>
      </c>
      <c r="O104" s="85">
        <v>12.8</v>
      </c>
      <c r="P104" s="105"/>
      <c r="Q104" s="87">
        <f t="shared" si="11"/>
        <v>1.5627511224636001E-2</v>
      </c>
      <c r="R104" s="87">
        <f t="shared" si="9"/>
        <v>6.7640279289109956E-4</v>
      </c>
      <c r="S104" s="87">
        <f t="shared" si="9"/>
        <v>-3.8324711568035012E-3</v>
      </c>
      <c r="T104" s="87">
        <f t="shared" si="9"/>
        <v>-1.4388737452099556E-2</v>
      </c>
      <c r="U104" s="87">
        <f t="shared" si="9"/>
        <v>-1.8018505502678365E-2</v>
      </c>
      <c r="V104" s="87">
        <f t="shared" si="9"/>
        <v>-2.6668247082161294E-2</v>
      </c>
      <c r="W104" s="87">
        <f t="shared" si="9"/>
        <v>3.9220713153281329E-2</v>
      </c>
      <c r="X104" s="87">
        <f t="shared" si="9"/>
        <v>1.1834457647002798E-2</v>
      </c>
      <c r="Y104" s="87">
        <f t="shared" si="13"/>
        <v>0</v>
      </c>
      <c r="Z104" s="87">
        <f t="shared" si="13"/>
        <v>-4.4272823677988044E-2</v>
      </c>
      <c r="AA104" s="87">
        <f t="shared" si="13"/>
        <v>-3.9138993211363287E-3</v>
      </c>
      <c r="AB104" s="87">
        <f t="shared" si="13"/>
        <v>-4.2724944666341268E-2</v>
      </c>
      <c r="AC104" s="87">
        <f t="shared" si="13"/>
        <v>-9.9010709827115698E-3</v>
      </c>
      <c r="AD104" s="87">
        <f t="shared" si="13"/>
        <v>2.3716526617316065E-2</v>
      </c>
      <c r="AE104" s="90">
        <f t="shared" si="12"/>
        <v>-3.1887499282010337E-3</v>
      </c>
      <c r="AF104" s="89"/>
    </row>
    <row r="105" spans="1:32" ht="15.5" x14ac:dyDescent="0.35">
      <c r="A105" s="82">
        <v>39919</v>
      </c>
      <c r="B105" s="83">
        <v>5454.3</v>
      </c>
      <c r="C105" s="84">
        <v>1670.4</v>
      </c>
      <c r="D105" s="61">
        <v>190.7</v>
      </c>
      <c r="E105" s="61">
        <v>14.1</v>
      </c>
      <c r="F105" s="61">
        <v>17</v>
      </c>
      <c r="G105" s="61">
        <v>19</v>
      </c>
      <c r="H105" s="61">
        <v>63.7</v>
      </c>
      <c r="I105" s="61">
        <v>8.9</v>
      </c>
      <c r="J105" s="61">
        <v>28.7</v>
      </c>
      <c r="K105" s="61">
        <v>25</v>
      </c>
      <c r="L105" s="61">
        <v>25.4</v>
      </c>
      <c r="M105" s="61">
        <v>26.9</v>
      </c>
      <c r="N105" s="61">
        <v>20.8</v>
      </c>
      <c r="O105" s="85">
        <v>13</v>
      </c>
      <c r="P105" s="105"/>
      <c r="Q105" s="87">
        <f t="shared" si="11"/>
        <v>1.2786977802847896E-2</v>
      </c>
      <c r="R105" s="87">
        <f t="shared" ref="R105:AA140" si="14">+LN(C105/C104)</f>
        <v>2.6448223655250257E-2</v>
      </c>
      <c r="S105" s="87">
        <f t="shared" si="14"/>
        <v>4.5047830921755995E-2</v>
      </c>
      <c r="T105" s="87">
        <f t="shared" si="14"/>
        <v>2.1506205220963463E-2</v>
      </c>
      <c r="U105" s="87">
        <f t="shared" si="14"/>
        <v>2.9852963149681128E-2</v>
      </c>
      <c r="V105" s="87">
        <f t="shared" si="14"/>
        <v>2.6668247082161273E-2</v>
      </c>
      <c r="W105" s="87">
        <f t="shared" si="14"/>
        <v>2.0619287202735825E-2</v>
      </c>
      <c r="X105" s="87">
        <f t="shared" si="14"/>
        <v>4.5985113241823437E-2</v>
      </c>
      <c r="Y105" s="87">
        <f t="shared" si="13"/>
        <v>-1.3841051411871468E-2</v>
      </c>
      <c r="Z105" s="87">
        <f t="shared" si="13"/>
        <v>2.8399474521697957E-2</v>
      </c>
      <c r="AA105" s="87">
        <f t="shared" si="13"/>
        <v>-3.9292781398896611E-3</v>
      </c>
      <c r="AB105" s="87">
        <f t="shared" si="13"/>
        <v>6.5282292090415778E-2</v>
      </c>
      <c r="AC105" s="87">
        <f t="shared" si="13"/>
        <v>3.4233171642242176E-2</v>
      </c>
      <c r="AD105" s="87">
        <f t="shared" si="13"/>
        <v>1.5504186535965254E-2</v>
      </c>
      <c r="AE105" s="90">
        <f t="shared" si="12"/>
        <v>3.1536844164303857E-2</v>
      </c>
      <c r="AF105" s="89"/>
    </row>
    <row r="106" spans="1:32" ht="15.5" x14ac:dyDescent="0.35">
      <c r="A106" s="82">
        <v>39920</v>
      </c>
      <c r="B106" s="83">
        <v>5480.6</v>
      </c>
      <c r="C106" s="84">
        <v>1673.1</v>
      </c>
      <c r="D106" s="61">
        <v>192.6</v>
      </c>
      <c r="E106" s="61">
        <v>14</v>
      </c>
      <c r="F106" s="61">
        <v>17.2</v>
      </c>
      <c r="G106" s="61">
        <v>19</v>
      </c>
      <c r="H106" s="61">
        <v>65</v>
      </c>
      <c r="I106" s="61">
        <v>9.6999999999999993</v>
      </c>
      <c r="J106" s="61">
        <v>28.8</v>
      </c>
      <c r="K106" s="61">
        <v>25.9</v>
      </c>
      <c r="L106" s="61">
        <v>25.6</v>
      </c>
      <c r="M106" s="61">
        <v>27</v>
      </c>
      <c r="N106" s="61">
        <v>21.2</v>
      </c>
      <c r="O106" s="85">
        <v>13.3</v>
      </c>
      <c r="P106" s="105"/>
      <c r="Q106" s="87">
        <f t="shared" si="11"/>
        <v>4.8102956063307348E-3</v>
      </c>
      <c r="R106" s="87">
        <f t="shared" si="14"/>
        <v>1.6150743752980561E-3</v>
      </c>
      <c r="S106" s="87">
        <f t="shared" si="14"/>
        <v>9.9139867576517587E-3</v>
      </c>
      <c r="T106" s="87">
        <f t="shared" si="14"/>
        <v>-7.1174677688639896E-3</v>
      </c>
      <c r="U106" s="87">
        <f t="shared" si="14"/>
        <v>1.1696039763191236E-2</v>
      </c>
      <c r="V106" s="87">
        <f t="shared" si="14"/>
        <v>0</v>
      </c>
      <c r="W106" s="87">
        <f t="shared" si="14"/>
        <v>2.0202707317519469E-2</v>
      </c>
      <c r="X106" s="87">
        <f t="shared" si="14"/>
        <v>8.6074608771242775E-2</v>
      </c>
      <c r="Y106" s="87">
        <f t="shared" si="13"/>
        <v>3.4782643763247925E-3</v>
      </c>
      <c r="Z106" s="87">
        <f t="shared" si="13"/>
        <v>3.5367143837291344E-2</v>
      </c>
      <c r="AA106" s="87">
        <f t="shared" si="13"/>
        <v>7.843177461026099E-3</v>
      </c>
      <c r="AB106" s="87">
        <f t="shared" si="13"/>
        <v>3.7105793965357746E-3</v>
      </c>
      <c r="AC106" s="87">
        <f t="shared" si="13"/>
        <v>1.9048194970694411E-2</v>
      </c>
      <c r="AD106" s="87">
        <f t="shared" si="13"/>
        <v>2.2814677766171482E-2</v>
      </c>
      <c r="AE106" s="90">
        <f t="shared" si="12"/>
        <v>9.5040149099072015E-3</v>
      </c>
      <c r="AF106" s="89"/>
    </row>
    <row r="107" spans="1:32" ht="15.5" x14ac:dyDescent="0.35">
      <c r="A107" s="82">
        <v>39923</v>
      </c>
      <c r="B107" s="83">
        <v>5220.1000000000004</v>
      </c>
      <c r="C107" s="84">
        <v>1608.2</v>
      </c>
      <c r="D107" s="61">
        <v>188.1</v>
      </c>
      <c r="E107" s="61">
        <v>13.6</v>
      </c>
      <c r="F107" s="61">
        <v>17</v>
      </c>
      <c r="G107" s="61">
        <v>18.600000000000001</v>
      </c>
      <c r="H107" s="61">
        <v>64.900000000000006</v>
      </c>
      <c r="I107" s="61">
        <v>8.8000000000000007</v>
      </c>
      <c r="J107" s="61">
        <v>27.4</v>
      </c>
      <c r="K107" s="61">
        <v>25</v>
      </c>
      <c r="L107" s="61">
        <v>25.2</v>
      </c>
      <c r="M107" s="61">
        <v>25.2</v>
      </c>
      <c r="N107" s="61">
        <v>20.399999999999999</v>
      </c>
      <c r="O107" s="85">
        <v>13</v>
      </c>
      <c r="P107" s="105"/>
      <c r="Q107" s="87">
        <f t="shared" si="11"/>
        <v>-4.8698025218355111E-2</v>
      </c>
      <c r="R107" s="87">
        <f t="shared" si="14"/>
        <v>-3.9562651949568976E-2</v>
      </c>
      <c r="S107" s="87">
        <f t="shared" si="14"/>
        <v>-2.3641763057040424E-2</v>
      </c>
      <c r="T107" s="87">
        <f t="shared" si="14"/>
        <v>-2.8987536873252298E-2</v>
      </c>
      <c r="U107" s="87">
        <f t="shared" si="14"/>
        <v>-1.1696039763191187E-2</v>
      </c>
      <c r="V107" s="87">
        <f t="shared" si="14"/>
        <v>-2.1277398447284851E-2</v>
      </c>
      <c r="W107" s="87">
        <f t="shared" si="14"/>
        <v>-1.5396461855927501E-3</v>
      </c>
      <c r="X107" s="87">
        <f t="shared" si="14"/>
        <v>-9.7374164025176235E-2</v>
      </c>
      <c r="Y107" s="87">
        <f t="shared" si="13"/>
        <v>-4.9832373747875754E-2</v>
      </c>
      <c r="Z107" s="87">
        <f t="shared" si="13"/>
        <v>-3.5367143837291247E-2</v>
      </c>
      <c r="AA107" s="87">
        <f t="shared" si="13"/>
        <v>-1.5748356968139282E-2</v>
      </c>
      <c r="AB107" s="87">
        <f t="shared" si="13"/>
        <v>-6.8992871486951435E-2</v>
      </c>
      <c r="AC107" s="87">
        <f t="shared" si="13"/>
        <v>-3.8466280827796052E-2</v>
      </c>
      <c r="AD107" s="87">
        <f t="shared" si="13"/>
        <v>-2.2814677766171399E-2</v>
      </c>
      <c r="AE107" s="90">
        <f t="shared" si="12"/>
        <v>-2.4897747622367135E-2</v>
      </c>
      <c r="AF107" s="89"/>
    </row>
    <row r="108" spans="1:32" ht="15.5" x14ac:dyDescent="0.35">
      <c r="A108" s="82">
        <v>39924</v>
      </c>
      <c r="B108" s="83">
        <v>5339.6</v>
      </c>
      <c r="C108" s="84">
        <v>1643.8</v>
      </c>
      <c r="D108" s="61">
        <v>188.2</v>
      </c>
      <c r="E108" s="61">
        <v>13.7</v>
      </c>
      <c r="F108" s="61">
        <v>16.899999999999999</v>
      </c>
      <c r="G108" s="61">
        <v>18.600000000000001</v>
      </c>
      <c r="H108" s="61">
        <v>59.9</v>
      </c>
      <c r="I108" s="61">
        <v>8.8000000000000007</v>
      </c>
      <c r="J108" s="61">
        <v>27.1</v>
      </c>
      <c r="K108" s="61">
        <v>24.5</v>
      </c>
      <c r="L108" s="61">
        <v>22.9</v>
      </c>
      <c r="M108" s="61">
        <v>23.8</v>
      </c>
      <c r="N108" s="61">
        <v>20.100000000000001</v>
      </c>
      <c r="O108" s="85">
        <v>13</v>
      </c>
      <c r="P108" s="105"/>
      <c r="Q108" s="87">
        <f t="shared" si="11"/>
        <v>2.2634185000264994E-2</v>
      </c>
      <c r="R108" s="87">
        <f t="shared" si="14"/>
        <v>2.1895093600350815E-2</v>
      </c>
      <c r="S108" s="87">
        <f t="shared" si="14"/>
        <v>5.3149084429457243E-4</v>
      </c>
      <c r="T108" s="87">
        <f t="shared" si="14"/>
        <v>7.3260400920728812E-3</v>
      </c>
      <c r="U108" s="87">
        <f t="shared" si="14"/>
        <v>-5.8997221271883827E-3</v>
      </c>
      <c r="V108" s="87">
        <f t="shared" si="14"/>
        <v>0</v>
      </c>
      <c r="W108" s="87">
        <f t="shared" si="14"/>
        <v>-8.0171118588640802E-2</v>
      </c>
      <c r="X108" s="87">
        <f t="shared" si="14"/>
        <v>0</v>
      </c>
      <c r="Y108" s="87">
        <f t="shared" si="13"/>
        <v>-1.1009285508369255E-2</v>
      </c>
      <c r="Z108" s="87">
        <f t="shared" si="13"/>
        <v>-2.0202707317519466E-2</v>
      </c>
      <c r="AA108" s="87">
        <f t="shared" si="13"/>
        <v>-9.5707083957183664E-2</v>
      </c>
      <c r="AB108" s="87">
        <f t="shared" si="13"/>
        <v>-5.7158413839948519E-2</v>
      </c>
      <c r="AC108" s="87">
        <f t="shared" si="13"/>
        <v>-1.4815085785140474E-2</v>
      </c>
      <c r="AD108" s="87">
        <f t="shared" si="13"/>
        <v>0</v>
      </c>
      <c r="AE108" s="90">
        <f t="shared" si="12"/>
        <v>5.0316628691159868E-3</v>
      </c>
      <c r="AF108" s="89"/>
    </row>
    <row r="109" spans="1:32" ht="15.5" x14ac:dyDescent="0.35">
      <c r="A109" s="82">
        <v>39925</v>
      </c>
      <c r="B109" s="83">
        <v>5290.6</v>
      </c>
      <c r="C109" s="84">
        <v>1646.1</v>
      </c>
      <c r="D109" s="61">
        <v>189.7</v>
      </c>
      <c r="E109" s="61">
        <v>14.4</v>
      </c>
      <c r="F109" s="61">
        <v>17.3</v>
      </c>
      <c r="G109" s="61">
        <v>18.7</v>
      </c>
      <c r="H109" s="61">
        <v>60.7</v>
      </c>
      <c r="I109" s="61">
        <v>9.3000000000000007</v>
      </c>
      <c r="J109" s="61">
        <v>26.8</v>
      </c>
      <c r="K109" s="61">
        <v>25.3</v>
      </c>
      <c r="L109" s="61">
        <v>22.3</v>
      </c>
      <c r="M109" s="61">
        <v>24.9</v>
      </c>
      <c r="N109" s="61">
        <v>23.2</v>
      </c>
      <c r="O109" s="85">
        <v>13.1</v>
      </c>
      <c r="P109" s="105"/>
      <c r="Q109" s="87">
        <f t="shared" si="11"/>
        <v>-9.2190828108753529E-3</v>
      </c>
      <c r="R109" s="87">
        <f t="shared" si="14"/>
        <v>1.3982190186397373E-3</v>
      </c>
      <c r="S109" s="87">
        <f t="shared" si="14"/>
        <v>7.9386497896892973E-3</v>
      </c>
      <c r="T109" s="87">
        <f t="shared" si="14"/>
        <v>4.9832373747875754E-2</v>
      </c>
      <c r="U109" s="87">
        <f t="shared" si="14"/>
        <v>2.3392879574705594E-2</v>
      </c>
      <c r="V109" s="87">
        <f t="shared" si="14"/>
        <v>5.3619431413853731E-3</v>
      </c>
      <c r="W109" s="87">
        <f t="shared" si="14"/>
        <v>1.3267192944049079E-2</v>
      </c>
      <c r="X109" s="87">
        <f t="shared" si="14"/>
        <v>5.5262678675049519E-2</v>
      </c>
      <c r="Y109" s="87">
        <f t="shared" si="13"/>
        <v>-1.1131840368844294E-2</v>
      </c>
      <c r="Z109" s="87">
        <f t="shared" si="13"/>
        <v>3.2131278182793196E-2</v>
      </c>
      <c r="AA109" s="87">
        <f t="shared" si="13"/>
        <v>-2.655023209412084E-2</v>
      </c>
      <c r="AB109" s="87">
        <f t="shared" si="13"/>
        <v>4.5182222793232765E-2</v>
      </c>
      <c r="AC109" s="87">
        <f t="shared" si="13"/>
        <v>0.14343246360723408</v>
      </c>
      <c r="AD109" s="87">
        <f t="shared" si="13"/>
        <v>7.6628727455690972E-3</v>
      </c>
      <c r="AE109" s="90">
        <f t="shared" si="12"/>
        <v>1.0363611078152167E-2</v>
      </c>
      <c r="AF109" s="89"/>
    </row>
    <row r="110" spans="1:32" ht="15.5" x14ac:dyDescent="0.35">
      <c r="A110" s="82">
        <v>39926</v>
      </c>
      <c r="B110" s="83">
        <v>5372.1</v>
      </c>
      <c r="C110" s="84">
        <v>1652.2</v>
      </c>
      <c r="D110" s="61">
        <v>190.8</v>
      </c>
      <c r="E110" s="61">
        <v>14.1</v>
      </c>
      <c r="F110" s="61">
        <v>17.600000000000001</v>
      </c>
      <c r="G110" s="61">
        <v>18.5</v>
      </c>
      <c r="H110" s="61">
        <v>59.2</v>
      </c>
      <c r="I110" s="61">
        <v>9.6</v>
      </c>
      <c r="J110" s="61">
        <v>25.9</v>
      </c>
      <c r="K110" s="61">
        <v>25.5</v>
      </c>
      <c r="L110" s="61">
        <v>22.6</v>
      </c>
      <c r="M110" s="61">
        <v>25.8</v>
      </c>
      <c r="N110" s="61">
        <v>24.1</v>
      </c>
      <c r="O110" s="85">
        <v>13.3</v>
      </c>
      <c r="P110" s="105"/>
      <c r="Q110" s="87">
        <f t="shared" si="11"/>
        <v>1.5287232540121711E-2</v>
      </c>
      <c r="R110" s="87">
        <f t="shared" si="14"/>
        <v>3.6988793953655927E-3</v>
      </c>
      <c r="S110" s="87">
        <f t="shared" si="14"/>
        <v>5.7818820732178046E-3</v>
      </c>
      <c r="T110" s="87">
        <f t="shared" si="14"/>
        <v>-2.1053409197832381E-2</v>
      </c>
      <c r="U110" s="87">
        <f t="shared" si="14"/>
        <v>1.7192400540372771E-2</v>
      </c>
      <c r="V110" s="87">
        <f t="shared" si="14"/>
        <v>-1.0752791776261737E-2</v>
      </c>
      <c r="W110" s="87">
        <f t="shared" si="14"/>
        <v>-2.5022156175492603E-2</v>
      </c>
      <c r="X110" s="87">
        <f t="shared" si="14"/>
        <v>3.174869831458027E-2</v>
      </c>
      <c r="Y110" s="87">
        <f t="shared" si="13"/>
        <v>-3.4158918811318974E-2</v>
      </c>
      <c r="Z110" s="87">
        <f t="shared" si="13"/>
        <v>7.8740564309058656E-3</v>
      </c>
      <c r="AA110" s="87">
        <f t="shared" si="13"/>
        <v>1.3363227812167158E-2</v>
      </c>
      <c r="AB110" s="87">
        <f t="shared" si="13"/>
        <v>3.5506688456909817E-2</v>
      </c>
      <c r="AC110" s="87">
        <f t="shared" si="13"/>
        <v>3.8059561824345195E-2</v>
      </c>
      <c r="AD110" s="87">
        <f t="shared" si="13"/>
        <v>1.5151805020602246E-2</v>
      </c>
      <c r="AE110" s="90">
        <f t="shared" si="12"/>
        <v>9.5591142259604609E-3</v>
      </c>
      <c r="AF110" s="89"/>
    </row>
    <row r="111" spans="1:32" ht="15.5" x14ac:dyDescent="0.35">
      <c r="A111" s="82">
        <v>39927</v>
      </c>
      <c r="B111" s="83">
        <v>5468.4</v>
      </c>
      <c r="C111" s="84">
        <v>1694.3</v>
      </c>
      <c r="D111" s="61">
        <v>190.4</v>
      </c>
      <c r="E111" s="61">
        <v>14.4</v>
      </c>
      <c r="F111" s="61">
        <v>17.600000000000001</v>
      </c>
      <c r="G111" s="61">
        <v>19.5</v>
      </c>
      <c r="H111" s="61">
        <v>59.2</v>
      </c>
      <c r="I111" s="61">
        <v>10</v>
      </c>
      <c r="J111" s="61">
        <v>26.6</v>
      </c>
      <c r="K111" s="61">
        <v>26.6</v>
      </c>
      <c r="L111" s="61">
        <v>23.1</v>
      </c>
      <c r="M111" s="61">
        <v>28</v>
      </c>
      <c r="N111" s="61">
        <v>24.5</v>
      </c>
      <c r="O111" s="85">
        <v>13.5</v>
      </c>
      <c r="P111" s="105"/>
      <c r="Q111" s="87">
        <f t="shared" si="11"/>
        <v>1.7767175547013389E-2</v>
      </c>
      <c r="R111" s="87">
        <f t="shared" si="14"/>
        <v>2.5161943035655575E-2</v>
      </c>
      <c r="S111" s="87">
        <f t="shared" si="14"/>
        <v>-2.0986366569212492E-3</v>
      </c>
      <c r="T111" s="87">
        <f t="shared" si="14"/>
        <v>2.1053409197832482E-2</v>
      </c>
      <c r="U111" s="87">
        <f t="shared" si="14"/>
        <v>0</v>
      </c>
      <c r="V111" s="87">
        <f t="shared" si="14"/>
        <v>5.2643733485421881E-2</v>
      </c>
      <c r="W111" s="87">
        <f t="shared" si="14"/>
        <v>0</v>
      </c>
      <c r="X111" s="87">
        <f t="shared" si="14"/>
        <v>4.08219945202552E-2</v>
      </c>
      <c r="Y111" s="87">
        <f t="shared" si="13"/>
        <v>2.6668247082161489E-2</v>
      </c>
      <c r="Z111" s="87">
        <f t="shared" si="13"/>
        <v>4.2232763623272995E-2</v>
      </c>
      <c r="AA111" s="87">
        <f t="shared" si="13"/>
        <v>2.1882711249507587E-2</v>
      </c>
      <c r="AB111" s="87">
        <f t="shared" si="13"/>
        <v>8.1830018247632114E-2</v>
      </c>
      <c r="AC111" s="87">
        <f t="shared" si="13"/>
        <v>1.6461277054071931E-2</v>
      </c>
      <c r="AD111" s="87">
        <f t="shared" si="13"/>
        <v>1.4925650216675574E-2</v>
      </c>
      <c r="AE111" s="90">
        <f t="shared" si="12"/>
        <v>8.742035412001076E-3</v>
      </c>
      <c r="AF111" s="89"/>
    </row>
    <row r="112" spans="1:32" ht="15.5" x14ac:dyDescent="0.35">
      <c r="A112" s="82">
        <v>39930</v>
      </c>
      <c r="B112" s="83">
        <v>5389.8</v>
      </c>
      <c r="C112" s="84">
        <v>1679.4</v>
      </c>
      <c r="D112" s="61">
        <v>191.6</v>
      </c>
      <c r="E112" s="61">
        <v>13.9</v>
      </c>
      <c r="F112" s="61">
        <v>17.5</v>
      </c>
      <c r="G112" s="61">
        <v>20.3</v>
      </c>
      <c r="H112" s="61">
        <v>60.7</v>
      </c>
      <c r="I112" s="61">
        <v>10.1</v>
      </c>
      <c r="J112" s="61">
        <v>26.9</v>
      </c>
      <c r="K112" s="61">
        <v>26.8</v>
      </c>
      <c r="L112" s="61">
        <v>23.2</v>
      </c>
      <c r="M112" s="61">
        <v>27.8</v>
      </c>
      <c r="N112" s="61">
        <v>23.2</v>
      </c>
      <c r="O112" s="85">
        <v>13.4</v>
      </c>
      <c r="P112" s="105"/>
      <c r="Q112" s="87">
        <f t="shared" si="11"/>
        <v>-1.4477790594621143E-2</v>
      </c>
      <c r="R112" s="87">
        <f t="shared" si="14"/>
        <v>-8.8330894145977144E-3</v>
      </c>
      <c r="S112" s="87">
        <f t="shared" si="14"/>
        <v>6.282743179495209E-3</v>
      </c>
      <c r="T112" s="87">
        <f t="shared" si="14"/>
        <v>-3.5339366445308849E-2</v>
      </c>
      <c r="U112" s="87">
        <f t="shared" si="14"/>
        <v>-5.6980211146377786E-3</v>
      </c>
      <c r="V112" s="87">
        <f t="shared" si="14"/>
        <v>4.0206420478040607E-2</v>
      </c>
      <c r="W112" s="87">
        <f t="shared" si="14"/>
        <v>2.502215617549268E-2</v>
      </c>
      <c r="X112" s="87">
        <f t="shared" si="14"/>
        <v>9.950330853168092E-3</v>
      </c>
      <c r="Y112" s="87">
        <f t="shared" si="13"/>
        <v>1.1215070820140003E-2</v>
      </c>
      <c r="Z112" s="87">
        <f t="shared" si="13"/>
        <v>7.4906717291576587E-3</v>
      </c>
      <c r="AA112" s="87">
        <f t="shared" si="13"/>
        <v>4.3196611445163796E-3</v>
      </c>
      <c r="AB112" s="87">
        <f t="shared" si="13"/>
        <v>-7.168489478612516E-3</v>
      </c>
      <c r="AC112" s="87">
        <f t="shared" si="13"/>
        <v>-5.4520838878417112E-2</v>
      </c>
      <c r="AD112" s="87">
        <f t="shared" si="13"/>
        <v>-7.4349784875180902E-3</v>
      </c>
      <c r="AE112" s="90">
        <f t="shared" si="12"/>
        <v>-3.3413368737792047E-3</v>
      </c>
      <c r="AF112" s="89"/>
    </row>
    <row r="113" spans="1:32" ht="15.5" x14ac:dyDescent="0.35">
      <c r="A113" s="82">
        <v>39931</v>
      </c>
      <c r="B113" s="83">
        <v>5369.9</v>
      </c>
      <c r="C113" s="84">
        <v>1673.8</v>
      </c>
      <c r="D113" s="61">
        <v>191</v>
      </c>
      <c r="E113" s="61">
        <v>13.6</v>
      </c>
      <c r="F113" s="61">
        <v>17.600000000000001</v>
      </c>
      <c r="G113" s="61">
        <v>19.8</v>
      </c>
      <c r="H113" s="61">
        <v>60.7</v>
      </c>
      <c r="I113" s="61">
        <v>9.6</v>
      </c>
      <c r="J113" s="61">
        <v>26.8</v>
      </c>
      <c r="K113" s="61">
        <v>26.8</v>
      </c>
      <c r="L113" s="61">
        <v>23</v>
      </c>
      <c r="M113" s="61">
        <v>27.2</v>
      </c>
      <c r="N113" s="61">
        <v>23.1</v>
      </c>
      <c r="O113" s="85">
        <v>13.4</v>
      </c>
      <c r="P113" s="105"/>
      <c r="Q113" s="87">
        <f t="shared" si="11"/>
        <v>-3.698992107625974E-3</v>
      </c>
      <c r="R113" s="87">
        <f t="shared" si="14"/>
        <v>-3.3400961506891915E-3</v>
      </c>
      <c r="S113" s="87">
        <f t="shared" si="14"/>
        <v>-3.136437490130272E-3</v>
      </c>
      <c r="T113" s="87">
        <f t="shared" si="14"/>
        <v>-2.1819047394639839E-2</v>
      </c>
      <c r="U113" s="87">
        <f t="shared" si="14"/>
        <v>5.6980211146377959E-3</v>
      </c>
      <c r="V113" s="87">
        <f t="shared" si="14"/>
        <v>-2.4938948347252066E-2</v>
      </c>
      <c r="W113" s="87">
        <f t="shared" si="14"/>
        <v>0</v>
      </c>
      <c r="X113" s="87">
        <f t="shared" si="14"/>
        <v>-5.0772325373423258E-2</v>
      </c>
      <c r="Y113" s="87">
        <f t="shared" si="13"/>
        <v>-3.7243990909823282E-3</v>
      </c>
      <c r="Z113" s="87">
        <f t="shared" si="13"/>
        <v>0</v>
      </c>
      <c r="AA113" s="87">
        <f t="shared" si="13"/>
        <v>-8.6580627431145415E-3</v>
      </c>
      <c r="AB113" s="87">
        <f t="shared" si="13"/>
        <v>-2.1819047394639839E-2</v>
      </c>
      <c r="AC113" s="87">
        <f t="shared" si="13"/>
        <v>-4.3196611445162842E-3</v>
      </c>
      <c r="AD113" s="87">
        <f t="shared" si="13"/>
        <v>0</v>
      </c>
      <c r="AE113" s="90">
        <f t="shared" si="12"/>
        <v>-2.9013980304596265E-4</v>
      </c>
      <c r="AF113" s="89"/>
    </row>
    <row r="114" spans="1:32" ht="15.5" x14ac:dyDescent="0.35">
      <c r="A114" s="82">
        <v>39932</v>
      </c>
      <c r="B114" s="83">
        <v>5516.1</v>
      </c>
      <c r="C114" s="84">
        <v>1711.9</v>
      </c>
      <c r="D114" s="61">
        <v>193.1</v>
      </c>
      <c r="E114" s="61">
        <v>13.7</v>
      </c>
      <c r="F114" s="61">
        <v>17.7</v>
      </c>
      <c r="G114" s="61">
        <v>20.100000000000001</v>
      </c>
      <c r="H114" s="61">
        <v>61.2</v>
      </c>
      <c r="I114" s="61">
        <v>10.1</v>
      </c>
      <c r="J114" s="61">
        <v>27.8</v>
      </c>
      <c r="K114" s="61">
        <v>27</v>
      </c>
      <c r="L114" s="61">
        <v>23.2</v>
      </c>
      <c r="M114" s="61">
        <v>27.9</v>
      </c>
      <c r="N114" s="61">
        <v>23.6</v>
      </c>
      <c r="O114" s="85">
        <v>13.1</v>
      </c>
      <c r="P114" s="105"/>
      <c r="Q114" s="87">
        <f t="shared" si="11"/>
        <v>2.6861802472315448E-2</v>
      </c>
      <c r="R114" s="87">
        <f t="shared" si="14"/>
        <v>2.2507374181958993E-2</v>
      </c>
      <c r="S114" s="87">
        <f t="shared" si="14"/>
        <v>1.0934761387838934E-2</v>
      </c>
      <c r="T114" s="87">
        <f t="shared" si="14"/>
        <v>7.3260400920728812E-3</v>
      </c>
      <c r="U114" s="87">
        <f t="shared" si="14"/>
        <v>5.6657375356772999E-3</v>
      </c>
      <c r="V114" s="87">
        <f t="shared" si="14"/>
        <v>1.5037877364540502E-2</v>
      </c>
      <c r="W114" s="87">
        <f t="shared" si="14"/>
        <v>8.2034914528279004E-3</v>
      </c>
      <c r="X114" s="87">
        <f t="shared" si="14"/>
        <v>5.077232537342314E-2</v>
      </c>
      <c r="Y114" s="87">
        <f t="shared" si="13"/>
        <v>3.6634133179780384E-2</v>
      </c>
      <c r="Z114" s="87">
        <f t="shared" si="13"/>
        <v>7.4349784875179905E-3</v>
      </c>
      <c r="AA114" s="87">
        <f t="shared" si="13"/>
        <v>8.6580627431145311E-3</v>
      </c>
      <c r="AB114" s="87">
        <f t="shared" si="13"/>
        <v>2.5409715525368221E-2</v>
      </c>
      <c r="AC114" s="87">
        <f t="shared" si="13"/>
        <v>2.1414094503816573E-2</v>
      </c>
      <c r="AD114" s="87">
        <f t="shared" si="13"/>
        <v>-2.2642476749759891E-2</v>
      </c>
      <c r="AE114" s="90">
        <f t="shared" si="12"/>
        <v>8.8157612646389757E-3</v>
      </c>
      <c r="AF114" s="89"/>
    </row>
    <row r="115" spans="1:32" ht="15.5" x14ac:dyDescent="0.35">
      <c r="A115" s="82">
        <v>39933</v>
      </c>
      <c r="B115" s="83">
        <v>5513.4</v>
      </c>
      <c r="C115" s="84">
        <v>1717.3</v>
      </c>
      <c r="D115" s="61">
        <v>197.6</v>
      </c>
      <c r="E115" s="61">
        <v>14.1</v>
      </c>
      <c r="F115" s="61">
        <v>17.899999999999999</v>
      </c>
      <c r="G115" s="61">
        <v>20</v>
      </c>
      <c r="H115" s="61">
        <v>62.5</v>
      </c>
      <c r="I115" s="61">
        <v>10.9</v>
      </c>
      <c r="J115" s="61">
        <v>28.6</v>
      </c>
      <c r="K115" s="61">
        <v>28.7</v>
      </c>
      <c r="L115" s="61">
        <v>24</v>
      </c>
      <c r="M115" s="61">
        <v>29.5</v>
      </c>
      <c r="N115" s="61">
        <v>24.2</v>
      </c>
      <c r="O115" s="85">
        <v>13</v>
      </c>
      <c r="P115" s="105"/>
      <c r="Q115" s="87">
        <f t="shared" si="11"/>
        <v>-4.8959609301134463E-4</v>
      </c>
      <c r="R115" s="87">
        <f t="shared" si="14"/>
        <v>3.1494252090834953E-3</v>
      </c>
      <c r="S115" s="87">
        <f t="shared" si="14"/>
        <v>2.3036595879298717E-2</v>
      </c>
      <c r="T115" s="87">
        <f t="shared" si="14"/>
        <v>2.8778964550043327E-2</v>
      </c>
      <c r="U115" s="87">
        <f t="shared" si="14"/>
        <v>1.1236073266925752E-2</v>
      </c>
      <c r="V115" s="87">
        <f t="shared" si="14"/>
        <v>-4.9875415110391622E-3</v>
      </c>
      <c r="W115" s="87">
        <f t="shared" si="14"/>
        <v>2.1019367224075342E-2</v>
      </c>
      <c r="X115" s="87">
        <f t="shared" si="14"/>
        <v>7.6227365387884313E-2</v>
      </c>
      <c r="Y115" s="87">
        <f t="shared" si="13"/>
        <v>2.8370697129215566E-2</v>
      </c>
      <c r="Z115" s="87">
        <f t="shared" si="13"/>
        <v>6.1060256761246282E-2</v>
      </c>
      <c r="AA115" s="87">
        <f t="shared" si="13"/>
        <v>3.3901551675681416E-2</v>
      </c>
      <c r="AB115" s="87">
        <f t="shared" si="13"/>
        <v>5.576357451845429E-2</v>
      </c>
      <c r="AC115" s="87">
        <f t="shared" si="13"/>
        <v>2.5105921131076261E-2</v>
      </c>
      <c r="AD115" s="87">
        <f t="shared" si="13"/>
        <v>-7.6628727455691371E-3</v>
      </c>
      <c r="AE115" s="90">
        <f t="shared" si="12"/>
        <v>9.9697509108563898E-3</v>
      </c>
      <c r="AF115" s="89"/>
    </row>
    <row r="116" spans="1:32" ht="15.5" x14ac:dyDescent="0.35">
      <c r="A116" s="82">
        <v>39934</v>
      </c>
      <c r="B116" s="83">
        <v>5568.8</v>
      </c>
      <c r="C116" s="84">
        <v>1719.2</v>
      </c>
      <c r="D116" s="61">
        <v>196</v>
      </c>
      <c r="E116" s="61">
        <v>13.9</v>
      </c>
      <c r="F116" s="61">
        <v>18</v>
      </c>
      <c r="G116" s="61">
        <v>19.899999999999999</v>
      </c>
      <c r="H116" s="61">
        <v>59.2</v>
      </c>
      <c r="I116" s="61">
        <v>11</v>
      </c>
      <c r="J116" s="61">
        <v>29</v>
      </c>
      <c r="K116" s="61">
        <v>29.7</v>
      </c>
      <c r="L116" s="61">
        <v>23.8</v>
      </c>
      <c r="M116" s="61">
        <v>27</v>
      </c>
      <c r="N116" s="61">
        <v>24.5</v>
      </c>
      <c r="O116" s="85">
        <v>13.1</v>
      </c>
      <c r="P116" s="105"/>
      <c r="Q116" s="87">
        <f t="shared" si="11"/>
        <v>9.9980981195625027E-3</v>
      </c>
      <c r="R116" s="87">
        <f t="shared" si="14"/>
        <v>1.105776338484449E-3</v>
      </c>
      <c r="S116" s="87">
        <f t="shared" si="14"/>
        <v>-8.1301260832501755E-3</v>
      </c>
      <c r="T116" s="87">
        <f t="shared" si="14"/>
        <v>-1.4285957247476428E-2</v>
      </c>
      <c r="U116" s="87">
        <f t="shared" si="14"/>
        <v>5.5710450494554295E-3</v>
      </c>
      <c r="V116" s="87">
        <f t="shared" si="14"/>
        <v>-5.0125418235443982E-3</v>
      </c>
      <c r="W116" s="87">
        <f t="shared" si="14"/>
        <v>-5.4245014852395773E-2</v>
      </c>
      <c r="X116" s="87">
        <f t="shared" si="14"/>
        <v>9.1324835632724723E-3</v>
      </c>
      <c r="Y116" s="87">
        <f t="shared" si="13"/>
        <v>1.3889112160667093E-2</v>
      </c>
      <c r="Z116" s="87">
        <f t="shared" si="13"/>
        <v>3.4249923043078445E-2</v>
      </c>
      <c r="AA116" s="87">
        <f t="shared" si="13"/>
        <v>-8.3682496705165792E-3</v>
      </c>
      <c r="AB116" s="87">
        <f t="shared" si="13"/>
        <v>-8.8553397341445059E-2</v>
      </c>
      <c r="AC116" s="87">
        <f t="shared" si="13"/>
        <v>1.2320484388040657E-2</v>
      </c>
      <c r="AD116" s="87">
        <f t="shared" si="13"/>
        <v>7.6628727455690972E-3</v>
      </c>
      <c r="AE116" s="90">
        <f t="shared" si="12"/>
        <v>4.7563129220929334E-4</v>
      </c>
      <c r="AF116" s="89"/>
    </row>
    <row r="117" spans="1:32" ht="15.5" x14ac:dyDescent="0.35">
      <c r="A117" s="82">
        <v>39937</v>
      </c>
      <c r="B117" s="83">
        <v>5800.2</v>
      </c>
      <c r="C117" s="84">
        <v>1763.6</v>
      </c>
      <c r="D117" s="61">
        <v>197.6</v>
      </c>
      <c r="E117" s="61">
        <v>14</v>
      </c>
      <c r="F117" s="61">
        <v>18.2</v>
      </c>
      <c r="G117" s="61">
        <v>20</v>
      </c>
      <c r="H117" s="61">
        <v>57</v>
      </c>
      <c r="I117" s="61">
        <v>11.4</v>
      </c>
      <c r="J117" s="61">
        <v>30.7</v>
      </c>
      <c r="K117" s="61">
        <v>30.9</v>
      </c>
      <c r="L117" s="61">
        <v>24.3</v>
      </c>
      <c r="M117" s="61">
        <v>27.1</v>
      </c>
      <c r="N117" s="61">
        <v>25</v>
      </c>
      <c r="O117" s="85">
        <v>13.2</v>
      </c>
      <c r="P117" s="105"/>
      <c r="Q117" s="87">
        <f t="shared" si="11"/>
        <v>4.0712808844157934E-2</v>
      </c>
      <c r="R117" s="87">
        <f t="shared" si="14"/>
        <v>2.549810815548181E-2</v>
      </c>
      <c r="S117" s="87">
        <f t="shared" si="14"/>
        <v>8.1301260832500888E-3</v>
      </c>
      <c r="T117" s="87">
        <f t="shared" si="14"/>
        <v>7.168489478612497E-3</v>
      </c>
      <c r="U117" s="87">
        <f t="shared" si="14"/>
        <v>1.1049836186584935E-2</v>
      </c>
      <c r="V117" s="87">
        <f t="shared" si="14"/>
        <v>5.0125418235444138E-3</v>
      </c>
      <c r="W117" s="87">
        <f t="shared" si="14"/>
        <v>-3.7870274055409853E-2</v>
      </c>
      <c r="X117" s="87">
        <f t="shared" si="14"/>
        <v>3.5718082602079246E-2</v>
      </c>
      <c r="Y117" s="87">
        <f t="shared" si="13"/>
        <v>5.6966824606677451E-2</v>
      </c>
      <c r="Z117" s="87">
        <f t="shared" si="13"/>
        <v>3.9609138095045883E-2</v>
      </c>
      <c r="AA117" s="87">
        <f t="shared" si="13"/>
        <v>2.0790769669073689E-2</v>
      </c>
      <c r="AB117" s="87">
        <f t="shared" si="13"/>
        <v>3.6968618813262026E-3</v>
      </c>
      <c r="AC117" s="87">
        <f t="shared" si="13"/>
        <v>2.0202707317519469E-2</v>
      </c>
      <c r="AD117" s="87">
        <f t="shared" si="13"/>
        <v>7.6045993852192125E-3</v>
      </c>
      <c r="AE117" s="90">
        <f t="shared" si="12"/>
        <v>1.4107134604489192E-2</v>
      </c>
      <c r="AF117" s="89"/>
    </row>
    <row r="118" spans="1:32" ht="15.5" x14ac:dyDescent="0.35">
      <c r="A118" s="82">
        <v>39938</v>
      </c>
      <c r="B118" s="83">
        <v>5770.8</v>
      </c>
      <c r="C118" s="84">
        <v>1754.1</v>
      </c>
      <c r="D118" s="61">
        <v>198.8</v>
      </c>
      <c r="E118" s="61">
        <v>14.2</v>
      </c>
      <c r="F118" s="61">
        <v>18.7</v>
      </c>
      <c r="G118" s="61">
        <v>19.600000000000001</v>
      </c>
      <c r="H118" s="61">
        <v>58</v>
      </c>
      <c r="I118" s="61">
        <v>11.8</v>
      </c>
      <c r="J118" s="61">
        <v>31.3</v>
      </c>
      <c r="K118" s="61">
        <v>31.7</v>
      </c>
      <c r="L118" s="61">
        <v>24.4</v>
      </c>
      <c r="M118" s="61">
        <v>27.3</v>
      </c>
      <c r="N118" s="61">
        <v>24.8</v>
      </c>
      <c r="O118" s="85">
        <v>13.6</v>
      </c>
      <c r="P118" s="105"/>
      <c r="Q118" s="87">
        <f t="shared" si="11"/>
        <v>-5.0816806269974001E-3</v>
      </c>
      <c r="R118" s="87">
        <f t="shared" si="14"/>
        <v>-5.4012696340480608E-3</v>
      </c>
      <c r="S118" s="87">
        <f t="shared" si="14"/>
        <v>6.0545089087062224E-3</v>
      </c>
      <c r="T118" s="87">
        <f t="shared" si="14"/>
        <v>1.4184634991956381E-2</v>
      </c>
      <c r="U118" s="87">
        <f t="shared" si="14"/>
        <v>2.7101929777791179E-2</v>
      </c>
      <c r="V118" s="87">
        <f t="shared" si="14"/>
        <v>-2.0202707317519355E-2</v>
      </c>
      <c r="W118" s="87">
        <f t="shared" si="14"/>
        <v>1.7391742711869239E-2</v>
      </c>
      <c r="X118" s="87">
        <f t="shared" si="14"/>
        <v>3.4486176071169404E-2</v>
      </c>
      <c r="Y118" s="87">
        <f t="shared" si="13"/>
        <v>1.9355442952956072E-2</v>
      </c>
      <c r="Z118" s="87">
        <f t="shared" si="13"/>
        <v>2.556049697953507E-2</v>
      </c>
      <c r="AA118" s="87">
        <f t="shared" si="13"/>
        <v>4.1067819526532812E-3</v>
      </c>
      <c r="AB118" s="87">
        <f t="shared" si="13"/>
        <v>7.3529743052587332E-3</v>
      </c>
      <c r="AC118" s="87">
        <f t="shared" si="13"/>
        <v>-8.0321716972642666E-3</v>
      </c>
      <c r="AD118" s="87">
        <f t="shared" si="13"/>
        <v>2.9852963149681128E-2</v>
      </c>
      <c r="AE118" s="90">
        <f t="shared" si="12"/>
        <v>1.1531593734776203E-2</v>
      </c>
      <c r="AF118" s="89"/>
    </row>
    <row r="119" spans="1:32" ht="15.5" x14ac:dyDescent="0.35">
      <c r="A119" s="82">
        <v>39939</v>
      </c>
      <c r="B119" s="83">
        <v>5890.5</v>
      </c>
      <c r="C119" s="84">
        <v>1759.1</v>
      </c>
      <c r="D119" s="61">
        <v>200.7</v>
      </c>
      <c r="E119" s="61">
        <v>14.5</v>
      </c>
      <c r="F119" s="61">
        <v>18.600000000000001</v>
      </c>
      <c r="G119" s="61">
        <v>19.600000000000001</v>
      </c>
      <c r="H119" s="61">
        <v>58.3</v>
      </c>
      <c r="I119" s="61">
        <v>12.5</v>
      </c>
      <c r="J119" s="61">
        <v>31.6</v>
      </c>
      <c r="K119" s="61">
        <v>31.2</v>
      </c>
      <c r="L119" s="61">
        <v>24.2</v>
      </c>
      <c r="M119" s="61">
        <v>28.4</v>
      </c>
      <c r="N119" s="61">
        <v>25.3</v>
      </c>
      <c r="O119" s="85">
        <v>13.6</v>
      </c>
      <c r="P119" s="105"/>
      <c r="Q119" s="87">
        <f t="shared" si="11"/>
        <v>2.0530164614556697E-2</v>
      </c>
      <c r="R119" s="87">
        <f t="shared" si="14"/>
        <v>2.8464097551252009E-3</v>
      </c>
      <c r="S119" s="87">
        <f t="shared" si="14"/>
        <v>9.5119615798186109E-3</v>
      </c>
      <c r="T119" s="87">
        <f t="shared" si="14"/>
        <v>2.0906684819313643E-2</v>
      </c>
      <c r="U119" s="87">
        <f t="shared" si="14"/>
        <v>-5.3619431413852872E-3</v>
      </c>
      <c r="V119" s="87">
        <f t="shared" si="14"/>
        <v>0</v>
      </c>
      <c r="W119" s="87">
        <f t="shared" si="14"/>
        <v>5.1590828100272022E-3</v>
      </c>
      <c r="X119" s="87">
        <f t="shared" si="14"/>
        <v>5.7629112836636215E-2</v>
      </c>
      <c r="Y119" s="87">
        <f t="shared" si="13"/>
        <v>9.5390230467589099E-3</v>
      </c>
      <c r="Z119" s="87">
        <f t="shared" si="13"/>
        <v>-1.5898586067798273E-2</v>
      </c>
      <c r="AA119" s="87">
        <f t="shared" si="13"/>
        <v>-8.23049913651548E-3</v>
      </c>
      <c r="AB119" s="87">
        <f t="shared" si="13"/>
        <v>3.9502442976246173E-2</v>
      </c>
      <c r="AC119" s="87">
        <f t="shared" si="13"/>
        <v>1.9960742562538152E-2</v>
      </c>
      <c r="AD119" s="87">
        <f t="shared" si="13"/>
        <v>0</v>
      </c>
      <c r="AE119" s="90">
        <f t="shared" si="12"/>
        <v>2.1047818371229968E-3</v>
      </c>
      <c r="AF119" s="89"/>
    </row>
    <row r="120" spans="1:32" ht="15.5" x14ac:dyDescent="0.35">
      <c r="A120" s="82">
        <v>39940</v>
      </c>
      <c r="B120" s="83">
        <v>5800.1</v>
      </c>
      <c r="C120" s="84">
        <v>1716.2</v>
      </c>
      <c r="D120" s="61">
        <v>196.5</v>
      </c>
      <c r="E120" s="61">
        <v>14.4</v>
      </c>
      <c r="F120" s="61">
        <v>18.3</v>
      </c>
      <c r="G120" s="61">
        <v>19.100000000000001</v>
      </c>
      <c r="H120" s="61">
        <v>55.4</v>
      </c>
      <c r="I120" s="61">
        <v>12</v>
      </c>
      <c r="J120" s="61">
        <v>30.7</v>
      </c>
      <c r="K120" s="61">
        <v>29.8</v>
      </c>
      <c r="L120" s="61">
        <v>24.5</v>
      </c>
      <c r="M120" s="61">
        <v>31.2</v>
      </c>
      <c r="N120" s="61">
        <v>24.8</v>
      </c>
      <c r="O120" s="85">
        <v>13.1</v>
      </c>
      <c r="P120" s="105"/>
      <c r="Q120" s="87">
        <f t="shared" si="11"/>
        <v>-1.5465724920983749E-2</v>
      </c>
      <c r="R120" s="87">
        <f t="shared" si="14"/>
        <v>-2.4689770231839117E-2</v>
      </c>
      <c r="S120" s="87">
        <f t="shared" si="14"/>
        <v>-2.1148824492976517E-2</v>
      </c>
      <c r="T120" s="87">
        <f t="shared" si="14"/>
        <v>-6.9204428445737952E-3</v>
      </c>
      <c r="U120" s="87">
        <f t="shared" si="14"/>
        <v>-1.6260520871780291E-2</v>
      </c>
      <c r="V120" s="87">
        <f t="shared" si="14"/>
        <v>-2.5841231183887328E-2</v>
      </c>
      <c r="W120" s="87">
        <f t="shared" si="14"/>
        <v>-5.1022499603208545E-2</v>
      </c>
      <c r="X120" s="87">
        <f t="shared" si="14"/>
        <v>-4.0821994520255166E-2</v>
      </c>
      <c r="Y120" s="87">
        <f t="shared" si="13"/>
        <v>-2.8894465999715003E-2</v>
      </c>
      <c r="Z120" s="87">
        <f t="shared" si="13"/>
        <v>-4.5909701304077857E-2</v>
      </c>
      <c r="AA120" s="87">
        <f t="shared" si="13"/>
        <v>1.2320484388040657E-2</v>
      </c>
      <c r="AB120" s="87">
        <f t="shared" si="13"/>
        <v>9.4028949648276391E-2</v>
      </c>
      <c r="AC120" s="87">
        <f t="shared" si="13"/>
        <v>-1.9960742562538058E-2</v>
      </c>
      <c r="AD120" s="87">
        <f t="shared" si="13"/>
        <v>-3.7457562534900443E-2</v>
      </c>
      <c r="AE120" s="90">
        <f t="shared" si="12"/>
        <v>-2.2794759930585818E-2</v>
      </c>
      <c r="AF120" s="89"/>
    </row>
    <row r="121" spans="1:32" ht="15.5" x14ac:dyDescent="0.35">
      <c r="A121" s="82">
        <v>39941</v>
      </c>
      <c r="B121" s="83">
        <v>6000.4</v>
      </c>
      <c r="C121" s="84">
        <v>1739</v>
      </c>
      <c r="D121" s="61">
        <v>197.7</v>
      </c>
      <c r="E121" s="61">
        <v>14.7</v>
      </c>
      <c r="F121" s="61">
        <v>18</v>
      </c>
      <c r="G121" s="61">
        <v>19.100000000000001</v>
      </c>
      <c r="H121" s="61">
        <v>56.5</v>
      </c>
      <c r="I121" s="61">
        <v>12.4</v>
      </c>
      <c r="J121" s="61">
        <v>30.4</v>
      </c>
      <c r="K121" s="61">
        <v>29.1</v>
      </c>
      <c r="L121" s="61">
        <v>24.7</v>
      </c>
      <c r="M121" s="61">
        <v>32.5</v>
      </c>
      <c r="N121" s="61">
        <v>24.9</v>
      </c>
      <c r="O121" s="85">
        <v>13</v>
      </c>
      <c r="P121" s="105"/>
      <c r="Q121" s="87">
        <f t="shared" si="11"/>
        <v>3.3950974889544967E-2</v>
      </c>
      <c r="R121" s="87">
        <f t="shared" si="14"/>
        <v>1.3197690981262417E-2</v>
      </c>
      <c r="S121" s="87">
        <f t="shared" si="14"/>
        <v>6.0882988672551338E-3</v>
      </c>
      <c r="T121" s="87">
        <f t="shared" si="14"/>
        <v>2.061928720273561E-2</v>
      </c>
      <c r="U121" s="87">
        <f t="shared" si="14"/>
        <v>-1.6529301951210582E-2</v>
      </c>
      <c r="V121" s="87">
        <f t="shared" si="14"/>
        <v>0</v>
      </c>
      <c r="W121" s="87">
        <f t="shared" si="14"/>
        <v>1.9661044399157192E-2</v>
      </c>
      <c r="X121" s="87">
        <f t="shared" si="14"/>
        <v>3.278982282299097E-2</v>
      </c>
      <c r="Y121" s="87">
        <f t="shared" si="13"/>
        <v>-9.820046180975461E-3</v>
      </c>
      <c r="Z121" s="87">
        <f t="shared" si="13"/>
        <v>-2.3770219333911959E-2</v>
      </c>
      <c r="AA121" s="87">
        <f t="shared" si="13"/>
        <v>8.1301260832500888E-3</v>
      </c>
      <c r="AB121" s="87">
        <f t="shared" si="13"/>
        <v>4.08219945202552E-2</v>
      </c>
      <c r="AC121" s="87">
        <f t="shared" si="13"/>
        <v>4.0241502997253268E-3</v>
      </c>
      <c r="AD121" s="87">
        <f t="shared" si="13"/>
        <v>-7.6628727455691371E-3</v>
      </c>
      <c r="AE121" s="90">
        <f t="shared" si="12"/>
        <v>8.0645254800565912E-5</v>
      </c>
      <c r="AF121" s="89"/>
    </row>
    <row r="122" spans="1:32" ht="15.5" x14ac:dyDescent="0.35">
      <c r="A122" s="82">
        <v>39944</v>
      </c>
      <c r="B122" s="83">
        <v>5849.3</v>
      </c>
      <c r="C122" s="84">
        <v>1731.2</v>
      </c>
      <c r="D122" s="61">
        <v>200.8</v>
      </c>
      <c r="E122" s="61">
        <v>14.8</v>
      </c>
      <c r="F122" s="61">
        <v>18.2</v>
      </c>
      <c r="G122" s="61">
        <v>19</v>
      </c>
      <c r="H122" s="61">
        <v>56.5</v>
      </c>
      <c r="I122" s="61">
        <v>12.4</v>
      </c>
      <c r="J122" s="61">
        <v>30.9</v>
      </c>
      <c r="K122" s="61">
        <v>28.7</v>
      </c>
      <c r="L122" s="61">
        <v>24.3</v>
      </c>
      <c r="M122" s="61">
        <v>32.200000000000003</v>
      </c>
      <c r="N122" s="61">
        <v>23.9</v>
      </c>
      <c r="O122" s="85">
        <v>13.2</v>
      </c>
      <c r="P122" s="105"/>
      <c r="Q122" s="87">
        <f t="shared" si="11"/>
        <v>-2.5504137708095016E-2</v>
      </c>
      <c r="R122" s="87">
        <f t="shared" si="14"/>
        <v>-4.495425702120596E-3</v>
      </c>
      <c r="S122" s="87">
        <f t="shared" si="14"/>
        <v>1.5558657641003032E-2</v>
      </c>
      <c r="T122" s="87">
        <f t="shared" si="14"/>
        <v>6.7796869853787691E-3</v>
      </c>
      <c r="U122" s="87">
        <f t="shared" si="14"/>
        <v>1.1049836186584935E-2</v>
      </c>
      <c r="V122" s="87">
        <f t="shared" si="14"/>
        <v>-5.2493558861437901E-3</v>
      </c>
      <c r="W122" s="87">
        <f t="shared" si="14"/>
        <v>0</v>
      </c>
      <c r="X122" s="87">
        <f t="shared" si="14"/>
        <v>0</v>
      </c>
      <c r="Y122" s="87">
        <f t="shared" si="13"/>
        <v>1.6313575491523787E-2</v>
      </c>
      <c r="Z122" s="87">
        <f t="shared" si="13"/>
        <v>-1.3841051411871468E-2</v>
      </c>
      <c r="AA122" s="87">
        <f t="shared" si="13"/>
        <v>-1.632689328742867E-2</v>
      </c>
      <c r="AB122" s="87">
        <f t="shared" si="13"/>
        <v>-9.2736367853291021E-3</v>
      </c>
      <c r="AC122" s="87">
        <f t="shared" si="13"/>
        <v>-4.0989344533197004E-2</v>
      </c>
      <c r="AD122" s="87">
        <f t="shared" si="13"/>
        <v>1.5267472130788381E-2</v>
      </c>
      <c r="AE122" s="90">
        <f t="shared" si="12"/>
        <v>8.2228355608779408E-3</v>
      </c>
      <c r="AF122" s="89"/>
    </row>
    <row r="123" spans="1:32" ht="15.5" x14ac:dyDescent="0.35">
      <c r="A123" s="82">
        <v>39945</v>
      </c>
      <c r="B123" s="83">
        <v>5859.1</v>
      </c>
      <c r="C123" s="84">
        <v>1715.9</v>
      </c>
      <c r="D123" s="61">
        <v>197.8</v>
      </c>
      <c r="E123" s="61">
        <v>14.9</v>
      </c>
      <c r="F123" s="61">
        <v>17.600000000000001</v>
      </c>
      <c r="G123" s="61">
        <v>19.5</v>
      </c>
      <c r="H123" s="61">
        <v>58.3</v>
      </c>
      <c r="I123" s="61">
        <v>11.6</v>
      </c>
      <c r="J123" s="61">
        <v>32.1</v>
      </c>
      <c r="K123" s="61">
        <v>27.2</v>
      </c>
      <c r="L123" s="61">
        <v>24.3</v>
      </c>
      <c r="M123" s="61">
        <v>31.2</v>
      </c>
      <c r="N123" s="61">
        <v>22.8</v>
      </c>
      <c r="O123" s="85">
        <v>12.6</v>
      </c>
      <c r="P123" s="105"/>
      <c r="Q123" s="87">
        <f t="shared" si="11"/>
        <v>1.6740122114991358E-3</v>
      </c>
      <c r="R123" s="87">
        <f t="shared" si="14"/>
        <v>-8.8770853605869976E-3</v>
      </c>
      <c r="S123" s="87">
        <f t="shared" si="14"/>
        <v>-1.5052968628962377E-2</v>
      </c>
      <c r="T123" s="87">
        <f t="shared" si="14"/>
        <v>6.7340321813441194E-3</v>
      </c>
      <c r="U123" s="87">
        <f t="shared" si="14"/>
        <v>-3.3522692038643449E-2</v>
      </c>
      <c r="V123" s="87">
        <f t="shared" si="14"/>
        <v>2.5975486403260736E-2</v>
      </c>
      <c r="W123" s="87">
        <f t="shared" si="14"/>
        <v>3.1361455204051356E-2</v>
      </c>
      <c r="X123" s="87">
        <f t="shared" si="14"/>
        <v>-6.6691374498672282E-2</v>
      </c>
      <c r="Y123" s="87">
        <f t="shared" si="13"/>
        <v>3.8099846232270383E-2</v>
      </c>
      <c r="Z123" s="87">
        <f t="shared" si="13"/>
        <v>-5.3680149463623809E-2</v>
      </c>
      <c r="AA123" s="87">
        <f t="shared" si="13"/>
        <v>0</v>
      </c>
      <c r="AB123" s="87">
        <f t="shared" si="13"/>
        <v>-3.1548357734926008E-2</v>
      </c>
      <c r="AC123" s="87">
        <f t="shared" si="13"/>
        <v>-4.7117922977069848E-2</v>
      </c>
      <c r="AD123" s="87">
        <f t="shared" si="13"/>
        <v>-4.6520015634892817E-2</v>
      </c>
      <c r="AE123" s="90">
        <f t="shared" si="12"/>
        <v>-2.2307734130266758E-2</v>
      </c>
      <c r="AF123" s="89"/>
    </row>
    <row r="124" spans="1:32" ht="15.5" x14ac:dyDescent="0.35">
      <c r="A124" s="82">
        <v>39946</v>
      </c>
      <c r="B124" s="83">
        <v>5666.5</v>
      </c>
      <c r="C124" s="84">
        <v>1664.2</v>
      </c>
      <c r="D124" s="61">
        <v>194.4</v>
      </c>
      <c r="E124" s="61">
        <v>14.5</v>
      </c>
      <c r="F124" s="61">
        <v>17.100000000000001</v>
      </c>
      <c r="G124" s="61">
        <v>19.7</v>
      </c>
      <c r="H124" s="61">
        <v>59</v>
      </c>
      <c r="I124" s="61">
        <v>10.3</v>
      </c>
      <c r="J124" s="61">
        <v>33.4</v>
      </c>
      <c r="K124" s="61">
        <v>26.2</v>
      </c>
      <c r="L124" s="61">
        <v>24.9</v>
      </c>
      <c r="M124" s="61">
        <v>28.5</v>
      </c>
      <c r="N124" s="61">
        <v>22.6</v>
      </c>
      <c r="O124" s="85">
        <v>12.2</v>
      </c>
      <c r="P124" s="105"/>
      <c r="Q124" s="87">
        <f t="shared" si="11"/>
        <v>-3.3424364985136214E-2</v>
      </c>
      <c r="R124" s="87">
        <f t="shared" si="14"/>
        <v>-3.0593196825245889E-2</v>
      </c>
      <c r="S124" s="87">
        <f t="shared" si="14"/>
        <v>-1.733852716227308E-2</v>
      </c>
      <c r="T124" s="87">
        <f t="shared" si="14"/>
        <v>-2.7212563524884815E-2</v>
      </c>
      <c r="U124" s="87">
        <f t="shared" si="14"/>
        <v>-2.8820438535491971E-2</v>
      </c>
      <c r="V124" s="87">
        <f t="shared" si="14"/>
        <v>1.0204170174241668E-2</v>
      </c>
      <c r="W124" s="87">
        <f t="shared" si="14"/>
        <v>1.1935350549272854E-2</v>
      </c>
      <c r="X124" s="87">
        <f t="shared" si="14"/>
        <v>-0.11886120287672881</v>
      </c>
      <c r="Y124" s="87">
        <f t="shared" si="13"/>
        <v>3.969986984668445E-2</v>
      </c>
      <c r="Z124" s="87">
        <f t="shared" si="13"/>
        <v>-3.7457562534900443E-2</v>
      </c>
      <c r="AA124" s="87">
        <f t="shared" si="13"/>
        <v>2.4391453124159048E-2</v>
      </c>
      <c r="AB124" s="87">
        <f t="shared" si="13"/>
        <v>-9.0514007540831859E-2</v>
      </c>
      <c r="AC124" s="87">
        <f t="shared" si="13"/>
        <v>-8.810629682154807E-3</v>
      </c>
      <c r="AD124" s="87">
        <f t="shared" si="13"/>
        <v>-3.2260862218221435E-2</v>
      </c>
      <c r="AE124" s="90">
        <f t="shared" si="12"/>
        <v>-2.640850359470729E-2</v>
      </c>
      <c r="AF124" s="89"/>
    </row>
    <row r="125" spans="1:32" ht="15.5" x14ac:dyDescent="0.35">
      <c r="A125" s="82">
        <v>39947</v>
      </c>
      <c r="B125" s="83">
        <v>5733.5</v>
      </c>
      <c r="C125" s="84">
        <v>1689.2</v>
      </c>
      <c r="D125" s="61">
        <v>192.5</v>
      </c>
      <c r="E125" s="61">
        <v>14.4</v>
      </c>
      <c r="F125" s="61">
        <v>17.100000000000001</v>
      </c>
      <c r="G125" s="61">
        <v>19.8</v>
      </c>
      <c r="H125" s="61">
        <v>61.1</v>
      </c>
      <c r="I125" s="61">
        <v>10.6</v>
      </c>
      <c r="J125" s="61">
        <v>34.1</v>
      </c>
      <c r="K125" s="61">
        <v>26</v>
      </c>
      <c r="L125" s="61">
        <v>25.7</v>
      </c>
      <c r="M125" s="61">
        <v>28.5</v>
      </c>
      <c r="N125" s="61">
        <v>22.5</v>
      </c>
      <c r="O125" s="85">
        <v>12.4</v>
      </c>
      <c r="P125" s="105"/>
      <c r="Q125" s="87">
        <f t="shared" si="11"/>
        <v>1.175452130535597E-2</v>
      </c>
      <c r="R125" s="87">
        <f t="shared" si="14"/>
        <v>1.4910516593458989E-2</v>
      </c>
      <c r="S125" s="87">
        <f t="shared" si="14"/>
        <v>-9.8217382984998689E-3</v>
      </c>
      <c r="T125" s="87">
        <f t="shared" si="14"/>
        <v>-6.9204428445737952E-3</v>
      </c>
      <c r="U125" s="87">
        <f t="shared" si="14"/>
        <v>0</v>
      </c>
      <c r="V125" s="87">
        <f t="shared" si="14"/>
        <v>5.0633019565468548E-3</v>
      </c>
      <c r="W125" s="87">
        <f t="shared" si="14"/>
        <v>3.4974422271830181E-2</v>
      </c>
      <c r="X125" s="87">
        <f t="shared" si="14"/>
        <v>2.871010588243136E-2</v>
      </c>
      <c r="Y125" s="87">
        <f t="shared" si="13"/>
        <v>2.0741484306816372E-2</v>
      </c>
      <c r="Z125" s="87">
        <f t="shared" si="13"/>
        <v>-7.6628727455691371E-3</v>
      </c>
      <c r="AA125" s="87">
        <f t="shared" si="13"/>
        <v>3.1623188430512143E-2</v>
      </c>
      <c r="AB125" s="87">
        <f t="shared" si="13"/>
        <v>0</v>
      </c>
      <c r="AC125" s="87">
        <f t="shared" si="13"/>
        <v>-4.4345970678658642E-3</v>
      </c>
      <c r="AD125" s="87">
        <f t="shared" si="13"/>
        <v>1.6260520871780326E-2</v>
      </c>
      <c r="AE125" s="90">
        <f t="shared" si="12"/>
        <v>3.5703882309975031E-3</v>
      </c>
      <c r="AF125" s="89"/>
    </row>
    <row r="126" spans="1:32" ht="15.5" x14ac:dyDescent="0.35">
      <c r="A126" s="82">
        <v>39948</v>
      </c>
      <c r="B126" s="83">
        <v>5662.9</v>
      </c>
      <c r="C126" s="84">
        <v>1680.1</v>
      </c>
      <c r="D126" s="61">
        <v>194.7</v>
      </c>
      <c r="E126" s="61">
        <v>14.9</v>
      </c>
      <c r="F126" s="61">
        <v>17.399999999999999</v>
      </c>
      <c r="G126" s="61">
        <v>20</v>
      </c>
      <c r="H126" s="61">
        <v>63.3</v>
      </c>
      <c r="I126" s="61">
        <v>11</v>
      </c>
      <c r="J126" s="61">
        <v>35.1</v>
      </c>
      <c r="K126" s="61">
        <v>25.8</v>
      </c>
      <c r="L126" s="61">
        <v>25.3</v>
      </c>
      <c r="M126" s="61">
        <v>29.3</v>
      </c>
      <c r="N126" s="61">
        <v>22.8</v>
      </c>
      <c r="O126" s="85">
        <v>12.4</v>
      </c>
      <c r="P126" s="105"/>
      <c r="Q126" s="87">
        <f t="shared" si="11"/>
        <v>-1.2390036005368987E-2</v>
      </c>
      <c r="R126" s="87">
        <f t="shared" si="14"/>
        <v>-5.4017286244317777E-3</v>
      </c>
      <c r="S126" s="87">
        <f t="shared" si="14"/>
        <v>1.1363758650315003E-2</v>
      </c>
      <c r="T126" s="87">
        <f t="shared" si="14"/>
        <v>3.4133006369458617E-2</v>
      </c>
      <c r="U126" s="87">
        <f t="shared" si="14"/>
        <v>1.739174271186902E-2</v>
      </c>
      <c r="V126" s="87">
        <f t="shared" si="14"/>
        <v>1.0050335853501506E-2</v>
      </c>
      <c r="W126" s="87">
        <f t="shared" si="14"/>
        <v>3.537346297258083E-2</v>
      </c>
      <c r="X126" s="87">
        <f t="shared" si="14"/>
        <v>3.7041271680349076E-2</v>
      </c>
      <c r="Y126" s="87">
        <f t="shared" si="13"/>
        <v>2.8903746182348995E-2</v>
      </c>
      <c r="Z126" s="87">
        <f t="shared" si="13"/>
        <v>-7.7220460939102778E-3</v>
      </c>
      <c r="AA126" s="87">
        <f t="shared" si="13"/>
        <v>-1.5686596167699508E-2</v>
      </c>
      <c r="AB126" s="87">
        <f t="shared" si="13"/>
        <v>2.7683428748416866E-2</v>
      </c>
      <c r="AC126" s="87">
        <f t="shared" si="13"/>
        <v>1.3245226750020723E-2</v>
      </c>
      <c r="AD126" s="87">
        <f t="shared" si="13"/>
        <v>0</v>
      </c>
      <c r="AE126" s="90">
        <f t="shared" si="12"/>
        <v>6.6807192785393876E-3</v>
      </c>
      <c r="AF126" s="89"/>
    </row>
    <row r="127" spans="1:32" ht="15.5" x14ac:dyDescent="0.35">
      <c r="A127" s="82">
        <v>39951</v>
      </c>
      <c r="B127" s="83">
        <v>5865.9</v>
      </c>
      <c r="C127" s="84">
        <v>1732.4</v>
      </c>
      <c r="D127" s="61">
        <v>192.9</v>
      </c>
      <c r="E127" s="61">
        <v>14.7</v>
      </c>
      <c r="F127" s="61">
        <v>17.399999999999999</v>
      </c>
      <c r="G127" s="61">
        <v>20.2</v>
      </c>
      <c r="H127" s="61">
        <v>61.1</v>
      </c>
      <c r="I127" s="61">
        <v>11.4</v>
      </c>
      <c r="J127" s="61">
        <v>35.9</v>
      </c>
      <c r="K127" s="61">
        <v>26.5</v>
      </c>
      <c r="L127" s="61">
        <v>25.2</v>
      </c>
      <c r="M127" s="61">
        <v>29.8</v>
      </c>
      <c r="N127" s="61">
        <v>23.2</v>
      </c>
      <c r="O127" s="85">
        <v>12.5</v>
      </c>
      <c r="P127" s="105"/>
      <c r="Q127" s="87">
        <f t="shared" si="11"/>
        <v>3.5219794527348677E-2</v>
      </c>
      <c r="R127" s="87">
        <f t="shared" si="14"/>
        <v>3.0654414905114991E-2</v>
      </c>
      <c r="S127" s="87">
        <f t="shared" si="14"/>
        <v>-9.2879924664704908E-3</v>
      </c>
      <c r="T127" s="87">
        <f t="shared" si="14"/>
        <v>-1.3513719166722933E-2</v>
      </c>
      <c r="U127" s="87">
        <f t="shared" si="14"/>
        <v>0</v>
      </c>
      <c r="V127" s="87">
        <f t="shared" si="14"/>
        <v>9.950330853168092E-3</v>
      </c>
      <c r="W127" s="87">
        <f t="shared" si="14"/>
        <v>-3.5373462972580816E-2</v>
      </c>
      <c r="X127" s="87">
        <f t="shared" si="14"/>
        <v>3.5718082602079246E-2</v>
      </c>
      <c r="Y127" s="87">
        <f t="shared" si="13"/>
        <v>2.2536165022412912E-2</v>
      </c>
      <c r="Z127" s="87">
        <f t="shared" si="13"/>
        <v>2.6770241064604832E-2</v>
      </c>
      <c r="AA127" s="87">
        <f t="shared" si="13"/>
        <v>-3.9604012160970167E-3</v>
      </c>
      <c r="AB127" s="87">
        <f t="shared" si="13"/>
        <v>1.6920877488337177E-2</v>
      </c>
      <c r="AC127" s="87">
        <f t="shared" si="13"/>
        <v>1.739174271186902E-2</v>
      </c>
      <c r="AD127" s="87">
        <f t="shared" si="13"/>
        <v>8.0321716972642527E-3</v>
      </c>
      <c r="AE127" s="90">
        <f t="shared" si="12"/>
        <v>7.4457184778412514E-3</v>
      </c>
      <c r="AF127" s="89"/>
    </row>
    <row r="128" spans="1:32" ht="15.5" x14ac:dyDescent="0.35">
      <c r="A128" s="82">
        <v>39952</v>
      </c>
      <c r="B128" s="83">
        <v>5872.2</v>
      </c>
      <c r="C128" s="84">
        <v>1734.5</v>
      </c>
      <c r="D128" s="61">
        <v>196.7</v>
      </c>
      <c r="E128" s="61">
        <v>15</v>
      </c>
      <c r="F128" s="61">
        <v>18</v>
      </c>
      <c r="G128" s="61">
        <v>20.3</v>
      </c>
      <c r="H128" s="61">
        <v>62</v>
      </c>
      <c r="I128" s="61">
        <v>11.7</v>
      </c>
      <c r="J128" s="61">
        <v>36.9</v>
      </c>
      <c r="K128" s="61">
        <v>26.7</v>
      </c>
      <c r="L128" s="61">
        <v>25.3</v>
      </c>
      <c r="M128" s="61">
        <v>30.6</v>
      </c>
      <c r="N128" s="61">
        <v>23.6</v>
      </c>
      <c r="O128" s="85">
        <v>12.6</v>
      </c>
      <c r="P128" s="105"/>
      <c r="Q128" s="87">
        <f t="shared" si="11"/>
        <v>1.0734276594899902E-3</v>
      </c>
      <c r="R128" s="87">
        <f t="shared" si="14"/>
        <v>1.2114570693326429E-3</v>
      </c>
      <c r="S128" s="87">
        <f t="shared" si="14"/>
        <v>1.9507805483329917E-2</v>
      </c>
      <c r="T128" s="87">
        <f t="shared" si="14"/>
        <v>2.0202707317519469E-2</v>
      </c>
      <c r="U128" s="87">
        <f t="shared" si="14"/>
        <v>3.3901551675681416E-2</v>
      </c>
      <c r="V128" s="87">
        <f t="shared" si="14"/>
        <v>4.9382816405825767E-3</v>
      </c>
      <c r="W128" s="87">
        <f t="shared" si="14"/>
        <v>1.4622518867541963E-2</v>
      </c>
      <c r="X128" s="87">
        <f t="shared" si="14"/>
        <v>2.5975486403260521E-2</v>
      </c>
      <c r="Y128" s="87">
        <f t="shared" si="13"/>
        <v>2.7474255552248337E-2</v>
      </c>
      <c r="Z128" s="87">
        <f t="shared" si="13"/>
        <v>7.518832414027319E-3</v>
      </c>
      <c r="AA128" s="87">
        <f t="shared" si="13"/>
        <v>3.9604012160969143E-3</v>
      </c>
      <c r="AB128" s="87">
        <f t="shared" si="13"/>
        <v>2.6491615446976285E-2</v>
      </c>
      <c r="AC128" s="87">
        <f t="shared" si="13"/>
        <v>1.7094433359300255E-2</v>
      </c>
      <c r="AD128" s="87">
        <f t="shared" si="13"/>
        <v>7.9681696491768813E-3</v>
      </c>
      <c r="AE128" s="90">
        <f t="shared" si="12"/>
        <v>1.67366122339076E-2</v>
      </c>
      <c r="AF128" s="89"/>
    </row>
    <row r="129" spans="1:32" ht="15.5" x14ac:dyDescent="0.35">
      <c r="A129" s="82">
        <v>39953</v>
      </c>
      <c r="B129" s="83">
        <v>5870.4</v>
      </c>
      <c r="C129" s="84">
        <v>1727.8</v>
      </c>
      <c r="D129" s="61">
        <v>197.7</v>
      </c>
      <c r="E129" s="61">
        <v>14.8</v>
      </c>
      <c r="F129" s="61">
        <v>17.899999999999999</v>
      </c>
      <c r="G129" s="61">
        <v>20.2</v>
      </c>
      <c r="H129" s="61">
        <v>61.2</v>
      </c>
      <c r="I129" s="61">
        <v>11.7</v>
      </c>
      <c r="J129" s="61">
        <v>37.9</v>
      </c>
      <c r="K129" s="61">
        <v>26.4</v>
      </c>
      <c r="L129" s="61">
        <v>25.8</v>
      </c>
      <c r="M129" s="61">
        <v>30.3</v>
      </c>
      <c r="N129" s="61">
        <v>24.5</v>
      </c>
      <c r="O129" s="85">
        <v>12.6</v>
      </c>
      <c r="P129" s="105"/>
      <c r="Q129" s="87">
        <f t="shared" si="11"/>
        <v>-3.0657605881121851E-4</v>
      </c>
      <c r="R129" s="87">
        <f t="shared" si="14"/>
        <v>-3.8702644850205979E-3</v>
      </c>
      <c r="S129" s="87">
        <f t="shared" si="14"/>
        <v>5.0710047815577929E-3</v>
      </c>
      <c r="T129" s="87">
        <f t="shared" si="14"/>
        <v>-1.3423020332140661E-2</v>
      </c>
      <c r="U129" s="87">
        <f t="shared" si="14"/>
        <v>-5.571045049455472E-3</v>
      </c>
      <c r="V129" s="87">
        <f t="shared" si="14"/>
        <v>-4.9382816405826773E-3</v>
      </c>
      <c r="W129" s="87">
        <f t="shared" si="14"/>
        <v>-1.2987195526811079E-2</v>
      </c>
      <c r="X129" s="87">
        <f t="shared" si="14"/>
        <v>0</v>
      </c>
      <c r="Y129" s="87">
        <f t="shared" si="13"/>
        <v>2.6739561041899087E-2</v>
      </c>
      <c r="Z129" s="87">
        <f t="shared" si="13"/>
        <v>-1.1299555253933394E-2</v>
      </c>
      <c r="AA129" s="87">
        <f t="shared" si="13"/>
        <v>1.9570096194097296E-2</v>
      </c>
      <c r="AB129" s="87">
        <f t="shared" si="13"/>
        <v>-9.8522964430117071E-3</v>
      </c>
      <c r="AC129" s="87">
        <f t="shared" si="13"/>
        <v>3.7426405519116815E-2</v>
      </c>
      <c r="AD129" s="87">
        <f t="shared" si="13"/>
        <v>0</v>
      </c>
      <c r="AE129" s="90">
        <f t="shared" si="12"/>
        <v>-1.2684753053462806E-3</v>
      </c>
      <c r="AF129" s="89"/>
    </row>
    <row r="130" spans="1:32" ht="15.5" x14ac:dyDescent="0.35">
      <c r="A130" s="82">
        <v>39954</v>
      </c>
      <c r="B130" s="83">
        <v>5780.5</v>
      </c>
      <c r="C130" s="84">
        <v>1695.3</v>
      </c>
      <c r="D130" s="61">
        <v>197.1</v>
      </c>
      <c r="E130" s="61">
        <v>14.6</v>
      </c>
      <c r="F130" s="61">
        <v>17.600000000000001</v>
      </c>
      <c r="G130" s="61">
        <v>19.5</v>
      </c>
      <c r="H130" s="61">
        <v>60.8</v>
      </c>
      <c r="I130" s="61">
        <v>11</v>
      </c>
      <c r="J130" s="61">
        <v>35.799999999999997</v>
      </c>
      <c r="K130" s="61">
        <v>24.8</v>
      </c>
      <c r="L130" s="61">
        <v>25.4</v>
      </c>
      <c r="M130" s="61">
        <v>29.6</v>
      </c>
      <c r="N130" s="61">
        <v>23.4</v>
      </c>
      <c r="O130" s="85">
        <v>12.5</v>
      </c>
      <c r="P130" s="105"/>
      <c r="Q130" s="87">
        <f t="shared" si="11"/>
        <v>-1.5432590485641221E-2</v>
      </c>
      <c r="R130" s="87">
        <f t="shared" si="14"/>
        <v>-1.898920662087647E-2</v>
      </c>
      <c r="S130" s="87">
        <f t="shared" si="14"/>
        <v>-3.039516017896704E-3</v>
      </c>
      <c r="T130" s="87">
        <f t="shared" si="14"/>
        <v>-1.3605652055778709E-2</v>
      </c>
      <c r="U130" s="87">
        <f t="shared" si="14"/>
        <v>-1.6901810802603025E-2</v>
      </c>
      <c r="V130" s="87">
        <f t="shared" si="14"/>
        <v>-3.5268138837457878E-2</v>
      </c>
      <c r="W130" s="87">
        <f t="shared" si="14"/>
        <v>-6.5574005461591636E-3</v>
      </c>
      <c r="X130" s="87">
        <f t="shared" si="14"/>
        <v>-6.1693569005339781E-2</v>
      </c>
      <c r="Y130" s="87">
        <f t="shared" si="13"/>
        <v>-5.7003218681726045E-2</v>
      </c>
      <c r="Z130" s="87">
        <f t="shared" si="13"/>
        <v>-6.252035698133393E-2</v>
      </c>
      <c r="AA130" s="87">
        <f t="shared" si="13"/>
        <v>-1.562531790308087E-2</v>
      </c>
      <c r="AB130" s="87">
        <f t="shared" si="13"/>
        <v>-2.3373351185308713E-2</v>
      </c>
      <c r="AC130" s="87">
        <f t="shared" si="13"/>
        <v>-4.5937095187025656E-2</v>
      </c>
      <c r="AD130" s="87">
        <f t="shared" si="13"/>
        <v>-7.9681696491768449E-3</v>
      </c>
      <c r="AE130" s="90">
        <f t="shared" si="12"/>
        <v>-1.2383250743684722E-2</v>
      </c>
      <c r="AF130" s="89"/>
    </row>
    <row r="131" spans="1:32" ht="15.5" x14ac:dyDescent="0.35">
      <c r="A131" s="82">
        <v>39955</v>
      </c>
      <c r="B131" s="83">
        <v>5789.6</v>
      </c>
      <c r="C131" s="84">
        <v>1692</v>
      </c>
      <c r="D131" s="61">
        <v>196.2</v>
      </c>
      <c r="E131" s="61">
        <v>14.8</v>
      </c>
      <c r="F131" s="61">
        <v>17.399999999999999</v>
      </c>
      <c r="G131" s="61">
        <v>19.5</v>
      </c>
      <c r="H131" s="61">
        <v>60.8</v>
      </c>
      <c r="I131" s="61">
        <v>11.1</v>
      </c>
      <c r="J131" s="61">
        <v>37.1</v>
      </c>
      <c r="K131" s="61">
        <v>24.6</v>
      </c>
      <c r="L131" s="61">
        <v>26</v>
      </c>
      <c r="M131" s="61">
        <v>29.8</v>
      </c>
      <c r="N131" s="61">
        <v>23.2</v>
      </c>
      <c r="O131" s="85">
        <v>12.8</v>
      </c>
      <c r="P131" s="105"/>
      <c r="Q131" s="87">
        <f t="shared" si="11"/>
        <v>1.573020436541679E-3</v>
      </c>
      <c r="R131" s="87">
        <f t="shared" si="14"/>
        <v>-1.948455137738728E-3</v>
      </c>
      <c r="S131" s="87">
        <f t="shared" si="14"/>
        <v>-4.5766670274118666E-3</v>
      </c>
      <c r="T131" s="87">
        <f t="shared" si="14"/>
        <v>1.3605652055778678E-2</v>
      </c>
      <c r="U131" s="87">
        <f t="shared" si="14"/>
        <v>-1.1428695823622968E-2</v>
      </c>
      <c r="V131" s="87">
        <f t="shared" si="14"/>
        <v>0</v>
      </c>
      <c r="W131" s="87">
        <f t="shared" si="14"/>
        <v>0</v>
      </c>
      <c r="X131" s="87">
        <f t="shared" si="14"/>
        <v>9.0498355199178562E-3</v>
      </c>
      <c r="Y131" s="87">
        <f t="shared" si="13"/>
        <v>3.5669076206734929E-2</v>
      </c>
      <c r="Z131" s="87">
        <f t="shared" si="13"/>
        <v>-8.0972102326193618E-3</v>
      </c>
      <c r="AA131" s="87">
        <f t="shared" si="13"/>
        <v>2.3347363996991107E-2</v>
      </c>
      <c r="AB131" s="87">
        <f t="shared" si="13"/>
        <v>6.7340321813441194E-3</v>
      </c>
      <c r="AC131" s="87">
        <f t="shared" si="13"/>
        <v>-8.5837436913914419E-3</v>
      </c>
      <c r="AD131" s="87">
        <f t="shared" si="13"/>
        <v>2.3716526617316065E-2</v>
      </c>
      <c r="AE131" s="90">
        <f t="shared" si="12"/>
        <v>-2.309138077021362E-3</v>
      </c>
      <c r="AF131" s="89"/>
    </row>
    <row r="132" spans="1:32" ht="15.5" x14ac:dyDescent="0.35">
      <c r="A132" s="82">
        <v>39959</v>
      </c>
      <c r="B132" s="83">
        <v>5936.6</v>
      </c>
      <c r="C132" s="84">
        <v>1750.4</v>
      </c>
      <c r="D132" s="61">
        <v>195.2</v>
      </c>
      <c r="E132" s="61">
        <v>14.7</v>
      </c>
      <c r="F132" s="61">
        <v>17.8</v>
      </c>
      <c r="G132" s="61">
        <v>19.5</v>
      </c>
      <c r="H132" s="61">
        <v>60.5</v>
      </c>
      <c r="I132" s="61">
        <v>11.2</v>
      </c>
      <c r="J132" s="61">
        <v>37.4</v>
      </c>
      <c r="K132" s="61">
        <v>24.7</v>
      </c>
      <c r="L132" s="61">
        <v>25.7</v>
      </c>
      <c r="M132" s="61">
        <v>29.5</v>
      </c>
      <c r="N132" s="61">
        <v>23.1</v>
      </c>
      <c r="O132" s="85">
        <v>13</v>
      </c>
      <c r="P132" s="105"/>
      <c r="Q132" s="87">
        <f t="shared" si="11"/>
        <v>2.5073374354360651E-2</v>
      </c>
      <c r="R132" s="87">
        <f t="shared" si="14"/>
        <v>3.3933072061493638E-2</v>
      </c>
      <c r="S132" s="87">
        <f t="shared" si="14"/>
        <v>-5.1098731522705911E-3</v>
      </c>
      <c r="T132" s="87">
        <f t="shared" si="14"/>
        <v>-6.7796869853788038E-3</v>
      </c>
      <c r="U132" s="87">
        <f t="shared" si="14"/>
        <v>2.272825107755631E-2</v>
      </c>
      <c r="V132" s="87">
        <f t="shared" si="14"/>
        <v>0</v>
      </c>
      <c r="W132" s="87">
        <f t="shared" si="14"/>
        <v>-4.9464239353254622E-3</v>
      </c>
      <c r="X132" s="87">
        <f t="shared" si="14"/>
        <v>8.9686699827603161E-3</v>
      </c>
      <c r="Y132" s="87">
        <f t="shared" si="13"/>
        <v>8.053734807096825E-3</v>
      </c>
      <c r="Z132" s="87">
        <f t="shared" si="13"/>
        <v>4.0568006956142478E-3</v>
      </c>
      <c r="AA132" s="87">
        <f t="shared" si="13"/>
        <v>-1.1605546120308003E-2</v>
      </c>
      <c r="AB132" s="87">
        <f t="shared" si="13"/>
        <v>-1.0118130165584667E-2</v>
      </c>
      <c r="AC132" s="87">
        <f t="shared" si="13"/>
        <v>-4.3196611445162842E-3</v>
      </c>
      <c r="AD132" s="87">
        <f t="shared" si="13"/>
        <v>1.5504186535965254E-2</v>
      </c>
      <c r="AE132" s="90">
        <f t="shared" si="12"/>
        <v>1.7058797296596286E-2</v>
      </c>
      <c r="AF132" s="89"/>
    </row>
    <row r="133" spans="1:32" ht="15.5" x14ac:dyDescent="0.35">
      <c r="A133" s="82">
        <v>39960</v>
      </c>
      <c r="B133" s="83">
        <v>5823.6</v>
      </c>
      <c r="C133" s="84">
        <v>1731.1</v>
      </c>
      <c r="D133" s="61">
        <v>202.6</v>
      </c>
      <c r="E133" s="61">
        <v>14.9</v>
      </c>
      <c r="F133" s="61">
        <v>18.7</v>
      </c>
      <c r="G133" s="61">
        <v>20.100000000000001</v>
      </c>
      <c r="H133" s="61">
        <v>58</v>
      </c>
      <c r="I133" s="61">
        <v>10.9</v>
      </c>
      <c r="J133" s="61">
        <v>37.5</v>
      </c>
      <c r="K133" s="61">
        <v>25.7</v>
      </c>
      <c r="L133" s="61">
        <v>26.5</v>
      </c>
      <c r="M133" s="61">
        <v>29.6</v>
      </c>
      <c r="N133" s="61">
        <v>23.9</v>
      </c>
      <c r="O133" s="85">
        <v>13.5</v>
      </c>
      <c r="P133" s="105"/>
      <c r="Q133" s="87">
        <f t="shared" si="11"/>
        <v>-1.9217951707107685E-2</v>
      </c>
      <c r="R133" s="87">
        <f t="shared" si="14"/>
        <v>-1.1087288644978339E-2</v>
      </c>
      <c r="S133" s="87">
        <f t="shared" si="14"/>
        <v>3.7208917835590972E-2</v>
      </c>
      <c r="T133" s="87">
        <f t="shared" si="14"/>
        <v>1.3513719166722855E-2</v>
      </c>
      <c r="U133" s="87">
        <f t="shared" si="14"/>
        <v>4.9325066562501491E-2</v>
      </c>
      <c r="V133" s="87">
        <f t="shared" si="14"/>
        <v>3.0305349495329058E-2</v>
      </c>
      <c r="W133" s="87">
        <f t="shared" si="14"/>
        <v>-4.2200354490376416E-2</v>
      </c>
      <c r="X133" s="87">
        <f t="shared" si="14"/>
        <v>-2.7150989065950745E-2</v>
      </c>
      <c r="Y133" s="87">
        <f t="shared" si="13"/>
        <v>2.6702285558788921E-3</v>
      </c>
      <c r="Z133" s="87">
        <f t="shared" si="13"/>
        <v>3.9687748267242542E-2</v>
      </c>
      <c r="AA133" s="87">
        <f t="shared" si="13"/>
        <v>3.065374109100252E-2</v>
      </c>
      <c r="AB133" s="87">
        <f t="shared" si="13"/>
        <v>3.3840979842404942E-3</v>
      </c>
      <c r="AC133" s="87">
        <f t="shared" si="13"/>
        <v>3.4045841409717066E-2</v>
      </c>
      <c r="AD133" s="87">
        <f t="shared" si="13"/>
        <v>3.7740327982847113E-2</v>
      </c>
      <c r="AE133" s="90">
        <f t="shared" si="12"/>
        <v>2.6261272795527681E-2</v>
      </c>
      <c r="AF133" s="89"/>
    </row>
    <row r="134" spans="1:32" ht="15.5" x14ac:dyDescent="0.35">
      <c r="A134" s="82">
        <v>39961</v>
      </c>
      <c r="B134" s="83">
        <v>5917.1</v>
      </c>
      <c r="C134" s="84">
        <v>1751.8</v>
      </c>
      <c r="D134" s="61">
        <v>202.5</v>
      </c>
      <c r="E134" s="61">
        <v>14.7</v>
      </c>
      <c r="F134" s="61">
        <v>18.899999999999999</v>
      </c>
      <c r="G134" s="61">
        <v>20.100000000000001</v>
      </c>
      <c r="H134" s="61">
        <v>56.2</v>
      </c>
      <c r="I134" s="61">
        <v>10.9</v>
      </c>
      <c r="J134" s="61">
        <v>37.4</v>
      </c>
      <c r="K134" s="61">
        <v>25.3</v>
      </c>
      <c r="L134" s="61">
        <v>26.4</v>
      </c>
      <c r="M134" s="61">
        <v>29.7</v>
      </c>
      <c r="N134" s="61">
        <v>23.2</v>
      </c>
      <c r="O134" s="85">
        <v>13.4</v>
      </c>
      <c r="P134" s="105"/>
      <c r="Q134" s="87">
        <f t="shared" si="11"/>
        <v>1.5927836791024563E-2</v>
      </c>
      <c r="R134" s="87">
        <f t="shared" si="14"/>
        <v>1.1886786146304824E-2</v>
      </c>
      <c r="S134" s="87">
        <f t="shared" si="14"/>
        <v>-4.9370526798918216E-4</v>
      </c>
      <c r="T134" s="87">
        <f t="shared" si="14"/>
        <v>-1.3513719166722933E-2</v>
      </c>
      <c r="U134" s="87">
        <f t="shared" si="14"/>
        <v>1.0638398205055797E-2</v>
      </c>
      <c r="V134" s="87">
        <f t="shared" si="14"/>
        <v>0</v>
      </c>
      <c r="W134" s="87">
        <f t="shared" si="14"/>
        <v>-3.1526253646773895E-2</v>
      </c>
      <c r="X134" s="87">
        <f t="shared" si="14"/>
        <v>0</v>
      </c>
      <c r="Y134" s="87">
        <f t="shared" si="13"/>
        <v>-2.6702285558789208E-3</v>
      </c>
      <c r="Z134" s="87">
        <f t="shared" si="13"/>
        <v>-1.5686596167699508E-2</v>
      </c>
      <c r="AA134" s="87">
        <f t="shared" si="13"/>
        <v>-3.7807228399060443E-3</v>
      </c>
      <c r="AB134" s="87">
        <f t="shared" si="13"/>
        <v>3.372684478639156E-3</v>
      </c>
      <c r="AC134" s="87">
        <f t="shared" si="13"/>
        <v>-2.9726180265200734E-2</v>
      </c>
      <c r="AD134" s="87">
        <f t="shared" si="13"/>
        <v>-7.4349784875180902E-3</v>
      </c>
      <c r="AE134" s="90">
        <f t="shared" si="12"/>
        <v>5.5567305728966123E-3</v>
      </c>
      <c r="AF134" s="89"/>
    </row>
    <row r="135" spans="1:32" ht="15.5" x14ac:dyDescent="0.35">
      <c r="A135" s="82">
        <v>39962</v>
      </c>
      <c r="B135" s="83">
        <v>6004.1</v>
      </c>
      <c r="C135" s="84">
        <v>1774.3</v>
      </c>
      <c r="D135" s="61">
        <v>205.6</v>
      </c>
      <c r="E135" s="61">
        <v>15.1</v>
      </c>
      <c r="F135" s="61">
        <v>19.100000000000001</v>
      </c>
      <c r="G135" s="61">
        <v>20.3</v>
      </c>
      <c r="H135" s="61">
        <v>57.1</v>
      </c>
      <c r="I135" s="61">
        <v>11.2</v>
      </c>
      <c r="J135" s="61">
        <v>37.9</v>
      </c>
      <c r="K135" s="61">
        <v>25.3</v>
      </c>
      <c r="L135" s="61">
        <v>26.9</v>
      </c>
      <c r="M135" s="61">
        <v>30.3</v>
      </c>
      <c r="N135" s="61">
        <v>23.7</v>
      </c>
      <c r="O135" s="85">
        <v>13.7</v>
      </c>
      <c r="P135" s="105"/>
      <c r="Q135" s="87">
        <f t="shared" si="11"/>
        <v>1.4596105187412974E-2</v>
      </c>
      <c r="R135" s="87">
        <f t="shared" si="14"/>
        <v>1.276214820054518E-2</v>
      </c>
      <c r="S135" s="87">
        <f t="shared" si="14"/>
        <v>1.5192647034416138E-2</v>
      </c>
      <c r="T135" s="87">
        <f t="shared" si="14"/>
        <v>2.6847250036188056E-2</v>
      </c>
      <c r="U135" s="87">
        <f t="shared" si="14"/>
        <v>1.0526412986987603E-2</v>
      </c>
      <c r="V135" s="87">
        <f t="shared" si="14"/>
        <v>9.9010709827115368E-3</v>
      </c>
      <c r="W135" s="87">
        <f t="shared" si="14"/>
        <v>1.5887359762319146E-2</v>
      </c>
      <c r="X135" s="87">
        <f t="shared" si="14"/>
        <v>2.7150989065950683E-2</v>
      </c>
      <c r="Y135" s="87">
        <f t="shared" si="13"/>
        <v>1.3280407667894466E-2</v>
      </c>
      <c r="Z135" s="87">
        <f t="shared" si="13"/>
        <v>0</v>
      </c>
      <c r="AA135" s="87">
        <f t="shared" si="13"/>
        <v>1.8762276455523034E-2</v>
      </c>
      <c r="AB135" s="87">
        <f t="shared" si="13"/>
        <v>2.000066670666965E-2</v>
      </c>
      <c r="AC135" s="87">
        <f t="shared" si="13"/>
        <v>2.1322769468821244E-2</v>
      </c>
      <c r="AD135" s="87">
        <f t="shared" si="13"/>
        <v>2.2141125877213501E-2</v>
      </c>
      <c r="AE135" s="90">
        <f t="shared" si="12"/>
        <v>1.3974426137638604E-2</v>
      </c>
      <c r="AF135" s="89"/>
    </row>
    <row r="136" spans="1:32" ht="15.5" x14ac:dyDescent="0.35">
      <c r="A136" s="82">
        <v>39965</v>
      </c>
      <c r="B136" s="83">
        <v>6169.1</v>
      </c>
      <c r="C136" s="84">
        <v>1828.7</v>
      </c>
      <c r="D136" s="61">
        <v>209.5</v>
      </c>
      <c r="E136" s="61">
        <v>16.100000000000001</v>
      </c>
      <c r="F136" s="61">
        <v>19.399999999999999</v>
      </c>
      <c r="G136" s="61">
        <v>20.9</v>
      </c>
      <c r="H136" s="61">
        <v>59.5</v>
      </c>
      <c r="I136" s="61">
        <v>11.6</v>
      </c>
      <c r="J136" s="61">
        <v>38.700000000000003</v>
      </c>
      <c r="K136" s="61">
        <v>26.7</v>
      </c>
      <c r="L136" s="61">
        <v>27.1</v>
      </c>
      <c r="M136" s="61">
        <v>31.1</v>
      </c>
      <c r="N136" s="61">
        <v>24.8</v>
      </c>
      <c r="O136" s="85">
        <v>14.4</v>
      </c>
      <c r="P136" s="105"/>
      <c r="Q136" s="87">
        <f t="shared" si="11"/>
        <v>2.711039098331982E-2</v>
      </c>
      <c r="R136" s="87">
        <f t="shared" si="14"/>
        <v>3.0199352951053558E-2</v>
      </c>
      <c r="S136" s="87">
        <f t="shared" si="14"/>
        <v>1.8791205781182312E-2</v>
      </c>
      <c r="T136" s="87">
        <f t="shared" si="14"/>
        <v>6.4124528169538772E-2</v>
      </c>
      <c r="U136" s="87">
        <f t="shared" si="14"/>
        <v>1.5584731016698111E-2</v>
      </c>
      <c r="V136" s="87">
        <f t="shared" si="14"/>
        <v>2.9128272923023637E-2</v>
      </c>
      <c r="W136" s="87">
        <f t="shared" si="14"/>
        <v>4.1172195889619491E-2</v>
      </c>
      <c r="X136" s="87">
        <f t="shared" si="14"/>
        <v>3.5091319811270193E-2</v>
      </c>
      <c r="Y136" s="87">
        <f t="shared" si="13"/>
        <v>2.0888487947355532E-2</v>
      </c>
      <c r="Z136" s="87">
        <f t="shared" si="13"/>
        <v>5.3859169672729204E-2</v>
      </c>
      <c r="AA136" s="87">
        <f t="shared" si="13"/>
        <v>7.4074412778618176E-3</v>
      </c>
      <c r="AB136" s="87">
        <f t="shared" si="13"/>
        <v>2.6060106669865087E-2</v>
      </c>
      <c r="AC136" s="87">
        <f t="shared" si="13"/>
        <v>4.5368605029851086E-2</v>
      </c>
      <c r="AD136" s="87">
        <f t="shared" si="13"/>
        <v>4.9832373747875754E-2</v>
      </c>
      <c r="AE136" s="90">
        <f t="shared" si="12"/>
        <v>2.5066924437851211E-2</v>
      </c>
      <c r="AF136" s="89"/>
    </row>
    <row r="137" spans="1:32" ht="15.5" x14ac:dyDescent="0.35">
      <c r="A137" s="82">
        <v>39966</v>
      </c>
      <c r="B137" s="83">
        <v>6182.9</v>
      </c>
      <c r="C137" s="84">
        <v>1836.8</v>
      </c>
      <c r="D137" s="61">
        <v>211.9</v>
      </c>
      <c r="E137" s="61">
        <v>16.3</v>
      </c>
      <c r="F137" s="61">
        <v>19.8</v>
      </c>
      <c r="G137" s="61">
        <v>21.2</v>
      </c>
      <c r="H137" s="61">
        <v>60.3</v>
      </c>
      <c r="I137" s="61">
        <v>11.5</v>
      </c>
      <c r="J137" s="61">
        <v>38.4</v>
      </c>
      <c r="K137" s="61">
        <v>29.5</v>
      </c>
      <c r="L137" s="61">
        <v>27.2</v>
      </c>
      <c r="M137" s="61">
        <v>31.3</v>
      </c>
      <c r="N137" s="61">
        <v>26</v>
      </c>
      <c r="O137" s="85">
        <v>14.4</v>
      </c>
      <c r="P137" s="105"/>
      <c r="Q137" s="87">
        <f t="shared" si="11"/>
        <v>2.2344568882311923E-3</v>
      </c>
      <c r="R137" s="87">
        <f t="shared" si="14"/>
        <v>4.4195952446599808E-3</v>
      </c>
      <c r="S137" s="87">
        <f t="shared" si="14"/>
        <v>1.1390725912060893E-2</v>
      </c>
      <c r="T137" s="87">
        <f t="shared" si="14"/>
        <v>1.2345835822299362E-2</v>
      </c>
      <c r="U137" s="87">
        <f t="shared" si="14"/>
        <v>2.0408871631207252E-2</v>
      </c>
      <c r="V137" s="87">
        <f t="shared" si="14"/>
        <v>1.4252022707201413E-2</v>
      </c>
      <c r="W137" s="87">
        <f t="shared" si="14"/>
        <v>1.3355791181555636E-2</v>
      </c>
      <c r="X137" s="87">
        <f t="shared" si="14"/>
        <v>-8.6580627431145415E-3</v>
      </c>
      <c r="Y137" s="87">
        <f t="shared" si="13"/>
        <v>-7.7821404420550747E-3</v>
      </c>
      <c r="Z137" s="87">
        <f t="shared" si="13"/>
        <v>9.9726697939570327E-2</v>
      </c>
      <c r="AA137" s="87">
        <f t="shared" si="13"/>
        <v>3.683245416296368E-3</v>
      </c>
      <c r="AB137" s="87">
        <f t="shared" ref="AB137:AD200" si="15">+LN(M137/M136)</f>
        <v>6.4102783609190188E-3</v>
      </c>
      <c r="AC137" s="87">
        <f t="shared" si="15"/>
        <v>4.7252884850545511E-2</v>
      </c>
      <c r="AD137" s="87">
        <f t="shared" si="15"/>
        <v>0</v>
      </c>
      <c r="AE137" s="90">
        <f t="shared" si="12"/>
        <v>1.0495256042338735E-2</v>
      </c>
      <c r="AF137" s="89"/>
    </row>
    <row r="138" spans="1:32" ht="15.5" x14ac:dyDescent="0.35">
      <c r="A138" s="82">
        <v>39967</v>
      </c>
      <c r="B138" s="83">
        <v>6033.9</v>
      </c>
      <c r="C138" s="84">
        <v>1825.9</v>
      </c>
      <c r="D138" s="61">
        <v>212.2</v>
      </c>
      <c r="E138" s="61">
        <v>15.7</v>
      </c>
      <c r="F138" s="61">
        <v>19.899999999999999</v>
      </c>
      <c r="G138" s="61">
        <v>21.3</v>
      </c>
      <c r="H138" s="61">
        <v>63.8</v>
      </c>
      <c r="I138" s="61">
        <v>11.4</v>
      </c>
      <c r="J138" s="61">
        <v>36.4</v>
      </c>
      <c r="K138" s="61">
        <v>29.5</v>
      </c>
      <c r="L138" s="61">
        <v>27.1</v>
      </c>
      <c r="M138" s="61">
        <v>29.6</v>
      </c>
      <c r="N138" s="61">
        <v>25.8</v>
      </c>
      <c r="O138" s="85">
        <v>14.2</v>
      </c>
      <c r="P138" s="105"/>
      <c r="Q138" s="87">
        <f t="shared" si="11"/>
        <v>-2.4393849221874472E-2</v>
      </c>
      <c r="R138" s="87">
        <f t="shared" si="14"/>
        <v>-5.9519109825599608E-3</v>
      </c>
      <c r="S138" s="87">
        <f t="shared" si="14"/>
        <v>1.4147609056292809E-3</v>
      </c>
      <c r="T138" s="87">
        <f t="shared" si="14"/>
        <v>-3.7504395458454402E-2</v>
      </c>
      <c r="U138" s="87">
        <f t="shared" si="14"/>
        <v>5.037794029957081E-3</v>
      </c>
      <c r="V138" s="87">
        <f t="shared" si="14"/>
        <v>4.7058910374127138E-3</v>
      </c>
      <c r="W138" s="87">
        <f t="shared" si="14"/>
        <v>5.6421086617604504E-2</v>
      </c>
      <c r="X138" s="87">
        <f t="shared" si="14"/>
        <v>-8.7336799687545534E-3</v>
      </c>
      <c r="Y138" s="87">
        <f t="shared" si="14"/>
        <v>-5.3488684950986236E-2</v>
      </c>
      <c r="Z138" s="87">
        <f t="shared" si="14"/>
        <v>0</v>
      </c>
      <c r="AA138" s="87">
        <f t="shared" si="14"/>
        <v>-3.6832454162962934E-3</v>
      </c>
      <c r="AB138" s="87">
        <f t="shared" si="15"/>
        <v>-5.5843736216092767E-2</v>
      </c>
      <c r="AC138" s="87">
        <f t="shared" si="15"/>
        <v>-7.7220460939102778E-3</v>
      </c>
      <c r="AD138" s="87">
        <f t="shared" si="15"/>
        <v>-1.3986241974739952E-2</v>
      </c>
      <c r="AE138" s="90">
        <f t="shared" si="12"/>
        <v>-1.6293866793315071E-3</v>
      </c>
      <c r="AF138" s="89"/>
    </row>
    <row r="139" spans="1:32" ht="15.5" x14ac:dyDescent="0.35">
      <c r="A139" s="82">
        <v>39968</v>
      </c>
      <c r="B139" s="83">
        <v>6110.8</v>
      </c>
      <c r="C139" s="84">
        <v>1850</v>
      </c>
      <c r="D139" s="61">
        <v>217.5</v>
      </c>
      <c r="E139" s="61">
        <v>16</v>
      </c>
      <c r="F139" s="61">
        <v>20</v>
      </c>
      <c r="G139" s="61">
        <v>21.6</v>
      </c>
      <c r="H139" s="61">
        <v>61.3</v>
      </c>
      <c r="I139" s="61">
        <v>11.6</v>
      </c>
      <c r="J139" s="61">
        <v>37.1</v>
      </c>
      <c r="K139" s="61">
        <v>28.8</v>
      </c>
      <c r="L139" s="61">
        <v>26.5</v>
      </c>
      <c r="M139" s="61">
        <v>30.4</v>
      </c>
      <c r="N139" s="61">
        <v>25.7</v>
      </c>
      <c r="O139" s="85">
        <v>14.2</v>
      </c>
      <c r="P139" s="105"/>
      <c r="Q139" s="87">
        <f t="shared" si="11"/>
        <v>1.2664129664282927E-2</v>
      </c>
      <c r="R139" s="87">
        <f t="shared" si="14"/>
        <v>1.3112622929683179E-2</v>
      </c>
      <c r="S139" s="87">
        <f t="shared" si="14"/>
        <v>2.4669624348856018E-2</v>
      </c>
      <c r="T139" s="87">
        <f t="shared" si="14"/>
        <v>1.8928009885518859E-2</v>
      </c>
      <c r="U139" s="87">
        <f t="shared" si="14"/>
        <v>5.0125418235444138E-3</v>
      </c>
      <c r="V139" s="87">
        <f t="shared" si="14"/>
        <v>1.398624197473987E-2</v>
      </c>
      <c r="W139" s="87">
        <f t="shared" si="14"/>
        <v>-3.9973347408578518E-2</v>
      </c>
      <c r="X139" s="87">
        <f t="shared" si="14"/>
        <v>1.739174271186902E-2</v>
      </c>
      <c r="Y139" s="87">
        <f t="shared" si="14"/>
        <v>1.904819497069463E-2</v>
      </c>
      <c r="Z139" s="87">
        <f t="shared" si="14"/>
        <v>-2.4014876203873853E-2</v>
      </c>
      <c r="AA139" s="87">
        <f t="shared" si="14"/>
        <v>-2.2388994893478724E-2</v>
      </c>
      <c r="AB139" s="87">
        <f t="shared" si="15"/>
        <v>2.6668247082161273E-2</v>
      </c>
      <c r="AC139" s="87">
        <f t="shared" si="15"/>
        <v>-3.883500026397633E-3</v>
      </c>
      <c r="AD139" s="87">
        <f t="shared" si="15"/>
        <v>0</v>
      </c>
      <c r="AE139" s="90">
        <f t="shared" si="12"/>
        <v>1.2586155855073517E-2</v>
      </c>
      <c r="AF139" s="89"/>
    </row>
    <row r="140" spans="1:32" ht="15.5" x14ac:dyDescent="0.35">
      <c r="A140" s="82">
        <v>39969</v>
      </c>
      <c r="B140" s="83">
        <v>6082.6</v>
      </c>
      <c r="C140" s="84">
        <v>1849.4</v>
      </c>
      <c r="D140" s="61">
        <v>220</v>
      </c>
      <c r="E140" s="61">
        <v>16.3</v>
      </c>
      <c r="F140" s="61">
        <v>20.5</v>
      </c>
      <c r="G140" s="61">
        <v>21.8</v>
      </c>
      <c r="H140" s="61">
        <v>61.1</v>
      </c>
      <c r="I140" s="61">
        <v>12.4</v>
      </c>
      <c r="J140" s="61">
        <v>37.200000000000003</v>
      </c>
      <c r="K140" s="61">
        <v>28.7</v>
      </c>
      <c r="L140" s="61">
        <v>25.6</v>
      </c>
      <c r="M140" s="61">
        <v>31</v>
      </c>
      <c r="N140" s="61">
        <v>26.2</v>
      </c>
      <c r="O140" s="85">
        <v>14.5</v>
      </c>
      <c r="P140" s="105"/>
      <c r="Q140" s="87">
        <f t="shared" si="11"/>
        <v>-4.6254613607328802E-3</v>
      </c>
      <c r="R140" s="87">
        <f t="shared" si="14"/>
        <v>-3.2437692883220594E-4</v>
      </c>
      <c r="S140" s="87">
        <f t="shared" si="14"/>
        <v>1.142869582362285E-2</v>
      </c>
      <c r="T140" s="87">
        <f t="shared" si="14"/>
        <v>1.8576385572935457E-2</v>
      </c>
      <c r="U140" s="87">
        <f t="shared" si="14"/>
        <v>2.4692612590371414E-2</v>
      </c>
      <c r="V140" s="87">
        <f t="shared" ref="V140:AA182" si="16">+LN(G140/G139)</f>
        <v>9.2166551049240476E-3</v>
      </c>
      <c r="W140" s="87">
        <f t="shared" si="16"/>
        <v>-3.2679767646159995E-3</v>
      </c>
      <c r="X140" s="87">
        <f t="shared" si="16"/>
        <v>6.6691374498672351E-2</v>
      </c>
      <c r="Y140" s="87">
        <f t="shared" si="16"/>
        <v>2.691791665711353E-3</v>
      </c>
      <c r="Z140" s="87">
        <f t="shared" si="16"/>
        <v>-3.47826437632492E-3</v>
      </c>
      <c r="AA140" s="87">
        <f t="shared" si="16"/>
        <v>-3.4552381506659728E-2</v>
      </c>
      <c r="AB140" s="87">
        <f t="shared" si="15"/>
        <v>1.9544596072970346E-2</v>
      </c>
      <c r="AC140" s="87">
        <f t="shared" si="15"/>
        <v>1.9268418865876987E-2</v>
      </c>
      <c r="AD140" s="87">
        <f t="shared" si="15"/>
        <v>2.0906684819313643E-2</v>
      </c>
      <c r="AE140" s="90">
        <f t="shared" si="12"/>
        <v>1.2850432912338158E-2</v>
      </c>
      <c r="AF140" s="89"/>
    </row>
    <row r="141" spans="1:32" ht="15.5" x14ac:dyDescent="0.35">
      <c r="A141" s="82">
        <v>39972</v>
      </c>
      <c r="B141" s="83">
        <v>6068.6</v>
      </c>
      <c r="C141" s="84">
        <v>1842.4</v>
      </c>
      <c r="D141" s="61">
        <v>217.3</v>
      </c>
      <c r="E141" s="61">
        <v>16</v>
      </c>
      <c r="F141" s="61">
        <v>19.899999999999999</v>
      </c>
      <c r="G141" s="61">
        <v>21.6</v>
      </c>
      <c r="H141" s="61">
        <v>62.2</v>
      </c>
      <c r="I141" s="61">
        <v>12.3</v>
      </c>
      <c r="J141" s="61">
        <v>36.6</v>
      </c>
      <c r="K141" s="61">
        <v>28</v>
      </c>
      <c r="L141" s="61">
        <v>25.5</v>
      </c>
      <c r="M141" s="61">
        <v>31.4</v>
      </c>
      <c r="N141" s="61">
        <v>26.1</v>
      </c>
      <c r="O141" s="85">
        <v>14.3</v>
      </c>
      <c r="P141" s="105"/>
      <c r="Q141" s="87">
        <f t="shared" si="11"/>
        <v>-2.3043001834822914E-3</v>
      </c>
      <c r="R141" s="87">
        <f t="shared" ref="R141:U169" si="17">+LN(C141/C140)</f>
        <v>-3.7921926370628055E-3</v>
      </c>
      <c r="S141" s="87">
        <f t="shared" si="17"/>
        <v>-1.2348659089977523E-2</v>
      </c>
      <c r="T141" s="87">
        <f t="shared" si="17"/>
        <v>-1.8576385572935419E-2</v>
      </c>
      <c r="U141" s="87">
        <f t="shared" si="17"/>
        <v>-2.9705154413915809E-2</v>
      </c>
      <c r="V141" s="87">
        <f t="shared" si="16"/>
        <v>-9.2166551049239522E-3</v>
      </c>
      <c r="W141" s="87">
        <f t="shared" si="16"/>
        <v>1.7843133567584105E-2</v>
      </c>
      <c r="X141" s="87">
        <f t="shared" si="16"/>
        <v>-8.0972102326193618E-3</v>
      </c>
      <c r="Y141" s="87">
        <f t="shared" si="16"/>
        <v>-1.6260520871780291E-2</v>
      </c>
      <c r="Z141" s="87">
        <f t="shared" si="16"/>
        <v>-2.4692612590371522E-2</v>
      </c>
      <c r="AA141" s="87">
        <f t="shared" si="16"/>
        <v>-3.9138993211363287E-3</v>
      </c>
      <c r="AB141" s="87">
        <f t="shared" si="15"/>
        <v>1.2820688429061469E-2</v>
      </c>
      <c r="AC141" s="87">
        <f t="shared" si="15"/>
        <v>-3.8240964384033942E-3</v>
      </c>
      <c r="AD141" s="87">
        <f t="shared" si="15"/>
        <v>-1.3889112160667037E-2</v>
      </c>
      <c r="AE141" s="90">
        <f t="shared" si="12"/>
        <v>-1.4934008051829926E-2</v>
      </c>
      <c r="AF141" s="89"/>
    </row>
    <row r="142" spans="1:32" ht="15.5" x14ac:dyDescent="0.35">
      <c r="A142" s="82">
        <v>39973</v>
      </c>
      <c r="B142" s="83">
        <v>6101.6</v>
      </c>
      <c r="C142" s="84">
        <v>1860.1</v>
      </c>
      <c r="D142" s="61">
        <v>216.1</v>
      </c>
      <c r="E142" s="61">
        <v>16.2</v>
      </c>
      <c r="F142" s="61">
        <v>20.100000000000001</v>
      </c>
      <c r="G142" s="61">
        <v>21.9</v>
      </c>
      <c r="H142" s="61">
        <v>64.3</v>
      </c>
      <c r="I142" s="61">
        <v>12.4</v>
      </c>
      <c r="J142" s="61">
        <v>37.5</v>
      </c>
      <c r="K142" s="61">
        <v>28.7</v>
      </c>
      <c r="L142" s="61">
        <v>25.5</v>
      </c>
      <c r="M142" s="61">
        <v>32</v>
      </c>
      <c r="N142" s="61">
        <v>26</v>
      </c>
      <c r="O142" s="85">
        <v>14.4</v>
      </c>
      <c r="P142" s="105"/>
      <c r="Q142" s="87">
        <f t="shared" ref="Q142:Q205" si="18">+LN(B142/B141)</f>
        <v>5.4230959026763271E-3</v>
      </c>
      <c r="R142" s="87">
        <f t="shared" si="17"/>
        <v>9.5611801964295227E-3</v>
      </c>
      <c r="S142" s="87">
        <f t="shared" si="17"/>
        <v>-5.5376237495436895E-3</v>
      </c>
      <c r="T142" s="87">
        <f t="shared" si="17"/>
        <v>1.242251999855711E-2</v>
      </c>
      <c r="U142" s="87">
        <f t="shared" si="17"/>
        <v>1.0000083334583399E-2</v>
      </c>
      <c r="V142" s="87">
        <f t="shared" si="16"/>
        <v>1.3793322132335769E-2</v>
      </c>
      <c r="W142" s="87">
        <f t="shared" si="16"/>
        <v>3.320463149843994E-2</v>
      </c>
      <c r="X142" s="87">
        <f t="shared" si="16"/>
        <v>8.0972102326193028E-3</v>
      </c>
      <c r="Y142" s="87">
        <f t="shared" si="16"/>
        <v>2.4292692569044483E-2</v>
      </c>
      <c r="Z142" s="87">
        <f t="shared" si="16"/>
        <v>2.4692612590371414E-2</v>
      </c>
      <c r="AA142" s="87">
        <f t="shared" si="16"/>
        <v>0</v>
      </c>
      <c r="AB142" s="87">
        <f t="shared" si="15"/>
        <v>1.8928009885518859E-2</v>
      </c>
      <c r="AC142" s="87">
        <f t="shared" si="15"/>
        <v>-3.8387763071657129E-3</v>
      </c>
      <c r="AD142" s="87">
        <f t="shared" si="15"/>
        <v>6.9686693160932152E-3</v>
      </c>
      <c r="AE142" s="90">
        <f t="shared" si="12"/>
        <v>4.9511733608596127E-3</v>
      </c>
      <c r="AF142" s="89"/>
    </row>
    <row r="143" spans="1:32" ht="15.5" x14ac:dyDescent="0.35">
      <c r="A143" s="82">
        <v>39974</v>
      </c>
      <c r="B143" s="83">
        <v>6098.1</v>
      </c>
      <c r="C143" s="84">
        <v>1853.1</v>
      </c>
      <c r="D143" s="61">
        <v>213.6</v>
      </c>
      <c r="E143" s="61">
        <v>16.100000000000001</v>
      </c>
      <c r="F143" s="61">
        <v>19.8</v>
      </c>
      <c r="G143" s="61">
        <v>22.1</v>
      </c>
      <c r="H143" s="61">
        <v>63.7</v>
      </c>
      <c r="I143" s="61">
        <v>12.7</v>
      </c>
      <c r="J143" s="61">
        <v>38.1</v>
      </c>
      <c r="K143" s="61">
        <v>28.3</v>
      </c>
      <c r="L143" s="61">
        <v>25.4</v>
      </c>
      <c r="M143" s="61">
        <v>32</v>
      </c>
      <c r="N143" s="61">
        <v>26.1</v>
      </c>
      <c r="O143" s="85">
        <v>14.1</v>
      </c>
      <c r="P143" s="105"/>
      <c r="Q143" s="87">
        <f t="shared" si="18"/>
        <v>-5.7378461700291852E-4</v>
      </c>
      <c r="R143" s="87">
        <f t="shared" si="17"/>
        <v>-3.7703373329420033E-3</v>
      </c>
      <c r="S143" s="87">
        <f t="shared" si="17"/>
        <v>-1.1636156426800534E-2</v>
      </c>
      <c r="T143" s="87">
        <f t="shared" si="17"/>
        <v>-6.1919702479209951E-3</v>
      </c>
      <c r="U143" s="87">
        <f t="shared" si="17"/>
        <v>-1.5037877364540559E-2</v>
      </c>
      <c r="V143" s="87">
        <f t="shared" si="16"/>
        <v>9.0909717012521048E-3</v>
      </c>
      <c r="W143" s="87">
        <f t="shared" si="16"/>
        <v>-9.3750686654559337E-3</v>
      </c>
      <c r="X143" s="87">
        <f t="shared" si="16"/>
        <v>2.3905520853554386E-2</v>
      </c>
      <c r="Y143" s="87">
        <f t="shared" si="16"/>
        <v>1.5873349156290163E-2</v>
      </c>
      <c r="Z143" s="87">
        <f t="shared" si="16"/>
        <v>-1.4035318116383481E-2</v>
      </c>
      <c r="AA143" s="87">
        <f t="shared" si="16"/>
        <v>-3.9292781398896611E-3</v>
      </c>
      <c r="AB143" s="87">
        <f t="shared" si="15"/>
        <v>0</v>
      </c>
      <c r="AC143" s="87">
        <f t="shared" si="15"/>
        <v>3.8387763071656669E-3</v>
      </c>
      <c r="AD143" s="87">
        <f t="shared" si="15"/>
        <v>-2.1053409197832381E-2</v>
      </c>
      <c r="AE143" s="90">
        <f t="shared" ref="AE143:AE206" si="19">+SUMPRODUCT(Q143:AD143,$Q$8:$AD$8)</f>
        <v>-1.1395723934470237E-2</v>
      </c>
      <c r="AF143" s="89"/>
    </row>
    <row r="144" spans="1:32" ht="15.5" x14ac:dyDescent="0.35">
      <c r="A144" s="82">
        <v>39975</v>
      </c>
      <c r="B144" s="83">
        <v>6163.1</v>
      </c>
      <c r="C144" s="84">
        <v>1862.4</v>
      </c>
      <c r="D144" s="61">
        <v>214.4</v>
      </c>
      <c r="E144" s="61">
        <v>16.2</v>
      </c>
      <c r="F144" s="61">
        <v>19.8</v>
      </c>
      <c r="G144" s="61">
        <v>22.6</v>
      </c>
      <c r="H144" s="61">
        <v>64.099999999999994</v>
      </c>
      <c r="I144" s="61">
        <v>13</v>
      </c>
      <c r="J144" s="61">
        <v>38.799999999999997</v>
      </c>
      <c r="K144" s="61">
        <v>27.9</v>
      </c>
      <c r="L144" s="61">
        <v>25.7</v>
      </c>
      <c r="M144" s="61">
        <v>31.7</v>
      </c>
      <c r="N144" s="61">
        <v>26.5</v>
      </c>
      <c r="O144" s="85">
        <v>14.1</v>
      </c>
      <c r="P144" s="105"/>
      <c r="Q144" s="87">
        <f t="shared" si="18"/>
        <v>1.0602650461606479E-2</v>
      </c>
      <c r="R144" s="87">
        <f t="shared" si="17"/>
        <v>5.0060661671557025E-3</v>
      </c>
      <c r="S144" s="87">
        <f t="shared" si="17"/>
        <v>3.7383221106071581E-3</v>
      </c>
      <c r="T144" s="87">
        <f t="shared" si="17"/>
        <v>6.1919702479209804E-3</v>
      </c>
      <c r="U144" s="87">
        <f t="shared" si="17"/>
        <v>0</v>
      </c>
      <c r="V144" s="87">
        <f t="shared" si="16"/>
        <v>2.2372297754532984E-2</v>
      </c>
      <c r="W144" s="87">
        <f t="shared" si="16"/>
        <v>6.2598013485065142E-3</v>
      </c>
      <c r="X144" s="87">
        <f t="shared" si="16"/>
        <v>2.3347363996991107E-2</v>
      </c>
      <c r="Y144" s="87">
        <f t="shared" si="16"/>
        <v>1.8205964496572299E-2</v>
      </c>
      <c r="Z144" s="87">
        <f t="shared" si="16"/>
        <v>-1.4235115821872098E-2</v>
      </c>
      <c r="AA144" s="87">
        <f t="shared" si="16"/>
        <v>1.1741817876683195E-2</v>
      </c>
      <c r="AB144" s="87">
        <f t="shared" si="15"/>
        <v>-9.4192219164916397E-3</v>
      </c>
      <c r="AC144" s="87">
        <f t="shared" si="15"/>
        <v>1.5209418663528708E-2</v>
      </c>
      <c r="AD144" s="87">
        <f t="shared" si="15"/>
        <v>0</v>
      </c>
      <c r="AE144" s="90">
        <f t="shared" si="19"/>
        <v>2.5950081895534179E-3</v>
      </c>
      <c r="AF144" s="89"/>
    </row>
    <row r="145" spans="1:32" ht="15.5" x14ac:dyDescent="0.35">
      <c r="A145" s="82">
        <v>39976</v>
      </c>
      <c r="B145" s="83">
        <v>6148.6</v>
      </c>
      <c r="C145" s="84">
        <v>1858.8</v>
      </c>
      <c r="D145" s="61">
        <v>210.8</v>
      </c>
      <c r="E145" s="61">
        <v>16.100000000000001</v>
      </c>
      <c r="F145" s="61">
        <v>19.399999999999999</v>
      </c>
      <c r="G145" s="61">
        <v>22.7</v>
      </c>
      <c r="H145" s="61">
        <v>62.6</v>
      </c>
      <c r="I145" s="61">
        <v>12.2</v>
      </c>
      <c r="J145" s="61">
        <v>38.200000000000003</v>
      </c>
      <c r="K145" s="61">
        <v>27.6</v>
      </c>
      <c r="L145" s="61">
        <v>25.7</v>
      </c>
      <c r="M145" s="61">
        <v>30.5</v>
      </c>
      <c r="N145" s="61">
        <v>25.8</v>
      </c>
      <c r="O145" s="85">
        <v>13.9</v>
      </c>
      <c r="P145" s="105"/>
      <c r="Q145" s="87">
        <f t="shared" si="18"/>
        <v>-2.3554840849276393E-3</v>
      </c>
      <c r="R145" s="87">
        <f t="shared" si="17"/>
        <v>-1.934860326295533E-3</v>
      </c>
      <c r="S145" s="87">
        <f t="shared" si="17"/>
        <v>-1.6933612529439625E-2</v>
      </c>
      <c r="T145" s="87">
        <f t="shared" si="17"/>
        <v>-6.1919702479209951E-3</v>
      </c>
      <c r="U145" s="87">
        <f t="shared" si="17"/>
        <v>-2.0408871631207238E-2</v>
      </c>
      <c r="V145" s="87">
        <f t="shared" si="16"/>
        <v>4.4150182091166933E-3</v>
      </c>
      <c r="W145" s="87">
        <f t="shared" si="16"/>
        <v>-2.3679085820571436E-2</v>
      </c>
      <c r="X145" s="87">
        <f t="shared" si="16"/>
        <v>-6.3513405722325861E-2</v>
      </c>
      <c r="Y145" s="87">
        <f t="shared" si="16"/>
        <v>-1.558473101669809E-2</v>
      </c>
      <c r="Z145" s="87">
        <f t="shared" si="16"/>
        <v>-1.0810916104215506E-2</v>
      </c>
      <c r="AA145" s="87">
        <f t="shared" si="16"/>
        <v>0</v>
      </c>
      <c r="AB145" s="87">
        <f t="shared" si="15"/>
        <v>-3.8589997269868975E-2</v>
      </c>
      <c r="AC145" s="87">
        <f t="shared" si="15"/>
        <v>-2.677024106460478E-2</v>
      </c>
      <c r="AD145" s="87">
        <f t="shared" si="15"/>
        <v>-1.4285957247476428E-2</v>
      </c>
      <c r="AE145" s="90">
        <f t="shared" si="19"/>
        <v>-1.3109653013417157E-2</v>
      </c>
      <c r="AF145" s="89"/>
    </row>
    <row r="146" spans="1:32" ht="15.5" x14ac:dyDescent="0.35">
      <c r="A146" s="82">
        <v>39979</v>
      </c>
      <c r="B146" s="83">
        <v>5967.3</v>
      </c>
      <c r="C146" s="84">
        <v>1816.4</v>
      </c>
      <c r="D146" s="61">
        <v>207.2</v>
      </c>
      <c r="E146" s="61">
        <v>16.100000000000001</v>
      </c>
      <c r="F146" s="61">
        <v>19.3</v>
      </c>
      <c r="G146" s="61">
        <v>23</v>
      </c>
      <c r="H146" s="61">
        <v>62.4</v>
      </c>
      <c r="I146" s="61">
        <v>11.7</v>
      </c>
      <c r="J146" s="61">
        <v>37</v>
      </c>
      <c r="K146" s="61">
        <v>27.6</v>
      </c>
      <c r="L146" s="61">
        <v>24.8</v>
      </c>
      <c r="M146" s="61">
        <v>29.8</v>
      </c>
      <c r="N146" s="61">
        <v>25.2</v>
      </c>
      <c r="O146" s="85">
        <v>13.9</v>
      </c>
      <c r="P146" s="105"/>
      <c r="Q146" s="87">
        <f t="shared" si="18"/>
        <v>-2.9929849830580162E-2</v>
      </c>
      <c r="R146" s="87">
        <f t="shared" si="17"/>
        <v>-2.3074597987027167E-2</v>
      </c>
      <c r="S146" s="87">
        <f t="shared" si="17"/>
        <v>-1.7225306281879391E-2</v>
      </c>
      <c r="T146" s="87">
        <f t="shared" si="17"/>
        <v>0</v>
      </c>
      <c r="U146" s="87">
        <f t="shared" si="17"/>
        <v>-5.1679701584424493E-3</v>
      </c>
      <c r="V146" s="87">
        <f t="shared" si="16"/>
        <v>1.3129291441792802E-2</v>
      </c>
      <c r="W146" s="87">
        <f t="shared" si="16"/>
        <v>-3.2000027306709027E-3</v>
      </c>
      <c r="X146" s="87">
        <f t="shared" si="16"/>
        <v>-4.184710993550049E-2</v>
      </c>
      <c r="Y146" s="87">
        <f t="shared" si="16"/>
        <v>-3.1917602968305085E-2</v>
      </c>
      <c r="Z146" s="87">
        <f t="shared" si="16"/>
        <v>0</v>
      </c>
      <c r="AA146" s="87">
        <f t="shared" si="16"/>
        <v>-3.5647338730237607E-2</v>
      </c>
      <c r="AB146" s="87">
        <f t="shared" si="15"/>
        <v>-2.3218290102007107E-2</v>
      </c>
      <c r="AC146" s="87">
        <f t="shared" si="15"/>
        <v>-2.3530497410194161E-2</v>
      </c>
      <c r="AD146" s="87">
        <f t="shared" si="15"/>
        <v>0</v>
      </c>
      <c r="AE146" s="90">
        <f t="shared" si="19"/>
        <v>-1.3437255198006058E-2</v>
      </c>
      <c r="AF146" s="89"/>
    </row>
    <row r="147" spans="1:32" ht="15.5" x14ac:dyDescent="0.35">
      <c r="A147" s="82">
        <v>39980</v>
      </c>
      <c r="B147" s="83">
        <v>5886.8</v>
      </c>
      <c r="C147" s="84">
        <v>1796.2</v>
      </c>
      <c r="D147" s="61">
        <v>207.9</v>
      </c>
      <c r="E147" s="61">
        <v>15.9</v>
      </c>
      <c r="F147" s="61">
        <v>19.399999999999999</v>
      </c>
      <c r="G147" s="61">
        <v>23.4</v>
      </c>
      <c r="H147" s="61">
        <v>63.5</v>
      </c>
      <c r="I147" s="61">
        <v>11.5</v>
      </c>
      <c r="J147" s="61">
        <v>35.6</v>
      </c>
      <c r="K147" s="61">
        <v>26.2</v>
      </c>
      <c r="L147" s="61">
        <v>24.4</v>
      </c>
      <c r="M147" s="61">
        <v>29.3</v>
      </c>
      <c r="N147" s="61">
        <v>24.8</v>
      </c>
      <c r="O147" s="85">
        <v>13.8</v>
      </c>
      <c r="P147" s="105"/>
      <c r="Q147" s="87">
        <f t="shared" si="18"/>
        <v>-1.3582007489166884E-2</v>
      </c>
      <c r="R147" s="87">
        <f t="shared" si="17"/>
        <v>-1.1183197986946702E-2</v>
      </c>
      <c r="S147" s="87">
        <f t="shared" si="17"/>
        <v>3.3726844786393772E-3</v>
      </c>
      <c r="T147" s="87">
        <f t="shared" si="17"/>
        <v>-1.2500162764231494E-2</v>
      </c>
      <c r="U147" s="87">
        <f t="shared" si="17"/>
        <v>5.1679701584423773E-3</v>
      </c>
      <c r="V147" s="87">
        <f t="shared" si="16"/>
        <v>1.7241806434505954E-2</v>
      </c>
      <c r="W147" s="87">
        <f t="shared" si="16"/>
        <v>1.747463052326392E-2</v>
      </c>
      <c r="X147" s="87">
        <f t="shared" si="16"/>
        <v>-1.7241806434505992E-2</v>
      </c>
      <c r="Y147" s="87">
        <f t="shared" si="16"/>
        <v>-3.8572274786239619E-2</v>
      </c>
      <c r="Z147" s="87">
        <f t="shared" si="16"/>
        <v>-5.2056361956053267E-2</v>
      </c>
      <c r="AA147" s="87">
        <f t="shared" si="16"/>
        <v>-1.6260520871780405E-2</v>
      </c>
      <c r="AB147" s="87">
        <f t="shared" si="15"/>
        <v>-1.6920877488337177E-2</v>
      </c>
      <c r="AC147" s="87">
        <f t="shared" si="15"/>
        <v>-1.6000341346441075E-2</v>
      </c>
      <c r="AD147" s="87">
        <f t="shared" si="15"/>
        <v>-7.2202479734870201E-3</v>
      </c>
      <c r="AE147" s="90">
        <f t="shared" si="19"/>
        <v>-1.7646298074204033E-3</v>
      </c>
      <c r="AF147" s="89"/>
    </row>
    <row r="148" spans="1:32" ht="15.5" x14ac:dyDescent="0.35">
      <c r="A148" s="82">
        <v>39981</v>
      </c>
      <c r="B148" s="83">
        <v>5864.5</v>
      </c>
      <c r="C148" s="84">
        <v>1808.1</v>
      </c>
      <c r="D148" s="61">
        <v>206</v>
      </c>
      <c r="E148" s="61">
        <v>15.5</v>
      </c>
      <c r="F148" s="61">
        <v>19.2</v>
      </c>
      <c r="G148" s="61">
        <v>23.2</v>
      </c>
      <c r="H148" s="61">
        <v>63.5</v>
      </c>
      <c r="I148" s="61">
        <v>11.3</v>
      </c>
      <c r="J148" s="61">
        <v>31.7</v>
      </c>
      <c r="K148" s="61">
        <v>25.6</v>
      </c>
      <c r="L148" s="61">
        <v>24.4</v>
      </c>
      <c r="M148" s="61">
        <v>28.1</v>
      </c>
      <c r="N148" s="61">
        <v>24.6</v>
      </c>
      <c r="O148" s="85">
        <v>13.6</v>
      </c>
      <c r="P148" s="105"/>
      <c r="Q148" s="87">
        <f t="shared" si="18"/>
        <v>-3.7953293283981221E-3</v>
      </c>
      <c r="R148" s="87">
        <f t="shared" si="17"/>
        <v>6.6032479202585859E-3</v>
      </c>
      <c r="S148" s="87">
        <f t="shared" si="17"/>
        <v>-9.1810260743861328E-3</v>
      </c>
      <c r="T148" s="87">
        <f t="shared" si="17"/>
        <v>-2.5479085300984899E-2</v>
      </c>
      <c r="U148" s="87">
        <f t="shared" si="17"/>
        <v>-1.0362787035546547E-2</v>
      </c>
      <c r="V148" s="87">
        <f t="shared" si="16"/>
        <v>-8.5837436913914419E-3</v>
      </c>
      <c r="W148" s="87">
        <f t="shared" si="16"/>
        <v>0</v>
      </c>
      <c r="X148" s="87">
        <f t="shared" si="16"/>
        <v>-1.7544309650909393E-2</v>
      </c>
      <c r="Y148" s="87">
        <f t="shared" si="16"/>
        <v>-0.11602895697474995</v>
      </c>
      <c r="Z148" s="87">
        <f t="shared" si="16"/>
        <v>-2.3167059281534303E-2</v>
      </c>
      <c r="AA148" s="87">
        <f t="shared" si="16"/>
        <v>0</v>
      </c>
      <c r="AB148" s="87">
        <f t="shared" si="15"/>
        <v>-4.1817939683321481E-2</v>
      </c>
      <c r="AC148" s="87">
        <f t="shared" si="15"/>
        <v>-8.0972102326193618E-3</v>
      </c>
      <c r="AD148" s="87">
        <f t="shared" si="15"/>
        <v>-1.4598799421152749E-2</v>
      </c>
      <c r="AE148" s="90">
        <f t="shared" si="19"/>
        <v>-5.4461459062131031E-3</v>
      </c>
      <c r="AF148" s="89"/>
    </row>
    <row r="149" spans="1:32" ht="15.5" x14ac:dyDescent="0.35">
      <c r="A149" s="82">
        <v>39982</v>
      </c>
      <c r="B149" s="83">
        <v>5906.2</v>
      </c>
      <c r="C149" s="84">
        <v>1807.7</v>
      </c>
      <c r="D149" s="61">
        <v>206.7</v>
      </c>
      <c r="E149" s="61">
        <v>15.2</v>
      </c>
      <c r="F149" s="61">
        <v>19.399999999999999</v>
      </c>
      <c r="G149" s="61">
        <v>23.3</v>
      </c>
      <c r="H149" s="61">
        <v>65.400000000000006</v>
      </c>
      <c r="I149" s="61">
        <v>11.5</v>
      </c>
      <c r="J149" s="61">
        <v>31.4</v>
      </c>
      <c r="K149" s="61">
        <v>25.7</v>
      </c>
      <c r="L149" s="61">
        <v>24.9</v>
      </c>
      <c r="M149" s="61">
        <v>29.1</v>
      </c>
      <c r="N149" s="61">
        <v>24.2</v>
      </c>
      <c r="O149" s="85">
        <v>13.7</v>
      </c>
      <c r="P149" s="105"/>
      <c r="Q149" s="87">
        <f t="shared" si="18"/>
        <v>7.0854196361940193E-3</v>
      </c>
      <c r="R149" s="87">
        <f t="shared" si="17"/>
        <v>-2.2125117629930469E-4</v>
      </c>
      <c r="S149" s="87">
        <f t="shared" si="17"/>
        <v>3.3922978981414296E-3</v>
      </c>
      <c r="T149" s="87">
        <f t="shared" si="17"/>
        <v>-1.9544596072970283E-2</v>
      </c>
      <c r="U149" s="87">
        <f t="shared" si="17"/>
        <v>1.0362787035546658E-2</v>
      </c>
      <c r="V149" s="87">
        <f t="shared" si="16"/>
        <v>4.3010818993907017E-3</v>
      </c>
      <c r="W149" s="87">
        <f t="shared" si="16"/>
        <v>2.9482352564507174E-2</v>
      </c>
      <c r="X149" s="87">
        <f t="shared" si="16"/>
        <v>1.7544309650909525E-2</v>
      </c>
      <c r="Y149" s="87">
        <f t="shared" si="16"/>
        <v>-9.5087879690273006E-3</v>
      </c>
      <c r="Z149" s="87">
        <f t="shared" si="16"/>
        <v>3.8986404156573229E-3</v>
      </c>
      <c r="AA149" s="87">
        <f t="shared" si="16"/>
        <v>2.0284671171505717E-2</v>
      </c>
      <c r="AB149" s="87">
        <f t="shared" si="15"/>
        <v>3.4968597837746855E-2</v>
      </c>
      <c r="AC149" s="87">
        <f t="shared" si="15"/>
        <v>-1.6393809775676497E-2</v>
      </c>
      <c r="AD149" s="87">
        <f t="shared" si="15"/>
        <v>7.3260400920728812E-3</v>
      </c>
      <c r="AE149" s="90">
        <f t="shared" si="19"/>
        <v>4.7804156087519339E-3</v>
      </c>
      <c r="AF149" s="89"/>
    </row>
    <row r="150" spans="1:32" ht="15.5" x14ac:dyDescent="0.35">
      <c r="A150" s="82">
        <v>39983</v>
      </c>
      <c r="B150" s="83">
        <v>5934.2</v>
      </c>
      <c r="C150" s="84">
        <v>1827.5</v>
      </c>
      <c r="D150" s="61">
        <v>207.5</v>
      </c>
      <c r="E150" s="61">
        <v>15.4</v>
      </c>
      <c r="F150" s="61">
        <v>19.600000000000001</v>
      </c>
      <c r="G150" s="61">
        <v>23.8</v>
      </c>
      <c r="H150" s="61">
        <v>65.5</v>
      </c>
      <c r="I150" s="61">
        <v>12.2</v>
      </c>
      <c r="J150" s="61">
        <v>30.6</v>
      </c>
      <c r="K150" s="61">
        <v>25.9</v>
      </c>
      <c r="L150" s="61">
        <v>25.8</v>
      </c>
      <c r="M150" s="61">
        <v>30.4</v>
      </c>
      <c r="N150" s="61">
        <v>24.4</v>
      </c>
      <c r="O150" s="85">
        <v>14.1</v>
      </c>
      <c r="P150" s="105"/>
      <c r="Q150" s="87">
        <f t="shared" si="18"/>
        <v>4.729578763237023E-3</v>
      </c>
      <c r="R150" s="87">
        <f t="shared" si="17"/>
        <v>1.08935936431248E-2</v>
      </c>
      <c r="S150" s="87">
        <f t="shared" si="17"/>
        <v>3.862872983030393E-3</v>
      </c>
      <c r="T150" s="87">
        <f t="shared" si="17"/>
        <v>1.3072081567352921E-2</v>
      </c>
      <c r="U150" s="87">
        <f t="shared" si="17"/>
        <v>1.0256500167189282E-2</v>
      </c>
      <c r="V150" s="87">
        <f t="shared" si="16"/>
        <v>2.1232220105774118E-2</v>
      </c>
      <c r="W150" s="87">
        <f t="shared" si="16"/>
        <v>1.5278841780531714E-3</v>
      </c>
      <c r="X150" s="87">
        <f t="shared" si="16"/>
        <v>5.9088916370006371E-2</v>
      </c>
      <c r="Y150" s="87">
        <f t="shared" si="16"/>
        <v>-2.5807883955872475E-2</v>
      </c>
      <c r="Z150" s="87">
        <f t="shared" si="16"/>
        <v>7.7519768043179237E-3</v>
      </c>
      <c r="AA150" s="87">
        <f t="shared" si="16"/>
        <v>3.5506688456909817E-2</v>
      </c>
      <c r="AB150" s="87">
        <f t="shared" si="15"/>
        <v>4.3704434234729035E-2</v>
      </c>
      <c r="AC150" s="87">
        <f t="shared" si="15"/>
        <v>8.2304991365154435E-3</v>
      </c>
      <c r="AD150" s="87">
        <f t="shared" si="15"/>
        <v>2.8778964550043327E-2</v>
      </c>
      <c r="AE150" s="90">
        <f t="shared" si="19"/>
        <v>1.0827015115142218E-2</v>
      </c>
      <c r="AF150" s="89"/>
    </row>
    <row r="151" spans="1:32" ht="15.5" x14ac:dyDescent="0.35">
      <c r="A151" s="82">
        <v>39986</v>
      </c>
      <c r="B151" s="83">
        <v>5725.1</v>
      </c>
      <c r="C151" s="84">
        <v>1766.2</v>
      </c>
      <c r="D151" s="61">
        <v>201.2</v>
      </c>
      <c r="E151" s="61">
        <v>14.7</v>
      </c>
      <c r="F151" s="61">
        <v>19.5</v>
      </c>
      <c r="G151" s="61">
        <v>23.3</v>
      </c>
      <c r="H151" s="61">
        <v>64</v>
      </c>
      <c r="I151" s="61">
        <v>11.2</v>
      </c>
      <c r="J151" s="61">
        <v>29.1</v>
      </c>
      <c r="K151" s="61">
        <v>25.6</v>
      </c>
      <c r="L151" s="61">
        <v>25.2</v>
      </c>
      <c r="M151" s="61">
        <v>28.8</v>
      </c>
      <c r="N151" s="61">
        <v>23.5</v>
      </c>
      <c r="O151" s="85">
        <v>13.8</v>
      </c>
      <c r="P151" s="105"/>
      <c r="Q151" s="87">
        <f t="shared" si="18"/>
        <v>-3.5872208842192672E-2</v>
      </c>
      <c r="R151" s="87">
        <f t="shared" si="17"/>
        <v>-3.4118566589231666E-2</v>
      </c>
      <c r="S151" s="87">
        <f t="shared" si="17"/>
        <v>-3.0831901445168921E-2</v>
      </c>
      <c r="T151" s="87">
        <f t="shared" si="17"/>
        <v>-4.6520015634892928E-2</v>
      </c>
      <c r="U151" s="87">
        <f t="shared" si="17"/>
        <v>-5.1151006667704887E-3</v>
      </c>
      <c r="V151" s="87">
        <f t="shared" si="16"/>
        <v>-2.1232220105774167E-2</v>
      </c>
      <c r="W151" s="87">
        <f t="shared" si="16"/>
        <v>-2.3167059281534418E-2</v>
      </c>
      <c r="X151" s="87">
        <f t="shared" si="16"/>
        <v>-8.5522173438162E-2</v>
      </c>
      <c r="Y151" s="87">
        <f t="shared" si="16"/>
        <v>-5.0261834780888311E-2</v>
      </c>
      <c r="Z151" s="87">
        <f t="shared" si="16"/>
        <v>-1.1650617219975139E-2</v>
      </c>
      <c r="AA151" s="87">
        <f t="shared" si="16"/>
        <v>-2.3530497410194161E-2</v>
      </c>
      <c r="AB151" s="87">
        <f t="shared" si="15"/>
        <v>-5.4067221270275703E-2</v>
      </c>
      <c r="AC151" s="87">
        <f t="shared" si="15"/>
        <v>-3.7582711149042894E-2</v>
      </c>
      <c r="AD151" s="87">
        <f t="shared" si="15"/>
        <v>-2.1506205220963505E-2</v>
      </c>
      <c r="AE151" s="90">
        <f t="shared" si="19"/>
        <v>-2.3330118029085543E-2</v>
      </c>
      <c r="AF151" s="89"/>
    </row>
    <row r="152" spans="1:32" ht="15.5" x14ac:dyDescent="0.35">
      <c r="A152" s="82">
        <v>39987</v>
      </c>
      <c r="B152" s="83">
        <v>5759.5</v>
      </c>
      <c r="C152" s="84">
        <v>1764.9</v>
      </c>
      <c r="D152" s="61">
        <v>201.5</v>
      </c>
      <c r="E152" s="61">
        <v>14.6</v>
      </c>
      <c r="F152" s="61">
        <v>19</v>
      </c>
      <c r="G152" s="61">
        <v>23.2</v>
      </c>
      <c r="H152" s="61">
        <v>63.6</v>
      </c>
      <c r="I152" s="61">
        <v>10.6</v>
      </c>
      <c r="J152" s="61">
        <v>29.1</v>
      </c>
      <c r="K152" s="61">
        <v>25.7</v>
      </c>
      <c r="L152" s="61">
        <v>25</v>
      </c>
      <c r="M152" s="61">
        <v>28.9</v>
      </c>
      <c r="N152" s="61">
        <v>23.9</v>
      </c>
      <c r="O152" s="85">
        <v>13.3</v>
      </c>
      <c r="P152" s="105"/>
      <c r="Q152" s="87">
        <f t="shared" si="18"/>
        <v>5.9906488477628715E-3</v>
      </c>
      <c r="R152" s="87">
        <f t="shared" si="17"/>
        <v>-7.36314496181864E-4</v>
      </c>
      <c r="S152" s="87">
        <f t="shared" si="17"/>
        <v>1.489943161153578E-3</v>
      </c>
      <c r="T152" s="87">
        <f t="shared" si="17"/>
        <v>-6.8259650703998706E-3</v>
      </c>
      <c r="U152" s="87">
        <f t="shared" si="17"/>
        <v>-2.5975486403260677E-2</v>
      </c>
      <c r="V152" s="87">
        <f t="shared" si="16"/>
        <v>-4.3010818993906973E-3</v>
      </c>
      <c r="W152" s="87">
        <f t="shared" si="16"/>
        <v>-6.2696130135953742E-3</v>
      </c>
      <c r="X152" s="87">
        <f t="shared" si="16"/>
        <v>-5.5059777183027313E-2</v>
      </c>
      <c r="Y152" s="87">
        <f t="shared" si="16"/>
        <v>0</v>
      </c>
      <c r="Z152" s="87">
        <f t="shared" si="16"/>
        <v>3.8986404156573229E-3</v>
      </c>
      <c r="AA152" s="87">
        <f t="shared" si="16"/>
        <v>-7.9681696491768449E-3</v>
      </c>
      <c r="AB152" s="87">
        <f t="shared" si="15"/>
        <v>3.4662079764861075E-3</v>
      </c>
      <c r="AC152" s="87">
        <f t="shared" si="15"/>
        <v>1.6878037787351731E-2</v>
      </c>
      <c r="AD152" s="87">
        <f t="shared" si="15"/>
        <v>-3.6904556935450979E-2</v>
      </c>
      <c r="AE152" s="90">
        <f t="shared" si="19"/>
        <v>-1.1697593814999961E-2</v>
      </c>
      <c r="AF152" s="89"/>
    </row>
    <row r="153" spans="1:32" ht="15.5" x14ac:dyDescent="0.35">
      <c r="A153" s="82">
        <v>39988</v>
      </c>
      <c r="B153" s="83">
        <v>5795.7</v>
      </c>
      <c r="C153" s="84">
        <v>1792.3</v>
      </c>
      <c r="D153" s="61">
        <v>203.5</v>
      </c>
      <c r="E153" s="61">
        <v>14.8</v>
      </c>
      <c r="F153" s="61">
        <v>19.3</v>
      </c>
      <c r="G153" s="61">
        <v>23.4</v>
      </c>
      <c r="H153" s="61">
        <v>64.3</v>
      </c>
      <c r="I153" s="61">
        <v>11.1</v>
      </c>
      <c r="J153" s="61">
        <v>30.8</v>
      </c>
      <c r="K153" s="61">
        <v>26.1</v>
      </c>
      <c r="L153" s="61">
        <v>25.1</v>
      </c>
      <c r="M153" s="61">
        <v>29.6</v>
      </c>
      <c r="N153" s="61">
        <v>24.1</v>
      </c>
      <c r="O153" s="85">
        <v>13.2</v>
      </c>
      <c r="P153" s="105"/>
      <c r="Q153" s="87">
        <f t="shared" si="18"/>
        <v>6.2655979000568176E-3</v>
      </c>
      <c r="R153" s="87">
        <f t="shared" si="17"/>
        <v>1.5405679699031545E-2</v>
      </c>
      <c r="S153" s="87">
        <f t="shared" si="17"/>
        <v>9.8766234959120989E-3</v>
      </c>
      <c r="T153" s="87">
        <f t="shared" si="17"/>
        <v>1.3605652055778678E-2</v>
      </c>
      <c r="U153" s="87">
        <f t="shared" si="17"/>
        <v>1.5666116744399456E-2</v>
      </c>
      <c r="V153" s="87">
        <f t="shared" si="16"/>
        <v>8.583743691391435E-3</v>
      </c>
      <c r="W153" s="87">
        <f t="shared" si="16"/>
        <v>1.0946160897497077E-2</v>
      </c>
      <c r="X153" s="87">
        <f t="shared" si="16"/>
        <v>4.6091107200267087E-2</v>
      </c>
      <c r="Y153" s="87">
        <f t="shared" si="16"/>
        <v>5.677651580208197E-2</v>
      </c>
      <c r="Z153" s="87">
        <f t="shared" si="16"/>
        <v>1.5444322427473775E-2</v>
      </c>
      <c r="AA153" s="87">
        <f t="shared" si="16"/>
        <v>3.9920212695374567E-3</v>
      </c>
      <c r="AB153" s="87">
        <f t="shared" si="15"/>
        <v>2.3932766211628358E-2</v>
      </c>
      <c r="AC153" s="87">
        <f t="shared" si="15"/>
        <v>8.3333815591444607E-3</v>
      </c>
      <c r="AD153" s="87">
        <f t="shared" si="15"/>
        <v>-7.5472056353829663E-3</v>
      </c>
      <c r="AE153" s="90">
        <f t="shared" si="19"/>
        <v>1.1071555376145476E-2</v>
      </c>
      <c r="AF153" s="89"/>
    </row>
    <row r="154" spans="1:32" ht="15.5" x14ac:dyDescent="0.35">
      <c r="A154" s="82">
        <v>39989</v>
      </c>
      <c r="B154" s="83">
        <v>5911</v>
      </c>
      <c r="C154" s="84">
        <v>1829.5</v>
      </c>
      <c r="D154" s="61">
        <v>203.5</v>
      </c>
      <c r="E154" s="61">
        <v>15.2</v>
      </c>
      <c r="F154" s="61">
        <v>19.3</v>
      </c>
      <c r="G154" s="61">
        <v>23.2</v>
      </c>
      <c r="H154" s="61">
        <v>63.9</v>
      </c>
      <c r="I154" s="61">
        <v>11</v>
      </c>
      <c r="J154" s="61">
        <v>30.4</v>
      </c>
      <c r="K154" s="61">
        <v>27</v>
      </c>
      <c r="L154" s="61">
        <v>25.2</v>
      </c>
      <c r="M154" s="61">
        <v>29.2</v>
      </c>
      <c r="N154" s="61">
        <v>24.8</v>
      </c>
      <c r="O154" s="85">
        <v>12.5</v>
      </c>
      <c r="P154" s="105"/>
      <c r="Q154" s="87">
        <f t="shared" si="18"/>
        <v>1.969875855775146E-2</v>
      </c>
      <c r="R154" s="87">
        <f t="shared" si="17"/>
        <v>2.0542994221709823E-2</v>
      </c>
      <c r="S154" s="87">
        <f t="shared" si="17"/>
        <v>0</v>
      </c>
      <c r="T154" s="87">
        <f t="shared" si="17"/>
        <v>2.6668247082161273E-2</v>
      </c>
      <c r="U154" s="87">
        <f t="shared" si="17"/>
        <v>0</v>
      </c>
      <c r="V154" s="87">
        <f t="shared" si="16"/>
        <v>-8.5837436913914419E-3</v>
      </c>
      <c r="W154" s="87">
        <f t="shared" si="16"/>
        <v>-6.240269860084512E-3</v>
      </c>
      <c r="X154" s="87">
        <f t="shared" si="16"/>
        <v>-9.0498355199179273E-3</v>
      </c>
      <c r="Y154" s="87">
        <f t="shared" si="16"/>
        <v>-1.3072081567352888E-2</v>
      </c>
      <c r="Z154" s="87">
        <f t="shared" si="16"/>
        <v>3.39015516756812E-2</v>
      </c>
      <c r="AA154" s="87">
        <f t="shared" si="16"/>
        <v>3.9761483796394168E-3</v>
      </c>
      <c r="AB154" s="87">
        <f t="shared" si="15"/>
        <v>-1.3605652055778709E-2</v>
      </c>
      <c r="AC154" s="87">
        <f t="shared" si="15"/>
        <v>2.863181267432708E-2</v>
      </c>
      <c r="AD154" s="87">
        <f t="shared" si="15"/>
        <v>-5.4488185284069679E-2</v>
      </c>
      <c r="AE154" s="90">
        <f t="shared" si="19"/>
        <v>-4.6521170616135431E-4</v>
      </c>
      <c r="AF154" s="89"/>
    </row>
    <row r="155" spans="1:32" ht="15.5" x14ac:dyDescent="0.35">
      <c r="A155" s="82">
        <v>39990</v>
      </c>
      <c r="B155" s="83">
        <v>5907</v>
      </c>
      <c r="C155" s="84">
        <v>1838.2</v>
      </c>
      <c r="D155" s="61">
        <v>206.8</v>
      </c>
      <c r="E155" s="61">
        <v>15.5</v>
      </c>
      <c r="F155" s="61">
        <v>20</v>
      </c>
      <c r="G155" s="61">
        <v>23.3</v>
      </c>
      <c r="H155" s="61">
        <v>66.7</v>
      </c>
      <c r="I155" s="61">
        <v>11.1</v>
      </c>
      <c r="J155" s="61">
        <v>30</v>
      </c>
      <c r="K155" s="61">
        <v>27.6</v>
      </c>
      <c r="L155" s="61">
        <v>26.3</v>
      </c>
      <c r="M155" s="61">
        <v>29.5</v>
      </c>
      <c r="N155" s="61">
        <v>25.5</v>
      </c>
      <c r="O155" s="85">
        <v>12.6</v>
      </c>
      <c r="P155" s="105"/>
      <c r="Q155" s="87">
        <f t="shared" si="18"/>
        <v>-6.7693351713426966E-4</v>
      </c>
      <c r="R155" s="87">
        <f t="shared" si="17"/>
        <v>4.7441264647476358E-3</v>
      </c>
      <c r="S155" s="87">
        <f t="shared" si="17"/>
        <v>1.6086137751624444E-2</v>
      </c>
      <c r="T155" s="87">
        <f t="shared" si="17"/>
        <v>1.9544596072970346E-2</v>
      </c>
      <c r="U155" s="87">
        <f t="shared" si="17"/>
        <v>3.5627177643151035E-2</v>
      </c>
      <c r="V155" s="87">
        <f t="shared" si="16"/>
        <v>4.3010818993907017E-3</v>
      </c>
      <c r="W155" s="87">
        <f t="shared" si="16"/>
        <v>4.288559153808888E-2</v>
      </c>
      <c r="X155" s="87">
        <f t="shared" si="16"/>
        <v>9.0498355199178562E-3</v>
      </c>
      <c r="Y155" s="87">
        <f t="shared" si="16"/>
        <v>-1.3245226750020567E-2</v>
      </c>
      <c r="Z155" s="87">
        <f t="shared" si="16"/>
        <v>2.1978906718775382E-2</v>
      </c>
      <c r="AA155" s="87">
        <f t="shared" si="16"/>
        <v>4.2724944666341309E-2</v>
      </c>
      <c r="AB155" s="87">
        <f t="shared" si="15"/>
        <v>1.0221554071538009E-2</v>
      </c>
      <c r="AC155" s="87">
        <f t="shared" si="15"/>
        <v>2.7834798993443838E-2</v>
      </c>
      <c r="AD155" s="87">
        <f t="shared" si="15"/>
        <v>7.9681696491768813E-3</v>
      </c>
      <c r="AE155" s="90">
        <f t="shared" si="19"/>
        <v>1.7287205974689884E-2</v>
      </c>
      <c r="AF155" s="89"/>
    </row>
    <row r="156" spans="1:32" ht="15.5" x14ac:dyDescent="0.35">
      <c r="A156" s="82">
        <v>39993</v>
      </c>
      <c r="B156" s="83">
        <v>5962.5</v>
      </c>
      <c r="C156" s="84">
        <v>1844.1</v>
      </c>
      <c r="D156" s="61">
        <v>211.3</v>
      </c>
      <c r="E156" s="61">
        <v>15.6</v>
      </c>
      <c r="F156" s="61">
        <v>20.2</v>
      </c>
      <c r="G156" s="61">
        <v>23.6</v>
      </c>
      <c r="H156" s="61">
        <v>65.3</v>
      </c>
      <c r="I156" s="61">
        <v>11</v>
      </c>
      <c r="J156" s="61">
        <v>31.2</v>
      </c>
      <c r="K156" s="61">
        <v>28.6</v>
      </c>
      <c r="L156" s="61">
        <v>26.9</v>
      </c>
      <c r="M156" s="61">
        <v>29.5</v>
      </c>
      <c r="N156" s="61">
        <v>25.6</v>
      </c>
      <c r="O156" s="85">
        <v>12.7</v>
      </c>
      <c r="P156" s="105"/>
      <c r="Q156" s="87">
        <f t="shared" si="18"/>
        <v>9.3517678893615085E-3</v>
      </c>
      <c r="R156" s="87">
        <f t="shared" si="17"/>
        <v>3.2045216570641953E-3</v>
      </c>
      <c r="S156" s="87">
        <f t="shared" si="17"/>
        <v>2.1526781987736963E-2</v>
      </c>
      <c r="T156" s="87">
        <f t="shared" si="17"/>
        <v>6.4308903302903314E-3</v>
      </c>
      <c r="U156" s="87">
        <f t="shared" si="17"/>
        <v>9.950330853168092E-3</v>
      </c>
      <c r="V156" s="87">
        <f t="shared" si="16"/>
        <v>1.2793351459909542E-2</v>
      </c>
      <c r="W156" s="87">
        <f t="shared" si="16"/>
        <v>-2.1212916639192763E-2</v>
      </c>
      <c r="X156" s="87">
        <f t="shared" si="16"/>
        <v>-9.0498355199179273E-3</v>
      </c>
      <c r="Y156" s="87">
        <f t="shared" si="16"/>
        <v>3.9220713153281329E-2</v>
      </c>
      <c r="Z156" s="87">
        <f t="shared" si="16"/>
        <v>3.5590945102702533E-2</v>
      </c>
      <c r="AA156" s="87">
        <f t="shared" si="16"/>
        <v>2.2557347424074527E-2</v>
      </c>
      <c r="AB156" s="87">
        <f t="shared" si="15"/>
        <v>0</v>
      </c>
      <c r="AC156" s="87">
        <f t="shared" si="15"/>
        <v>3.9138993211363148E-3</v>
      </c>
      <c r="AD156" s="87">
        <f t="shared" si="15"/>
        <v>7.9051795071132473E-3</v>
      </c>
      <c r="AE156" s="90">
        <f t="shared" si="19"/>
        <v>1.10688720124627E-2</v>
      </c>
      <c r="AF156" s="89"/>
    </row>
    <row r="157" spans="1:32" ht="15.5" x14ac:dyDescent="0.35">
      <c r="A157" s="82">
        <v>39994</v>
      </c>
      <c r="B157" s="83">
        <v>5905.1</v>
      </c>
      <c r="C157" s="84">
        <v>1835</v>
      </c>
      <c r="D157" s="61">
        <v>209.3</v>
      </c>
      <c r="E157" s="61">
        <v>15.4</v>
      </c>
      <c r="F157" s="61">
        <v>20.3</v>
      </c>
      <c r="G157" s="61">
        <v>23.6</v>
      </c>
      <c r="H157" s="61">
        <v>70.2</v>
      </c>
      <c r="I157" s="61">
        <v>11</v>
      </c>
      <c r="J157" s="61">
        <v>30.8</v>
      </c>
      <c r="K157" s="61">
        <v>28.4</v>
      </c>
      <c r="L157" s="61">
        <v>27.3</v>
      </c>
      <c r="M157" s="61">
        <v>29.1</v>
      </c>
      <c r="N157" s="61">
        <v>25.6</v>
      </c>
      <c r="O157" s="85">
        <v>12.8</v>
      </c>
      <c r="P157" s="105"/>
      <c r="Q157" s="87">
        <f t="shared" si="18"/>
        <v>-9.6734719075099694E-3</v>
      </c>
      <c r="R157" s="87">
        <f t="shared" si="17"/>
        <v>-4.9468720924028108E-3</v>
      </c>
      <c r="S157" s="87">
        <f t="shared" si="17"/>
        <v>-9.5102951700569843E-3</v>
      </c>
      <c r="T157" s="87">
        <f t="shared" si="17"/>
        <v>-1.2903404835907841E-2</v>
      </c>
      <c r="U157" s="87">
        <f t="shared" si="17"/>
        <v>4.9382816405825767E-3</v>
      </c>
      <c r="V157" s="87">
        <f t="shared" si="16"/>
        <v>0</v>
      </c>
      <c r="W157" s="87">
        <f t="shared" si="16"/>
        <v>7.2356274749380098E-2</v>
      </c>
      <c r="X157" s="87">
        <f t="shared" si="16"/>
        <v>0</v>
      </c>
      <c r="Y157" s="87">
        <f t="shared" si="16"/>
        <v>-1.2903404835907841E-2</v>
      </c>
      <c r="Z157" s="87">
        <f t="shared" si="16"/>
        <v>-7.0175726586466465E-3</v>
      </c>
      <c r="AA157" s="87">
        <f t="shared" si="16"/>
        <v>1.4760415583120674E-2</v>
      </c>
      <c r="AB157" s="87">
        <f t="shared" si="15"/>
        <v>-1.3652089168327207E-2</v>
      </c>
      <c r="AC157" s="87">
        <f t="shared" si="15"/>
        <v>0</v>
      </c>
      <c r="AD157" s="87">
        <f t="shared" si="15"/>
        <v>7.843177461026099E-3</v>
      </c>
      <c r="AE157" s="90">
        <f t="shared" si="19"/>
        <v>-1.9017212464464734E-3</v>
      </c>
      <c r="AF157" s="89"/>
    </row>
    <row r="158" spans="1:32" ht="15.5" x14ac:dyDescent="0.35">
      <c r="A158" s="82">
        <v>39995</v>
      </c>
      <c r="B158" s="83">
        <v>5954</v>
      </c>
      <c r="C158" s="84">
        <v>1845.7</v>
      </c>
      <c r="D158" s="61">
        <v>209.3</v>
      </c>
      <c r="E158" s="61">
        <v>15.4</v>
      </c>
      <c r="F158" s="61">
        <v>20.399999999999999</v>
      </c>
      <c r="G158" s="61">
        <v>24</v>
      </c>
      <c r="H158" s="61">
        <v>69.3</v>
      </c>
      <c r="I158" s="61">
        <v>11.3</v>
      </c>
      <c r="J158" s="61">
        <v>30.2</v>
      </c>
      <c r="K158" s="61">
        <v>28.6</v>
      </c>
      <c r="L158" s="61">
        <v>27.8</v>
      </c>
      <c r="M158" s="61">
        <v>29.5</v>
      </c>
      <c r="N158" s="61">
        <v>26.2</v>
      </c>
      <c r="O158" s="85">
        <v>12.8</v>
      </c>
      <c r="P158" s="105"/>
      <c r="Q158" s="87">
        <f t="shared" si="18"/>
        <v>8.2468782866350378E-3</v>
      </c>
      <c r="R158" s="87">
        <f t="shared" si="17"/>
        <v>5.8141278245749514E-3</v>
      </c>
      <c r="S158" s="87">
        <f t="shared" si="17"/>
        <v>0</v>
      </c>
      <c r="T158" s="87">
        <f t="shared" si="17"/>
        <v>0</v>
      </c>
      <c r="U158" s="87">
        <f t="shared" si="17"/>
        <v>4.9140148024289414E-3</v>
      </c>
      <c r="V158" s="87">
        <f t="shared" si="16"/>
        <v>1.6807118316381191E-2</v>
      </c>
      <c r="W158" s="87">
        <f t="shared" si="16"/>
        <v>-1.2903404835907954E-2</v>
      </c>
      <c r="X158" s="87">
        <f t="shared" si="16"/>
        <v>2.6907452919924402E-2</v>
      </c>
      <c r="Y158" s="87">
        <f t="shared" si="16"/>
        <v>-1.9672765598704893E-2</v>
      </c>
      <c r="Z158" s="87">
        <f t="shared" si="16"/>
        <v>7.0175726586465398E-3</v>
      </c>
      <c r="AA158" s="87">
        <f t="shared" si="16"/>
        <v>1.8149318505677269E-2</v>
      </c>
      <c r="AB158" s="87">
        <f t="shared" si="15"/>
        <v>1.3652089168327263E-2</v>
      </c>
      <c r="AC158" s="87">
        <f t="shared" si="15"/>
        <v>2.3167059281534379E-2</v>
      </c>
      <c r="AD158" s="87">
        <f t="shared" si="15"/>
        <v>0</v>
      </c>
      <c r="AE158" s="90">
        <f t="shared" si="19"/>
        <v>3.1478842082343205E-3</v>
      </c>
      <c r="AF158" s="89"/>
    </row>
    <row r="159" spans="1:32" ht="15.5" x14ac:dyDescent="0.35">
      <c r="A159" s="82">
        <v>39996</v>
      </c>
      <c r="B159" s="83">
        <v>5775.2</v>
      </c>
      <c r="C159" s="84">
        <v>1796.5</v>
      </c>
      <c r="D159" s="61">
        <v>203.6</v>
      </c>
      <c r="E159" s="61">
        <v>14.9</v>
      </c>
      <c r="F159" s="61">
        <v>20</v>
      </c>
      <c r="G159" s="61">
        <v>23.2</v>
      </c>
      <c r="H159" s="61">
        <v>67.8</v>
      </c>
      <c r="I159" s="61">
        <v>11</v>
      </c>
      <c r="J159" s="61">
        <v>29.7</v>
      </c>
      <c r="K159" s="61">
        <v>27.1</v>
      </c>
      <c r="L159" s="61">
        <v>27</v>
      </c>
      <c r="M159" s="61">
        <v>28</v>
      </c>
      <c r="N159" s="61">
        <v>25.6</v>
      </c>
      <c r="O159" s="85">
        <v>12.8</v>
      </c>
      <c r="P159" s="105"/>
      <c r="Q159" s="87">
        <f t="shared" si="18"/>
        <v>-3.0490374750770509E-2</v>
      </c>
      <c r="R159" s="87">
        <f t="shared" si="17"/>
        <v>-2.7018281759672209E-2</v>
      </c>
      <c r="S159" s="87">
        <f t="shared" si="17"/>
        <v>-2.7611344775586449E-2</v>
      </c>
      <c r="T159" s="87">
        <f t="shared" si="17"/>
        <v>-3.3006296468169972E-2</v>
      </c>
      <c r="U159" s="87">
        <f t="shared" si="17"/>
        <v>-1.9802627296179643E-2</v>
      </c>
      <c r="V159" s="87">
        <f t="shared" si="16"/>
        <v>-3.3901551675681339E-2</v>
      </c>
      <c r="W159" s="87">
        <f t="shared" si="16"/>
        <v>-2.1882711249507709E-2</v>
      </c>
      <c r="X159" s="87">
        <f t="shared" si="16"/>
        <v>-2.6907452919924382E-2</v>
      </c>
      <c r="Y159" s="87">
        <f t="shared" si="16"/>
        <v>-1.6694878572169992E-2</v>
      </c>
      <c r="Z159" s="87">
        <f t="shared" si="16"/>
        <v>-5.3872989940151633E-2</v>
      </c>
      <c r="AA159" s="87">
        <f t="shared" si="16"/>
        <v>-2.9199154692262353E-2</v>
      </c>
      <c r="AB159" s="87">
        <f t="shared" si="15"/>
        <v>-5.2185753170570191E-2</v>
      </c>
      <c r="AC159" s="87">
        <f t="shared" si="15"/>
        <v>-2.3167059281534303E-2</v>
      </c>
      <c r="AD159" s="87">
        <f t="shared" si="15"/>
        <v>0</v>
      </c>
      <c r="AE159" s="90">
        <f t="shared" si="19"/>
        <v>-2.184464817700113E-2</v>
      </c>
      <c r="AF159" s="89"/>
    </row>
    <row r="160" spans="1:32" ht="15.5" x14ac:dyDescent="0.35">
      <c r="A160" s="82">
        <v>40000</v>
      </c>
      <c r="B160" s="83">
        <v>5770</v>
      </c>
      <c r="C160" s="84">
        <v>1787.4</v>
      </c>
      <c r="D160" s="61">
        <v>201</v>
      </c>
      <c r="E160" s="61">
        <v>14.6</v>
      </c>
      <c r="F160" s="61">
        <v>19.5</v>
      </c>
      <c r="G160" s="61">
        <v>22.9</v>
      </c>
      <c r="H160" s="61">
        <v>65.400000000000006</v>
      </c>
      <c r="I160" s="61">
        <v>10.9</v>
      </c>
      <c r="J160" s="61">
        <v>30.7</v>
      </c>
      <c r="K160" s="61">
        <v>26.7</v>
      </c>
      <c r="L160" s="61">
        <v>26.8</v>
      </c>
      <c r="M160" s="61">
        <v>27.5</v>
      </c>
      <c r="N160" s="61">
        <v>25.5</v>
      </c>
      <c r="O160" s="85">
        <v>12.7</v>
      </c>
      <c r="P160" s="105"/>
      <c r="Q160" s="87">
        <f t="shared" si="18"/>
        <v>-9.0080732280592955E-4</v>
      </c>
      <c r="R160" s="87">
        <f t="shared" si="17"/>
        <v>-5.0782776062818155E-3</v>
      </c>
      <c r="S160" s="87">
        <f t="shared" si="17"/>
        <v>-1.2852376617291881E-2</v>
      </c>
      <c r="T160" s="87">
        <f t="shared" si="17"/>
        <v>-2.0339684237122787E-2</v>
      </c>
      <c r="U160" s="87">
        <f t="shared" si="17"/>
        <v>-2.5317807984289897E-2</v>
      </c>
      <c r="V160" s="87">
        <f t="shared" si="16"/>
        <v>-1.3015368112070361E-2</v>
      </c>
      <c r="W160" s="87">
        <f t="shared" si="16"/>
        <v>-3.6039936483196693E-2</v>
      </c>
      <c r="X160" s="87">
        <f t="shared" si="16"/>
        <v>-9.1324835632724741E-3</v>
      </c>
      <c r="Y160" s="87">
        <f t="shared" si="16"/>
        <v>3.3115608784497604E-2</v>
      </c>
      <c r="Z160" s="87">
        <f t="shared" si="16"/>
        <v>-1.4870162479451506E-2</v>
      </c>
      <c r="AA160" s="87">
        <f t="shared" si="16"/>
        <v>-7.4349784875180902E-3</v>
      </c>
      <c r="AB160" s="87">
        <f t="shared" si="15"/>
        <v>-1.8018505502678365E-2</v>
      </c>
      <c r="AC160" s="87">
        <f t="shared" si="15"/>
        <v>-3.9138993211363287E-3</v>
      </c>
      <c r="AD160" s="87">
        <f t="shared" si="15"/>
        <v>-7.8431774610260054E-3</v>
      </c>
      <c r="AE160" s="90">
        <f t="shared" si="19"/>
        <v>-1.3477594732608816E-2</v>
      </c>
      <c r="AF160" s="89"/>
    </row>
    <row r="161" spans="1:32" ht="15.5" x14ac:dyDescent="0.35">
      <c r="A161" s="82">
        <v>40001</v>
      </c>
      <c r="B161" s="83">
        <v>5654.6</v>
      </c>
      <c r="C161" s="84">
        <v>1746.2</v>
      </c>
      <c r="D161" s="61">
        <v>198.2</v>
      </c>
      <c r="E161" s="61">
        <v>14.4</v>
      </c>
      <c r="F161" s="61">
        <v>19.3</v>
      </c>
      <c r="G161" s="61">
        <v>22.5</v>
      </c>
      <c r="H161" s="61">
        <v>65.2</v>
      </c>
      <c r="I161" s="61">
        <v>10.8</v>
      </c>
      <c r="J161" s="61">
        <v>30.5</v>
      </c>
      <c r="K161" s="61">
        <v>26.5</v>
      </c>
      <c r="L161" s="61">
        <v>27.5</v>
      </c>
      <c r="M161" s="61">
        <v>27.3</v>
      </c>
      <c r="N161" s="61">
        <v>25.6</v>
      </c>
      <c r="O161" s="85">
        <v>12.7</v>
      </c>
      <c r="P161" s="105"/>
      <c r="Q161" s="87">
        <f t="shared" si="18"/>
        <v>-2.0202707317519355E-2</v>
      </c>
      <c r="R161" s="87">
        <f t="shared" si="17"/>
        <v>-2.3320051570584314E-2</v>
      </c>
      <c r="S161" s="87">
        <f t="shared" si="17"/>
        <v>-1.4028286163188207E-2</v>
      </c>
      <c r="T161" s="87">
        <f t="shared" si="17"/>
        <v>-1.3793322132335761E-2</v>
      </c>
      <c r="U161" s="87">
        <f t="shared" si="17"/>
        <v>-1.0309369658861213E-2</v>
      </c>
      <c r="V161" s="87">
        <f t="shared" si="16"/>
        <v>-1.7621601349819445E-2</v>
      </c>
      <c r="W161" s="87">
        <f t="shared" si="16"/>
        <v>-3.0627895305457668E-3</v>
      </c>
      <c r="X161" s="87">
        <f t="shared" si="16"/>
        <v>-9.2166551049239522E-3</v>
      </c>
      <c r="Y161" s="87">
        <f t="shared" si="16"/>
        <v>-6.5359709797855334E-3</v>
      </c>
      <c r="Z161" s="87">
        <f t="shared" si="16"/>
        <v>-7.5188324140273398E-3</v>
      </c>
      <c r="AA161" s="87">
        <f t="shared" si="16"/>
        <v>2.5784117155714634E-2</v>
      </c>
      <c r="AB161" s="87">
        <f t="shared" si="15"/>
        <v>-7.299302481611496E-3</v>
      </c>
      <c r="AC161" s="87">
        <f t="shared" si="15"/>
        <v>3.9138993211363148E-3</v>
      </c>
      <c r="AD161" s="87">
        <f t="shared" si="15"/>
        <v>0</v>
      </c>
      <c r="AE161" s="90">
        <f t="shared" si="19"/>
        <v>-1.4044982338422914E-2</v>
      </c>
      <c r="AF161" s="89"/>
    </row>
    <row r="162" spans="1:32" ht="15.5" x14ac:dyDescent="0.35">
      <c r="A162" s="82">
        <v>40002</v>
      </c>
      <c r="B162" s="83">
        <v>5624.6</v>
      </c>
      <c r="C162" s="84">
        <v>1747.2</v>
      </c>
      <c r="D162" s="61">
        <v>199.2</v>
      </c>
      <c r="E162" s="61">
        <v>14.2</v>
      </c>
      <c r="F162" s="61">
        <v>19.2</v>
      </c>
      <c r="G162" s="61">
        <v>22</v>
      </c>
      <c r="H162" s="61">
        <v>65.3</v>
      </c>
      <c r="I162" s="61">
        <v>10</v>
      </c>
      <c r="J162" s="61">
        <v>29.5</v>
      </c>
      <c r="K162" s="61">
        <v>26.5</v>
      </c>
      <c r="L162" s="61">
        <v>27.7</v>
      </c>
      <c r="M162" s="61">
        <v>26</v>
      </c>
      <c r="N162" s="61">
        <v>25</v>
      </c>
      <c r="O162" s="85">
        <v>12.7</v>
      </c>
      <c r="P162" s="105"/>
      <c r="Q162" s="87">
        <f t="shared" si="18"/>
        <v>-5.3195387516309835E-3</v>
      </c>
      <c r="R162" s="87">
        <f t="shared" si="17"/>
        <v>5.7250817387860737E-4</v>
      </c>
      <c r="S162" s="87">
        <f t="shared" si="17"/>
        <v>5.0327232546101986E-3</v>
      </c>
      <c r="T162" s="87">
        <f t="shared" si="17"/>
        <v>-1.3986241974739952E-2</v>
      </c>
      <c r="U162" s="87">
        <f t="shared" si="17"/>
        <v>-5.1948168771040228E-3</v>
      </c>
      <c r="V162" s="87">
        <f t="shared" si="16"/>
        <v>-2.2472855852058628E-2</v>
      </c>
      <c r="W162" s="87">
        <f t="shared" si="16"/>
        <v>1.5325673497779888E-3</v>
      </c>
      <c r="X162" s="87">
        <f t="shared" si="16"/>
        <v>-7.6961041136128436E-2</v>
      </c>
      <c r="Y162" s="87">
        <f t="shared" si="16"/>
        <v>-3.3336420267591836E-2</v>
      </c>
      <c r="Z162" s="87">
        <f t="shared" si="16"/>
        <v>0</v>
      </c>
      <c r="AA162" s="87">
        <f t="shared" si="16"/>
        <v>7.2464085207672533E-3</v>
      </c>
      <c r="AB162" s="87">
        <f t="shared" si="15"/>
        <v>-4.8790164169432056E-2</v>
      </c>
      <c r="AC162" s="87">
        <f t="shared" si="15"/>
        <v>-2.3716526617316044E-2</v>
      </c>
      <c r="AD162" s="87">
        <f t="shared" si="15"/>
        <v>0</v>
      </c>
      <c r="AE162" s="90">
        <f t="shared" si="19"/>
        <v>1.5960995640121539E-4</v>
      </c>
      <c r="AF162" s="89"/>
    </row>
    <row r="163" spans="1:32" ht="15.5" x14ac:dyDescent="0.35">
      <c r="A163" s="82">
        <v>40003</v>
      </c>
      <c r="B163" s="83">
        <v>5667.4</v>
      </c>
      <c r="C163" s="84">
        <v>1752.6</v>
      </c>
      <c r="D163" s="61">
        <v>203.1</v>
      </c>
      <c r="E163" s="61">
        <v>14.3</v>
      </c>
      <c r="F163" s="61">
        <v>19.399999999999999</v>
      </c>
      <c r="G163" s="61">
        <v>22.4</v>
      </c>
      <c r="H163" s="61">
        <v>63.7</v>
      </c>
      <c r="I163" s="61">
        <v>10.5</v>
      </c>
      <c r="J163" s="61">
        <v>30.6</v>
      </c>
      <c r="K163" s="61">
        <v>26.1</v>
      </c>
      <c r="L163" s="61">
        <v>26.6</v>
      </c>
      <c r="M163" s="61">
        <v>27.2</v>
      </c>
      <c r="N163" s="61">
        <v>25.3</v>
      </c>
      <c r="O163" s="85">
        <v>12.7</v>
      </c>
      <c r="P163" s="105"/>
      <c r="Q163" s="87">
        <f t="shared" si="18"/>
        <v>7.5806243289743853E-3</v>
      </c>
      <c r="R163" s="87">
        <f t="shared" si="17"/>
        <v>3.0858930711642539E-3</v>
      </c>
      <c r="S163" s="87">
        <f t="shared" si="17"/>
        <v>1.9389123435841163E-2</v>
      </c>
      <c r="T163" s="87">
        <f t="shared" si="17"/>
        <v>7.0175726586465398E-3</v>
      </c>
      <c r="U163" s="87">
        <f t="shared" si="17"/>
        <v>1.0362787035546658E-2</v>
      </c>
      <c r="V163" s="87">
        <f t="shared" si="16"/>
        <v>1.8018505502678212E-2</v>
      </c>
      <c r="W163" s="87">
        <f t="shared" si="16"/>
        <v>-2.4807473704267613E-2</v>
      </c>
      <c r="X163" s="87">
        <f t="shared" si="16"/>
        <v>4.8790164169432049E-2</v>
      </c>
      <c r="Y163" s="87">
        <f t="shared" si="16"/>
        <v>3.6609745612561022E-2</v>
      </c>
      <c r="Z163" s="87">
        <f t="shared" si="16"/>
        <v>-1.5209418663528795E-2</v>
      </c>
      <c r="AA163" s="87">
        <f t="shared" si="16"/>
        <v>-4.0521197405639323E-2</v>
      </c>
      <c r="AB163" s="87">
        <f t="shared" si="15"/>
        <v>4.5120435280469641E-2</v>
      </c>
      <c r="AC163" s="87">
        <f t="shared" si="15"/>
        <v>1.1928570865273812E-2</v>
      </c>
      <c r="AD163" s="87">
        <f t="shared" si="15"/>
        <v>0</v>
      </c>
      <c r="AE163" s="90">
        <f t="shared" si="19"/>
        <v>9.5645596639663925E-3</v>
      </c>
      <c r="AF163" s="89"/>
    </row>
    <row r="164" spans="1:32" ht="15.5" x14ac:dyDescent="0.35">
      <c r="A164" s="82">
        <v>40004</v>
      </c>
      <c r="B164" s="83">
        <v>5627.5</v>
      </c>
      <c r="C164" s="84">
        <v>1756</v>
      </c>
      <c r="D164" s="61">
        <v>204.6</v>
      </c>
      <c r="E164" s="61">
        <v>14.8</v>
      </c>
      <c r="F164" s="61">
        <v>19.5</v>
      </c>
      <c r="G164" s="61">
        <v>22.2</v>
      </c>
      <c r="H164" s="61">
        <v>64.7</v>
      </c>
      <c r="I164" s="61">
        <v>10.5</v>
      </c>
      <c r="J164" s="61">
        <v>28.1</v>
      </c>
      <c r="K164" s="61">
        <v>26.1</v>
      </c>
      <c r="L164" s="61">
        <v>26.3</v>
      </c>
      <c r="M164" s="61">
        <v>26.7</v>
      </c>
      <c r="N164" s="61">
        <v>25.1</v>
      </c>
      <c r="O164" s="85">
        <v>12.7</v>
      </c>
      <c r="P164" s="105"/>
      <c r="Q164" s="87">
        <f t="shared" si="18"/>
        <v>-7.0651649810818543E-3</v>
      </c>
      <c r="R164" s="87">
        <f t="shared" si="17"/>
        <v>1.9380955733117875E-3</v>
      </c>
      <c r="S164" s="87">
        <f t="shared" si="17"/>
        <v>7.3583849311871785E-3</v>
      </c>
      <c r="T164" s="87">
        <f t="shared" si="17"/>
        <v>3.4367643504207818E-2</v>
      </c>
      <c r="U164" s="87">
        <f t="shared" si="17"/>
        <v>5.1413995004186523E-3</v>
      </c>
      <c r="V164" s="87">
        <f t="shared" si="16"/>
        <v>-8.9686699827603751E-3</v>
      </c>
      <c r="W164" s="87">
        <f t="shared" si="16"/>
        <v>1.557663892873732E-2</v>
      </c>
      <c r="X164" s="87">
        <f t="shared" si="16"/>
        <v>0</v>
      </c>
      <c r="Y164" s="87">
        <f t="shared" si="16"/>
        <v>-8.5230432618635055E-2</v>
      </c>
      <c r="Z164" s="87">
        <f t="shared" si="16"/>
        <v>0</v>
      </c>
      <c r="AA164" s="87">
        <f t="shared" si="16"/>
        <v>-1.1342276603934495E-2</v>
      </c>
      <c r="AB164" s="87">
        <f t="shared" si="15"/>
        <v>-1.8553407895747834E-2</v>
      </c>
      <c r="AC164" s="87">
        <f t="shared" si="15"/>
        <v>-7.9365495957363034E-3</v>
      </c>
      <c r="AD164" s="87">
        <f t="shared" si="15"/>
        <v>0</v>
      </c>
      <c r="AE164" s="90">
        <f t="shared" si="19"/>
        <v>4.2053400937089539E-3</v>
      </c>
      <c r="AF164" s="89"/>
    </row>
    <row r="165" spans="1:32" ht="15.5" x14ac:dyDescent="0.35">
      <c r="A165" s="82">
        <v>40007</v>
      </c>
      <c r="B165" s="83">
        <v>5761.4</v>
      </c>
      <c r="C165" s="84">
        <v>1793.2</v>
      </c>
      <c r="D165" s="61">
        <v>207.8</v>
      </c>
      <c r="E165" s="61">
        <v>14.6</v>
      </c>
      <c r="F165" s="61">
        <v>19.7</v>
      </c>
      <c r="G165" s="61">
        <v>22.1</v>
      </c>
      <c r="H165" s="61">
        <v>62.9</v>
      </c>
      <c r="I165" s="61">
        <v>10.6</v>
      </c>
      <c r="J165" s="61">
        <v>27</v>
      </c>
      <c r="K165" s="61">
        <v>25.7</v>
      </c>
      <c r="L165" s="61">
        <v>26.1</v>
      </c>
      <c r="M165" s="61">
        <v>27.7</v>
      </c>
      <c r="N165" s="61">
        <v>25.3</v>
      </c>
      <c r="O165" s="85">
        <v>12.7</v>
      </c>
      <c r="P165" s="105"/>
      <c r="Q165" s="87">
        <f t="shared" si="18"/>
        <v>2.3515206931388907E-2</v>
      </c>
      <c r="R165" s="87">
        <f t="shared" si="17"/>
        <v>2.0963238086222431E-2</v>
      </c>
      <c r="S165" s="87">
        <f t="shared" si="17"/>
        <v>1.5519225147600898E-2</v>
      </c>
      <c r="T165" s="87">
        <f t="shared" si="17"/>
        <v>-1.3605652055778709E-2</v>
      </c>
      <c r="U165" s="87">
        <f t="shared" si="17"/>
        <v>1.0204170174241668E-2</v>
      </c>
      <c r="V165" s="87">
        <f t="shared" si="16"/>
        <v>-4.5146803545265827E-3</v>
      </c>
      <c r="W165" s="87">
        <f t="shared" si="16"/>
        <v>-2.8215037800460117E-2</v>
      </c>
      <c r="X165" s="87">
        <f t="shared" si="16"/>
        <v>9.4787439545437387E-3</v>
      </c>
      <c r="Y165" s="87">
        <f t="shared" si="16"/>
        <v>-3.9932710335371109E-2</v>
      </c>
      <c r="Z165" s="87">
        <f t="shared" si="16"/>
        <v>-1.5444322427473744E-2</v>
      </c>
      <c r="AA165" s="87">
        <f t="shared" si="16"/>
        <v>-7.633624855071095E-3</v>
      </c>
      <c r="AB165" s="87">
        <f t="shared" si="15"/>
        <v>3.6768847787089061E-2</v>
      </c>
      <c r="AC165" s="87">
        <f t="shared" si="15"/>
        <v>7.9365495957363415E-3</v>
      </c>
      <c r="AD165" s="87">
        <f t="shared" si="15"/>
        <v>0</v>
      </c>
      <c r="AE165" s="90">
        <f t="shared" si="19"/>
        <v>1.3744944147897053E-2</v>
      </c>
      <c r="AF165" s="89"/>
    </row>
    <row r="166" spans="1:32" ht="15.5" x14ac:dyDescent="0.35">
      <c r="A166" s="82">
        <v>40008</v>
      </c>
      <c r="B166" s="83">
        <v>5805.6</v>
      </c>
      <c r="C166" s="84">
        <v>1799.7</v>
      </c>
      <c r="D166" s="61">
        <v>210.7</v>
      </c>
      <c r="E166" s="61">
        <v>15</v>
      </c>
      <c r="F166" s="61">
        <v>20.2</v>
      </c>
      <c r="G166" s="61">
        <v>22.9</v>
      </c>
      <c r="H166" s="61">
        <v>65.099999999999994</v>
      </c>
      <c r="I166" s="61">
        <v>11.1</v>
      </c>
      <c r="J166" s="61">
        <v>27.4</v>
      </c>
      <c r="K166" s="61">
        <v>26.2</v>
      </c>
      <c r="L166" s="61">
        <v>25.1</v>
      </c>
      <c r="M166" s="61">
        <v>29</v>
      </c>
      <c r="N166" s="61">
        <v>26.3</v>
      </c>
      <c r="O166" s="85">
        <v>12.8</v>
      </c>
      <c r="P166" s="105"/>
      <c r="Q166" s="87">
        <f t="shared" si="18"/>
        <v>7.6424682516509799E-3</v>
      </c>
      <c r="R166" s="87">
        <f t="shared" si="17"/>
        <v>3.6182510458727291E-3</v>
      </c>
      <c r="S166" s="87">
        <f t="shared" si="17"/>
        <v>1.3859242145016226E-2</v>
      </c>
      <c r="T166" s="87">
        <f t="shared" si="17"/>
        <v>2.7028672387919419E-2</v>
      </c>
      <c r="U166" s="87">
        <f t="shared" si="17"/>
        <v>2.506396866321622E-2</v>
      </c>
      <c r="V166" s="87">
        <f t="shared" si="16"/>
        <v>3.555930203648671E-2</v>
      </c>
      <c r="W166" s="87">
        <f t="shared" si="16"/>
        <v>3.4378385508128571E-2</v>
      </c>
      <c r="X166" s="87">
        <f t="shared" si="16"/>
        <v>4.6091107200267087E-2</v>
      </c>
      <c r="Y166" s="87">
        <f t="shared" si="16"/>
        <v>1.4706147389695487E-2</v>
      </c>
      <c r="Z166" s="87">
        <f t="shared" si="16"/>
        <v>1.9268418865876987E-2</v>
      </c>
      <c r="AA166" s="87">
        <f t="shared" si="16"/>
        <v>-3.9067468190909511E-2</v>
      </c>
      <c r="AB166" s="87">
        <f t="shared" si="15"/>
        <v>4.5863416793181212E-2</v>
      </c>
      <c r="AC166" s="87">
        <f t="shared" si="15"/>
        <v>3.8764543450244313E-2</v>
      </c>
      <c r="AD166" s="87">
        <f t="shared" si="15"/>
        <v>7.843177461026099E-3</v>
      </c>
      <c r="AE166" s="90">
        <f t="shared" si="19"/>
        <v>1.3262145724545276E-2</v>
      </c>
      <c r="AF166" s="89"/>
    </row>
    <row r="167" spans="1:32" ht="15.5" x14ac:dyDescent="0.35">
      <c r="A167" s="82">
        <v>40009</v>
      </c>
      <c r="B167" s="83">
        <v>5993.2</v>
      </c>
      <c r="C167" s="84">
        <v>1862.9</v>
      </c>
      <c r="D167" s="61">
        <v>214.5</v>
      </c>
      <c r="E167" s="61">
        <v>15.2</v>
      </c>
      <c r="F167" s="61">
        <v>20.6</v>
      </c>
      <c r="G167" s="61">
        <v>23.6</v>
      </c>
      <c r="H167" s="61">
        <v>65</v>
      </c>
      <c r="I167" s="61">
        <v>11.8</v>
      </c>
      <c r="J167" s="61">
        <v>28.5</v>
      </c>
      <c r="K167" s="61">
        <v>27.3</v>
      </c>
      <c r="L167" s="61">
        <v>26.8</v>
      </c>
      <c r="M167" s="61">
        <v>29.4</v>
      </c>
      <c r="N167" s="61">
        <v>27.4</v>
      </c>
      <c r="O167" s="85">
        <v>12.8</v>
      </c>
      <c r="P167" s="105"/>
      <c r="Q167" s="87">
        <f t="shared" si="18"/>
        <v>3.1802524205061848E-2</v>
      </c>
      <c r="R167" s="87">
        <f t="shared" si="17"/>
        <v>3.4514428968505727E-2</v>
      </c>
      <c r="S167" s="87">
        <f t="shared" si="17"/>
        <v>1.7874417557928429E-2</v>
      </c>
      <c r="T167" s="87">
        <f t="shared" si="17"/>
        <v>1.3245226750020505E-2</v>
      </c>
      <c r="U167" s="87">
        <f t="shared" si="17"/>
        <v>1.9608471388376337E-2</v>
      </c>
      <c r="V167" s="87">
        <f t="shared" si="16"/>
        <v>3.0109801471370597E-2</v>
      </c>
      <c r="W167" s="87">
        <f t="shared" si="16"/>
        <v>-1.5372793188863669E-3</v>
      </c>
      <c r="X167" s="87">
        <f t="shared" si="16"/>
        <v>6.1154423153330646E-2</v>
      </c>
      <c r="Y167" s="87">
        <f t="shared" si="16"/>
        <v>3.9361073880580306E-2</v>
      </c>
      <c r="Z167" s="87">
        <f t="shared" si="16"/>
        <v>4.1127291423862997E-2</v>
      </c>
      <c r="AA167" s="87">
        <f t="shared" si="16"/>
        <v>6.5534041379072733E-2</v>
      </c>
      <c r="AB167" s="87">
        <f t="shared" si="15"/>
        <v>1.3698844358161927E-2</v>
      </c>
      <c r="AC167" s="87">
        <f t="shared" si="15"/>
        <v>4.0974074210305696E-2</v>
      </c>
      <c r="AD167" s="87">
        <f t="shared" si="15"/>
        <v>0</v>
      </c>
      <c r="AE167" s="90">
        <f t="shared" si="19"/>
        <v>2.11854654000137E-2</v>
      </c>
      <c r="AF167" s="89"/>
    </row>
    <row r="168" spans="1:32" ht="15.5" x14ac:dyDescent="0.35">
      <c r="A168" s="82">
        <v>40010</v>
      </c>
      <c r="B168" s="83">
        <v>6043</v>
      </c>
      <c r="C168" s="84">
        <v>1885</v>
      </c>
      <c r="D168" s="61">
        <v>217.3</v>
      </c>
      <c r="E168" s="61">
        <v>15.8</v>
      </c>
      <c r="F168" s="61">
        <v>20.8</v>
      </c>
      <c r="G168" s="61">
        <v>23.9</v>
      </c>
      <c r="H168" s="61">
        <v>65.2</v>
      </c>
      <c r="I168" s="61">
        <v>12.2</v>
      </c>
      <c r="J168" s="61">
        <v>30</v>
      </c>
      <c r="K168" s="61">
        <v>27.7</v>
      </c>
      <c r="L168" s="61">
        <v>27.6</v>
      </c>
      <c r="M168" s="61">
        <v>30.3</v>
      </c>
      <c r="N168" s="61">
        <v>27.8</v>
      </c>
      <c r="O168" s="85">
        <v>13</v>
      </c>
      <c r="P168" s="105"/>
      <c r="Q168" s="87">
        <f t="shared" si="18"/>
        <v>8.2750841925694364E-3</v>
      </c>
      <c r="R168" s="87">
        <f t="shared" si="17"/>
        <v>1.1793407586448248E-2</v>
      </c>
      <c r="S168" s="87">
        <f t="shared" si="17"/>
        <v>1.2969148894312426E-2</v>
      </c>
      <c r="T168" s="87">
        <f t="shared" si="17"/>
        <v>3.8714512180690427E-2</v>
      </c>
      <c r="U168" s="87">
        <f t="shared" si="17"/>
        <v>9.6619109117368901E-3</v>
      </c>
      <c r="V168" s="87">
        <f t="shared" si="16"/>
        <v>1.2631746905900564E-2</v>
      </c>
      <c r="W168" s="87">
        <f t="shared" si="16"/>
        <v>3.07219903697028E-3</v>
      </c>
      <c r="X168" s="87">
        <f t="shared" si="16"/>
        <v>3.3336420267591711E-2</v>
      </c>
      <c r="Y168" s="87">
        <f t="shared" si="16"/>
        <v>5.1293294387550481E-2</v>
      </c>
      <c r="Z168" s="87">
        <f t="shared" si="16"/>
        <v>1.4545711002378716E-2</v>
      </c>
      <c r="AA168" s="87">
        <f t="shared" si="16"/>
        <v>2.9413885206293407E-2</v>
      </c>
      <c r="AB168" s="87">
        <f t="shared" si="15"/>
        <v>3.0153038170687672E-2</v>
      </c>
      <c r="AC168" s="87">
        <f t="shared" si="15"/>
        <v>1.4493007302566824E-2</v>
      </c>
      <c r="AD168" s="87">
        <f t="shared" si="15"/>
        <v>1.5504186535965254E-2</v>
      </c>
      <c r="AE168" s="90">
        <f t="shared" si="19"/>
        <v>1.1979183513310721E-2</v>
      </c>
      <c r="AF168" s="89"/>
    </row>
    <row r="169" spans="1:32" ht="15.5" x14ac:dyDescent="0.35">
      <c r="A169" s="82">
        <v>40011</v>
      </c>
      <c r="B169" s="83">
        <v>6038.1</v>
      </c>
      <c r="C169" s="84">
        <v>1886.6</v>
      </c>
      <c r="D169" s="61">
        <v>213.6</v>
      </c>
      <c r="E169" s="61">
        <v>16.5</v>
      </c>
      <c r="F169" s="61">
        <v>21.2</v>
      </c>
      <c r="G169" s="61">
        <v>24.1</v>
      </c>
      <c r="H169" s="61">
        <v>65.5</v>
      </c>
      <c r="I169" s="61">
        <v>12.3</v>
      </c>
      <c r="J169" s="61">
        <v>29.9</v>
      </c>
      <c r="K169" s="61">
        <v>28.2</v>
      </c>
      <c r="L169" s="61">
        <v>27.4</v>
      </c>
      <c r="M169" s="61">
        <v>30.1</v>
      </c>
      <c r="N169" s="61">
        <v>28.7</v>
      </c>
      <c r="O169" s="85">
        <v>13</v>
      </c>
      <c r="P169" s="105"/>
      <c r="Q169" s="87">
        <f t="shared" si="18"/>
        <v>-8.1118445649675268E-4</v>
      </c>
      <c r="R169" s="87">
        <f t="shared" si="17"/>
        <v>8.4844633364161161E-4</v>
      </c>
      <c r="S169" s="87">
        <f t="shared" si="17"/>
        <v>-1.7173780176344241E-2</v>
      </c>
      <c r="T169" s="87">
        <f t="shared" si="17"/>
        <v>4.3350440873613817E-2</v>
      </c>
      <c r="U169" s="87">
        <f t="shared" si="17"/>
        <v>1.9048194970694411E-2</v>
      </c>
      <c r="V169" s="87">
        <f t="shared" si="16"/>
        <v>8.3333815591444607E-3</v>
      </c>
      <c r="W169" s="87">
        <f t="shared" si="16"/>
        <v>4.5906737085988289E-3</v>
      </c>
      <c r="X169" s="87">
        <f t="shared" si="16"/>
        <v>8.1633106391610557E-3</v>
      </c>
      <c r="Y169" s="87">
        <f t="shared" si="16"/>
        <v>-3.3389012655147096E-3</v>
      </c>
      <c r="Z169" s="87">
        <f t="shared" si="16"/>
        <v>1.7889564750775123E-2</v>
      </c>
      <c r="AA169" s="87">
        <f t="shared" si="16"/>
        <v>-7.2727593290799206E-3</v>
      </c>
      <c r="AB169" s="87">
        <f t="shared" si="15"/>
        <v>-6.6225407604933824E-3</v>
      </c>
      <c r="AC169" s="87">
        <f t="shared" si="15"/>
        <v>3.1861102068984064E-2</v>
      </c>
      <c r="AD169" s="87">
        <f t="shared" si="15"/>
        <v>0</v>
      </c>
      <c r="AE169" s="90">
        <f t="shared" si="19"/>
        <v>6.7307069359345741E-4</v>
      </c>
      <c r="AF169" s="89"/>
    </row>
    <row r="170" spans="1:32" ht="15.5" x14ac:dyDescent="0.35">
      <c r="A170" s="82">
        <v>40014</v>
      </c>
      <c r="B170" s="83">
        <v>6141.3</v>
      </c>
      <c r="C170" s="84">
        <v>1909.3</v>
      </c>
      <c r="D170" s="61">
        <v>213.3</v>
      </c>
      <c r="E170" s="61">
        <v>16.7</v>
      </c>
      <c r="F170" s="61">
        <v>21.6</v>
      </c>
      <c r="G170" s="61">
        <v>24.2</v>
      </c>
      <c r="H170" s="61">
        <v>66</v>
      </c>
      <c r="I170" s="61">
        <v>13</v>
      </c>
      <c r="J170" s="61">
        <v>30.1</v>
      </c>
      <c r="K170" s="61">
        <v>28.8</v>
      </c>
      <c r="L170" s="61">
        <v>27.4</v>
      </c>
      <c r="M170" s="61">
        <v>30.5</v>
      </c>
      <c r="N170" s="61">
        <v>28.9</v>
      </c>
      <c r="O170" s="85">
        <v>13</v>
      </c>
      <c r="P170" s="105"/>
      <c r="Q170" s="87">
        <f t="shared" si="18"/>
        <v>1.6947053209623461E-2</v>
      </c>
      <c r="R170" s="87">
        <f t="shared" ref="R170:X206" si="20">+LN(C170/C169)</f>
        <v>1.1960415503666005E-2</v>
      </c>
      <c r="S170" s="87">
        <f t="shared" si="20"/>
        <v>-1.4054816087348096E-3</v>
      </c>
      <c r="T170" s="87">
        <f t="shared" si="20"/>
        <v>1.2048338516174355E-2</v>
      </c>
      <c r="U170" s="87">
        <f t="shared" si="20"/>
        <v>1.8692133012152546E-2</v>
      </c>
      <c r="V170" s="87">
        <f t="shared" si="16"/>
        <v>4.1407926660313871E-3</v>
      </c>
      <c r="W170" s="87">
        <f t="shared" si="16"/>
        <v>7.6045993852192125E-3</v>
      </c>
      <c r="X170" s="87">
        <f t="shared" si="16"/>
        <v>5.5350095083164901E-2</v>
      </c>
      <c r="Y170" s="87">
        <f t="shared" si="16"/>
        <v>6.6666913581892974E-3</v>
      </c>
      <c r="Z170" s="87">
        <f t="shared" si="16"/>
        <v>2.1053409197832482E-2</v>
      </c>
      <c r="AA170" s="87">
        <f t="shared" si="16"/>
        <v>0</v>
      </c>
      <c r="AB170" s="87">
        <f t="shared" si="15"/>
        <v>1.3201511858535761E-2</v>
      </c>
      <c r="AC170" s="87">
        <f t="shared" si="15"/>
        <v>6.944472352810995E-3</v>
      </c>
      <c r="AD170" s="87">
        <f t="shared" si="15"/>
        <v>0</v>
      </c>
      <c r="AE170" s="90">
        <f t="shared" si="19"/>
        <v>8.5184501454433747E-3</v>
      </c>
      <c r="AF170" s="89"/>
    </row>
    <row r="171" spans="1:32" ht="15.5" x14ac:dyDescent="0.35">
      <c r="A171" s="82">
        <v>40015</v>
      </c>
      <c r="B171" s="83">
        <v>6154.4</v>
      </c>
      <c r="C171" s="84">
        <v>1916.2</v>
      </c>
      <c r="D171" s="61">
        <v>213.1</v>
      </c>
      <c r="E171" s="61">
        <v>16.399999999999999</v>
      </c>
      <c r="F171" s="61">
        <v>21.4</v>
      </c>
      <c r="G171" s="61">
        <v>24.4</v>
      </c>
      <c r="H171" s="61">
        <v>65.599999999999994</v>
      </c>
      <c r="I171" s="61">
        <v>13.2</v>
      </c>
      <c r="J171" s="61">
        <v>30.1</v>
      </c>
      <c r="K171" s="61">
        <v>28.7</v>
      </c>
      <c r="L171" s="61">
        <v>28.6</v>
      </c>
      <c r="M171" s="61">
        <v>30.7</v>
      </c>
      <c r="N171" s="61">
        <v>29.7</v>
      </c>
      <c r="O171" s="85">
        <v>12.9</v>
      </c>
      <c r="P171" s="105"/>
      <c r="Q171" s="87">
        <f t="shared" si="18"/>
        <v>2.130827030039605E-3</v>
      </c>
      <c r="R171" s="87">
        <f t="shared" si="20"/>
        <v>3.6073754973542579E-3</v>
      </c>
      <c r="S171" s="87">
        <f t="shared" si="20"/>
        <v>-9.3808637273346744E-4</v>
      </c>
      <c r="T171" s="87">
        <f t="shared" si="20"/>
        <v>-1.8127384592556715E-2</v>
      </c>
      <c r="U171" s="87">
        <f t="shared" si="20"/>
        <v>-9.302392662313674E-3</v>
      </c>
      <c r="V171" s="87">
        <f t="shared" si="16"/>
        <v>8.2304991365154435E-3</v>
      </c>
      <c r="W171" s="87">
        <f t="shared" si="16"/>
        <v>-6.0790460763822263E-3</v>
      </c>
      <c r="X171" s="87">
        <f t="shared" si="16"/>
        <v>1.5267472130788381E-2</v>
      </c>
      <c r="Y171" s="87">
        <f t="shared" si="16"/>
        <v>0</v>
      </c>
      <c r="Z171" s="87">
        <f t="shared" si="16"/>
        <v>-3.47826437632492E-3</v>
      </c>
      <c r="AA171" s="87">
        <f t="shared" si="16"/>
        <v>4.2863704431782529E-2</v>
      </c>
      <c r="AB171" s="87">
        <f t="shared" si="15"/>
        <v>6.5359709797854493E-3</v>
      </c>
      <c r="AC171" s="87">
        <f t="shared" si="15"/>
        <v>2.7305450690267439E-2</v>
      </c>
      <c r="AD171" s="87">
        <f t="shared" si="15"/>
        <v>-7.7220460939102778E-3</v>
      </c>
      <c r="AE171" s="90">
        <f t="shared" si="19"/>
        <v>-2.7918501415198048E-3</v>
      </c>
      <c r="AF171" s="89"/>
    </row>
    <row r="172" spans="1:32" ht="15.5" x14ac:dyDescent="0.35">
      <c r="A172" s="82">
        <v>40016</v>
      </c>
      <c r="B172" s="83">
        <v>6151.4</v>
      </c>
      <c r="C172" s="84">
        <v>1926.4</v>
      </c>
      <c r="D172" s="61">
        <v>212</v>
      </c>
      <c r="E172" s="61">
        <v>16.100000000000001</v>
      </c>
      <c r="F172" s="61">
        <v>22.3</v>
      </c>
      <c r="G172" s="61">
        <v>24.5</v>
      </c>
      <c r="H172" s="61">
        <v>67.900000000000006</v>
      </c>
      <c r="I172" s="61">
        <v>12.8</v>
      </c>
      <c r="J172" s="61">
        <v>29.6</v>
      </c>
      <c r="K172" s="61">
        <v>28.8</v>
      </c>
      <c r="L172" s="61">
        <v>29.3</v>
      </c>
      <c r="M172" s="61">
        <v>30.3</v>
      </c>
      <c r="N172" s="61">
        <v>29.9</v>
      </c>
      <c r="O172" s="85">
        <v>12.9</v>
      </c>
      <c r="P172" s="105"/>
      <c r="Q172" s="87">
        <f t="shared" si="18"/>
        <v>-4.875749743100653E-4</v>
      </c>
      <c r="R172" s="87">
        <f t="shared" si="20"/>
        <v>5.3089178977289032E-3</v>
      </c>
      <c r="S172" s="87">
        <f t="shared" si="20"/>
        <v>-5.1752644325589589E-3</v>
      </c>
      <c r="T172" s="87">
        <f t="shared" si="20"/>
        <v>-1.8462062839735217E-2</v>
      </c>
      <c r="U172" s="87">
        <f t="shared" si="20"/>
        <v>4.1195756438267332E-2</v>
      </c>
      <c r="V172" s="87">
        <f t="shared" si="16"/>
        <v>4.0899852515250664E-3</v>
      </c>
      <c r="W172" s="87">
        <f t="shared" si="16"/>
        <v>3.4460338614607171E-2</v>
      </c>
      <c r="X172" s="87">
        <f t="shared" si="16"/>
        <v>-3.0771658666753545E-2</v>
      </c>
      <c r="Y172" s="87">
        <f t="shared" si="16"/>
        <v>-1.6750810424815354E-2</v>
      </c>
      <c r="Z172" s="87">
        <f t="shared" si="16"/>
        <v>3.4782643763247925E-3</v>
      </c>
      <c r="AA172" s="87">
        <f t="shared" si="16"/>
        <v>2.4180798197214613E-2</v>
      </c>
      <c r="AB172" s="87">
        <f t="shared" si="15"/>
        <v>-1.3114942077828018E-2</v>
      </c>
      <c r="AC172" s="87">
        <f t="shared" si="15"/>
        <v>6.7114345879867778E-3</v>
      </c>
      <c r="AD172" s="87">
        <f t="shared" si="15"/>
        <v>0</v>
      </c>
      <c r="AE172" s="90">
        <f t="shared" si="19"/>
        <v>1.1855677632627652E-2</v>
      </c>
      <c r="AF172" s="89"/>
    </row>
    <row r="173" spans="1:32" ht="15.5" x14ac:dyDescent="0.35">
      <c r="A173" s="82">
        <v>40017</v>
      </c>
      <c r="B173" s="83">
        <v>6302.5</v>
      </c>
      <c r="C173" s="84">
        <v>1973.6</v>
      </c>
      <c r="D173" s="61">
        <v>213</v>
      </c>
      <c r="E173" s="61">
        <v>17.2</v>
      </c>
      <c r="F173" s="61">
        <v>22.2</v>
      </c>
      <c r="G173" s="61">
        <v>24.8</v>
      </c>
      <c r="H173" s="61">
        <v>66.3</v>
      </c>
      <c r="I173" s="61">
        <v>13.6</v>
      </c>
      <c r="J173" s="61">
        <v>28.9</v>
      </c>
      <c r="K173" s="61">
        <v>28.6</v>
      </c>
      <c r="L173" s="61">
        <v>29.5</v>
      </c>
      <c r="M173" s="61">
        <v>30.8</v>
      </c>
      <c r="N173" s="61">
        <v>32.299999999999997</v>
      </c>
      <c r="O173" s="85">
        <v>12.8</v>
      </c>
      <c r="P173" s="105"/>
      <c r="Q173" s="87">
        <f t="shared" si="18"/>
        <v>2.4266681891660185E-2</v>
      </c>
      <c r="R173" s="87">
        <f t="shared" si="20"/>
        <v>2.4206310100645022E-2</v>
      </c>
      <c r="S173" s="87">
        <f t="shared" si="20"/>
        <v>4.7058910374127138E-3</v>
      </c>
      <c r="T173" s="87">
        <f t="shared" si="20"/>
        <v>6.6090111828989856E-2</v>
      </c>
      <c r="U173" s="87">
        <f t="shared" si="20"/>
        <v>-4.4943895878393264E-3</v>
      </c>
      <c r="V173" s="87">
        <f t="shared" si="16"/>
        <v>1.2170535620255114E-2</v>
      </c>
      <c r="W173" s="87">
        <f t="shared" si="16"/>
        <v>-2.384613737283376E-2</v>
      </c>
      <c r="X173" s="87">
        <f t="shared" si="16"/>
        <v>6.062462181643484E-2</v>
      </c>
      <c r="Y173" s="87">
        <f t="shared" si="16"/>
        <v>-2.3932766211628362E-2</v>
      </c>
      <c r="Z173" s="87">
        <f t="shared" si="16"/>
        <v>-6.9686693160933158E-3</v>
      </c>
      <c r="AA173" s="87">
        <f t="shared" si="16"/>
        <v>6.8027473227523999E-3</v>
      </c>
      <c r="AB173" s="87">
        <f t="shared" si="15"/>
        <v>1.6366977464205412E-2</v>
      </c>
      <c r="AC173" s="87">
        <f t="shared" si="15"/>
        <v>7.7208749831970069E-2</v>
      </c>
      <c r="AD173" s="87">
        <f t="shared" si="15"/>
        <v>-7.7821404420549628E-3</v>
      </c>
      <c r="AE173" s="90">
        <f t="shared" si="19"/>
        <v>6.402495753210509E-3</v>
      </c>
      <c r="AF173" s="89"/>
    </row>
    <row r="174" spans="1:32" ht="15.5" x14ac:dyDescent="0.35">
      <c r="A174" s="82">
        <v>40018</v>
      </c>
      <c r="B174" s="83">
        <v>6337.5</v>
      </c>
      <c r="C174" s="84">
        <v>1966</v>
      </c>
      <c r="D174" s="61">
        <v>217.7</v>
      </c>
      <c r="E174" s="61">
        <v>17</v>
      </c>
      <c r="F174" s="61">
        <v>22.4</v>
      </c>
      <c r="G174" s="61">
        <v>22.8</v>
      </c>
      <c r="H174" s="61">
        <v>66.400000000000006</v>
      </c>
      <c r="I174" s="61">
        <v>14</v>
      </c>
      <c r="J174" s="61">
        <v>31.1</v>
      </c>
      <c r="K174" s="61">
        <v>29</v>
      </c>
      <c r="L174" s="61">
        <v>29.9</v>
      </c>
      <c r="M174" s="61">
        <v>32.4</v>
      </c>
      <c r="N174" s="61">
        <v>32.9</v>
      </c>
      <c r="O174" s="85">
        <v>12.7</v>
      </c>
      <c r="P174" s="105"/>
      <c r="Q174" s="87">
        <f t="shared" si="18"/>
        <v>5.5379888373636808E-3</v>
      </c>
      <c r="R174" s="87">
        <f t="shared" si="20"/>
        <v>-3.8582645080349896E-3</v>
      </c>
      <c r="S174" s="87">
        <f t="shared" si="20"/>
        <v>2.1825802531076542E-2</v>
      </c>
      <c r="T174" s="87">
        <f t="shared" si="20"/>
        <v>-1.1696039763191187E-2</v>
      </c>
      <c r="U174" s="87">
        <f t="shared" si="20"/>
        <v>8.9686699827603161E-3</v>
      </c>
      <c r="V174" s="87">
        <f t="shared" si="16"/>
        <v>-8.4083117210541444E-2</v>
      </c>
      <c r="W174" s="87">
        <f t="shared" si="16"/>
        <v>1.5071592905715604E-3</v>
      </c>
      <c r="X174" s="87">
        <f t="shared" si="16"/>
        <v>2.8987536873252406E-2</v>
      </c>
      <c r="Y174" s="87">
        <f t="shared" si="16"/>
        <v>7.336622406680203E-2</v>
      </c>
      <c r="Z174" s="87">
        <f t="shared" si="16"/>
        <v>1.3889112160667093E-2</v>
      </c>
      <c r="AA174" s="87">
        <f t="shared" si="16"/>
        <v>1.3468217050866611E-2</v>
      </c>
      <c r="AB174" s="87">
        <f t="shared" si="15"/>
        <v>5.0643732818754936E-2</v>
      </c>
      <c r="AC174" s="87">
        <f t="shared" si="15"/>
        <v>1.8405427542715343E-2</v>
      </c>
      <c r="AD174" s="87">
        <f t="shared" si="15"/>
        <v>-7.8431774610260054E-3</v>
      </c>
      <c r="AE174" s="90">
        <f t="shared" si="19"/>
        <v>6.8444747406021045E-3</v>
      </c>
      <c r="AF174" s="89"/>
    </row>
    <row r="175" spans="1:32" ht="15.5" x14ac:dyDescent="0.35">
      <c r="A175" s="82">
        <v>40021</v>
      </c>
      <c r="B175" s="83">
        <v>6364.7</v>
      </c>
      <c r="C175" s="84">
        <v>1967.9</v>
      </c>
      <c r="D175" s="61">
        <v>219</v>
      </c>
      <c r="E175" s="61">
        <v>16.899999999999999</v>
      </c>
      <c r="F175" s="61">
        <v>22.5</v>
      </c>
      <c r="G175" s="61">
        <v>22.9</v>
      </c>
      <c r="H175" s="61">
        <v>65.599999999999994</v>
      </c>
      <c r="I175" s="61">
        <v>14.2</v>
      </c>
      <c r="J175" s="61">
        <v>31.4</v>
      </c>
      <c r="K175" s="61">
        <v>28.6</v>
      </c>
      <c r="L175" s="61">
        <v>30.4</v>
      </c>
      <c r="M175" s="61">
        <v>33.5</v>
      </c>
      <c r="N175" s="61">
        <v>33.4</v>
      </c>
      <c r="O175" s="85">
        <v>12.9</v>
      </c>
      <c r="P175" s="105"/>
      <c r="Q175" s="87">
        <f t="shared" si="18"/>
        <v>4.2827292240186637E-3</v>
      </c>
      <c r="R175" s="87">
        <f t="shared" si="20"/>
        <v>9.6596260593213444E-4</v>
      </c>
      <c r="S175" s="87">
        <f t="shared" si="20"/>
        <v>5.9537615759990689E-3</v>
      </c>
      <c r="T175" s="87">
        <f t="shared" si="20"/>
        <v>-5.8997221271883827E-3</v>
      </c>
      <c r="U175" s="87">
        <f t="shared" si="20"/>
        <v>4.4543503493803746E-3</v>
      </c>
      <c r="V175" s="87">
        <f t="shared" si="16"/>
        <v>4.3763745997987815E-3</v>
      </c>
      <c r="W175" s="87">
        <f t="shared" si="16"/>
        <v>-1.2121360532344963E-2</v>
      </c>
      <c r="X175" s="87">
        <f t="shared" si="16"/>
        <v>1.4184634991956381E-2</v>
      </c>
      <c r="Y175" s="87">
        <f t="shared" si="16"/>
        <v>9.6000737290191374E-3</v>
      </c>
      <c r="Z175" s="87">
        <f t="shared" si="16"/>
        <v>-1.3889112160667037E-2</v>
      </c>
      <c r="AA175" s="87">
        <f t="shared" si="16"/>
        <v>1.6584128015535261E-2</v>
      </c>
      <c r="AB175" s="87">
        <f t="shared" si="15"/>
        <v>3.3387016032737193E-2</v>
      </c>
      <c r="AC175" s="87">
        <f t="shared" si="15"/>
        <v>1.50832422113285E-2</v>
      </c>
      <c r="AD175" s="87">
        <f t="shared" si="15"/>
        <v>1.5625317903081033E-2</v>
      </c>
      <c r="AE175" s="90">
        <f t="shared" si="19"/>
        <v>5.2054970001457488E-3</v>
      </c>
      <c r="AF175" s="89"/>
    </row>
    <row r="176" spans="1:32" ht="15.5" x14ac:dyDescent="0.35">
      <c r="A176" s="82">
        <v>40022</v>
      </c>
      <c r="B176" s="83">
        <v>6328.7</v>
      </c>
      <c r="C176" s="84">
        <v>1975.5</v>
      </c>
      <c r="D176" s="61">
        <v>218.3</v>
      </c>
      <c r="E176" s="61">
        <v>16.5</v>
      </c>
      <c r="F176" s="61">
        <v>22.5</v>
      </c>
      <c r="G176" s="61">
        <v>22.9</v>
      </c>
      <c r="H176" s="61">
        <v>66.099999999999994</v>
      </c>
      <c r="I176" s="61">
        <v>13.9</v>
      </c>
      <c r="J176" s="61">
        <v>30.6</v>
      </c>
      <c r="K176" s="61">
        <v>28.3</v>
      </c>
      <c r="L176" s="61">
        <v>29.8</v>
      </c>
      <c r="M176" s="61">
        <v>32.5</v>
      </c>
      <c r="N176" s="61">
        <v>33.799999999999997</v>
      </c>
      <c r="O176" s="85">
        <v>12.9</v>
      </c>
      <c r="P176" s="105"/>
      <c r="Q176" s="87">
        <f t="shared" si="18"/>
        <v>-5.6722543248232428E-3</v>
      </c>
      <c r="R176" s="87">
        <f t="shared" si="20"/>
        <v>3.8545465384013937E-3</v>
      </c>
      <c r="S176" s="87">
        <f t="shared" si="20"/>
        <v>-3.2014662606025036E-3</v>
      </c>
      <c r="T176" s="87">
        <f t="shared" si="20"/>
        <v>-2.3953241022492758E-2</v>
      </c>
      <c r="U176" s="87">
        <f t="shared" si="20"/>
        <v>0</v>
      </c>
      <c r="V176" s="87">
        <f t="shared" si="16"/>
        <v>0</v>
      </c>
      <c r="W176" s="87">
        <f t="shared" si="16"/>
        <v>7.5930509075971958E-3</v>
      </c>
      <c r="X176" s="87">
        <f t="shared" si="16"/>
        <v>-2.1353124470568946E-2</v>
      </c>
      <c r="Y176" s="87">
        <f t="shared" si="16"/>
        <v>-2.5807883955872475E-2</v>
      </c>
      <c r="Z176" s="87">
        <f t="shared" si="16"/>
        <v>-1.0544913176614998E-2</v>
      </c>
      <c r="AA176" s="87">
        <f t="shared" si="16"/>
        <v>-1.9934214900817138E-2</v>
      </c>
      <c r="AB176" s="87">
        <f t="shared" si="15"/>
        <v>-3.0305349495328922E-2</v>
      </c>
      <c r="AC176" s="87">
        <f t="shared" si="15"/>
        <v>1.1904902506318239E-2</v>
      </c>
      <c r="AD176" s="87">
        <f t="shared" si="15"/>
        <v>0</v>
      </c>
      <c r="AE176" s="90">
        <f t="shared" si="19"/>
        <v>2.1811943590015323E-4</v>
      </c>
      <c r="AF176" s="89"/>
    </row>
    <row r="177" spans="1:32" ht="15.5" x14ac:dyDescent="0.35">
      <c r="A177" s="82">
        <v>40023</v>
      </c>
      <c r="B177" s="83">
        <v>6280.6</v>
      </c>
      <c r="C177" s="84">
        <v>1967.8</v>
      </c>
      <c r="D177" s="61">
        <v>216.2</v>
      </c>
      <c r="E177" s="61">
        <v>15.1</v>
      </c>
      <c r="F177" s="61">
        <v>22.6</v>
      </c>
      <c r="G177" s="61">
        <v>23.3</v>
      </c>
      <c r="H177" s="61">
        <v>66.5</v>
      </c>
      <c r="I177" s="61">
        <v>13.3</v>
      </c>
      <c r="J177" s="61">
        <v>30.4</v>
      </c>
      <c r="K177" s="61">
        <v>28.4</v>
      </c>
      <c r="L177" s="61">
        <v>29.5</v>
      </c>
      <c r="M177" s="61">
        <v>32</v>
      </c>
      <c r="N177" s="61">
        <v>33.4</v>
      </c>
      <c r="O177" s="85">
        <v>13.1</v>
      </c>
      <c r="P177" s="105"/>
      <c r="Q177" s="87">
        <f t="shared" si="18"/>
        <v>-7.6293264989046664E-3</v>
      </c>
      <c r="R177" s="87">
        <f t="shared" si="20"/>
        <v>-3.9053634197803899E-3</v>
      </c>
      <c r="S177" s="87">
        <f t="shared" si="20"/>
        <v>-9.6663583507903914E-3</v>
      </c>
      <c r="T177" s="87">
        <f t="shared" si="20"/>
        <v>-8.8665637085656265E-2</v>
      </c>
      <c r="U177" s="87">
        <f t="shared" si="20"/>
        <v>4.4345970678657748E-3</v>
      </c>
      <c r="V177" s="87">
        <f t="shared" si="16"/>
        <v>1.7316450011460958E-2</v>
      </c>
      <c r="W177" s="87">
        <f t="shared" si="16"/>
        <v>6.0332008041679127E-3</v>
      </c>
      <c r="X177" s="87">
        <f t="shared" si="16"/>
        <v>-4.4124804908937942E-2</v>
      </c>
      <c r="Y177" s="87">
        <f t="shared" si="16"/>
        <v>-6.5574005461591636E-3</v>
      </c>
      <c r="Z177" s="87">
        <f t="shared" si="16"/>
        <v>3.5273405179684406E-3</v>
      </c>
      <c r="AA177" s="87">
        <f t="shared" si="16"/>
        <v>-1.0118130165584667E-2</v>
      </c>
      <c r="AB177" s="87">
        <f t="shared" si="15"/>
        <v>-1.5504186535965199E-2</v>
      </c>
      <c r="AC177" s="87">
        <f t="shared" si="15"/>
        <v>-1.1904902506318314E-2</v>
      </c>
      <c r="AD177" s="87">
        <f t="shared" si="15"/>
        <v>1.5384918839479456E-2</v>
      </c>
      <c r="AE177" s="90">
        <f t="shared" si="19"/>
        <v>-8.6255788876671464E-4</v>
      </c>
      <c r="AF177" s="89"/>
    </row>
    <row r="178" spans="1:32" ht="15.5" x14ac:dyDescent="0.35">
      <c r="A178" s="82">
        <v>40024</v>
      </c>
      <c r="B178" s="83">
        <v>6384.3</v>
      </c>
      <c r="C178" s="84">
        <v>1984.3</v>
      </c>
      <c r="D178" s="61">
        <v>221.5</v>
      </c>
      <c r="E178" s="61">
        <v>14.2</v>
      </c>
      <c r="F178" s="61">
        <v>23.1</v>
      </c>
      <c r="G178" s="61">
        <v>23.7</v>
      </c>
      <c r="H178" s="61">
        <v>68.599999999999994</v>
      </c>
      <c r="I178" s="61">
        <v>14.3</v>
      </c>
      <c r="J178" s="61">
        <v>31.2</v>
      </c>
      <c r="K178" s="61">
        <v>29.1</v>
      </c>
      <c r="L178" s="61">
        <v>29.9</v>
      </c>
      <c r="M178" s="61">
        <v>33.1</v>
      </c>
      <c r="N178" s="61">
        <v>33.799999999999997</v>
      </c>
      <c r="O178" s="85">
        <v>13.6</v>
      </c>
      <c r="P178" s="105"/>
      <c r="Q178" s="87">
        <f t="shared" si="18"/>
        <v>1.6376334207006394E-2</v>
      </c>
      <c r="R178" s="87">
        <f t="shared" si="20"/>
        <v>8.3500396595415048E-3</v>
      </c>
      <c r="S178" s="87">
        <f t="shared" si="20"/>
        <v>2.4218684280082472E-2</v>
      </c>
      <c r="T178" s="87">
        <f t="shared" si="20"/>
        <v>-6.1452779213663565E-2</v>
      </c>
      <c r="U178" s="87">
        <f t="shared" si="20"/>
        <v>2.1882711249507587E-2</v>
      </c>
      <c r="V178" s="87">
        <f t="shared" si="16"/>
        <v>1.7021687569430524E-2</v>
      </c>
      <c r="W178" s="87">
        <f t="shared" si="16"/>
        <v>3.1090587070030967E-2</v>
      </c>
      <c r="X178" s="87">
        <f t="shared" si="16"/>
        <v>7.2495502038153609E-2</v>
      </c>
      <c r="Y178" s="87">
        <f t="shared" si="16"/>
        <v>2.5975486403260736E-2</v>
      </c>
      <c r="Z178" s="87">
        <f t="shared" si="16"/>
        <v>2.4349029010286551E-2</v>
      </c>
      <c r="AA178" s="87">
        <f t="shared" si="16"/>
        <v>1.3468217050866611E-2</v>
      </c>
      <c r="AB178" s="87">
        <f t="shared" si="15"/>
        <v>3.379737958329071E-2</v>
      </c>
      <c r="AC178" s="87">
        <f t="shared" si="15"/>
        <v>1.1904902506318239E-2</v>
      </c>
      <c r="AD178" s="87">
        <f t="shared" si="15"/>
        <v>3.7457562534900415E-2</v>
      </c>
      <c r="AE178" s="90">
        <f t="shared" si="19"/>
        <v>2.0403298669549055E-2</v>
      </c>
      <c r="AF178" s="89"/>
    </row>
    <row r="179" spans="1:32" ht="15.5" x14ac:dyDescent="0.35">
      <c r="A179" s="82">
        <v>40025</v>
      </c>
      <c r="B179" s="83">
        <v>6424.3</v>
      </c>
      <c r="C179" s="84">
        <v>1978.5</v>
      </c>
      <c r="D179" s="61">
        <v>221.4</v>
      </c>
      <c r="E179" s="61">
        <v>14.3</v>
      </c>
      <c r="F179" s="61">
        <v>23.3</v>
      </c>
      <c r="G179" s="61">
        <v>23.5</v>
      </c>
      <c r="H179" s="61">
        <v>69</v>
      </c>
      <c r="I179" s="61">
        <v>15.8</v>
      </c>
      <c r="J179" s="61">
        <v>30.8</v>
      </c>
      <c r="K179" s="61">
        <v>29.4</v>
      </c>
      <c r="L179" s="61">
        <v>29.9</v>
      </c>
      <c r="M179" s="61">
        <v>33.6</v>
      </c>
      <c r="N179" s="61">
        <v>34</v>
      </c>
      <c r="O179" s="85">
        <v>13.9</v>
      </c>
      <c r="P179" s="105"/>
      <c r="Q179" s="87">
        <f t="shared" si="18"/>
        <v>6.2458239049238088E-3</v>
      </c>
      <c r="R179" s="87">
        <f t="shared" si="20"/>
        <v>-2.9272252657274647E-3</v>
      </c>
      <c r="S179" s="87">
        <f t="shared" si="20"/>
        <v>-4.515692106537963E-4</v>
      </c>
      <c r="T179" s="87">
        <f t="shared" si="20"/>
        <v>7.0175726586465398E-3</v>
      </c>
      <c r="U179" s="87">
        <f t="shared" si="20"/>
        <v>8.6207430439069546E-3</v>
      </c>
      <c r="V179" s="87">
        <f t="shared" si="16"/>
        <v>-8.4746269909722321E-3</v>
      </c>
      <c r="W179" s="87">
        <f t="shared" si="16"/>
        <v>5.8139698654198161E-3</v>
      </c>
      <c r="X179" s="87">
        <f t="shared" si="16"/>
        <v>9.9750402767059418E-2</v>
      </c>
      <c r="Y179" s="87">
        <f t="shared" si="16"/>
        <v>-1.2903404835907841E-2</v>
      </c>
      <c r="Z179" s="87">
        <f t="shared" si="16"/>
        <v>1.0256500167189061E-2</v>
      </c>
      <c r="AA179" s="87">
        <f t="shared" si="16"/>
        <v>0</v>
      </c>
      <c r="AB179" s="87">
        <f t="shared" si="15"/>
        <v>1.4992784586141318E-2</v>
      </c>
      <c r="AC179" s="87">
        <f t="shared" si="15"/>
        <v>5.899722127188322E-3</v>
      </c>
      <c r="AD179" s="87">
        <f t="shared" si="15"/>
        <v>2.1819047394639888E-2</v>
      </c>
      <c r="AE179" s="90">
        <f t="shared" si="19"/>
        <v>4.1074382225603284E-3</v>
      </c>
      <c r="AF179" s="89"/>
    </row>
    <row r="180" spans="1:32" ht="15.5" x14ac:dyDescent="0.35">
      <c r="A180" s="82">
        <v>40028</v>
      </c>
      <c r="B180" s="83">
        <v>6565.6</v>
      </c>
      <c r="C180" s="84">
        <v>2008.6</v>
      </c>
      <c r="D180" s="61">
        <v>224</v>
      </c>
      <c r="E180" s="61">
        <v>14.3</v>
      </c>
      <c r="F180" s="61">
        <v>23.6</v>
      </c>
      <c r="G180" s="61">
        <v>23.5</v>
      </c>
      <c r="H180" s="61">
        <v>68.2</v>
      </c>
      <c r="I180" s="61">
        <v>17.399999999999999</v>
      </c>
      <c r="J180" s="61">
        <v>31.6</v>
      </c>
      <c r="K180" s="61">
        <v>30.6</v>
      </c>
      <c r="L180" s="61">
        <v>29.7</v>
      </c>
      <c r="M180" s="61">
        <v>34.5</v>
      </c>
      <c r="N180" s="61">
        <v>33.799999999999997</v>
      </c>
      <c r="O180" s="85">
        <v>14.1</v>
      </c>
      <c r="P180" s="105"/>
      <c r="Q180" s="87">
        <f t="shared" si="18"/>
        <v>2.1756221903842615E-2</v>
      </c>
      <c r="R180" s="87">
        <f t="shared" si="20"/>
        <v>1.5098980133759515E-2</v>
      </c>
      <c r="S180" s="87">
        <f t="shared" si="20"/>
        <v>1.1675031580503229E-2</v>
      </c>
      <c r="T180" s="87">
        <f t="shared" si="20"/>
        <v>0</v>
      </c>
      <c r="U180" s="87">
        <f t="shared" si="20"/>
        <v>1.2793351459909542E-2</v>
      </c>
      <c r="V180" s="87">
        <f t="shared" si="16"/>
        <v>0</v>
      </c>
      <c r="W180" s="87">
        <f t="shared" si="16"/>
        <v>-1.1661939747842975E-2</v>
      </c>
      <c r="X180" s="87">
        <f t="shared" si="16"/>
        <v>9.6460266187562108E-2</v>
      </c>
      <c r="Y180" s="87">
        <f t="shared" si="16"/>
        <v>2.5642430613337652E-2</v>
      </c>
      <c r="Z180" s="87">
        <f t="shared" si="16"/>
        <v>4.0005334613699206E-2</v>
      </c>
      <c r="AA180" s="87">
        <f t="shared" si="16"/>
        <v>-6.7114345879868038E-3</v>
      </c>
      <c r="AB180" s="87">
        <f t="shared" si="15"/>
        <v>2.6433257068155431E-2</v>
      </c>
      <c r="AC180" s="87">
        <f t="shared" si="15"/>
        <v>-5.8997221271883827E-3</v>
      </c>
      <c r="AD180" s="87">
        <f t="shared" si="15"/>
        <v>1.4285957247476434E-2</v>
      </c>
      <c r="AE180" s="90">
        <f t="shared" si="19"/>
        <v>1.3338479652321295E-2</v>
      </c>
      <c r="AF180" s="89"/>
    </row>
    <row r="181" spans="1:32" ht="15.5" x14ac:dyDescent="0.35">
      <c r="A181" s="82">
        <v>40029</v>
      </c>
      <c r="B181" s="83">
        <v>6569.1</v>
      </c>
      <c r="C181" s="84">
        <v>2011.3</v>
      </c>
      <c r="D181" s="61">
        <v>224.4</v>
      </c>
      <c r="E181" s="61">
        <v>14.4</v>
      </c>
      <c r="F181" s="61">
        <v>23.5</v>
      </c>
      <c r="G181" s="61">
        <v>23.5</v>
      </c>
      <c r="H181" s="61">
        <v>69</v>
      </c>
      <c r="I181" s="61">
        <v>17.399999999999999</v>
      </c>
      <c r="J181" s="61">
        <v>31.7</v>
      </c>
      <c r="K181" s="61">
        <v>30.5</v>
      </c>
      <c r="L181" s="61">
        <v>29.5</v>
      </c>
      <c r="M181" s="61">
        <v>35.1</v>
      </c>
      <c r="N181" s="61">
        <v>34</v>
      </c>
      <c r="O181" s="85">
        <v>14</v>
      </c>
      <c r="P181" s="105"/>
      <c r="Q181" s="87">
        <f t="shared" si="18"/>
        <v>5.3293947830402634E-4</v>
      </c>
      <c r="R181" s="87">
        <f t="shared" si="20"/>
        <v>1.3433171999367543E-3</v>
      </c>
      <c r="S181" s="87">
        <f t="shared" si="20"/>
        <v>1.784121793501392E-3</v>
      </c>
      <c r="T181" s="87">
        <f t="shared" si="20"/>
        <v>6.9686693160932152E-3</v>
      </c>
      <c r="U181" s="87">
        <f t="shared" si="20"/>
        <v>-4.2462908814512078E-3</v>
      </c>
      <c r="V181" s="87">
        <f t="shared" si="16"/>
        <v>0</v>
      </c>
      <c r="W181" s="87">
        <f t="shared" si="16"/>
        <v>1.1661939747842957E-2</v>
      </c>
      <c r="X181" s="87">
        <f t="shared" si="16"/>
        <v>0</v>
      </c>
      <c r="Y181" s="87">
        <f t="shared" si="16"/>
        <v>3.1595602903685179E-3</v>
      </c>
      <c r="Z181" s="87">
        <f t="shared" si="16"/>
        <v>-3.273325344969249E-3</v>
      </c>
      <c r="AA181" s="87">
        <f t="shared" si="16"/>
        <v>-6.7567824628797625E-3</v>
      </c>
      <c r="AB181" s="87">
        <f t="shared" si="15"/>
        <v>1.7241806434506173E-2</v>
      </c>
      <c r="AC181" s="87">
        <f t="shared" si="15"/>
        <v>5.899722127188322E-3</v>
      </c>
      <c r="AD181" s="87">
        <f t="shared" si="15"/>
        <v>-7.1174677688639896E-3</v>
      </c>
      <c r="AE181" s="90">
        <f t="shared" si="19"/>
        <v>-1.1543110463055283E-3</v>
      </c>
      <c r="AF181" s="89"/>
    </row>
    <row r="182" spans="1:32" ht="15.5" x14ac:dyDescent="0.35">
      <c r="A182" s="82">
        <v>40030</v>
      </c>
      <c r="B182" s="83">
        <v>6558.2</v>
      </c>
      <c r="C182" s="84">
        <v>1993.1</v>
      </c>
      <c r="D182" s="61">
        <v>224.2</v>
      </c>
      <c r="E182" s="61">
        <v>14.6</v>
      </c>
      <c r="F182" s="61">
        <v>23.5</v>
      </c>
      <c r="G182" s="61">
        <v>23.8</v>
      </c>
      <c r="H182" s="61">
        <v>69.8</v>
      </c>
      <c r="I182" s="61">
        <v>17.5</v>
      </c>
      <c r="J182" s="61">
        <v>32.1</v>
      </c>
      <c r="K182" s="61">
        <v>30.1</v>
      </c>
      <c r="L182" s="61">
        <v>29.3</v>
      </c>
      <c r="M182" s="61">
        <v>35.700000000000003</v>
      </c>
      <c r="N182" s="61">
        <v>32.799999999999997</v>
      </c>
      <c r="O182" s="85">
        <v>14.2</v>
      </c>
      <c r="P182" s="105"/>
      <c r="Q182" s="87">
        <f t="shared" si="18"/>
        <v>-1.6606617514644862E-3</v>
      </c>
      <c r="R182" s="87">
        <f t="shared" si="20"/>
        <v>-9.0900635904834319E-3</v>
      </c>
      <c r="S182" s="87">
        <f t="shared" si="20"/>
        <v>-8.916630104817922E-4</v>
      </c>
      <c r="T182" s="87">
        <f t="shared" si="20"/>
        <v>1.3793322132335769E-2</v>
      </c>
      <c r="U182" s="87">
        <f t="shared" si="20"/>
        <v>0</v>
      </c>
      <c r="V182" s="87">
        <f t="shared" si="16"/>
        <v>1.2685159527315861E-2</v>
      </c>
      <c r="W182" s="87">
        <f t="shared" si="16"/>
        <v>1.1527505171067414E-2</v>
      </c>
      <c r="X182" s="87">
        <f t="shared" si="16"/>
        <v>5.7306747089850745E-3</v>
      </c>
      <c r="Y182" s="87">
        <f t="shared" ref="Y182:AD233" si="21">+LN(J182/J181)</f>
        <v>1.2539349252735392E-2</v>
      </c>
      <c r="Z182" s="87">
        <f t="shared" si="21"/>
        <v>-1.3201511858535842E-2</v>
      </c>
      <c r="AA182" s="87">
        <f t="shared" si="21"/>
        <v>-6.8027473227525231E-3</v>
      </c>
      <c r="AB182" s="87">
        <f t="shared" si="15"/>
        <v>1.6949558313773205E-2</v>
      </c>
      <c r="AC182" s="87">
        <f t="shared" si="15"/>
        <v>-3.593200922606344E-2</v>
      </c>
      <c r="AD182" s="87">
        <f t="shared" si="15"/>
        <v>1.4184634991956381E-2</v>
      </c>
      <c r="AE182" s="90">
        <f t="shared" si="19"/>
        <v>-1.2616625348028032E-3</v>
      </c>
      <c r="AF182" s="89"/>
    </row>
    <row r="183" spans="1:32" ht="15.5" x14ac:dyDescent="0.35">
      <c r="A183" s="82">
        <v>40031</v>
      </c>
      <c r="B183" s="83">
        <v>6517.7</v>
      </c>
      <c r="C183" s="84">
        <v>1973.2</v>
      </c>
      <c r="D183" s="61">
        <v>224.5</v>
      </c>
      <c r="E183" s="61">
        <v>14.6</v>
      </c>
      <c r="F183" s="61">
        <v>23.3</v>
      </c>
      <c r="G183" s="61">
        <v>23.3</v>
      </c>
      <c r="H183" s="61">
        <v>68.3</v>
      </c>
      <c r="I183" s="61">
        <v>17.399999999999999</v>
      </c>
      <c r="J183" s="61">
        <v>32.4</v>
      </c>
      <c r="K183" s="61">
        <v>30.8</v>
      </c>
      <c r="L183" s="61">
        <v>29.3</v>
      </c>
      <c r="M183" s="61">
        <v>34.799999999999997</v>
      </c>
      <c r="N183" s="61">
        <v>31.6</v>
      </c>
      <c r="O183" s="85">
        <v>14.2</v>
      </c>
      <c r="P183" s="105"/>
      <c r="Q183" s="87">
        <f t="shared" si="18"/>
        <v>-6.1946220925442087E-3</v>
      </c>
      <c r="R183" s="87">
        <f t="shared" si="20"/>
        <v>-1.0034625209108704E-2</v>
      </c>
      <c r="S183" s="87">
        <f t="shared" si="20"/>
        <v>1.3371965442495609E-3</v>
      </c>
      <c r="T183" s="87">
        <f t="shared" si="20"/>
        <v>0</v>
      </c>
      <c r="U183" s="87">
        <f t="shared" si="20"/>
        <v>-8.5470605784584083E-3</v>
      </c>
      <c r="V183" s="87">
        <f t="shared" si="20"/>
        <v>-2.1232220105774167E-2</v>
      </c>
      <c r="W183" s="87">
        <f t="shared" si="20"/>
        <v>-2.1724243191582365E-2</v>
      </c>
      <c r="X183" s="87">
        <f t="shared" si="20"/>
        <v>-5.7306747089850953E-3</v>
      </c>
      <c r="Y183" s="87">
        <f t="shared" si="21"/>
        <v>9.3023926623134103E-3</v>
      </c>
      <c r="Z183" s="87">
        <f t="shared" si="21"/>
        <v>2.2989518224698781E-2</v>
      </c>
      <c r="AA183" s="87">
        <f t="shared" si="21"/>
        <v>0</v>
      </c>
      <c r="AB183" s="87">
        <f t="shared" si="15"/>
        <v>-2.5533302005164876E-2</v>
      </c>
      <c r="AC183" s="87">
        <f t="shared" si="15"/>
        <v>-3.7271394797231537E-2</v>
      </c>
      <c r="AD183" s="87">
        <f t="shared" si="15"/>
        <v>0</v>
      </c>
      <c r="AE183" s="90">
        <f t="shared" si="19"/>
        <v>-5.0603177289954282E-3</v>
      </c>
      <c r="AF183" s="89"/>
    </row>
    <row r="184" spans="1:32" ht="15.5" x14ac:dyDescent="0.35">
      <c r="A184" s="82">
        <v>40032</v>
      </c>
      <c r="B184" s="83">
        <v>6586.7</v>
      </c>
      <c r="C184" s="84">
        <v>2000.3</v>
      </c>
      <c r="D184" s="61">
        <v>227.7</v>
      </c>
      <c r="E184" s="61">
        <v>14.6</v>
      </c>
      <c r="F184" s="61">
        <v>23.5</v>
      </c>
      <c r="G184" s="61">
        <v>23.5</v>
      </c>
      <c r="H184" s="61">
        <v>67.3</v>
      </c>
      <c r="I184" s="61">
        <v>17.5</v>
      </c>
      <c r="J184" s="61">
        <v>32.200000000000003</v>
      </c>
      <c r="K184" s="61">
        <v>31.7</v>
      </c>
      <c r="L184" s="61">
        <v>29.5</v>
      </c>
      <c r="M184" s="61">
        <v>36.1</v>
      </c>
      <c r="N184" s="61">
        <v>31.9</v>
      </c>
      <c r="O184" s="85">
        <v>14.3</v>
      </c>
      <c r="P184" s="105"/>
      <c r="Q184" s="87">
        <f t="shared" si="18"/>
        <v>1.0530911399891181E-2</v>
      </c>
      <c r="R184" s="87">
        <f t="shared" si="20"/>
        <v>1.364057893362409E-2</v>
      </c>
      <c r="S184" s="87">
        <f t="shared" si="20"/>
        <v>1.4153265887385007E-2</v>
      </c>
      <c r="T184" s="87">
        <f t="shared" si="20"/>
        <v>0</v>
      </c>
      <c r="U184" s="87">
        <f t="shared" si="20"/>
        <v>8.5470605784583476E-3</v>
      </c>
      <c r="V184" s="87">
        <f t="shared" si="20"/>
        <v>8.5470605784583476E-3</v>
      </c>
      <c r="W184" s="87">
        <f t="shared" si="20"/>
        <v>-1.4749529926062316E-2</v>
      </c>
      <c r="X184" s="87">
        <f t="shared" si="20"/>
        <v>5.7306747089850745E-3</v>
      </c>
      <c r="Y184" s="87">
        <f t="shared" si="21"/>
        <v>-6.1919702479209951E-3</v>
      </c>
      <c r="Z184" s="87">
        <f t="shared" si="21"/>
        <v>2.8801990903706182E-2</v>
      </c>
      <c r="AA184" s="87">
        <f t="shared" si="21"/>
        <v>6.8027473227523999E-3</v>
      </c>
      <c r="AB184" s="87">
        <f t="shared" si="15"/>
        <v>3.6675478558406777E-2</v>
      </c>
      <c r="AC184" s="87">
        <f t="shared" si="15"/>
        <v>9.4488891979322889E-3</v>
      </c>
      <c r="AD184" s="87">
        <f t="shared" si="15"/>
        <v>7.0175726586465398E-3</v>
      </c>
      <c r="AE184" s="90">
        <f t="shared" si="19"/>
        <v>1.1529225420599301E-2</v>
      </c>
      <c r="AF184" s="89"/>
    </row>
    <row r="185" spans="1:32" ht="15.5" x14ac:dyDescent="0.35">
      <c r="A185" s="82">
        <v>40035</v>
      </c>
      <c r="B185" s="83">
        <v>6550</v>
      </c>
      <c r="C185" s="84">
        <v>1992.2</v>
      </c>
      <c r="D185" s="61">
        <v>227.1</v>
      </c>
      <c r="E185" s="61">
        <v>14.5</v>
      </c>
      <c r="F185" s="61">
        <v>23.4</v>
      </c>
      <c r="G185" s="61">
        <v>23.3</v>
      </c>
      <c r="H185" s="61">
        <v>67.099999999999994</v>
      </c>
      <c r="I185" s="61">
        <v>17.5</v>
      </c>
      <c r="J185" s="61">
        <v>31.9</v>
      </c>
      <c r="K185" s="61">
        <v>32.799999999999997</v>
      </c>
      <c r="L185" s="61">
        <v>30.1</v>
      </c>
      <c r="M185" s="61">
        <v>35.799999999999997</v>
      </c>
      <c r="N185" s="61">
        <v>31.6</v>
      </c>
      <c r="O185" s="85">
        <v>14.2</v>
      </c>
      <c r="P185" s="105"/>
      <c r="Q185" s="87">
        <f t="shared" si="18"/>
        <v>-5.5874147203910087E-3</v>
      </c>
      <c r="R185" s="87">
        <f t="shared" si="20"/>
        <v>-4.057613582141858E-3</v>
      </c>
      <c r="S185" s="87">
        <f t="shared" si="20"/>
        <v>-2.6385239581811718E-3</v>
      </c>
      <c r="T185" s="87">
        <f t="shared" si="20"/>
        <v>-6.8728792877620643E-3</v>
      </c>
      <c r="U185" s="87">
        <f t="shared" si="20"/>
        <v>-4.2643987864575397E-3</v>
      </c>
      <c r="V185" s="87">
        <f t="shared" si="20"/>
        <v>-8.5470605784584083E-3</v>
      </c>
      <c r="W185" s="87">
        <f t="shared" si="20"/>
        <v>-2.9761926730460012E-3</v>
      </c>
      <c r="X185" s="87">
        <f t="shared" si="20"/>
        <v>0</v>
      </c>
      <c r="Y185" s="87">
        <f t="shared" si="21"/>
        <v>-9.3604427595639205E-3</v>
      </c>
      <c r="Z185" s="87">
        <f t="shared" si="21"/>
        <v>3.4111834506863122E-2</v>
      </c>
      <c r="AA185" s="87">
        <f t="shared" si="21"/>
        <v>2.0134908409056025E-2</v>
      </c>
      <c r="AB185" s="87">
        <f t="shared" si="15"/>
        <v>-8.3449719321807576E-3</v>
      </c>
      <c r="AC185" s="87">
        <f t="shared" si="15"/>
        <v>-9.4488891979323964E-3</v>
      </c>
      <c r="AD185" s="87">
        <f t="shared" si="15"/>
        <v>-7.0175726586466465E-3</v>
      </c>
      <c r="AE185" s="90">
        <f t="shared" si="19"/>
        <v>-4.0610605419095711E-3</v>
      </c>
      <c r="AF185" s="89"/>
    </row>
    <row r="186" spans="1:32" ht="15.5" x14ac:dyDescent="0.35">
      <c r="A186" s="82">
        <v>40036</v>
      </c>
      <c r="B186" s="83">
        <v>6463.6</v>
      </c>
      <c r="C186" s="84">
        <v>1969.7</v>
      </c>
      <c r="D186" s="61">
        <v>226.4</v>
      </c>
      <c r="E186" s="61">
        <v>14.3</v>
      </c>
      <c r="F186" s="61">
        <v>23.1</v>
      </c>
      <c r="G186" s="61">
        <v>23.1</v>
      </c>
      <c r="H186" s="61">
        <v>66.400000000000006</v>
      </c>
      <c r="I186" s="61">
        <v>17.5</v>
      </c>
      <c r="J186" s="61">
        <v>31.3</v>
      </c>
      <c r="K186" s="61">
        <v>32.6</v>
      </c>
      <c r="L186" s="61">
        <v>30.1</v>
      </c>
      <c r="M186" s="61">
        <v>34.799999999999997</v>
      </c>
      <c r="N186" s="61">
        <v>31.7</v>
      </c>
      <c r="O186" s="85">
        <v>14</v>
      </c>
      <c r="P186" s="105"/>
      <c r="Q186" s="87">
        <f t="shared" si="18"/>
        <v>-1.3278611531204727E-2</v>
      </c>
      <c r="R186" s="87">
        <f t="shared" si="20"/>
        <v>-1.1358308839416386E-2</v>
      </c>
      <c r="S186" s="87">
        <f t="shared" si="20"/>
        <v>-3.0871027824848373E-3</v>
      </c>
      <c r="T186" s="87">
        <f t="shared" si="20"/>
        <v>-1.3889112160667037E-2</v>
      </c>
      <c r="U186" s="87">
        <f t="shared" si="20"/>
        <v>-1.2903404835907729E-2</v>
      </c>
      <c r="V186" s="87">
        <f t="shared" si="20"/>
        <v>-8.6207430439069754E-3</v>
      </c>
      <c r="W186" s="87">
        <f t="shared" si="20"/>
        <v>-1.0486987495247738E-2</v>
      </c>
      <c r="X186" s="87">
        <f t="shared" si="20"/>
        <v>0</v>
      </c>
      <c r="Y186" s="87">
        <f t="shared" si="21"/>
        <v>-1.8987912244691343E-2</v>
      </c>
      <c r="Z186" s="87">
        <f t="shared" si="21"/>
        <v>-6.1162270174359825E-3</v>
      </c>
      <c r="AA186" s="87">
        <f t="shared" si="21"/>
        <v>0</v>
      </c>
      <c r="AB186" s="87">
        <f t="shared" si="15"/>
        <v>-2.8330506626225996E-2</v>
      </c>
      <c r="AC186" s="87">
        <f t="shared" si="15"/>
        <v>3.1595602903685179E-3</v>
      </c>
      <c r="AD186" s="87">
        <f t="shared" si="15"/>
        <v>-1.4184634991956413E-2</v>
      </c>
      <c r="AE186" s="90">
        <f t="shared" si="19"/>
        <v>-9.722132844695178E-3</v>
      </c>
      <c r="AF186" s="89"/>
    </row>
    <row r="187" spans="1:32" ht="15.5" x14ac:dyDescent="0.35">
      <c r="A187" s="82">
        <v>40037</v>
      </c>
      <c r="B187" s="83">
        <v>6538.9</v>
      </c>
      <c r="C187" s="84">
        <v>1998.7</v>
      </c>
      <c r="D187" s="61">
        <v>227.7</v>
      </c>
      <c r="E187" s="61">
        <v>14.4</v>
      </c>
      <c r="F187" s="61">
        <v>23.2</v>
      </c>
      <c r="G187" s="61">
        <v>23</v>
      </c>
      <c r="H187" s="61">
        <v>65.7</v>
      </c>
      <c r="I187" s="61">
        <v>17.7</v>
      </c>
      <c r="J187" s="61">
        <v>30.8</v>
      </c>
      <c r="K187" s="61">
        <v>32.700000000000003</v>
      </c>
      <c r="L187" s="61">
        <v>30</v>
      </c>
      <c r="M187" s="61">
        <v>34.9</v>
      </c>
      <c r="N187" s="61">
        <v>32.1</v>
      </c>
      <c r="O187" s="85">
        <v>14.1</v>
      </c>
      <c r="P187" s="105"/>
      <c r="Q187" s="87">
        <f t="shared" si="18"/>
        <v>1.1582517488010851E-2</v>
      </c>
      <c r="R187" s="87">
        <f t="shared" si="20"/>
        <v>1.4615722328846982E-2</v>
      </c>
      <c r="S187" s="87">
        <f t="shared" si="20"/>
        <v>5.7256267406658847E-3</v>
      </c>
      <c r="T187" s="87">
        <f t="shared" si="20"/>
        <v>6.9686693160932152E-3</v>
      </c>
      <c r="U187" s="87">
        <f t="shared" si="20"/>
        <v>4.3196611445163796E-3</v>
      </c>
      <c r="V187" s="87">
        <f t="shared" si="20"/>
        <v>-4.3384015985982417E-3</v>
      </c>
      <c r="W187" s="87">
        <f t="shared" si="20"/>
        <v>-1.059813099182336E-2</v>
      </c>
      <c r="X187" s="87">
        <f t="shared" si="20"/>
        <v>1.1363758650315003E-2</v>
      </c>
      <c r="Y187" s="87">
        <f t="shared" si="21"/>
        <v>-1.6103407566578735E-2</v>
      </c>
      <c r="Z187" s="87">
        <f t="shared" si="21"/>
        <v>3.0627895305457308E-3</v>
      </c>
      <c r="AA187" s="87">
        <f t="shared" si="21"/>
        <v>-3.327790092674691E-3</v>
      </c>
      <c r="AB187" s="87">
        <f t="shared" si="15"/>
        <v>2.8694424279529607E-3</v>
      </c>
      <c r="AC187" s="87">
        <f t="shared" si="15"/>
        <v>1.2539349252735392E-2</v>
      </c>
      <c r="AD187" s="87">
        <f t="shared" si="15"/>
        <v>7.1174677688639549E-3</v>
      </c>
      <c r="AE187" s="90">
        <f t="shared" si="19"/>
        <v>8.1575751235474434E-3</v>
      </c>
      <c r="AF187" s="89"/>
    </row>
    <row r="188" spans="1:32" ht="15.5" x14ac:dyDescent="0.35">
      <c r="A188" s="82">
        <v>40038</v>
      </c>
      <c r="B188" s="83">
        <v>6604.1</v>
      </c>
      <c r="C188" s="84">
        <v>2009.3</v>
      </c>
      <c r="D188" s="61">
        <v>229.7</v>
      </c>
      <c r="E188" s="61">
        <v>14.6</v>
      </c>
      <c r="F188" s="61">
        <v>23.8</v>
      </c>
      <c r="G188" s="61">
        <v>23.4</v>
      </c>
      <c r="H188" s="61">
        <v>65.7</v>
      </c>
      <c r="I188" s="61">
        <v>17.899999999999999</v>
      </c>
      <c r="J188" s="61">
        <v>31.8</v>
      </c>
      <c r="K188" s="61">
        <v>31.8</v>
      </c>
      <c r="L188" s="61">
        <v>28.7</v>
      </c>
      <c r="M188" s="61">
        <v>35.799999999999997</v>
      </c>
      <c r="N188" s="61">
        <v>32.700000000000003</v>
      </c>
      <c r="O188" s="85">
        <v>14.2</v>
      </c>
      <c r="P188" s="105"/>
      <c r="Q188" s="87">
        <f t="shared" si="18"/>
        <v>9.921712677247856E-3</v>
      </c>
      <c r="R188" s="87">
        <f t="shared" si="20"/>
        <v>5.2894334900111632E-3</v>
      </c>
      <c r="S188" s="87">
        <f t="shared" si="20"/>
        <v>8.7451366253586318E-3</v>
      </c>
      <c r="T188" s="87">
        <f t="shared" si="20"/>
        <v>1.3793322132335769E-2</v>
      </c>
      <c r="U188" s="87">
        <f t="shared" si="20"/>
        <v>2.5533302005164845E-2</v>
      </c>
      <c r="V188" s="87">
        <f t="shared" si="20"/>
        <v>1.7241806434505954E-2</v>
      </c>
      <c r="W188" s="87">
        <f t="shared" si="20"/>
        <v>0</v>
      </c>
      <c r="X188" s="87">
        <f t="shared" si="20"/>
        <v>1.1236073266925752E-2</v>
      </c>
      <c r="Y188" s="87">
        <f t="shared" si="21"/>
        <v>3.1951599806602428E-2</v>
      </c>
      <c r="Z188" s="87">
        <f t="shared" si="21"/>
        <v>-2.7908788117076616E-2</v>
      </c>
      <c r="AA188" s="87">
        <f t="shared" si="21"/>
        <v>-4.4300258896579951E-2</v>
      </c>
      <c r="AB188" s="87">
        <f t="shared" si="15"/>
        <v>2.5461064198273091E-2</v>
      </c>
      <c r="AC188" s="87">
        <f t="shared" si="15"/>
        <v>1.8519047767237531E-2</v>
      </c>
      <c r="AD188" s="87">
        <f t="shared" si="15"/>
        <v>7.0671672230923528E-3</v>
      </c>
      <c r="AE188" s="90">
        <f t="shared" si="19"/>
        <v>1.2305730485166068E-2</v>
      </c>
      <c r="AF188" s="89"/>
    </row>
    <row r="189" spans="1:32" ht="15.5" x14ac:dyDescent="0.35">
      <c r="A189" s="82">
        <v>40039</v>
      </c>
      <c r="B189" s="83">
        <v>6537.8</v>
      </c>
      <c r="C189" s="84">
        <v>1985.5</v>
      </c>
      <c r="D189" s="61">
        <v>228.7</v>
      </c>
      <c r="E189" s="61">
        <v>14.9</v>
      </c>
      <c r="F189" s="61">
        <v>23.7</v>
      </c>
      <c r="G189" s="61">
        <v>23.5</v>
      </c>
      <c r="H189" s="61">
        <v>64.599999999999994</v>
      </c>
      <c r="I189" s="61">
        <v>17.5</v>
      </c>
      <c r="J189" s="61">
        <v>31.6</v>
      </c>
      <c r="K189" s="61">
        <v>30.9</v>
      </c>
      <c r="L189" s="61">
        <v>30.5</v>
      </c>
      <c r="M189" s="61">
        <v>35.9</v>
      </c>
      <c r="N189" s="61">
        <v>33.5</v>
      </c>
      <c r="O189" s="85">
        <v>14.1</v>
      </c>
      <c r="P189" s="105"/>
      <c r="Q189" s="87">
        <f t="shared" si="18"/>
        <v>-1.0089950841707468E-2</v>
      </c>
      <c r="R189" s="87">
        <f t="shared" si="20"/>
        <v>-1.1915631119201154E-2</v>
      </c>
      <c r="S189" s="87">
        <f t="shared" si="20"/>
        <v>-4.3630086663170899E-3</v>
      </c>
      <c r="T189" s="87">
        <f t="shared" si="20"/>
        <v>2.0339684237122783E-2</v>
      </c>
      <c r="U189" s="87">
        <f t="shared" si="20"/>
        <v>-4.2105325363436053E-3</v>
      </c>
      <c r="V189" s="87">
        <f t="shared" si="20"/>
        <v>4.264398786457518E-3</v>
      </c>
      <c r="W189" s="87">
        <f t="shared" si="20"/>
        <v>-1.6884514702008829E-2</v>
      </c>
      <c r="X189" s="87">
        <f t="shared" si="20"/>
        <v>-2.2599831917240919E-2</v>
      </c>
      <c r="Y189" s="87">
        <f t="shared" si="21"/>
        <v>-6.309169193264721E-3</v>
      </c>
      <c r="Z189" s="87">
        <f t="shared" si="21"/>
        <v>-2.8710105882431482E-2</v>
      </c>
      <c r="AA189" s="87">
        <f t="shared" si="21"/>
        <v>6.0829560847790447E-2</v>
      </c>
      <c r="AB189" s="87">
        <f t="shared" si="15"/>
        <v>2.7894020875785922E-3</v>
      </c>
      <c r="AC189" s="87">
        <f t="shared" si="15"/>
        <v>2.4170360927812971E-2</v>
      </c>
      <c r="AD189" s="87">
        <f t="shared" si="15"/>
        <v>-7.067167223092443E-3</v>
      </c>
      <c r="AE189" s="90">
        <f t="shared" si="19"/>
        <v>-6.9119828055192612E-3</v>
      </c>
      <c r="AF189" s="89"/>
    </row>
    <row r="190" spans="1:32" ht="15.5" x14ac:dyDescent="0.35">
      <c r="A190" s="82">
        <v>40042</v>
      </c>
      <c r="B190" s="83">
        <v>6352.1</v>
      </c>
      <c r="C190" s="84">
        <v>1930.8</v>
      </c>
      <c r="D190" s="61">
        <v>221.8</v>
      </c>
      <c r="E190" s="61">
        <v>14.5</v>
      </c>
      <c r="F190" s="61">
        <v>22.8</v>
      </c>
      <c r="G190" s="61">
        <v>23.2</v>
      </c>
      <c r="H190" s="61">
        <v>64.7</v>
      </c>
      <c r="I190" s="61">
        <v>17</v>
      </c>
      <c r="J190" s="61">
        <v>30.2</v>
      </c>
      <c r="K190" s="61">
        <v>30</v>
      </c>
      <c r="L190" s="61">
        <v>30.5</v>
      </c>
      <c r="M190" s="61">
        <v>34.299999999999997</v>
      </c>
      <c r="N190" s="61">
        <v>33.1</v>
      </c>
      <c r="O190" s="85">
        <v>13.8</v>
      </c>
      <c r="P190" s="105"/>
      <c r="Q190" s="87">
        <f t="shared" si="18"/>
        <v>-2.881525054554554E-2</v>
      </c>
      <c r="R190" s="87">
        <f t="shared" si="20"/>
        <v>-2.7936346784968313E-2</v>
      </c>
      <c r="S190" s="87">
        <f t="shared" si="20"/>
        <v>-3.0635026112468641E-2</v>
      </c>
      <c r="T190" s="87">
        <f t="shared" si="20"/>
        <v>-2.7212563524884815E-2</v>
      </c>
      <c r="U190" s="87">
        <f t="shared" si="20"/>
        <v>-3.8714512180690393E-2</v>
      </c>
      <c r="V190" s="87">
        <f t="shared" si="20"/>
        <v>-1.2848142477849024E-2</v>
      </c>
      <c r="W190" s="87">
        <f t="shared" si="20"/>
        <v>1.5467907182989545E-3</v>
      </c>
      <c r="X190" s="87">
        <f t="shared" si="20"/>
        <v>-2.8987536873252298E-2</v>
      </c>
      <c r="Y190" s="87">
        <f t="shared" si="21"/>
        <v>-4.531519621204249E-2</v>
      </c>
      <c r="Z190" s="87">
        <f t="shared" si="21"/>
        <v>-2.9558802241544391E-2</v>
      </c>
      <c r="AA190" s="87">
        <f t="shared" si="21"/>
        <v>0</v>
      </c>
      <c r="AB190" s="87">
        <f t="shared" si="15"/>
        <v>-4.5591941322338951E-2</v>
      </c>
      <c r="AC190" s="87">
        <f t="shared" si="15"/>
        <v>-1.2012156448003545E-2</v>
      </c>
      <c r="AD190" s="87">
        <f t="shared" si="15"/>
        <v>-2.1506205220963505E-2</v>
      </c>
      <c r="AE190" s="90">
        <f t="shared" si="19"/>
        <v>-3.1026748392852396E-2</v>
      </c>
      <c r="AF190" s="89"/>
    </row>
    <row r="191" spans="1:32" ht="15.5" x14ac:dyDescent="0.35">
      <c r="A191" s="82">
        <v>40043</v>
      </c>
      <c r="B191" s="83">
        <v>6437.1</v>
      </c>
      <c r="C191" s="84">
        <v>1955.9</v>
      </c>
      <c r="D191" s="61">
        <v>221.4</v>
      </c>
      <c r="E191" s="61">
        <v>14.6</v>
      </c>
      <c r="F191" s="61">
        <v>23.1</v>
      </c>
      <c r="G191" s="61">
        <v>23.3</v>
      </c>
      <c r="H191" s="61">
        <v>63.9</v>
      </c>
      <c r="I191" s="61">
        <v>17.100000000000001</v>
      </c>
      <c r="J191" s="61">
        <v>30.3</v>
      </c>
      <c r="K191" s="61">
        <v>30</v>
      </c>
      <c r="L191" s="61">
        <v>30.3</v>
      </c>
      <c r="M191" s="61">
        <v>34.4</v>
      </c>
      <c r="N191" s="61">
        <v>33.5</v>
      </c>
      <c r="O191" s="85">
        <v>13.8</v>
      </c>
      <c r="P191" s="105"/>
      <c r="Q191" s="87">
        <f t="shared" si="18"/>
        <v>1.3292661243046561E-2</v>
      </c>
      <c r="R191" s="87">
        <f t="shared" si="20"/>
        <v>1.2916020757134213E-2</v>
      </c>
      <c r="S191" s="87">
        <f t="shared" si="20"/>
        <v>-1.8050546417301423E-3</v>
      </c>
      <c r="T191" s="87">
        <f t="shared" si="20"/>
        <v>6.8728792877620504E-3</v>
      </c>
      <c r="U191" s="87">
        <f t="shared" si="20"/>
        <v>1.3072081567352701E-2</v>
      </c>
      <c r="V191" s="87">
        <f t="shared" si="20"/>
        <v>4.3010818993907017E-3</v>
      </c>
      <c r="W191" s="87">
        <f t="shared" si="20"/>
        <v>-1.2441840123365832E-2</v>
      </c>
      <c r="X191" s="87">
        <f t="shared" si="20"/>
        <v>5.8651194523980576E-3</v>
      </c>
      <c r="Y191" s="87">
        <f t="shared" si="21"/>
        <v>3.3057881344996315E-3</v>
      </c>
      <c r="Z191" s="87">
        <f t="shared" si="21"/>
        <v>0</v>
      </c>
      <c r="AA191" s="87">
        <f t="shared" si="21"/>
        <v>-6.578971098042511E-3</v>
      </c>
      <c r="AB191" s="87">
        <f t="shared" si="15"/>
        <v>2.9112102074585343E-3</v>
      </c>
      <c r="AC191" s="87">
        <f t="shared" si="15"/>
        <v>1.2012156448003434E-2</v>
      </c>
      <c r="AD191" s="87">
        <f t="shared" si="15"/>
        <v>0</v>
      </c>
      <c r="AE191" s="90">
        <f t="shared" si="19"/>
        <v>7.0809191977559451E-3</v>
      </c>
      <c r="AF191" s="89"/>
    </row>
    <row r="192" spans="1:32" ht="15.5" x14ac:dyDescent="0.35">
      <c r="A192" s="82">
        <v>40044</v>
      </c>
      <c r="B192" s="83">
        <v>6479.3</v>
      </c>
      <c r="C192" s="84">
        <v>1969.2</v>
      </c>
      <c r="D192" s="61">
        <v>219.5</v>
      </c>
      <c r="E192" s="61">
        <v>14.6</v>
      </c>
      <c r="F192" s="61">
        <v>23.2</v>
      </c>
      <c r="G192" s="61">
        <v>23.3</v>
      </c>
      <c r="H192" s="61">
        <v>63.4</v>
      </c>
      <c r="I192" s="61">
        <v>17.3</v>
      </c>
      <c r="J192" s="61">
        <v>30.4</v>
      </c>
      <c r="K192" s="61">
        <v>30.3</v>
      </c>
      <c r="L192" s="61">
        <v>30.5</v>
      </c>
      <c r="M192" s="61">
        <v>34.700000000000003</v>
      </c>
      <c r="N192" s="61">
        <v>33.700000000000003</v>
      </c>
      <c r="O192" s="85">
        <v>13.8</v>
      </c>
      <c r="P192" s="105"/>
      <c r="Q192" s="87">
        <f t="shared" si="18"/>
        <v>6.5343517007300468E-3</v>
      </c>
      <c r="R192" s="87">
        <f t="shared" si="20"/>
        <v>6.7769233405733341E-3</v>
      </c>
      <c r="S192" s="87">
        <f t="shared" si="20"/>
        <v>-8.6187877593105287E-3</v>
      </c>
      <c r="T192" s="87">
        <f t="shared" si="20"/>
        <v>0</v>
      </c>
      <c r="U192" s="87">
        <f t="shared" si="20"/>
        <v>4.3196611445163796E-3</v>
      </c>
      <c r="V192" s="87">
        <f t="shared" si="20"/>
        <v>0</v>
      </c>
      <c r="W192" s="87">
        <f t="shared" si="20"/>
        <v>-7.855499940308883E-3</v>
      </c>
      <c r="X192" s="87">
        <f t="shared" si="20"/>
        <v>1.1628037995118993E-2</v>
      </c>
      <c r="Y192" s="87">
        <f t="shared" si="21"/>
        <v>3.2948958968524846E-3</v>
      </c>
      <c r="Z192" s="87">
        <f t="shared" si="21"/>
        <v>9.950330853168092E-3</v>
      </c>
      <c r="AA192" s="87">
        <f t="shared" si="21"/>
        <v>6.5789710980425605E-3</v>
      </c>
      <c r="AB192" s="87">
        <f t="shared" si="15"/>
        <v>8.6831225734608566E-3</v>
      </c>
      <c r="AC192" s="87">
        <f t="shared" si="15"/>
        <v>5.9523985272953517E-3</v>
      </c>
      <c r="AD192" s="87">
        <f t="shared" si="15"/>
        <v>0</v>
      </c>
      <c r="AE192" s="90">
        <f t="shared" si="19"/>
        <v>7.4325828105068631E-4</v>
      </c>
      <c r="AF192" s="89"/>
    </row>
    <row r="193" spans="1:32" ht="15.5" x14ac:dyDescent="0.35">
      <c r="A193" s="82">
        <v>40045</v>
      </c>
      <c r="B193" s="83">
        <v>6553.4</v>
      </c>
      <c r="C193" s="84">
        <v>1989.2</v>
      </c>
      <c r="D193" s="61">
        <v>225.8</v>
      </c>
      <c r="E193" s="61">
        <v>14.7</v>
      </c>
      <c r="F193" s="61">
        <v>23.5</v>
      </c>
      <c r="G193" s="61">
        <v>23.5</v>
      </c>
      <c r="H193" s="61">
        <v>63.7</v>
      </c>
      <c r="I193" s="61">
        <v>17.7</v>
      </c>
      <c r="J193" s="61">
        <v>32</v>
      </c>
      <c r="K193" s="61">
        <v>30.2</v>
      </c>
      <c r="L193" s="61">
        <v>31</v>
      </c>
      <c r="M193" s="61">
        <v>36.299999999999997</v>
      </c>
      <c r="N193" s="61">
        <v>34.700000000000003</v>
      </c>
      <c r="O193" s="85">
        <v>14.1</v>
      </c>
      <c r="P193" s="105"/>
      <c r="Q193" s="87">
        <f t="shared" si="18"/>
        <v>1.1371519101408208E-2</v>
      </c>
      <c r="R193" s="87">
        <f t="shared" si="20"/>
        <v>1.0105178956538013E-2</v>
      </c>
      <c r="S193" s="87">
        <f t="shared" si="20"/>
        <v>2.8297419200335551E-2</v>
      </c>
      <c r="T193" s="87">
        <f t="shared" si="20"/>
        <v>6.8259650703998906E-3</v>
      </c>
      <c r="U193" s="87">
        <f t="shared" si="20"/>
        <v>1.2848142477849059E-2</v>
      </c>
      <c r="V193" s="87">
        <f t="shared" si="20"/>
        <v>8.5470605784583476E-3</v>
      </c>
      <c r="W193" s="87">
        <f t="shared" si="20"/>
        <v>4.7207011349373936E-3</v>
      </c>
      <c r="X193" s="87">
        <f t="shared" si="20"/>
        <v>2.2858138076050184E-2</v>
      </c>
      <c r="Y193" s="87">
        <f t="shared" si="21"/>
        <v>5.1293294387550481E-2</v>
      </c>
      <c r="Z193" s="87">
        <f t="shared" si="21"/>
        <v>-3.3057881344995439E-3</v>
      </c>
      <c r="AA193" s="87">
        <f t="shared" si="21"/>
        <v>1.6260520871780326E-2</v>
      </c>
      <c r="AB193" s="87">
        <f t="shared" si="15"/>
        <v>4.5078054317991514E-2</v>
      </c>
      <c r="AC193" s="87">
        <f t="shared" si="15"/>
        <v>2.9241849594497386E-2</v>
      </c>
      <c r="AD193" s="87">
        <f t="shared" si="15"/>
        <v>2.1506205220963463E-2</v>
      </c>
      <c r="AE193" s="90">
        <f t="shared" si="19"/>
        <v>1.7601312725543494E-2</v>
      </c>
      <c r="AF193" s="89"/>
    </row>
    <row r="194" spans="1:32" ht="15.5" x14ac:dyDescent="0.35">
      <c r="A194" s="82">
        <v>40046</v>
      </c>
      <c r="B194" s="83">
        <v>6676.3</v>
      </c>
      <c r="C194" s="84">
        <v>2020.9</v>
      </c>
      <c r="D194" s="61">
        <v>231.6</v>
      </c>
      <c r="E194" s="61">
        <v>14.7</v>
      </c>
      <c r="F194" s="61">
        <v>23.8</v>
      </c>
      <c r="G194" s="61">
        <v>23.8</v>
      </c>
      <c r="H194" s="61">
        <v>63.9</v>
      </c>
      <c r="I194" s="61">
        <v>17.8</v>
      </c>
      <c r="J194" s="61">
        <v>32</v>
      </c>
      <c r="K194" s="61">
        <v>30.7</v>
      </c>
      <c r="L194" s="61">
        <v>31.5</v>
      </c>
      <c r="M194" s="61">
        <v>37.700000000000003</v>
      </c>
      <c r="N194" s="61">
        <v>35.700000000000003</v>
      </c>
      <c r="O194" s="85">
        <v>13.8</v>
      </c>
      <c r="P194" s="105"/>
      <c r="Q194" s="87">
        <f t="shared" si="18"/>
        <v>1.8579942938878317E-2</v>
      </c>
      <c r="R194" s="87">
        <f t="shared" si="20"/>
        <v>1.5810408883619183E-2</v>
      </c>
      <c r="S194" s="87">
        <f t="shared" si="20"/>
        <v>2.5362093983278523E-2</v>
      </c>
      <c r="T194" s="87">
        <f t="shared" si="20"/>
        <v>0</v>
      </c>
      <c r="U194" s="87">
        <f t="shared" si="20"/>
        <v>1.2685159527315861E-2</v>
      </c>
      <c r="V194" s="87">
        <f t="shared" si="20"/>
        <v>1.2685159527315861E-2</v>
      </c>
      <c r="W194" s="87">
        <f t="shared" si="20"/>
        <v>3.1347988053714785E-3</v>
      </c>
      <c r="X194" s="87">
        <f t="shared" si="20"/>
        <v>5.6338177182560642E-3</v>
      </c>
      <c r="Y194" s="87">
        <f t="shared" si="21"/>
        <v>0</v>
      </c>
      <c r="Z194" s="87">
        <f t="shared" si="21"/>
        <v>1.642073021232749E-2</v>
      </c>
      <c r="AA194" s="87">
        <f t="shared" si="21"/>
        <v>1.600034134644112E-2</v>
      </c>
      <c r="AB194" s="87">
        <f t="shared" si="15"/>
        <v>3.7842353183160142E-2</v>
      </c>
      <c r="AC194" s="87">
        <f t="shared" si="15"/>
        <v>2.8411001832779944E-2</v>
      </c>
      <c r="AD194" s="87">
        <f t="shared" si="15"/>
        <v>-2.1506205220963505E-2</v>
      </c>
      <c r="AE194" s="90">
        <f t="shared" si="19"/>
        <v>1.3177402045248261E-2</v>
      </c>
      <c r="AF194" s="89"/>
    </row>
    <row r="195" spans="1:32" ht="15.5" x14ac:dyDescent="0.35">
      <c r="A195" s="82">
        <v>40049</v>
      </c>
      <c r="B195" s="83">
        <v>6671.1</v>
      </c>
      <c r="C195" s="84">
        <v>2018</v>
      </c>
      <c r="D195" s="61">
        <v>232.4</v>
      </c>
      <c r="E195" s="61">
        <v>14.8</v>
      </c>
      <c r="F195" s="61">
        <v>24</v>
      </c>
      <c r="G195" s="61">
        <v>24.3</v>
      </c>
      <c r="H195" s="61">
        <v>64.5</v>
      </c>
      <c r="I195" s="61">
        <v>16.8</v>
      </c>
      <c r="J195" s="61">
        <v>32</v>
      </c>
      <c r="K195" s="61">
        <v>30.6</v>
      </c>
      <c r="L195" s="61">
        <v>32.299999999999997</v>
      </c>
      <c r="M195" s="61">
        <v>38.6</v>
      </c>
      <c r="N195" s="61">
        <v>36.6</v>
      </c>
      <c r="O195" s="85">
        <v>13.9</v>
      </c>
      <c r="P195" s="105"/>
      <c r="Q195" s="87">
        <f t="shared" si="18"/>
        <v>-7.7917800666560367E-4</v>
      </c>
      <c r="R195" s="87">
        <f t="shared" si="20"/>
        <v>-1.4360348106484467E-3</v>
      </c>
      <c r="S195" s="87">
        <f t="shared" si="20"/>
        <v>3.4482792789159236E-3</v>
      </c>
      <c r="T195" s="87">
        <f t="shared" si="20"/>
        <v>6.7796869853787691E-3</v>
      </c>
      <c r="U195" s="87">
        <f t="shared" si="20"/>
        <v>8.3682496705165792E-3</v>
      </c>
      <c r="V195" s="87">
        <f t="shared" si="20"/>
        <v>2.0790769669073689E-2</v>
      </c>
      <c r="W195" s="87">
        <f t="shared" si="20"/>
        <v>9.345862418237599E-3</v>
      </c>
      <c r="X195" s="87">
        <f t="shared" si="20"/>
        <v>-5.7819570888826249E-2</v>
      </c>
      <c r="Y195" s="87">
        <f t="shared" si="21"/>
        <v>0</v>
      </c>
      <c r="Z195" s="87">
        <f t="shared" si="21"/>
        <v>-3.2626456348162714E-3</v>
      </c>
      <c r="AA195" s="87">
        <f t="shared" si="21"/>
        <v>2.5079684397023391E-2</v>
      </c>
      <c r="AB195" s="87">
        <f t="shared" si="15"/>
        <v>2.3592182016819979E-2</v>
      </c>
      <c r="AC195" s="87">
        <f t="shared" si="15"/>
        <v>2.4897551621727087E-2</v>
      </c>
      <c r="AD195" s="87">
        <f t="shared" si="15"/>
        <v>7.2202479734870973E-3</v>
      </c>
      <c r="AE195" s="90">
        <f t="shared" si="19"/>
        <v>3.8495006716168694E-3</v>
      </c>
      <c r="AF195" s="89"/>
    </row>
    <row r="196" spans="1:32" ht="15.5" x14ac:dyDescent="0.35">
      <c r="A196" s="82">
        <v>40050</v>
      </c>
      <c r="B196" s="83">
        <v>6697.2</v>
      </c>
      <c r="C196" s="84">
        <v>2024.2</v>
      </c>
      <c r="D196" s="61">
        <v>234.6</v>
      </c>
      <c r="E196" s="61">
        <v>14.9</v>
      </c>
      <c r="F196" s="61">
        <v>24.2</v>
      </c>
      <c r="G196" s="61">
        <v>24.5</v>
      </c>
      <c r="H196" s="61">
        <v>64.900000000000006</v>
      </c>
      <c r="I196" s="61">
        <v>17.2</v>
      </c>
      <c r="J196" s="61">
        <v>31.2</v>
      </c>
      <c r="K196" s="61">
        <v>30.5</v>
      </c>
      <c r="L196" s="61">
        <v>32.5</v>
      </c>
      <c r="M196" s="61">
        <v>38.9</v>
      </c>
      <c r="N196" s="61">
        <v>37.1</v>
      </c>
      <c r="O196" s="85">
        <v>13.8</v>
      </c>
      <c r="P196" s="105"/>
      <c r="Q196" s="87">
        <f t="shared" si="18"/>
        <v>3.9047647288921695E-3</v>
      </c>
      <c r="R196" s="87">
        <f t="shared" si="20"/>
        <v>3.067638841246625E-3</v>
      </c>
      <c r="S196" s="87">
        <f t="shared" si="20"/>
        <v>9.4219112416189469E-3</v>
      </c>
      <c r="T196" s="87">
        <f t="shared" si="20"/>
        <v>6.7340321813441194E-3</v>
      </c>
      <c r="U196" s="87">
        <f t="shared" si="20"/>
        <v>8.2988028146950641E-3</v>
      </c>
      <c r="V196" s="87">
        <f t="shared" si="20"/>
        <v>8.1967672041784907E-3</v>
      </c>
      <c r="W196" s="87">
        <f t="shared" si="20"/>
        <v>6.1823999083175599E-3</v>
      </c>
      <c r="X196" s="87">
        <f t="shared" si="20"/>
        <v>2.3530497410194036E-2</v>
      </c>
      <c r="Y196" s="87">
        <f t="shared" si="21"/>
        <v>-2.5317807984289897E-2</v>
      </c>
      <c r="Z196" s="87">
        <f t="shared" si="21"/>
        <v>-3.273325344969249E-3</v>
      </c>
      <c r="AA196" s="87">
        <f t="shared" si="21"/>
        <v>6.1728591070810161E-3</v>
      </c>
      <c r="AB196" s="87">
        <f t="shared" si="15"/>
        <v>7.7419741536154593E-3</v>
      </c>
      <c r="AC196" s="87">
        <f t="shared" si="15"/>
        <v>1.3568729206068796E-2</v>
      </c>
      <c r="AD196" s="87">
        <f t="shared" si="15"/>
        <v>-7.2202479734870201E-3</v>
      </c>
      <c r="AE196" s="90">
        <f t="shared" si="19"/>
        <v>5.173261902163627E-3</v>
      </c>
      <c r="AF196" s="89"/>
    </row>
    <row r="197" spans="1:32" ht="15.5" x14ac:dyDescent="0.35">
      <c r="A197" s="82">
        <v>40051</v>
      </c>
      <c r="B197" s="83">
        <v>6687.9</v>
      </c>
      <c r="C197" s="84">
        <v>2024.4</v>
      </c>
      <c r="D197" s="61">
        <v>233.6</v>
      </c>
      <c r="E197" s="61">
        <v>14.9</v>
      </c>
      <c r="F197" s="61">
        <v>23.8</v>
      </c>
      <c r="G197" s="61">
        <v>24.4</v>
      </c>
      <c r="H197" s="61">
        <v>65.7</v>
      </c>
      <c r="I197" s="61">
        <v>16.7</v>
      </c>
      <c r="J197" s="61">
        <v>30.8</v>
      </c>
      <c r="K197" s="61">
        <v>30.4</v>
      </c>
      <c r="L197" s="61">
        <v>32.5</v>
      </c>
      <c r="M197" s="61">
        <v>37.799999999999997</v>
      </c>
      <c r="N197" s="61">
        <v>37.5</v>
      </c>
      <c r="O197" s="85">
        <v>13.7</v>
      </c>
      <c r="P197" s="105"/>
      <c r="Q197" s="87">
        <f t="shared" si="18"/>
        <v>-1.3896050827452277E-3</v>
      </c>
      <c r="R197" s="87">
        <f t="shared" si="20"/>
        <v>9.8799585122026583E-5</v>
      </c>
      <c r="S197" s="87">
        <f t="shared" si="20"/>
        <v>-4.2716852653030954E-3</v>
      </c>
      <c r="T197" s="87">
        <f t="shared" si="20"/>
        <v>0</v>
      </c>
      <c r="U197" s="87">
        <f t="shared" si="20"/>
        <v>-1.6667052485211647E-2</v>
      </c>
      <c r="V197" s="87">
        <f t="shared" si="20"/>
        <v>-4.0899852515251661E-3</v>
      </c>
      <c r="W197" s="87">
        <f t="shared" si="20"/>
        <v>1.2251301780520365E-2</v>
      </c>
      <c r="X197" s="87">
        <f t="shared" si="20"/>
        <v>-2.950066439669799E-2</v>
      </c>
      <c r="Y197" s="87">
        <f t="shared" si="21"/>
        <v>-1.2903404835907841E-2</v>
      </c>
      <c r="Z197" s="87">
        <f t="shared" si="21"/>
        <v>-3.2840752011899961E-3</v>
      </c>
      <c r="AA197" s="87">
        <f t="shared" si="21"/>
        <v>0</v>
      </c>
      <c r="AB197" s="87">
        <f t="shared" si="15"/>
        <v>-2.8685147998858664E-2</v>
      </c>
      <c r="AC197" s="87">
        <f t="shared" si="15"/>
        <v>1.0723963362975642E-2</v>
      </c>
      <c r="AD197" s="87">
        <f t="shared" si="15"/>
        <v>-7.2727593290799206E-3</v>
      </c>
      <c r="AE197" s="90">
        <f t="shared" si="19"/>
        <v>-6.8707322337168879E-3</v>
      </c>
      <c r="AF197" s="89"/>
    </row>
    <row r="198" spans="1:32" ht="15.5" x14ac:dyDescent="0.35">
      <c r="A198" s="82">
        <v>40052</v>
      </c>
      <c r="B198" s="83">
        <v>6722.3</v>
      </c>
      <c r="C198" s="84">
        <v>2027.7</v>
      </c>
      <c r="D198" s="61">
        <v>230.6</v>
      </c>
      <c r="E198" s="61">
        <v>14.7</v>
      </c>
      <c r="F198" s="61">
        <v>23.6</v>
      </c>
      <c r="G198" s="61">
        <v>24.3</v>
      </c>
      <c r="H198" s="61">
        <v>65.599999999999994</v>
      </c>
      <c r="I198" s="61">
        <v>16.399999999999999</v>
      </c>
      <c r="J198" s="61">
        <v>30.5</v>
      </c>
      <c r="K198" s="61">
        <v>30.1</v>
      </c>
      <c r="L198" s="61">
        <v>32.200000000000003</v>
      </c>
      <c r="M198" s="61">
        <v>37</v>
      </c>
      <c r="N198" s="61">
        <v>36.700000000000003</v>
      </c>
      <c r="O198" s="85">
        <v>13.7</v>
      </c>
      <c r="P198" s="105"/>
      <c r="Q198" s="87">
        <f t="shared" si="18"/>
        <v>5.1304343640697376E-3</v>
      </c>
      <c r="R198" s="87">
        <f t="shared" si="20"/>
        <v>1.6287854344952018E-3</v>
      </c>
      <c r="S198" s="87">
        <f t="shared" si="20"/>
        <v>-1.2925643119113308E-2</v>
      </c>
      <c r="T198" s="87">
        <f t="shared" si="20"/>
        <v>-1.3513719166722933E-2</v>
      </c>
      <c r="U198" s="87">
        <f t="shared" si="20"/>
        <v>-8.4388686458645949E-3</v>
      </c>
      <c r="V198" s="87">
        <f t="shared" si="20"/>
        <v>-4.1067819526533593E-3</v>
      </c>
      <c r="W198" s="87">
        <f t="shared" si="20"/>
        <v>-1.5232295405216371E-3</v>
      </c>
      <c r="X198" s="87">
        <f t="shared" si="20"/>
        <v>-1.8127384592556715E-2</v>
      </c>
      <c r="Y198" s="87">
        <f t="shared" si="21"/>
        <v>-9.7880063661628207E-3</v>
      </c>
      <c r="Z198" s="87">
        <f t="shared" si="21"/>
        <v>-9.9174366573459155E-3</v>
      </c>
      <c r="AA198" s="87">
        <f t="shared" si="21"/>
        <v>-9.2736367853291021E-3</v>
      </c>
      <c r="AB198" s="87">
        <f t="shared" si="15"/>
        <v>-2.1391189981317445E-2</v>
      </c>
      <c r="AC198" s="87">
        <f t="shared" si="15"/>
        <v>-2.1564177915840411E-2</v>
      </c>
      <c r="AD198" s="87">
        <f t="shared" si="15"/>
        <v>0</v>
      </c>
      <c r="AE198" s="90">
        <f t="shared" si="19"/>
        <v>-5.708942228510613E-3</v>
      </c>
      <c r="AF198" s="89"/>
    </row>
    <row r="199" spans="1:32" ht="15.5" x14ac:dyDescent="0.35">
      <c r="A199" s="82">
        <v>40053</v>
      </c>
      <c r="B199" s="83">
        <v>6709</v>
      </c>
      <c r="C199" s="84">
        <v>2028.8</v>
      </c>
      <c r="D199" s="61">
        <v>231.9</v>
      </c>
      <c r="E199" s="61">
        <v>14.8</v>
      </c>
      <c r="F199" s="61">
        <v>24.1</v>
      </c>
      <c r="G199" s="61">
        <v>24.6</v>
      </c>
      <c r="H199" s="61">
        <v>66.900000000000006</v>
      </c>
      <c r="I199" s="61">
        <v>16</v>
      </c>
      <c r="J199" s="61">
        <v>30</v>
      </c>
      <c r="K199" s="61">
        <v>30.9</v>
      </c>
      <c r="L199" s="61">
        <v>32.1</v>
      </c>
      <c r="M199" s="61">
        <v>37.700000000000003</v>
      </c>
      <c r="N199" s="61">
        <v>36.9</v>
      </c>
      <c r="O199" s="85">
        <v>14</v>
      </c>
      <c r="P199" s="105"/>
      <c r="Q199" s="87">
        <f t="shared" si="18"/>
        <v>-1.9804493008245458E-3</v>
      </c>
      <c r="R199" s="87">
        <f t="shared" si="20"/>
        <v>5.4233946848859945E-4</v>
      </c>
      <c r="S199" s="87">
        <f t="shared" si="20"/>
        <v>5.6216364265273796E-3</v>
      </c>
      <c r="T199" s="87">
        <f t="shared" si="20"/>
        <v>6.7796869853787691E-3</v>
      </c>
      <c r="U199" s="87">
        <f t="shared" si="20"/>
        <v>2.096512846504487E-2</v>
      </c>
      <c r="V199" s="87">
        <f t="shared" si="20"/>
        <v>1.2270092591814401E-2</v>
      </c>
      <c r="W199" s="87">
        <f t="shared" si="20"/>
        <v>1.962327118413959E-2</v>
      </c>
      <c r="X199" s="87">
        <f t="shared" si="20"/>
        <v>-2.4692612590371411E-2</v>
      </c>
      <c r="Y199" s="87">
        <f t="shared" si="21"/>
        <v>-1.6529301951210582E-2</v>
      </c>
      <c r="Z199" s="87">
        <f t="shared" si="21"/>
        <v>2.6231012148869685E-2</v>
      </c>
      <c r="AA199" s="87">
        <f t="shared" si="21"/>
        <v>-3.1104224143925024E-3</v>
      </c>
      <c r="AB199" s="87">
        <f t="shared" si="15"/>
        <v>1.8742181809740664E-2</v>
      </c>
      <c r="AC199" s="87">
        <f t="shared" si="15"/>
        <v>5.4347959859567746E-3</v>
      </c>
      <c r="AD199" s="87">
        <f t="shared" si="15"/>
        <v>2.1661496781179467E-2</v>
      </c>
      <c r="AE199" s="90">
        <f t="shared" si="19"/>
        <v>1.0436043292145813E-2</v>
      </c>
      <c r="AF199" s="89"/>
    </row>
    <row r="200" spans="1:32" ht="15.5" x14ac:dyDescent="0.35">
      <c r="A200" s="82">
        <v>40056</v>
      </c>
      <c r="B200" s="83">
        <v>6643.2</v>
      </c>
      <c r="C200" s="84">
        <v>2009.1</v>
      </c>
      <c r="D200" s="61">
        <v>229.2</v>
      </c>
      <c r="E200" s="61">
        <v>14.6</v>
      </c>
      <c r="F200" s="61">
        <v>23.8</v>
      </c>
      <c r="G200" s="61">
        <v>24.3</v>
      </c>
      <c r="H200" s="61">
        <v>64.599999999999994</v>
      </c>
      <c r="I200" s="61">
        <v>15.9</v>
      </c>
      <c r="J200" s="61">
        <v>29.3</v>
      </c>
      <c r="K200" s="61">
        <v>29.8</v>
      </c>
      <c r="L200" s="61">
        <v>32.200000000000003</v>
      </c>
      <c r="M200" s="61">
        <v>37.299999999999997</v>
      </c>
      <c r="N200" s="61">
        <v>36.5</v>
      </c>
      <c r="O200" s="85">
        <v>13.8</v>
      </c>
      <c r="P200" s="105"/>
      <c r="Q200" s="87">
        <f t="shared" si="18"/>
        <v>-9.8561334714279587E-3</v>
      </c>
      <c r="R200" s="87">
        <f t="shared" si="20"/>
        <v>-9.7576246587926258E-3</v>
      </c>
      <c r="S200" s="87">
        <f t="shared" si="20"/>
        <v>-1.1711259420901515E-2</v>
      </c>
      <c r="T200" s="87">
        <f t="shared" si="20"/>
        <v>-1.3605652055778709E-2</v>
      </c>
      <c r="U200" s="87">
        <f t="shared" si="20"/>
        <v>-1.2526259819180369E-2</v>
      </c>
      <c r="V200" s="87">
        <f t="shared" si="20"/>
        <v>-1.2270092591814359E-2</v>
      </c>
      <c r="W200" s="87">
        <f t="shared" si="20"/>
        <v>-3.4984556345626742E-2</v>
      </c>
      <c r="X200" s="87">
        <f t="shared" si="20"/>
        <v>-6.2696130135953742E-3</v>
      </c>
      <c r="Y200" s="87">
        <f t="shared" si="21"/>
        <v>-2.3609865639133736E-2</v>
      </c>
      <c r="Z200" s="87">
        <f t="shared" si="21"/>
        <v>-3.6247790392340919E-2</v>
      </c>
      <c r="AA200" s="87">
        <f t="shared" si="21"/>
        <v>3.1104224143925518E-3</v>
      </c>
      <c r="AB200" s="87">
        <f t="shared" si="15"/>
        <v>-1.0666767804195416E-2</v>
      </c>
      <c r="AC200" s="87">
        <f t="shared" si="15"/>
        <v>-1.0899290458035631E-2</v>
      </c>
      <c r="AD200" s="87">
        <f t="shared" si="15"/>
        <v>-1.4388737452099556E-2</v>
      </c>
      <c r="AE200" s="90">
        <f t="shared" si="19"/>
        <v>-1.1684143427668617E-2</v>
      </c>
      <c r="AF200" s="89"/>
    </row>
    <row r="201" spans="1:32" ht="15.5" x14ac:dyDescent="0.35">
      <c r="A201" s="82">
        <v>40057</v>
      </c>
      <c r="B201" s="83">
        <v>6487.8</v>
      </c>
      <c r="C201" s="84">
        <v>1968.9</v>
      </c>
      <c r="D201" s="61">
        <v>227.4</v>
      </c>
      <c r="E201" s="61">
        <v>14.2</v>
      </c>
      <c r="F201" s="61">
        <v>23.6</v>
      </c>
      <c r="G201" s="61">
        <v>23.9</v>
      </c>
      <c r="H201" s="61">
        <v>63.1</v>
      </c>
      <c r="I201" s="61">
        <v>15.7</v>
      </c>
      <c r="J201" s="61">
        <v>28.9</v>
      </c>
      <c r="K201" s="61">
        <v>29.4</v>
      </c>
      <c r="L201" s="61">
        <v>31.7</v>
      </c>
      <c r="M201" s="61">
        <v>34.9</v>
      </c>
      <c r="N201" s="61">
        <v>36</v>
      </c>
      <c r="O201" s="85">
        <v>13.5</v>
      </c>
      <c r="P201" s="105"/>
      <c r="Q201" s="87">
        <f t="shared" si="18"/>
        <v>-2.3670284911913673E-2</v>
      </c>
      <c r="R201" s="87">
        <f t="shared" si="20"/>
        <v>-2.0211849436327384E-2</v>
      </c>
      <c r="S201" s="87">
        <f t="shared" si="20"/>
        <v>-7.884403524148759E-3</v>
      </c>
      <c r="T201" s="87">
        <f t="shared" si="20"/>
        <v>-2.7779564107075706E-2</v>
      </c>
      <c r="U201" s="87">
        <f t="shared" si="20"/>
        <v>-8.4388686458645949E-3</v>
      </c>
      <c r="V201" s="87">
        <f t="shared" si="20"/>
        <v>-1.6597891409037828E-2</v>
      </c>
      <c r="W201" s="87">
        <f t="shared" si="20"/>
        <v>-2.3493641241388627E-2</v>
      </c>
      <c r="X201" s="87">
        <f t="shared" si="20"/>
        <v>-1.2658396871923577E-2</v>
      </c>
      <c r="Y201" s="87">
        <f t="shared" si="21"/>
        <v>-1.3745920904635238E-2</v>
      </c>
      <c r="Z201" s="87">
        <f t="shared" si="21"/>
        <v>-1.3513719166722933E-2</v>
      </c>
      <c r="AA201" s="87">
        <f t="shared" si="21"/>
        <v>-1.5649771667127776E-2</v>
      </c>
      <c r="AB201" s="87">
        <f t="shared" si="21"/>
        <v>-6.6506497441388299E-2</v>
      </c>
      <c r="AC201" s="87">
        <f t="shared" si="21"/>
        <v>-1.3793322132335873E-2</v>
      </c>
      <c r="AD201" s="87">
        <f t="shared" si="21"/>
        <v>-2.1978906718775341E-2</v>
      </c>
      <c r="AE201" s="90">
        <f t="shared" si="19"/>
        <v>-1.3451242295142657E-2</v>
      </c>
      <c r="AF201" s="89"/>
    </row>
    <row r="202" spans="1:32" ht="15.5" x14ac:dyDescent="0.35">
      <c r="A202" s="82">
        <v>40058</v>
      </c>
      <c r="B202" s="83">
        <v>6474.8</v>
      </c>
      <c r="C202" s="84">
        <v>1967.1</v>
      </c>
      <c r="D202" s="61">
        <v>226.5</v>
      </c>
      <c r="E202" s="61">
        <v>14</v>
      </c>
      <c r="F202" s="61">
        <v>23.4</v>
      </c>
      <c r="G202" s="61">
        <v>23.8</v>
      </c>
      <c r="H202" s="61">
        <v>63.4</v>
      </c>
      <c r="I202" s="61">
        <v>15.5</v>
      </c>
      <c r="J202" s="61">
        <v>28.6</v>
      </c>
      <c r="K202" s="61">
        <v>29.4</v>
      </c>
      <c r="L202" s="61">
        <v>30.8</v>
      </c>
      <c r="M202" s="61">
        <v>34.6</v>
      </c>
      <c r="N202" s="61">
        <v>35.799999999999997</v>
      </c>
      <c r="O202" s="85">
        <v>13.3</v>
      </c>
      <c r="P202" s="105"/>
      <c r="Q202" s="87">
        <f t="shared" si="18"/>
        <v>-2.0057711197409697E-3</v>
      </c>
      <c r="R202" s="87">
        <f t="shared" si="20"/>
        <v>-9.1463421010340657E-4</v>
      </c>
      <c r="S202" s="87">
        <f t="shared" si="20"/>
        <v>-3.9656363933469538E-3</v>
      </c>
      <c r="T202" s="87">
        <f t="shared" si="20"/>
        <v>-1.4184634991956413E-2</v>
      </c>
      <c r="U202" s="87">
        <f t="shared" si="20"/>
        <v>-8.5106896679087302E-3</v>
      </c>
      <c r="V202" s="87">
        <f t="shared" si="20"/>
        <v>-4.1928782600359274E-3</v>
      </c>
      <c r="W202" s="87">
        <f t="shared" si="20"/>
        <v>4.7430918960126318E-3</v>
      </c>
      <c r="X202" s="87">
        <f t="shared" si="20"/>
        <v>-1.2820688429061434E-2</v>
      </c>
      <c r="Y202" s="87">
        <f t="shared" si="21"/>
        <v>-1.0434877292579508E-2</v>
      </c>
      <c r="Z202" s="87">
        <f t="shared" si="21"/>
        <v>0</v>
      </c>
      <c r="AA202" s="87">
        <f t="shared" si="21"/>
        <v>-2.8801990903706078E-2</v>
      </c>
      <c r="AB202" s="87">
        <f t="shared" si="21"/>
        <v>-8.6331471447027783E-3</v>
      </c>
      <c r="AC202" s="87">
        <f t="shared" si="21"/>
        <v>-5.571045049455472E-3</v>
      </c>
      <c r="AD202" s="87">
        <f t="shared" si="21"/>
        <v>-1.4925650216675593E-2</v>
      </c>
      <c r="AE202" s="90">
        <f t="shared" si="19"/>
        <v>-5.6828811770891496E-3</v>
      </c>
      <c r="AF202" s="89"/>
    </row>
    <row r="203" spans="1:32" ht="15.5" x14ac:dyDescent="0.35">
      <c r="A203" s="82">
        <v>40059</v>
      </c>
      <c r="B203" s="83">
        <v>6546.6</v>
      </c>
      <c r="C203" s="84">
        <v>1983.2</v>
      </c>
      <c r="D203" s="61">
        <v>227.7</v>
      </c>
      <c r="E203" s="61">
        <v>14.2</v>
      </c>
      <c r="F203" s="61">
        <v>23.6</v>
      </c>
      <c r="G203" s="61">
        <v>23.8</v>
      </c>
      <c r="H203" s="61">
        <v>63.7</v>
      </c>
      <c r="I203" s="61">
        <v>15.7</v>
      </c>
      <c r="J203" s="61">
        <v>29.4</v>
      </c>
      <c r="K203" s="61">
        <v>28.7</v>
      </c>
      <c r="L203" s="61">
        <v>29.9</v>
      </c>
      <c r="M203" s="61">
        <v>35.1</v>
      </c>
      <c r="N203" s="61">
        <v>35.4</v>
      </c>
      <c r="O203" s="85">
        <v>13.3</v>
      </c>
      <c r="P203" s="105"/>
      <c r="Q203" s="87">
        <f t="shared" si="18"/>
        <v>1.1028111829302592E-2</v>
      </c>
      <c r="R203" s="87">
        <f t="shared" si="20"/>
        <v>8.1513247832974024E-3</v>
      </c>
      <c r="S203" s="87">
        <f t="shared" si="20"/>
        <v>5.2840281466052059E-3</v>
      </c>
      <c r="T203" s="87">
        <f t="shared" si="20"/>
        <v>1.4184634991956381E-2</v>
      </c>
      <c r="U203" s="87">
        <f t="shared" si="20"/>
        <v>8.5106896679088308E-3</v>
      </c>
      <c r="V203" s="87">
        <f t="shared" si="20"/>
        <v>0</v>
      </c>
      <c r="W203" s="87">
        <f t="shared" si="20"/>
        <v>4.7207011349373936E-3</v>
      </c>
      <c r="X203" s="87">
        <f t="shared" si="20"/>
        <v>1.2820688429061469E-2</v>
      </c>
      <c r="Y203" s="87">
        <f t="shared" si="21"/>
        <v>2.7587956518828963E-2</v>
      </c>
      <c r="Z203" s="87">
        <f t="shared" si="21"/>
        <v>-2.409755157906053E-2</v>
      </c>
      <c r="AA203" s="87">
        <f t="shared" si="21"/>
        <v>-2.9656209582888081E-2</v>
      </c>
      <c r="AB203" s="87">
        <f t="shared" si="21"/>
        <v>1.4347448408141575E-2</v>
      </c>
      <c r="AC203" s="87">
        <f t="shared" si="21"/>
        <v>-1.1236073266925842E-2</v>
      </c>
      <c r="AD203" s="87">
        <f t="shared" si="21"/>
        <v>0</v>
      </c>
      <c r="AE203" s="90">
        <f t="shared" si="19"/>
        <v>6.4238597774922039E-3</v>
      </c>
      <c r="AF203" s="89"/>
    </row>
    <row r="204" spans="1:32" ht="15.5" x14ac:dyDescent="0.35">
      <c r="A204" s="82">
        <v>40060</v>
      </c>
      <c r="B204" s="83">
        <v>6637.1</v>
      </c>
      <c r="C204" s="84">
        <v>2018.8</v>
      </c>
      <c r="D204" s="61">
        <v>228.1</v>
      </c>
      <c r="E204" s="61">
        <v>14.2</v>
      </c>
      <c r="F204" s="61">
        <v>23.9</v>
      </c>
      <c r="G204" s="61">
        <v>24.1</v>
      </c>
      <c r="H204" s="61">
        <v>64.5</v>
      </c>
      <c r="I204" s="61">
        <v>15.7</v>
      </c>
      <c r="J204" s="61">
        <v>29.5</v>
      </c>
      <c r="K204" s="61">
        <v>29.6</v>
      </c>
      <c r="L204" s="61">
        <v>30.2</v>
      </c>
      <c r="M204" s="61">
        <v>35.799999999999997</v>
      </c>
      <c r="N204" s="61">
        <v>37.1</v>
      </c>
      <c r="O204" s="85">
        <v>13.4</v>
      </c>
      <c r="P204" s="105"/>
      <c r="Q204" s="87">
        <f t="shared" si="18"/>
        <v>1.3729290191675328E-2</v>
      </c>
      <c r="R204" s="87">
        <f t="shared" si="20"/>
        <v>1.7791573745126587E-2</v>
      </c>
      <c r="S204" s="87">
        <f t="shared" si="20"/>
        <v>1.7551562206485015E-3</v>
      </c>
      <c r="T204" s="87">
        <f t="shared" si="20"/>
        <v>0</v>
      </c>
      <c r="U204" s="87">
        <f t="shared" si="20"/>
        <v>1.2631746905900564E-2</v>
      </c>
      <c r="V204" s="87">
        <f t="shared" si="20"/>
        <v>1.2526259819180256E-2</v>
      </c>
      <c r="W204" s="87">
        <f t="shared" si="20"/>
        <v>1.2480661223609005E-2</v>
      </c>
      <c r="X204" s="87">
        <f t="shared" si="20"/>
        <v>0</v>
      </c>
      <c r="Y204" s="87">
        <f t="shared" si="21"/>
        <v>3.3955890011383287E-3</v>
      </c>
      <c r="Z204" s="87">
        <f t="shared" si="21"/>
        <v>3.0877238564439229E-2</v>
      </c>
      <c r="AA204" s="87">
        <f t="shared" si="21"/>
        <v>9.9834439841832052E-3</v>
      </c>
      <c r="AB204" s="87">
        <f t="shared" si="21"/>
        <v>1.974676293483428E-2</v>
      </c>
      <c r="AC204" s="87">
        <f t="shared" si="21"/>
        <v>4.6905149473660847E-2</v>
      </c>
      <c r="AD204" s="87">
        <f t="shared" si="21"/>
        <v>7.4906717291576587E-3</v>
      </c>
      <c r="AE204" s="90">
        <f t="shared" si="19"/>
        <v>1.0369230842192939E-2</v>
      </c>
      <c r="AF204" s="89"/>
    </row>
    <row r="205" spans="1:32" ht="15.5" x14ac:dyDescent="0.35">
      <c r="A205" s="82">
        <v>40064</v>
      </c>
      <c r="B205" s="83">
        <v>6726.1</v>
      </c>
      <c r="C205" s="84">
        <v>2037.8</v>
      </c>
      <c r="D205" s="61">
        <v>228.2</v>
      </c>
      <c r="E205" s="61">
        <v>14.4</v>
      </c>
      <c r="F205" s="61">
        <v>24.6</v>
      </c>
      <c r="G205" s="61">
        <v>24.4</v>
      </c>
      <c r="H205" s="61">
        <v>64.3</v>
      </c>
      <c r="I205" s="61">
        <v>16.5</v>
      </c>
      <c r="J205" s="61">
        <v>30.5</v>
      </c>
      <c r="K205" s="61">
        <v>30.2</v>
      </c>
      <c r="L205" s="61">
        <v>30.3</v>
      </c>
      <c r="M205" s="61">
        <v>37.200000000000003</v>
      </c>
      <c r="N205" s="61">
        <v>38.200000000000003</v>
      </c>
      <c r="O205" s="85">
        <v>13.6</v>
      </c>
      <c r="P205" s="105"/>
      <c r="Q205" s="87">
        <f t="shared" si="18"/>
        <v>1.33203597865775E-2</v>
      </c>
      <c r="R205" s="87">
        <f t="shared" si="20"/>
        <v>9.3675190740776029E-3</v>
      </c>
      <c r="S205" s="87">
        <f t="shared" si="20"/>
        <v>4.3830813763297955E-4</v>
      </c>
      <c r="T205" s="87">
        <f t="shared" si="20"/>
        <v>1.398624197473987E-2</v>
      </c>
      <c r="U205" s="87">
        <f t="shared" si="20"/>
        <v>2.8867984000852265E-2</v>
      </c>
      <c r="V205" s="87">
        <f t="shared" si="20"/>
        <v>1.2371291802546829E-2</v>
      </c>
      <c r="W205" s="87">
        <f t="shared" si="20"/>
        <v>-3.10559255815313E-3</v>
      </c>
      <c r="X205" s="87">
        <f t="shared" si="20"/>
        <v>4.9699668552272543E-2</v>
      </c>
      <c r="Y205" s="87">
        <f t="shared" si="21"/>
        <v>3.3336420267591711E-2</v>
      </c>
      <c r="Z205" s="87">
        <f t="shared" si="21"/>
        <v>2.0067563050809173E-2</v>
      </c>
      <c r="AA205" s="87">
        <f t="shared" si="21"/>
        <v>3.3057881344996315E-3</v>
      </c>
      <c r="AB205" s="87">
        <f t="shared" si="21"/>
        <v>3.8360867872446372E-2</v>
      </c>
      <c r="AC205" s="87">
        <f t="shared" si="21"/>
        <v>2.9218545999140005E-2</v>
      </c>
      <c r="AD205" s="87">
        <f t="shared" si="21"/>
        <v>1.4815085785140682E-2</v>
      </c>
      <c r="AE205" s="90">
        <f t="shared" si="19"/>
        <v>1.2991448785869447E-2</v>
      </c>
      <c r="AF205" s="89"/>
    </row>
    <row r="206" spans="1:32" ht="15.5" x14ac:dyDescent="0.35">
      <c r="A206" s="82">
        <v>40065</v>
      </c>
      <c r="B206" s="83">
        <v>6772.4</v>
      </c>
      <c r="C206" s="84">
        <v>2060.4</v>
      </c>
      <c r="D206" s="61">
        <v>229.6</v>
      </c>
      <c r="E206" s="61">
        <v>14.4</v>
      </c>
      <c r="F206" s="61">
        <v>24.2</v>
      </c>
      <c r="G206" s="61">
        <v>24.7</v>
      </c>
      <c r="H206" s="61">
        <v>65</v>
      </c>
      <c r="I206" s="61">
        <v>16.399999999999999</v>
      </c>
      <c r="J206" s="61">
        <v>30</v>
      </c>
      <c r="K206" s="61">
        <v>30.1</v>
      </c>
      <c r="L206" s="61">
        <v>30.9</v>
      </c>
      <c r="M206" s="61">
        <v>37.4</v>
      </c>
      <c r="N206" s="61">
        <v>39.299999999999997</v>
      </c>
      <c r="O206" s="85">
        <v>13.6</v>
      </c>
      <c r="P206" s="105"/>
      <c r="Q206" s="87">
        <f t="shared" ref="Q206:Q269" si="22">+LN(B206/B205)</f>
        <v>6.8600483867157797E-3</v>
      </c>
      <c r="R206" s="87">
        <f t="shared" si="20"/>
        <v>1.1029344151245202E-2</v>
      </c>
      <c r="S206" s="87">
        <f t="shared" si="20"/>
        <v>6.1162270174360536E-3</v>
      </c>
      <c r="T206" s="87">
        <f t="shared" si="20"/>
        <v>0</v>
      </c>
      <c r="U206" s="87">
        <f t="shared" si="20"/>
        <v>-1.6393809775676497E-2</v>
      </c>
      <c r="V206" s="87">
        <f t="shared" si="20"/>
        <v>1.2220111334775397E-2</v>
      </c>
      <c r="W206" s="87">
        <f t="shared" ref="W206:AD258" si="23">+LN(H206/H205)</f>
        <v>1.0827638652063393E-2</v>
      </c>
      <c r="X206" s="87">
        <f t="shared" si="23"/>
        <v>-6.0790460763822263E-3</v>
      </c>
      <c r="Y206" s="87">
        <f t="shared" si="21"/>
        <v>-1.6529301951210582E-2</v>
      </c>
      <c r="Z206" s="87">
        <f t="shared" si="21"/>
        <v>-3.316752625993815E-3</v>
      </c>
      <c r="AA206" s="87">
        <f t="shared" si="21"/>
        <v>1.9608471388376337E-2</v>
      </c>
      <c r="AB206" s="87">
        <f t="shared" si="21"/>
        <v>5.3619431413853731E-3</v>
      </c>
      <c r="AC206" s="87">
        <f t="shared" si="21"/>
        <v>2.8389003262685893E-2</v>
      </c>
      <c r="AD206" s="87">
        <f t="shared" si="21"/>
        <v>0</v>
      </c>
      <c r="AE206" s="90">
        <f t="shared" si="19"/>
        <v>4.0901414934393834E-4</v>
      </c>
      <c r="AF206" s="89"/>
    </row>
    <row r="207" spans="1:32" ht="15.5" x14ac:dyDescent="0.35">
      <c r="A207" s="82">
        <v>40066</v>
      </c>
      <c r="B207" s="83">
        <v>6850.8</v>
      </c>
      <c r="C207" s="84">
        <v>2084</v>
      </c>
      <c r="D207" s="61">
        <v>231.2</v>
      </c>
      <c r="E207" s="61">
        <v>15.2</v>
      </c>
      <c r="F207" s="61">
        <v>24.4</v>
      </c>
      <c r="G207" s="61">
        <v>24.7</v>
      </c>
      <c r="H207" s="61">
        <v>66.2</v>
      </c>
      <c r="I207" s="61">
        <v>16.600000000000001</v>
      </c>
      <c r="J207" s="61">
        <v>29.6</v>
      </c>
      <c r="K207" s="61">
        <v>31</v>
      </c>
      <c r="L207" s="61">
        <v>31.3</v>
      </c>
      <c r="M207" s="61">
        <v>36.9</v>
      </c>
      <c r="N207" s="61">
        <v>39.4</v>
      </c>
      <c r="O207" s="85">
        <v>13.7</v>
      </c>
      <c r="P207" s="105"/>
      <c r="Q207" s="87">
        <f t="shared" si="22"/>
        <v>1.1509904504137154E-2</v>
      </c>
      <c r="R207" s="87">
        <f t="shared" ref="R207:V249" si="24">+LN(C207/C206)</f>
        <v>1.138898518182742E-2</v>
      </c>
      <c r="S207" s="87">
        <f t="shared" si="24"/>
        <v>6.944472352810995E-3</v>
      </c>
      <c r="T207" s="87">
        <f t="shared" si="24"/>
        <v>5.4067221270275793E-2</v>
      </c>
      <c r="U207" s="87">
        <f t="shared" si="24"/>
        <v>8.2304991365154435E-3</v>
      </c>
      <c r="V207" s="87">
        <f t="shared" si="24"/>
        <v>0</v>
      </c>
      <c r="W207" s="87">
        <f t="shared" si="23"/>
        <v>1.8293193047325483E-2</v>
      </c>
      <c r="X207" s="87">
        <f t="shared" si="23"/>
        <v>1.2121360532345041E-2</v>
      </c>
      <c r="Y207" s="87">
        <f t="shared" si="21"/>
        <v>-1.3423020332140661E-2</v>
      </c>
      <c r="Z207" s="87">
        <f t="shared" si="21"/>
        <v>2.9462032730316067E-2</v>
      </c>
      <c r="AA207" s="87">
        <f t="shared" si="21"/>
        <v>1.2861913642407822E-2</v>
      </c>
      <c r="AB207" s="87">
        <f t="shared" si="21"/>
        <v>-1.3459153374004801E-2</v>
      </c>
      <c r="AC207" s="87">
        <f t="shared" si="21"/>
        <v>2.5412974286725481E-3</v>
      </c>
      <c r="AD207" s="87">
        <f t="shared" si="21"/>
        <v>7.3260400920728812E-3</v>
      </c>
      <c r="AE207" s="90">
        <f t="shared" ref="AE207:AE270" si="25">+SUMPRODUCT(Q207:AD207,$Q$8:$AD$8)</f>
        <v>8.6908124191732924E-3</v>
      </c>
      <c r="AF207" s="89"/>
    </row>
    <row r="208" spans="1:32" ht="15.5" x14ac:dyDescent="0.35">
      <c r="A208" s="82">
        <v>40067</v>
      </c>
      <c r="B208" s="83">
        <v>6843.8</v>
      </c>
      <c r="C208" s="84">
        <v>2080.9</v>
      </c>
      <c r="D208" s="61">
        <v>234.1</v>
      </c>
      <c r="E208" s="61">
        <v>15.4</v>
      </c>
      <c r="F208" s="61">
        <v>24.4</v>
      </c>
      <c r="G208" s="61">
        <v>24.8</v>
      </c>
      <c r="H208" s="61">
        <v>65.5</v>
      </c>
      <c r="I208" s="61">
        <v>17.2</v>
      </c>
      <c r="J208" s="61">
        <v>29.9</v>
      </c>
      <c r="K208" s="61">
        <v>31.2</v>
      </c>
      <c r="L208" s="61">
        <v>31.9</v>
      </c>
      <c r="M208" s="61">
        <v>37.9</v>
      </c>
      <c r="N208" s="61">
        <v>39.9</v>
      </c>
      <c r="O208" s="85">
        <v>13.7</v>
      </c>
      <c r="P208" s="105"/>
      <c r="Q208" s="87">
        <f t="shared" si="22"/>
        <v>-1.0223008499176507E-3</v>
      </c>
      <c r="R208" s="87">
        <f t="shared" si="24"/>
        <v>-1.4886314545236154E-3</v>
      </c>
      <c r="S208" s="87">
        <f t="shared" si="24"/>
        <v>1.246523769864262E-2</v>
      </c>
      <c r="T208" s="87">
        <f t="shared" si="24"/>
        <v>1.3072081567352921E-2</v>
      </c>
      <c r="U208" s="87">
        <f t="shared" si="24"/>
        <v>0</v>
      </c>
      <c r="V208" s="87">
        <f t="shared" si="24"/>
        <v>4.040409537005127E-3</v>
      </c>
      <c r="W208" s="87">
        <f t="shared" si="23"/>
        <v>-1.063032030175637E-2</v>
      </c>
      <c r="X208" s="87">
        <f t="shared" si="23"/>
        <v>3.5506688456909602E-2</v>
      </c>
      <c r="Y208" s="87">
        <f t="shared" si="21"/>
        <v>1.0084119066626008E-2</v>
      </c>
      <c r="Z208" s="87">
        <f t="shared" si="21"/>
        <v>6.4308903302903314E-3</v>
      </c>
      <c r="AA208" s="87">
        <f t="shared" si="21"/>
        <v>1.8987912244691381E-2</v>
      </c>
      <c r="AB208" s="87">
        <f t="shared" si="21"/>
        <v>2.6739561041899087E-2</v>
      </c>
      <c r="AC208" s="87">
        <f t="shared" si="21"/>
        <v>1.2610507591929733E-2</v>
      </c>
      <c r="AD208" s="87">
        <f t="shared" si="21"/>
        <v>0</v>
      </c>
      <c r="AE208" s="90">
        <f t="shared" si="25"/>
        <v>3.2031618739529989E-3</v>
      </c>
      <c r="AF208" s="89"/>
    </row>
    <row r="209" spans="1:32" ht="15.5" x14ac:dyDescent="0.35">
      <c r="A209" s="82">
        <v>40070</v>
      </c>
      <c r="B209" s="83">
        <v>6880</v>
      </c>
      <c r="C209" s="84">
        <v>2091.8000000000002</v>
      </c>
      <c r="D209" s="61">
        <v>235.3</v>
      </c>
      <c r="E209" s="61">
        <v>15.3</v>
      </c>
      <c r="F209" s="61">
        <v>24.3</v>
      </c>
      <c r="G209" s="61">
        <v>24.6</v>
      </c>
      <c r="H209" s="61">
        <v>65.599999999999994</v>
      </c>
      <c r="I209" s="61">
        <v>17.7</v>
      </c>
      <c r="J209" s="61">
        <v>29.1</v>
      </c>
      <c r="K209" s="61">
        <v>30.9</v>
      </c>
      <c r="L209" s="61">
        <v>32.299999999999997</v>
      </c>
      <c r="M209" s="61">
        <v>37.700000000000003</v>
      </c>
      <c r="N209" s="61">
        <v>40</v>
      </c>
      <c r="O209" s="85">
        <v>13.4</v>
      </c>
      <c r="P209" s="105"/>
      <c r="Q209" s="87">
        <f t="shared" si="22"/>
        <v>5.2755190190930954E-3</v>
      </c>
      <c r="R209" s="87">
        <f t="shared" si="24"/>
        <v>5.2244469014339646E-3</v>
      </c>
      <c r="S209" s="87">
        <f t="shared" si="24"/>
        <v>5.1129212364518775E-3</v>
      </c>
      <c r="T209" s="87">
        <f t="shared" si="24"/>
        <v>-6.5146810211936419E-3</v>
      </c>
      <c r="U209" s="87">
        <f t="shared" si="24"/>
        <v>-4.1067819526533593E-3</v>
      </c>
      <c r="V209" s="87">
        <f t="shared" si="24"/>
        <v>-8.0972102326193618E-3</v>
      </c>
      <c r="W209" s="87">
        <f t="shared" si="23"/>
        <v>1.5255533088369701E-3</v>
      </c>
      <c r="X209" s="87">
        <f t="shared" si="23"/>
        <v>2.8655255760376148E-2</v>
      </c>
      <c r="Y209" s="87">
        <f t="shared" si="21"/>
        <v>-2.7120306219193781E-2</v>
      </c>
      <c r="Z209" s="87">
        <f t="shared" si="21"/>
        <v>-9.6619109117369716E-3</v>
      </c>
      <c r="AA209" s="87">
        <f t="shared" si="21"/>
        <v>1.2461220437812033E-2</v>
      </c>
      <c r="AB209" s="87">
        <f t="shared" si="21"/>
        <v>-5.2910176344154363E-3</v>
      </c>
      <c r="AC209" s="87">
        <f t="shared" si="21"/>
        <v>2.5031302181184748E-3</v>
      </c>
      <c r="AD209" s="87">
        <f t="shared" si="21"/>
        <v>-2.2141125877213518E-2</v>
      </c>
      <c r="AE209" s="90">
        <f t="shared" si="25"/>
        <v>-8.0260279092902965E-4</v>
      </c>
      <c r="AF209" s="89"/>
    </row>
    <row r="210" spans="1:32" ht="15.5" x14ac:dyDescent="0.35">
      <c r="A210" s="82">
        <v>40071</v>
      </c>
      <c r="B210" s="83">
        <v>6917.1</v>
      </c>
      <c r="C210" s="84">
        <v>2102.6</v>
      </c>
      <c r="D210" s="61">
        <v>236.6</v>
      </c>
      <c r="E210" s="61">
        <v>15.9</v>
      </c>
      <c r="F210" s="61">
        <v>24.8</v>
      </c>
      <c r="G210" s="61">
        <v>24.9</v>
      </c>
      <c r="H210" s="61">
        <v>66.099999999999994</v>
      </c>
      <c r="I210" s="61">
        <v>17.2</v>
      </c>
      <c r="J210" s="61">
        <v>29.7</v>
      </c>
      <c r="K210" s="61">
        <v>32</v>
      </c>
      <c r="L210" s="61">
        <v>32.6</v>
      </c>
      <c r="M210" s="61">
        <v>39</v>
      </c>
      <c r="N210" s="61">
        <v>40.200000000000003</v>
      </c>
      <c r="O210" s="85">
        <v>13.5</v>
      </c>
      <c r="P210" s="105"/>
      <c r="Q210" s="87">
        <f t="shared" si="22"/>
        <v>5.3779547032879859E-3</v>
      </c>
      <c r="R210" s="87">
        <f t="shared" si="24"/>
        <v>5.1497348215624877E-3</v>
      </c>
      <c r="S210" s="87">
        <f t="shared" si="24"/>
        <v>5.5096558109694795E-3</v>
      </c>
      <c r="T210" s="87">
        <f t="shared" si="24"/>
        <v>3.8466280827796143E-2</v>
      </c>
      <c r="U210" s="87">
        <f t="shared" si="24"/>
        <v>2.0367302824433733E-2</v>
      </c>
      <c r="V210" s="87">
        <f t="shared" si="24"/>
        <v>1.2121360532344602E-2</v>
      </c>
      <c r="W210" s="87">
        <f t="shared" si="23"/>
        <v>7.5930509075971958E-3</v>
      </c>
      <c r="X210" s="87">
        <f t="shared" si="23"/>
        <v>-2.8655255760376062E-2</v>
      </c>
      <c r="Y210" s="87">
        <f t="shared" si="21"/>
        <v>2.0408871631207033E-2</v>
      </c>
      <c r="Z210" s="87">
        <f t="shared" si="21"/>
        <v>3.4979718896026898E-2</v>
      </c>
      <c r="AA210" s="87">
        <f t="shared" si="21"/>
        <v>9.2450581440512089E-3</v>
      </c>
      <c r="AB210" s="87">
        <f t="shared" si="21"/>
        <v>3.39015516756812E-2</v>
      </c>
      <c r="AC210" s="87">
        <f t="shared" si="21"/>
        <v>4.9875415110391882E-3</v>
      </c>
      <c r="AD210" s="87">
        <f t="shared" si="21"/>
        <v>7.4349784875179905E-3</v>
      </c>
      <c r="AE210" s="90">
        <f t="shared" si="25"/>
        <v>9.8841692259193682E-3</v>
      </c>
      <c r="AF210" s="89"/>
    </row>
    <row r="211" spans="1:32" ht="15.5" x14ac:dyDescent="0.35">
      <c r="A211" s="82">
        <v>40072</v>
      </c>
      <c r="B211" s="83">
        <v>7038.1</v>
      </c>
      <c r="C211" s="84">
        <v>2133.1</v>
      </c>
      <c r="D211" s="61">
        <v>239.5</v>
      </c>
      <c r="E211" s="61">
        <v>16.5</v>
      </c>
      <c r="F211" s="61">
        <v>25.4</v>
      </c>
      <c r="G211" s="61">
        <v>25</v>
      </c>
      <c r="H211" s="61">
        <v>66.099999999999994</v>
      </c>
      <c r="I211" s="61">
        <v>16.8</v>
      </c>
      <c r="J211" s="61">
        <v>30.8</v>
      </c>
      <c r="K211" s="61">
        <v>32.4</v>
      </c>
      <c r="L211" s="61">
        <v>31.9</v>
      </c>
      <c r="M211" s="61">
        <v>39.4</v>
      </c>
      <c r="N211" s="61">
        <v>40.200000000000003</v>
      </c>
      <c r="O211" s="85">
        <v>13.6</v>
      </c>
      <c r="P211" s="105"/>
      <c r="Q211" s="87">
        <f t="shared" si="22"/>
        <v>1.7341640731895657E-2</v>
      </c>
      <c r="R211" s="87">
        <f t="shared" si="24"/>
        <v>1.440164655604146E-2</v>
      </c>
      <c r="S211" s="87">
        <f t="shared" si="24"/>
        <v>1.2182465306683632E-2</v>
      </c>
      <c r="T211" s="87">
        <f t="shared" si="24"/>
        <v>3.7041271680349076E-2</v>
      </c>
      <c r="U211" s="87">
        <f t="shared" si="24"/>
        <v>2.3905520853554386E-2</v>
      </c>
      <c r="V211" s="87">
        <f t="shared" si="24"/>
        <v>4.0080213975388678E-3</v>
      </c>
      <c r="W211" s="87">
        <f t="shared" si="23"/>
        <v>0</v>
      </c>
      <c r="X211" s="87">
        <f t="shared" si="23"/>
        <v>-2.3530497410194046E-2</v>
      </c>
      <c r="Y211" s="87">
        <f t="shared" si="21"/>
        <v>3.6367644170874791E-2</v>
      </c>
      <c r="Z211" s="87">
        <f t="shared" si="21"/>
        <v>1.242251999855711E-2</v>
      </c>
      <c r="AA211" s="87">
        <f t="shared" si="21"/>
        <v>-2.1706278581863171E-2</v>
      </c>
      <c r="AB211" s="87">
        <f t="shared" si="21"/>
        <v>1.0204170174241668E-2</v>
      </c>
      <c r="AC211" s="87">
        <f t="shared" si="21"/>
        <v>0</v>
      </c>
      <c r="AD211" s="87">
        <f t="shared" si="21"/>
        <v>7.38010729762246E-3</v>
      </c>
      <c r="AE211" s="90">
        <f t="shared" si="25"/>
        <v>1.5616021244724072E-2</v>
      </c>
      <c r="AF211" s="89"/>
    </row>
    <row r="212" spans="1:32" ht="15.5" x14ac:dyDescent="0.35">
      <c r="A212" s="82">
        <v>40073</v>
      </c>
      <c r="B212" s="83">
        <v>7002.2</v>
      </c>
      <c r="C212" s="84">
        <v>2126.8000000000002</v>
      </c>
      <c r="D212" s="61">
        <v>243.8</v>
      </c>
      <c r="E212" s="61">
        <v>17</v>
      </c>
      <c r="F212" s="61">
        <v>26</v>
      </c>
      <c r="G212" s="61">
        <v>25.1</v>
      </c>
      <c r="H212" s="61">
        <v>66.7</v>
      </c>
      <c r="I212" s="61">
        <v>16.3</v>
      </c>
      <c r="J212" s="61">
        <v>31.3</v>
      </c>
      <c r="K212" s="61">
        <v>32.9</v>
      </c>
      <c r="L212" s="61">
        <v>31.7</v>
      </c>
      <c r="M212" s="61">
        <v>39.9</v>
      </c>
      <c r="N212" s="61">
        <v>39.9</v>
      </c>
      <c r="O212" s="85">
        <v>14.2</v>
      </c>
      <c r="P212" s="105"/>
      <c r="Q212" s="87">
        <f t="shared" si="22"/>
        <v>-5.1138619882466797E-3</v>
      </c>
      <c r="R212" s="87">
        <f t="shared" si="24"/>
        <v>-2.9578180675884618E-3</v>
      </c>
      <c r="S212" s="87">
        <f t="shared" si="24"/>
        <v>1.7794800196201301E-2</v>
      </c>
      <c r="T212" s="87">
        <f t="shared" si="24"/>
        <v>2.9852963149681128E-2</v>
      </c>
      <c r="U212" s="87">
        <f t="shared" si="24"/>
        <v>2.3347363996991107E-2</v>
      </c>
      <c r="V212" s="87">
        <f t="shared" si="24"/>
        <v>3.9920212695374567E-3</v>
      </c>
      <c r="W212" s="87">
        <f t="shared" si="23"/>
        <v>9.03620606393752E-3</v>
      </c>
      <c r="X212" s="87">
        <f t="shared" si="23"/>
        <v>-3.0213778596496595E-2</v>
      </c>
      <c r="Y212" s="87">
        <f t="shared" si="21"/>
        <v>1.6103407566578673E-2</v>
      </c>
      <c r="Z212" s="87">
        <f t="shared" si="21"/>
        <v>1.5314234973042575E-2</v>
      </c>
      <c r="AA212" s="87">
        <f t="shared" si="21"/>
        <v>-6.2893289075639904E-3</v>
      </c>
      <c r="AB212" s="87">
        <f t="shared" si="21"/>
        <v>1.2610507591929733E-2</v>
      </c>
      <c r="AC212" s="87">
        <f t="shared" si="21"/>
        <v>-7.4906717291577376E-3</v>
      </c>
      <c r="AD212" s="87">
        <f t="shared" si="21"/>
        <v>4.3172171865208782E-2</v>
      </c>
      <c r="AE212" s="90">
        <f t="shared" si="25"/>
        <v>1.6246503139048043E-2</v>
      </c>
      <c r="AF212" s="89"/>
    </row>
    <row r="213" spans="1:32" ht="15.5" x14ac:dyDescent="0.35">
      <c r="A213" s="82">
        <v>40074</v>
      </c>
      <c r="B213" s="83">
        <v>7016.9</v>
      </c>
      <c r="C213" s="84">
        <v>2132.9</v>
      </c>
      <c r="D213" s="61">
        <v>245.9</v>
      </c>
      <c r="E213" s="61">
        <v>16.899999999999999</v>
      </c>
      <c r="F213" s="61">
        <v>26.4</v>
      </c>
      <c r="G213" s="61">
        <v>25.1</v>
      </c>
      <c r="H213" s="61">
        <v>68.2</v>
      </c>
      <c r="I213" s="61">
        <v>16.600000000000001</v>
      </c>
      <c r="J213" s="61">
        <v>31.8</v>
      </c>
      <c r="K213" s="61">
        <v>33.4</v>
      </c>
      <c r="L213" s="61">
        <v>31.8</v>
      </c>
      <c r="M213" s="61">
        <v>39.200000000000003</v>
      </c>
      <c r="N213" s="61">
        <v>39.700000000000003</v>
      </c>
      <c r="O213" s="85">
        <v>14.5</v>
      </c>
      <c r="P213" s="105"/>
      <c r="Q213" s="87">
        <f t="shared" si="22"/>
        <v>2.0971396719537904E-3</v>
      </c>
      <c r="R213" s="87">
        <f t="shared" si="24"/>
        <v>2.8640534167932966E-3</v>
      </c>
      <c r="S213" s="87">
        <f t="shared" si="24"/>
        <v>8.57673217497581E-3</v>
      </c>
      <c r="T213" s="87">
        <f t="shared" si="24"/>
        <v>-5.8997221271883827E-3</v>
      </c>
      <c r="U213" s="87">
        <f t="shared" si="24"/>
        <v>1.5267472130788381E-2</v>
      </c>
      <c r="V213" s="87">
        <f t="shared" si="24"/>
        <v>0</v>
      </c>
      <c r="W213" s="87">
        <f t="shared" si="23"/>
        <v>2.2239611927838358E-2</v>
      </c>
      <c r="X213" s="87">
        <f t="shared" si="23"/>
        <v>1.8237587549781012E-2</v>
      </c>
      <c r="Y213" s="87">
        <f t="shared" si="21"/>
        <v>1.5848192240023713E-2</v>
      </c>
      <c r="Z213" s="87">
        <f t="shared" si="21"/>
        <v>1.50832422113285E-2</v>
      </c>
      <c r="AA213" s="87">
        <f t="shared" si="21"/>
        <v>3.1496089028962013E-3</v>
      </c>
      <c r="AB213" s="87">
        <f t="shared" si="21"/>
        <v>-1.769957709940086E-2</v>
      </c>
      <c r="AC213" s="87">
        <f t="shared" si="21"/>
        <v>-5.0251362026729317E-3</v>
      </c>
      <c r="AD213" s="87">
        <f t="shared" si="21"/>
        <v>2.0906684819313643E-2</v>
      </c>
      <c r="AE213" s="90">
        <f t="shared" si="25"/>
        <v>1.0276192396322645E-2</v>
      </c>
      <c r="AF213" s="89"/>
    </row>
    <row r="214" spans="1:32" ht="15.5" x14ac:dyDescent="0.35">
      <c r="A214" s="82">
        <v>40077</v>
      </c>
      <c r="B214" s="83">
        <v>6968.6</v>
      </c>
      <c r="C214" s="84">
        <v>2138</v>
      </c>
      <c r="D214" s="61">
        <v>243.4</v>
      </c>
      <c r="E214" s="61">
        <v>17</v>
      </c>
      <c r="F214" s="61">
        <v>26</v>
      </c>
      <c r="G214" s="61">
        <v>25.1</v>
      </c>
      <c r="H214" s="61">
        <v>68.2</v>
      </c>
      <c r="I214" s="61">
        <v>16.3</v>
      </c>
      <c r="J214" s="61">
        <v>30.3</v>
      </c>
      <c r="K214" s="61">
        <v>33</v>
      </c>
      <c r="L214" s="61">
        <v>31.6</v>
      </c>
      <c r="M214" s="61">
        <v>37.9</v>
      </c>
      <c r="N214" s="61">
        <v>39.6</v>
      </c>
      <c r="O214" s="85">
        <v>14.4</v>
      </c>
      <c r="P214" s="105"/>
      <c r="Q214" s="87">
        <f t="shared" si="22"/>
        <v>-6.9071812990868335E-3</v>
      </c>
      <c r="R214" s="87">
        <f t="shared" si="24"/>
        <v>2.3882565380137885E-3</v>
      </c>
      <c r="S214" s="87">
        <f t="shared" si="24"/>
        <v>-1.0218768668720138E-2</v>
      </c>
      <c r="T214" s="87">
        <f t="shared" si="24"/>
        <v>5.899722127188322E-3</v>
      </c>
      <c r="U214" s="87">
        <f t="shared" si="24"/>
        <v>-1.5267472130788421E-2</v>
      </c>
      <c r="V214" s="87">
        <f t="shared" si="24"/>
        <v>0</v>
      </c>
      <c r="W214" s="87">
        <f t="shared" si="23"/>
        <v>0</v>
      </c>
      <c r="X214" s="87">
        <f t="shared" si="23"/>
        <v>-1.8237587549780901E-2</v>
      </c>
      <c r="Y214" s="87">
        <f t="shared" si="21"/>
        <v>-4.8318577270807683E-2</v>
      </c>
      <c r="Z214" s="87">
        <f t="shared" si="21"/>
        <v>-1.204833851617448E-2</v>
      </c>
      <c r="AA214" s="87">
        <f t="shared" si="21"/>
        <v>-6.309169193264721E-3</v>
      </c>
      <c r="AB214" s="87">
        <f t="shared" si="21"/>
        <v>-3.3725634708036314E-2</v>
      </c>
      <c r="AC214" s="87">
        <f t="shared" si="21"/>
        <v>-2.5220694327099465E-3</v>
      </c>
      <c r="AD214" s="87">
        <f t="shared" si="21"/>
        <v>-6.9204428445737952E-3</v>
      </c>
      <c r="AE214" s="90">
        <f t="shared" si="25"/>
        <v>-7.4825468591608523E-3</v>
      </c>
      <c r="AF214" s="89"/>
    </row>
    <row r="215" spans="1:32" ht="15.5" x14ac:dyDescent="0.35">
      <c r="A215" s="82">
        <v>40078</v>
      </c>
      <c r="B215" s="83">
        <v>7047.1</v>
      </c>
      <c r="C215" s="84">
        <v>2146.3000000000002</v>
      </c>
      <c r="D215" s="61">
        <v>249.2</v>
      </c>
      <c r="E215" s="61">
        <v>16.8</v>
      </c>
      <c r="F215" s="61">
        <v>26.1</v>
      </c>
      <c r="G215" s="61">
        <v>25.3</v>
      </c>
      <c r="H215" s="61">
        <v>70.7</v>
      </c>
      <c r="I215" s="61">
        <v>16.600000000000001</v>
      </c>
      <c r="J215" s="61">
        <v>31</v>
      </c>
      <c r="K215" s="61">
        <v>33.4</v>
      </c>
      <c r="L215" s="61">
        <v>31.3</v>
      </c>
      <c r="M215" s="61">
        <v>38.5</v>
      </c>
      <c r="N215" s="61">
        <v>40.200000000000003</v>
      </c>
      <c r="O215" s="85">
        <v>14.6</v>
      </c>
      <c r="P215" s="105"/>
      <c r="Q215" s="87">
        <f t="shared" si="22"/>
        <v>1.1201840914792385E-2</v>
      </c>
      <c r="R215" s="87">
        <f t="shared" si="24"/>
        <v>3.8746168026285643E-3</v>
      </c>
      <c r="S215" s="87">
        <f t="shared" si="24"/>
        <v>2.3549606359871158E-2</v>
      </c>
      <c r="T215" s="87">
        <f t="shared" si="24"/>
        <v>-1.1834457647002796E-2</v>
      </c>
      <c r="U215" s="87">
        <f t="shared" si="24"/>
        <v>3.8387763071656669E-3</v>
      </c>
      <c r="V215" s="87">
        <f t="shared" si="24"/>
        <v>7.9365495957363415E-3</v>
      </c>
      <c r="W215" s="87">
        <f t="shared" si="23"/>
        <v>3.6001008053110628E-2</v>
      </c>
      <c r="X215" s="87">
        <f t="shared" si="23"/>
        <v>1.8237587549781012E-2</v>
      </c>
      <c r="Y215" s="87">
        <f t="shared" si="21"/>
        <v>2.2839491969822736E-2</v>
      </c>
      <c r="Z215" s="87">
        <f t="shared" si="21"/>
        <v>1.2048338516174355E-2</v>
      </c>
      <c r="AA215" s="87">
        <f t="shared" si="21"/>
        <v>-9.539023046758948E-3</v>
      </c>
      <c r="AB215" s="87">
        <f t="shared" si="21"/>
        <v>1.5707129205357877E-2</v>
      </c>
      <c r="AC215" s="87">
        <f t="shared" si="21"/>
        <v>1.5037877364540502E-2</v>
      </c>
      <c r="AD215" s="87">
        <f t="shared" si="21"/>
        <v>1.3793322132335769E-2</v>
      </c>
      <c r="AE215" s="90">
        <f t="shared" si="25"/>
        <v>1.0830104934274255E-2</v>
      </c>
      <c r="AF215" s="89"/>
    </row>
    <row r="216" spans="1:32" ht="15.5" x14ac:dyDescent="0.35">
      <c r="A216" s="82">
        <v>40079</v>
      </c>
      <c r="B216" s="83">
        <v>6964.7</v>
      </c>
      <c r="C216" s="84">
        <v>2131.4</v>
      </c>
      <c r="D216" s="61">
        <v>249.1</v>
      </c>
      <c r="E216" s="61">
        <v>17</v>
      </c>
      <c r="F216" s="61">
        <v>26.4</v>
      </c>
      <c r="G216" s="61">
        <v>25.6</v>
      </c>
      <c r="H216" s="61">
        <v>70.400000000000006</v>
      </c>
      <c r="I216" s="61">
        <v>16.899999999999999</v>
      </c>
      <c r="J216" s="61">
        <v>30.9</v>
      </c>
      <c r="K216" s="61">
        <v>33.200000000000003</v>
      </c>
      <c r="L216" s="61">
        <v>31.2</v>
      </c>
      <c r="M216" s="61">
        <v>37.700000000000003</v>
      </c>
      <c r="N216" s="61">
        <v>39.700000000000003</v>
      </c>
      <c r="O216" s="85">
        <v>14.6</v>
      </c>
      <c r="P216" s="105"/>
      <c r="Q216" s="87">
        <f t="shared" si="22"/>
        <v>-1.1761650881110598E-2</v>
      </c>
      <c r="R216" s="87">
        <f t="shared" si="24"/>
        <v>-6.9663886007633275E-3</v>
      </c>
      <c r="S216" s="87">
        <f t="shared" si="24"/>
        <v>-4.0136464516336606E-4</v>
      </c>
      <c r="T216" s="87">
        <f t="shared" si="24"/>
        <v>1.1834457647002798E-2</v>
      </c>
      <c r="U216" s="87">
        <f t="shared" si="24"/>
        <v>1.1428695823622629E-2</v>
      </c>
      <c r="V216" s="87">
        <f t="shared" si="24"/>
        <v>1.1787955752042173E-2</v>
      </c>
      <c r="W216" s="87">
        <f t="shared" si="23"/>
        <v>-4.2523097385302796E-3</v>
      </c>
      <c r="X216" s="87">
        <f t="shared" si="23"/>
        <v>1.7910926566530025E-2</v>
      </c>
      <c r="Y216" s="87">
        <f t="shared" si="21"/>
        <v>-3.2310205814465318E-3</v>
      </c>
      <c r="Z216" s="87">
        <f t="shared" si="21"/>
        <v>-6.006024060211698E-3</v>
      </c>
      <c r="AA216" s="87">
        <f t="shared" si="21"/>
        <v>-3.2000027306709027E-3</v>
      </c>
      <c r="AB216" s="87">
        <f t="shared" si="21"/>
        <v>-2.0998146839773354E-2</v>
      </c>
      <c r="AC216" s="87">
        <f t="shared" si="21"/>
        <v>-1.2515807931830646E-2</v>
      </c>
      <c r="AD216" s="87">
        <f t="shared" si="21"/>
        <v>0</v>
      </c>
      <c r="AE216" s="90">
        <f t="shared" si="25"/>
        <v>1.0622391856398043E-3</v>
      </c>
      <c r="AF216" s="89"/>
    </row>
    <row r="217" spans="1:32" ht="15.5" x14ac:dyDescent="0.35">
      <c r="A217" s="82">
        <v>40080</v>
      </c>
      <c r="B217" s="83">
        <v>6862.3</v>
      </c>
      <c r="C217" s="84">
        <v>2107.6</v>
      </c>
      <c r="D217" s="61">
        <v>246.8</v>
      </c>
      <c r="E217" s="61">
        <v>16.7</v>
      </c>
      <c r="F217" s="61">
        <v>26.1</v>
      </c>
      <c r="G217" s="61">
        <v>25.7</v>
      </c>
      <c r="H217" s="61">
        <v>69.8</v>
      </c>
      <c r="I217" s="61">
        <v>16.100000000000001</v>
      </c>
      <c r="J217" s="61">
        <v>30.1</v>
      </c>
      <c r="K217" s="61">
        <v>32.5</v>
      </c>
      <c r="L217" s="61">
        <v>30.8</v>
      </c>
      <c r="M217" s="61">
        <v>36.700000000000003</v>
      </c>
      <c r="N217" s="61">
        <v>39</v>
      </c>
      <c r="O217" s="85">
        <v>14.5</v>
      </c>
      <c r="P217" s="105"/>
      <c r="Q217" s="87">
        <f t="shared" si="22"/>
        <v>-1.4811871285776863E-2</v>
      </c>
      <c r="R217" s="87">
        <f t="shared" si="24"/>
        <v>-1.1229181451725129E-2</v>
      </c>
      <c r="S217" s="87">
        <f t="shared" si="24"/>
        <v>-9.2761302369019551E-3</v>
      </c>
      <c r="T217" s="87">
        <f t="shared" si="24"/>
        <v>-1.7804624633506707E-2</v>
      </c>
      <c r="U217" s="87">
        <f t="shared" si="24"/>
        <v>-1.1428695823622631E-2</v>
      </c>
      <c r="V217" s="87">
        <f t="shared" si="24"/>
        <v>3.8986404156573229E-3</v>
      </c>
      <c r="W217" s="87">
        <f t="shared" si="23"/>
        <v>-8.5592533956700603E-3</v>
      </c>
      <c r="X217" s="87">
        <f t="shared" si="23"/>
        <v>-4.8494349938610265E-2</v>
      </c>
      <c r="Y217" s="87">
        <f t="shared" si="21"/>
        <v>-2.6231012148869647E-2</v>
      </c>
      <c r="Z217" s="87">
        <f t="shared" si="21"/>
        <v>-2.1309786586751096E-2</v>
      </c>
      <c r="AA217" s="87">
        <f t="shared" si="21"/>
        <v>-1.2903404835907841E-2</v>
      </c>
      <c r="AB217" s="87">
        <f t="shared" si="21"/>
        <v>-2.6883339393440529E-2</v>
      </c>
      <c r="AC217" s="87">
        <f t="shared" si="21"/>
        <v>-1.778954156349841E-2</v>
      </c>
      <c r="AD217" s="87">
        <f t="shared" si="21"/>
        <v>-6.8728792877620643E-3</v>
      </c>
      <c r="AE217" s="90">
        <f t="shared" si="25"/>
        <v>-1.0184945757548525E-2</v>
      </c>
      <c r="AF217" s="89"/>
    </row>
    <row r="218" spans="1:32" ht="15.5" x14ac:dyDescent="0.35">
      <c r="A218" s="82">
        <v>40081</v>
      </c>
      <c r="B218" s="83">
        <v>6823.5</v>
      </c>
      <c r="C218" s="84">
        <v>2090.9</v>
      </c>
      <c r="D218" s="61">
        <v>246.3</v>
      </c>
      <c r="E218" s="61">
        <v>16.8</v>
      </c>
      <c r="F218" s="61">
        <v>25.9</v>
      </c>
      <c r="G218" s="61">
        <v>25.5</v>
      </c>
      <c r="H218" s="61">
        <v>70.099999999999994</v>
      </c>
      <c r="I218" s="61">
        <v>15.9</v>
      </c>
      <c r="J218" s="61">
        <v>29.7</v>
      </c>
      <c r="K218" s="61">
        <v>32</v>
      </c>
      <c r="L218" s="61">
        <v>30.9</v>
      </c>
      <c r="M218" s="61">
        <v>36.700000000000003</v>
      </c>
      <c r="N218" s="61">
        <v>38.5</v>
      </c>
      <c r="O218" s="85">
        <v>14.6</v>
      </c>
      <c r="P218" s="105"/>
      <c r="Q218" s="87">
        <f t="shared" si="22"/>
        <v>-5.6701258169296496E-3</v>
      </c>
      <c r="R218" s="87">
        <f t="shared" si="24"/>
        <v>-7.9552640577532103E-3</v>
      </c>
      <c r="S218" s="87">
        <f t="shared" si="24"/>
        <v>-2.0279869047404872E-3</v>
      </c>
      <c r="T218" s="87">
        <f t="shared" si="24"/>
        <v>5.9701669865039747E-3</v>
      </c>
      <c r="U218" s="87">
        <f t="shared" si="24"/>
        <v>-7.6923456231557255E-3</v>
      </c>
      <c r="V218" s="87">
        <f t="shared" si="24"/>
        <v>-7.8125397367936247E-3</v>
      </c>
      <c r="W218" s="87">
        <f t="shared" si="23"/>
        <v>4.2887842722174989E-3</v>
      </c>
      <c r="X218" s="87">
        <f t="shared" si="23"/>
        <v>-1.2500162764231494E-2</v>
      </c>
      <c r="Y218" s="87">
        <f t="shared" si="21"/>
        <v>-1.3378125946176199E-2</v>
      </c>
      <c r="Z218" s="87">
        <f t="shared" si="21"/>
        <v>-1.5504186535965199E-2</v>
      </c>
      <c r="AA218" s="87">
        <f t="shared" si="21"/>
        <v>3.2414939241710229E-3</v>
      </c>
      <c r="AB218" s="87">
        <f t="shared" si="21"/>
        <v>0</v>
      </c>
      <c r="AC218" s="87">
        <f t="shared" si="21"/>
        <v>-1.2903404835907841E-2</v>
      </c>
      <c r="AD218" s="87">
        <f t="shared" si="21"/>
        <v>6.8728792877620504E-3</v>
      </c>
      <c r="AE218" s="90">
        <f t="shared" si="25"/>
        <v>-4.3424552966414036E-3</v>
      </c>
      <c r="AF218" s="89"/>
    </row>
    <row r="219" spans="1:32" ht="15.5" x14ac:dyDescent="0.35">
      <c r="A219" s="82">
        <v>40084</v>
      </c>
      <c r="B219" s="83">
        <v>6939.8</v>
      </c>
      <c r="C219" s="84">
        <v>2130.6999999999998</v>
      </c>
      <c r="D219" s="61">
        <v>246.9</v>
      </c>
      <c r="E219" s="61">
        <v>17</v>
      </c>
      <c r="F219" s="61">
        <v>26.2</v>
      </c>
      <c r="G219" s="61">
        <v>25.6</v>
      </c>
      <c r="H219" s="61">
        <v>69.8</v>
      </c>
      <c r="I219" s="61">
        <v>16</v>
      </c>
      <c r="J219" s="61">
        <v>29.9</v>
      </c>
      <c r="K219" s="61">
        <v>32.200000000000003</v>
      </c>
      <c r="L219" s="61">
        <v>31</v>
      </c>
      <c r="M219" s="61">
        <v>36.9</v>
      </c>
      <c r="N219" s="61">
        <v>38.6</v>
      </c>
      <c r="O219" s="85">
        <v>14.6</v>
      </c>
      <c r="P219" s="105"/>
      <c r="Q219" s="87">
        <f t="shared" si="22"/>
        <v>1.6900418963618425E-2</v>
      </c>
      <c r="R219" s="87">
        <f t="shared" si="24"/>
        <v>1.8855968933943257E-2</v>
      </c>
      <c r="S219" s="87">
        <f t="shared" si="24"/>
        <v>2.4330912246416508E-3</v>
      </c>
      <c r="T219" s="87">
        <f t="shared" si="24"/>
        <v>1.1834457647002798E-2</v>
      </c>
      <c r="U219" s="87">
        <f t="shared" si="24"/>
        <v>1.1516442061559081E-2</v>
      </c>
      <c r="V219" s="87">
        <f t="shared" si="24"/>
        <v>3.9138993211363148E-3</v>
      </c>
      <c r="W219" s="87">
        <f t="shared" si="23"/>
        <v>-4.2887842722175926E-3</v>
      </c>
      <c r="X219" s="87">
        <f t="shared" si="23"/>
        <v>6.269613013595395E-3</v>
      </c>
      <c r="Y219" s="87">
        <f t="shared" si="21"/>
        <v>6.7114345879867778E-3</v>
      </c>
      <c r="Z219" s="87">
        <f t="shared" si="21"/>
        <v>6.2305497506361628E-3</v>
      </c>
      <c r="AA219" s="87">
        <f t="shared" si="21"/>
        <v>3.23102058144654E-3</v>
      </c>
      <c r="AB219" s="87">
        <f t="shared" si="21"/>
        <v>5.4347959859567746E-3</v>
      </c>
      <c r="AC219" s="87">
        <f t="shared" si="21"/>
        <v>2.594035177046749E-3</v>
      </c>
      <c r="AD219" s="87">
        <f t="shared" si="21"/>
        <v>0</v>
      </c>
      <c r="AE219" s="90">
        <f t="shared" si="25"/>
        <v>9.6573698001228264E-3</v>
      </c>
      <c r="AF219" s="89"/>
    </row>
    <row r="220" spans="1:32" ht="15.5" x14ac:dyDescent="0.35">
      <c r="A220" s="82">
        <v>40085</v>
      </c>
      <c r="B220" s="83">
        <v>6926.8</v>
      </c>
      <c r="C220" s="84">
        <v>2124</v>
      </c>
      <c r="D220" s="61">
        <v>246.8</v>
      </c>
      <c r="E220" s="61">
        <v>17.2</v>
      </c>
      <c r="F220" s="61">
        <v>26.3</v>
      </c>
      <c r="G220" s="61">
        <v>25.7</v>
      </c>
      <c r="H220" s="61">
        <v>70.099999999999994</v>
      </c>
      <c r="I220" s="61">
        <v>16.5</v>
      </c>
      <c r="J220" s="61">
        <v>29.9</v>
      </c>
      <c r="K220" s="61">
        <v>33</v>
      </c>
      <c r="L220" s="61">
        <v>31.7</v>
      </c>
      <c r="M220" s="61">
        <v>38.1</v>
      </c>
      <c r="N220" s="61">
        <v>39.9</v>
      </c>
      <c r="O220" s="85">
        <v>14.8</v>
      </c>
      <c r="P220" s="105"/>
      <c r="Q220" s="87">
        <f t="shared" si="22"/>
        <v>-1.8750095637910863E-3</v>
      </c>
      <c r="R220" s="87">
        <f t="shared" si="24"/>
        <v>-3.149460849491228E-3</v>
      </c>
      <c r="S220" s="87">
        <f t="shared" si="24"/>
        <v>-4.0510431990106456E-4</v>
      </c>
      <c r="T220" s="87">
        <f t="shared" si="24"/>
        <v>1.1696039763191236E-2</v>
      </c>
      <c r="U220" s="87">
        <f t="shared" si="24"/>
        <v>3.8095284166676487E-3</v>
      </c>
      <c r="V220" s="87">
        <f t="shared" si="24"/>
        <v>3.8986404156573229E-3</v>
      </c>
      <c r="W220" s="87">
        <f t="shared" si="23"/>
        <v>4.2887842722174989E-3</v>
      </c>
      <c r="X220" s="87">
        <f t="shared" si="23"/>
        <v>3.0771658666753687E-2</v>
      </c>
      <c r="Y220" s="87">
        <f t="shared" si="21"/>
        <v>0</v>
      </c>
      <c r="Z220" s="87">
        <f t="shared" si="21"/>
        <v>2.4541108916117445E-2</v>
      </c>
      <c r="AA220" s="87">
        <f t="shared" si="21"/>
        <v>2.2329476398088577E-2</v>
      </c>
      <c r="AB220" s="87">
        <f t="shared" si="21"/>
        <v>3.2002731086173949E-2</v>
      </c>
      <c r="AC220" s="87">
        <f t="shared" si="21"/>
        <v>3.3124047425032499E-2</v>
      </c>
      <c r="AD220" s="87">
        <f t="shared" si="21"/>
        <v>1.3605652055778678E-2</v>
      </c>
      <c r="AE220" s="90">
        <f t="shared" si="25"/>
        <v>1.6803893579088822E-3</v>
      </c>
      <c r="AF220" s="89"/>
    </row>
    <row r="221" spans="1:32" ht="15.5" x14ac:dyDescent="0.35">
      <c r="A221" s="82">
        <v>40086</v>
      </c>
      <c r="B221" s="83">
        <v>6910.9</v>
      </c>
      <c r="C221" s="84">
        <v>2122.4</v>
      </c>
      <c r="D221" s="61">
        <v>243.9</v>
      </c>
      <c r="E221" s="61">
        <v>17.2</v>
      </c>
      <c r="F221" s="61">
        <v>26.1</v>
      </c>
      <c r="G221" s="61">
        <v>25.4</v>
      </c>
      <c r="H221" s="61">
        <v>71.7</v>
      </c>
      <c r="I221" s="61">
        <v>16.7</v>
      </c>
      <c r="J221" s="61">
        <v>30</v>
      </c>
      <c r="K221" s="61">
        <v>32.9</v>
      </c>
      <c r="L221" s="61">
        <v>31.2</v>
      </c>
      <c r="M221" s="61">
        <v>37.9</v>
      </c>
      <c r="N221" s="61">
        <v>39.200000000000003</v>
      </c>
      <c r="O221" s="85">
        <v>16</v>
      </c>
      <c r="P221" s="105"/>
      <c r="Q221" s="87">
        <f t="shared" si="22"/>
        <v>-2.2980707772962718E-3</v>
      </c>
      <c r="R221" s="87">
        <f t="shared" si="24"/>
        <v>-7.5357953829951856E-4</v>
      </c>
      <c r="S221" s="87">
        <f t="shared" si="24"/>
        <v>-1.1819986809358229E-2</v>
      </c>
      <c r="T221" s="87">
        <f t="shared" si="24"/>
        <v>0</v>
      </c>
      <c r="U221" s="87">
        <f t="shared" si="24"/>
        <v>-7.633624855071095E-3</v>
      </c>
      <c r="V221" s="87">
        <f t="shared" si="24"/>
        <v>-1.1741817876683287E-2</v>
      </c>
      <c r="W221" s="87">
        <f t="shared" si="23"/>
        <v>2.2567953565030281E-2</v>
      </c>
      <c r="X221" s="87">
        <f t="shared" si="23"/>
        <v>1.2048338516174355E-2</v>
      </c>
      <c r="Y221" s="87">
        <f t="shared" si="21"/>
        <v>3.3389012655146303E-3</v>
      </c>
      <c r="Z221" s="87">
        <f t="shared" si="21"/>
        <v>-3.034903695154047E-3</v>
      </c>
      <c r="AA221" s="87">
        <f t="shared" si="21"/>
        <v>-1.5898586067798273E-2</v>
      </c>
      <c r="AB221" s="87">
        <f t="shared" si="21"/>
        <v>-5.263170044274644E-3</v>
      </c>
      <c r="AC221" s="87">
        <f t="shared" si="21"/>
        <v>-1.769957709940086E-2</v>
      </c>
      <c r="AD221" s="87">
        <f t="shared" si="21"/>
        <v>7.7961541469711709E-2</v>
      </c>
      <c r="AE221" s="90">
        <f t="shared" si="25"/>
        <v>3.6069834702044893E-3</v>
      </c>
      <c r="AF221" s="89"/>
    </row>
    <row r="222" spans="1:32" ht="15.5" x14ac:dyDescent="0.35">
      <c r="A222" s="82">
        <v>40087</v>
      </c>
      <c r="B222" s="83">
        <v>6718</v>
      </c>
      <c r="C222" s="84">
        <v>2057.5</v>
      </c>
      <c r="D222" s="61">
        <v>243.7</v>
      </c>
      <c r="E222" s="61">
        <v>17.2</v>
      </c>
      <c r="F222" s="61">
        <v>25.8</v>
      </c>
      <c r="G222" s="61">
        <v>24.8</v>
      </c>
      <c r="H222" s="61">
        <v>72</v>
      </c>
      <c r="I222" s="61">
        <v>16.2</v>
      </c>
      <c r="J222" s="61">
        <v>28.8</v>
      </c>
      <c r="K222" s="61">
        <v>32.6</v>
      </c>
      <c r="L222" s="61">
        <v>31</v>
      </c>
      <c r="M222" s="61">
        <v>36</v>
      </c>
      <c r="N222" s="61">
        <v>38.4</v>
      </c>
      <c r="O222" s="85">
        <v>15.6</v>
      </c>
      <c r="P222" s="105"/>
      <c r="Q222" s="87">
        <f t="shared" si="22"/>
        <v>-2.8309384128461484E-2</v>
      </c>
      <c r="R222" s="87">
        <f t="shared" si="24"/>
        <v>-3.1055870272305011E-2</v>
      </c>
      <c r="S222" s="87">
        <f t="shared" si="24"/>
        <v>-8.2034459071415801E-4</v>
      </c>
      <c r="T222" s="87">
        <f t="shared" si="24"/>
        <v>0</v>
      </c>
      <c r="U222" s="87">
        <f t="shared" si="24"/>
        <v>-1.1560822401075971E-2</v>
      </c>
      <c r="V222" s="87">
        <f t="shared" si="24"/>
        <v>-2.3905520853554366E-2</v>
      </c>
      <c r="W222" s="87">
        <f t="shared" si="23"/>
        <v>4.175371410480592E-3</v>
      </c>
      <c r="X222" s="87">
        <f t="shared" si="23"/>
        <v>-3.0397477184371045E-2</v>
      </c>
      <c r="Y222" s="87">
        <f t="shared" si="21"/>
        <v>-4.0821994520255048E-2</v>
      </c>
      <c r="Z222" s="87">
        <f t="shared" si="21"/>
        <v>-9.1603693986641657E-3</v>
      </c>
      <c r="AA222" s="87">
        <f t="shared" si="21"/>
        <v>-6.4308903302904025E-3</v>
      </c>
      <c r="AB222" s="87">
        <f t="shared" si="21"/>
        <v>-5.1432173632270588E-2</v>
      </c>
      <c r="AC222" s="87">
        <f t="shared" si="21"/>
        <v>-2.0619287202735818E-2</v>
      </c>
      <c r="AD222" s="87">
        <f t="shared" si="21"/>
        <v>-2.5317807984289897E-2</v>
      </c>
      <c r="AE222" s="90">
        <f t="shared" si="25"/>
        <v>-1.5932142531998546E-2</v>
      </c>
      <c r="AF222" s="89"/>
    </row>
    <row r="223" spans="1:32" ht="15.5" x14ac:dyDescent="0.35">
      <c r="A223" s="82">
        <v>40088</v>
      </c>
      <c r="B223" s="83">
        <v>6674.6</v>
      </c>
      <c r="C223" s="84">
        <v>2048.1</v>
      </c>
      <c r="D223" s="61">
        <v>241.5</v>
      </c>
      <c r="E223" s="61">
        <v>16.8</v>
      </c>
      <c r="F223" s="61">
        <v>25.9</v>
      </c>
      <c r="G223" s="61">
        <v>24.4</v>
      </c>
      <c r="H223" s="61">
        <v>70.8</v>
      </c>
      <c r="I223" s="61">
        <v>15.2</v>
      </c>
      <c r="J223" s="61">
        <v>27.9</v>
      </c>
      <c r="K223" s="61">
        <v>31.8</v>
      </c>
      <c r="L223" s="61">
        <v>31.1</v>
      </c>
      <c r="M223" s="61">
        <v>35.1</v>
      </c>
      <c r="N223" s="61">
        <v>37.5</v>
      </c>
      <c r="O223" s="85">
        <v>15.3</v>
      </c>
      <c r="P223" s="105"/>
      <c r="Q223" s="87">
        <f t="shared" si="22"/>
        <v>-6.4812137930008711E-3</v>
      </c>
      <c r="R223" s="87">
        <f t="shared" si="24"/>
        <v>-4.5791194588805746E-3</v>
      </c>
      <c r="S223" s="87">
        <f t="shared" si="24"/>
        <v>-9.0684875385331661E-3</v>
      </c>
      <c r="T223" s="87">
        <f t="shared" si="24"/>
        <v>-2.3530497410194046E-2</v>
      </c>
      <c r="U223" s="87">
        <f t="shared" si="24"/>
        <v>3.8684767779203319E-3</v>
      </c>
      <c r="V223" s="87">
        <f t="shared" si="24"/>
        <v>-1.6260520871780405E-2</v>
      </c>
      <c r="W223" s="87">
        <f t="shared" si="23"/>
        <v>-1.6807118316381289E-2</v>
      </c>
      <c r="X223" s="87">
        <f t="shared" si="23"/>
        <v>-6.3715814386107739E-2</v>
      </c>
      <c r="Y223" s="87">
        <f t="shared" si="21"/>
        <v>-3.1748698314580416E-2</v>
      </c>
      <c r="Z223" s="87">
        <f t="shared" si="21"/>
        <v>-2.4845998586530776E-2</v>
      </c>
      <c r="AA223" s="87">
        <f t="shared" si="21"/>
        <v>3.2206147000421572E-3</v>
      </c>
      <c r="AB223" s="87">
        <f t="shared" si="21"/>
        <v>-2.5317807984289783E-2</v>
      </c>
      <c r="AC223" s="87">
        <f t="shared" si="21"/>
        <v>-2.3716526617316044E-2</v>
      </c>
      <c r="AD223" s="87">
        <f t="shared" si="21"/>
        <v>-1.9418085857101513E-2</v>
      </c>
      <c r="AE223" s="90">
        <f t="shared" si="25"/>
        <v>-5.2816000720510231E-3</v>
      </c>
      <c r="AF223" s="89"/>
    </row>
    <row r="224" spans="1:32" ht="15.5" x14ac:dyDescent="0.35">
      <c r="A224" s="82">
        <v>40091</v>
      </c>
      <c r="B224" s="83">
        <v>6795.1</v>
      </c>
      <c r="C224" s="84">
        <v>2068.1</v>
      </c>
      <c r="D224" s="61">
        <v>241.9</v>
      </c>
      <c r="E224" s="61">
        <v>16.7</v>
      </c>
      <c r="F224" s="61">
        <v>26.3</v>
      </c>
      <c r="G224" s="61">
        <v>24.5</v>
      </c>
      <c r="H224" s="61">
        <v>70.2</v>
      </c>
      <c r="I224" s="61">
        <v>15.5</v>
      </c>
      <c r="J224" s="61">
        <v>28.2</v>
      </c>
      <c r="K224" s="61">
        <v>32.9</v>
      </c>
      <c r="L224" s="61">
        <v>31.2</v>
      </c>
      <c r="M224" s="61">
        <v>35.799999999999997</v>
      </c>
      <c r="N224" s="61">
        <v>38.299999999999997</v>
      </c>
      <c r="O224" s="85">
        <v>15.4</v>
      </c>
      <c r="P224" s="105"/>
      <c r="Q224" s="87">
        <f t="shared" si="22"/>
        <v>1.789248680117566E-2</v>
      </c>
      <c r="R224" s="87">
        <f t="shared" si="24"/>
        <v>9.7177772662862451E-3</v>
      </c>
      <c r="S224" s="87">
        <f t="shared" si="24"/>
        <v>1.6549445233542252E-3</v>
      </c>
      <c r="T224" s="87">
        <f t="shared" si="24"/>
        <v>-5.9701669865039079E-3</v>
      </c>
      <c r="U224" s="87">
        <f t="shared" si="24"/>
        <v>1.5325970478226991E-2</v>
      </c>
      <c r="V224" s="87">
        <f t="shared" si="24"/>
        <v>4.0899852515250664E-3</v>
      </c>
      <c r="W224" s="87">
        <f t="shared" si="23"/>
        <v>-8.5106896679085064E-3</v>
      </c>
      <c r="X224" s="87">
        <f t="shared" si="23"/>
        <v>1.9544596072970346E-2</v>
      </c>
      <c r="Y224" s="87">
        <f t="shared" si="21"/>
        <v>1.069528911674795E-2</v>
      </c>
      <c r="Z224" s="87">
        <f t="shared" si="21"/>
        <v>3.4006367985194942E-2</v>
      </c>
      <c r="AA224" s="87">
        <f t="shared" si="21"/>
        <v>3.2102756302481894E-3</v>
      </c>
      <c r="AB224" s="87">
        <f t="shared" si="21"/>
        <v>1.974676293483428E-2</v>
      </c>
      <c r="AC224" s="87">
        <f t="shared" si="21"/>
        <v>2.110896321023505E-2</v>
      </c>
      <c r="AD224" s="87">
        <f t="shared" si="21"/>
        <v>6.5146810211936723E-3</v>
      </c>
      <c r="AE224" s="90">
        <f t="shared" si="25"/>
        <v>8.5715374611359477E-3</v>
      </c>
      <c r="AF224" s="89"/>
    </row>
    <row r="225" spans="1:32" ht="15.5" x14ac:dyDescent="0.35">
      <c r="A225" s="82">
        <v>40092</v>
      </c>
      <c r="B225" s="83">
        <v>6899.7</v>
      </c>
      <c r="C225" s="84">
        <v>2103.6</v>
      </c>
      <c r="D225" s="61">
        <v>246.1</v>
      </c>
      <c r="E225" s="61">
        <v>17</v>
      </c>
      <c r="F225" s="61">
        <v>26.8</v>
      </c>
      <c r="G225" s="61">
        <v>24.7</v>
      </c>
      <c r="H225" s="61">
        <v>70.7</v>
      </c>
      <c r="I225" s="61">
        <v>16.100000000000001</v>
      </c>
      <c r="J225" s="61">
        <v>29.1</v>
      </c>
      <c r="K225" s="61">
        <v>34.299999999999997</v>
      </c>
      <c r="L225" s="61">
        <v>31.7</v>
      </c>
      <c r="M225" s="61">
        <v>36.799999999999997</v>
      </c>
      <c r="N225" s="61">
        <v>39.299999999999997</v>
      </c>
      <c r="O225" s="85">
        <v>15.7</v>
      </c>
      <c r="P225" s="105"/>
      <c r="Q225" s="87">
        <f t="shared" si="22"/>
        <v>1.5276168198861241E-2</v>
      </c>
      <c r="R225" s="87">
        <f t="shared" si="24"/>
        <v>1.7019851356558369E-2</v>
      </c>
      <c r="S225" s="87">
        <f t="shared" si="24"/>
        <v>1.7213539781028617E-2</v>
      </c>
      <c r="T225" s="87">
        <f t="shared" si="24"/>
        <v>1.7804624633506686E-2</v>
      </c>
      <c r="U225" s="87">
        <f t="shared" si="24"/>
        <v>1.8832948333092178E-2</v>
      </c>
      <c r="V225" s="87">
        <f t="shared" si="24"/>
        <v>8.1301260832500888E-3</v>
      </c>
      <c r="W225" s="87">
        <f t="shared" si="23"/>
        <v>7.0972618707616847E-3</v>
      </c>
      <c r="X225" s="87">
        <f t="shared" si="23"/>
        <v>3.7979248065216471E-2</v>
      </c>
      <c r="Y225" s="87">
        <f t="shared" si="21"/>
        <v>3.1416196233378914E-2</v>
      </c>
      <c r="Z225" s="87">
        <f t="shared" si="21"/>
        <v>4.1672696400568081E-2</v>
      </c>
      <c r="AA225" s="87">
        <f t="shared" si="21"/>
        <v>1.5898586067798204E-2</v>
      </c>
      <c r="AB225" s="87">
        <f t="shared" si="21"/>
        <v>2.7549951768230649E-2</v>
      </c>
      <c r="AC225" s="87">
        <f t="shared" si="21"/>
        <v>2.5774622688615155E-2</v>
      </c>
      <c r="AD225" s="87">
        <f t="shared" si="21"/>
        <v>1.9293202934678851E-2</v>
      </c>
      <c r="AE225" s="90">
        <f t="shared" si="25"/>
        <v>1.7871313316603077E-2</v>
      </c>
      <c r="AF225" s="89"/>
    </row>
    <row r="226" spans="1:32" ht="15.5" x14ac:dyDescent="0.35">
      <c r="A226" s="82">
        <v>40093</v>
      </c>
      <c r="B226" s="83">
        <v>6912.6</v>
      </c>
      <c r="C226" s="84">
        <v>2110.3000000000002</v>
      </c>
      <c r="D226" s="61">
        <v>249.2</v>
      </c>
      <c r="E226" s="61">
        <v>17.2</v>
      </c>
      <c r="F226" s="61">
        <v>27</v>
      </c>
      <c r="G226" s="61">
        <v>24.9</v>
      </c>
      <c r="H226" s="61">
        <v>70.900000000000006</v>
      </c>
      <c r="I226" s="61">
        <v>16.100000000000001</v>
      </c>
      <c r="J226" s="61">
        <v>29.7</v>
      </c>
      <c r="K226" s="61">
        <v>34.6</v>
      </c>
      <c r="L226" s="61">
        <v>31.9</v>
      </c>
      <c r="M226" s="61">
        <v>37.200000000000003</v>
      </c>
      <c r="N226" s="61">
        <v>39.700000000000003</v>
      </c>
      <c r="O226" s="85">
        <v>15.7</v>
      </c>
      <c r="P226" s="105"/>
      <c r="Q226" s="87">
        <f t="shared" si="22"/>
        <v>1.8679008927887332E-3</v>
      </c>
      <c r="R226" s="87">
        <f t="shared" si="24"/>
        <v>3.1799547430781563E-3</v>
      </c>
      <c r="S226" s="87">
        <f t="shared" si="24"/>
        <v>1.2517829516287934E-2</v>
      </c>
      <c r="T226" s="87">
        <f t="shared" si="24"/>
        <v>1.1696039763191236E-2</v>
      </c>
      <c r="U226" s="87">
        <f t="shared" si="24"/>
        <v>7.4349784875179905E-3</v>
      </c>
      <c r="V226" s="87">
        <f t="shared" si="24"/>
        <v>8.0645598367304946E-3</v>
      </c>
      <c r="W226" s="87">
        <f t="shared" si="23"/>
        <v>2.8248606355548407E-3</v>
      </c>
      <c r="X226" s="87">
        <f t="shared" si="23"/>
        <v>0</v>
      </c>
      <c r="Y226" s="87">
        <f t="shared" si="21"/>
        <v>2.0408871631207033E-2</v>
      </c>
      <c r="Z226" s="87">
        <f t="shared" si="21"/>
        <v>8.7083278917844138E-3</v>
      </c>
      <c r="AA226" s="87">
        <f t="shared" si="21"/>
        <v>6.2893289075639184E-3</v>
      </c>
      <c r="AB226" s="87">
        <f t="shared" si="21"/>
        <v>1.0810916104215676E-2</v>
      </c>
      <c r="AC226" s="87">
        <f t="shared" si="21"/>
        <v>1.0126668817929268E-2</v>
      </c>
      <c r="AD226" s="87">
        <f t="shared" si="21"/>
        <v>0</v>
      </c>
      <c r="AE226" s="90">
        <f t="shared" si="25"/>
        <v>6.7439103463678256E-3</v>
      </c>
      <c r="AF226" s="89"/>
    </row>
    <row r="227" spans="1:32" ht="15.5" x14ac:dyDescent="0.35">
      <c r="A227" s="82">
        <v>40094</v>
      </c>
      <c r="B227" s="83">
        <v>6990.7</v>
      </c>
      <c r="C227" s="84">
        <v>2123.9</v>
      </c>
      <c r="D227" s="61">
        <v>256.89999999999998</v>
      </c>
      <c r="E227" s="61">
        <v>17.5</v>
      </c>
      <c r="F227" s="61">
        <v>27</v>
      </c>
      <c r="G227" s="61">
        <v>25.2</v>
      </c>
      <c r="H227" s="61">
        <v>73.099999999999994</v>
      </c>
      <c r="I227" s="61">
        <v>16.600000000000001</v>
      </c>
      <c r="J227" s="61">
        <v>30.1</v>
      </c>
      <c r="K227" s="61">
        <v>33.6</v>
      </c>
      <c r="L227" s="61">
        <v>32.200000000000003</v>
      </c>
      <c r="M227" s="61">
        <v>37.6</v>
      </c>
      <c r="N227" s="61">
        <v>39.9</v>
      </c>
      <c r="O227" s="85">
        <v>15.9</v>
      </c>
      <c r="P227" s="105"/>
      <c r="Q227" s="87">
        <f t="shared" si="22"/>
        <v>1.1234861003327724E-2</v>
      </c>
      <c r="R227" s="87">
        <f t="shared" si="24"/>
        <v>6.4239038159337502E-3</v>
      </c>
      <c r="S227" s="87">
        <f t="shared" si="24"/>
        <v>3.0431117202539833E-2</v>
      </c>
      <c r="T227" s="87">
        <f t="shared" si="24"/>
        <v>1.7291497110061043E-2</v>
      </c>
      <c r="U227" s="87">
        <f t="shared" si="24"/>
        <v>0</v>
      </c>
      <c r="V227" s="87">
        <f t="shared" si="24"/>
        <v>1.197619104671562E-2</v>
      </c>
      <c r="W227" s="87">
        <f t="shared" si="23"/>
        <v>3.0557933217650744E-2</v>
      </c>
      <c r="X227" s="87">
        <f t="shared" si="23"/>
        <v>3.0583423372080185E-2</v>
      </c>
      <c r="Y227" s="87">
        <f t="shared" si="21"/>
        <v>1.3378125946176269E-2</v>
      </c>
      <c r="Z227" s="87">
        <f t="shared" si="21"/>
        <v>-2.9327615094520063E-2</v>
      </c>
      <c r="AA227" s="87">
        <f t="shared" si="21"/>
        <v>9.3604427595638928E-3</v>
      </c>
      <c r="AB227" s="87">
        <f t="shared" si="21"/>
        <v>1.069528911674795E-2</v>
      </c>
      <c r="AC227" s="87">
        <f t="shared" si="21"/>
        <v>5.0251362026729795E-3</v>
      </c>
      <c r="AD227" s="87">
        <f t="shared" si="21"/>
        <v>1.2658396871923465E-2</v>
      </c>
      <c r="AE227" s="90">
        <f t="shared" si="25"/>
        <v>1.2373307043902805E-2</v>
      </c>
      <c r="AF227" s="89"/>
    </row>
    <row r="228" spans="1:32" ht="15.5" x14ac:dyDescent="0.35">
      <c r="A228" s="82">
        <v>40095</v>
      </c>
      <c r="B228" s="83">
        <v>7015.5</v>
      </c>
      <c r="C228" s="84">
        <v>2139.3000000000002</v>
      </c>
      <c r="D228" s="61">
        <v>257.5</v>
      </c>
      <c r="E228" s="61">
        <v>16.8</v>
      </c>
      <c r="F228" s="61">
        <v>27</v>
      </c>
      <c r="G228" s="61">
        <v>25.5</v>
      </c>
      <c r="H228" s="61">
        <v>73.3</v>
      </c>
      <c r="I228" s="61">
        <v>16.899999999999999</v>
      </c>
      <c r="J228" s="61">
        <v>30</v>
      </c>
      <c r="K228" s="61">
        <v>34.700000000000003</v>
      </c>
      <c r="L228" s="61">
        <v>32.299999999999997</v>
      </c>
      <c r="M228" s="61">
        <v>37.799999999999997</v>
      </c>
      <c r="N228" s="61">
        <v>40.200000000000003</v>
      </c>
      <c r="O228" s="85">
        <v>15.8</v>
      </c>
      <c r="P228" s="105"/>
      <c r="Q228" s="87">
        <f t="shared" si="22"/>
        <v>3.5412925586599674E-3</v>
      </c>
      <c r="R228" s="87">
        <f t="shared" si="24"/>
        <v>7.2246514281666336E-3</v>
      </c>
      <c r="S228" s="87">
        <f t="shared" si="24"/>
        <v>2.3328159879530725E-3</v>
      </c>
      <c r="T228" s="87">
        <f t="shared" si="24"/>
        <v>-4.0821994520255048E-2</v>
      </c>
      <c r="U228" s="87">
        <f t="shared" si="24"/>
        <v>0</v>
      </c>
      <c r="V228" s="87">
        <f t="shared" si="24"/>
        <v>1.1834457647002798E-2</v>
      </c>
      <c r="W228" s="87">
        <f t="shared" si="23"/>
        <v>2.7322421368730716E-3</v>
      </c>
      <c r="X228" s="87">
        <f t="shared" si="23"/>
        <v>1.7910926566530025E-2</v>
      </c>
      <c r="Y228" s="87">
        <f t="shared" si="21"/>
        <v>-3.327790092674691E-3</v>
      </c>
      <c r="Z228" s="87">
        <f t="shared" si="21"/>
        <v>3.2213619983655059E-2</v>
      </c>
      <c r="AA228" s="87">
        <f t="shared" si="21"/>
        <v>3.1007776782479642E-3</v>
      </c>
      <c r="AB228" s="87">
        <f t="shared" si="21"/>
        <v>5.3050522296930981E-3</v>
      </c>
      <c r="AC228" s="87">
        <f t="shared" si="21"/>
        <v>7.4906717291576587E-3</v>
      </c>
      <c r="AD228" s="87">
        <f t="shared" si="21"/>
        <v>-6.309169193264721E-3</v>
      </c>
      <c r="AE228" s="90">
        <f t="shared" si="25"/>
        <v>2.0816752834880922E-3</v>
      </c>
      <c r="AF228" s="89"/>
    </row>
    <row r="229" spans="1:32" ht="15.5" x14ac:dyDescent="0.35">
      <c r="A229" s="82">
        <v>40098</v>
      </c>
      <c r="B229" s="83">
        <v>7051.2</v>
      </c>
      <c r="C229" s="84">
        <v>2139.1</v>
      </c>
      <c r="D229" s="61">
        <v>259.89999999999998</v>
      </c>
      <c r="E229" s="61">
        <v>16.7</v>
      </c>
      <c r="F229" s="61">
        <v>27.1</v>
      </c>
      <c r="G229" s="61">
        <v>25.6</v>
      </c>
      <c r="H229" s="61">
        <v>73.2</v>
      </c>
      <c r="I229" s="61">
        <v>17</v>
      </c>
      <c r="J229" s="61">
        <v>29.7</v>
      </c>
      <c r="K229" s="61">
        <v>35.4</v>
      </c>
      <c r="L229" s="61">
        <v>32.5</v>
      </c>
      <c r="M229" s="61">
        <v>37.799999999999997</v>
      </c>
      <c r="N229" s="61">
        <v>41</v>
      </c>
      <c r="O229" s="85">
        <v>15.8</v>
      </c>
      <c r="P229" s="105"/>
      <c r="Q229" s="87">
        <f t="shared" si="22"/>
        <v>5.0758282536718328E-3</v>
      </c>
      <c r="R229" s="87">
        <f t="shared" si="24"/>
        <v>-9.3492894608285446E-5</v>
      </c>
      <c r="S229" s="87">
        <f t="shared" si="24"/>
        <v>9.277221543653718E-3</v>
      </c>
      <c r="T229" s="87">
        <f t="shared" si="24"/>
        <v>-5.9701669865039079E-3</v>
      </c>
      <c r="U229" s="87">
        <f t="shared" si="24"/>
        <v>3.6968618813262026E-3</v>
      </c>
      <c r="V229" s="87">
        <f t="shared" si="24"/>
        <v>3.9138993211363148E-3</v>
      </c>
      <c r="W229" s="87">
        <f t="shared" si="23"/>
        <v>-1.3651879253398589E-3</v>
      </c>
      <c r="X229" s="87">
        <f t="shared" si="23"/>
        <v>5.899722127188322E-3</v>
      </c>
      <c r="Y229" s="87">
        <f t="shared" si="21"/>
        <v>-1.0050335853501451E-2</v>
      </c>
      <c r="Z229" s="87">
        <f t="shared" si="21"/>
        <v>1.997213318691517E-2</v>
      </c>
      <c r="AA229" s="87">
        <f t="shared" si="21"/>
        <v>6.1728591070810161E-3</v>
      </c>
      <c r="AB229" s="87">
        <f t="shared" si="21"/>
        <v>0</v>
      </c>
      <c r="AC229" s="87">
        <f t="shared" si="21"/>
        <v>1.9705071079332337E-2</v>
      </c>
      <c r="AD229" s="87">
        <f t="shared" si="21"/>
        <v>0</v>
      </c>
      <c r="AE229" s="90">
        <f t="shared" si="25"/>
        <v>3.745091871079056E-3</v>
      </c>
      <c r="AF229" s="89"/>
    </row>
    <row r="230" spans="1:32" ht="15.5" x14ac:dyDescent="0.35">
      <c r="A230" s="82">
        <v>40099</v>
      </c>
      <c r="B230" s="83">
        <v>7031.9</v>
      </c>
      <c r="C230" s="84">
        <v>2139.9</v>
      </c>
      <c r="D230" s="61">
        <v>261</v>
      </c>
      <c r="E230" s="61">
        <v>16.8</v>
      </c>
      <c r="F230" s="61">
        <v>27.1</v>
      </c>
      <c r="G230" s="61">
        <v>25.5</v>
      </c>
      <c r="H230" s="61">
        <v>72.8</v>
      </c>
      <c r="I230" s="61">
        <v>16.7</v>
      </c>
      <c r="J230" s="61">
        <v>29.7</v>
      </c>
      <c r="K230" s="61">
        <v>35.4</v>
      </c>
      <c r="L230" s="61">
        <v>32.299999999999997</v>
      </c>
      <c r="M230" s="61">
        <v>36.6</v>
      </c>
      <c r="N230" s="61">
        <v>41.6</v>
      </c>
      <c r="O230" s="85">
        <v>15.8</v>
      </c>
      <c r="P230" s="105"/>
      <c r="Q230" s="87">
        <f t="shared" si="22"/>
        <v>-2.7408755291717913E-3</v>
      </c>
      <c r="R230" s="87">
        <f t="shared" si="24"/>
        <v>3.7391914434273894E-4</v>
      </c>
      <c r="S230" s="87">
        <f t="shared" si="24"/>
        <v>4.223465675248928E-3</v>
      </c>
      <c r="T230" s="87">
        <f t="shared" si="24"/>
        <v>5.9701669865039747E-3</v>
      </c>
      <c r="U230" s="87">
        <f t="shared" si="24"/>
        <v>0</v>
      </c>
      <c r="V230" s="87">
        <f t="shared" si="24"/>
        <v>-3.9138993211363287E-3</v>
      </c>
      <c r="W230" s="87">
        <f t="shared" si="23"/>
        <v>-5.4794657646257076E-3</v>
      </c>
      <c r="X230" s="87">
        <f t="shared" si="23"/>
        <v>-1.7804624633506707E-2</v>
      </c>
      <c r="Y230" s="87">
        <f t="shared" si="21"/>
        <v>0</v>
      </c>
      <c r="Z230" s="87">
        <f t="shared" si="21"/>
        <v>0</v>
      </c>
      <c r="AA230" s="87">
        <f t="shared" si="21"/>
        <v>-6.1728591070810794E-3</v>
      </c>
      <c r="AB230" s="87">
        <f t="shared" si="21"/>
        <v>-3.2260862218221324E-2</v>
      </c>
      <c r="AC230" s="87">
        <f t="shared" si="21"/>
        <v>1.4528100562909808E-2</v>
      </c>
      <c r="AD230" s="87">
        <f t="shared" si="21"/>
        <v>0</v>
      </c>
      <c r="AE230" s="90">
        <f t="shared" si="25"/>
        <v>1.3485617881725666E-3</v>
      </c>
      <c r="AF230" s="89"/>
    </row>
    <row r="231" spans="1:32" ht="15.5" x14ac:dyDescent="0.35">
      <c r="A231" s="82">
        <v>40100</v>
      </c>
      <c r="B231" s="83">
        <v>7182.4</v>
      </c>
      <c r="C231" s="84">
        <v>2172.1999999999998</v>
      </c>
      <c r="D231" s="61">
        <v>265.3</v>
      </c>
      <c r="E231" s="61">
        <v>16.8</v>
      </c>
      <c r="F231" s="61">
        <v>27.2</v>
      </c>
      <c r="G231" s="61">
        <v>25.8</v>
      </c>
      <c r="H231" s="61">
        <v>71.599999999999994</v>
      </c>
      <c r="I231" s="61">
        <v>17.2</v>
      </c>
      <c r="J231" s="61">
        <v>30.3</v>
      </c>
      <c r="K231" s="61">
        <v>36</v>
      </c>
      <c r="L231" s="61">
        <v>32.299999999999997</v>
      </c>
      <c r="M231" s="61">
        <v>37.5</v>
      </c>
      <c r="N231" s="61">
        <v>43</v>
      </c>
      <c r="O231" s="85">
        <v>16</v>
      </c>
      <c r="P231" s="105"/>
      <c r="Q231" s="87">
        <f t="shared" si="22"/>
        <v>2.1176649469116824E-2</v>
      </c>
      <c r="R231" s="87">
        <f t="shared" si="24"/>
        <v>1.4981379893833318E-2</v>
      </c>
      <c r="S231" s="87">
        <f t="shared" si="24"/>
        <v>1.6340853821000652E-2</v>
      </c>
      <c r="T231" s="87">
        <f t="shared" si="24"/>
        <v>0</v>
      </c>
      <c r="U231" s="87">
        <f t="shared" si="24"/>
        <v>3.683245416296368E-3</v>
      </c>
      <c r="V231" s="87">
        <f t="shared" si="24"/>
        <v>1.1696039763191236E-2</v>
      </c>
      <c r="W231" s="87">
        <f t="shared" si="23"/>
        <v>-1.6620881236040407E-2</v>
      </c>
      <c r="X231" s="87">
        <f t="shared" si="23"/>
        <v>2.9500664396697841E-2</v>
      </c>
      <c r="Y231" s="87">
        <f t="shared" si="21"/>
        <v>2.000066670666965E-2</v>
      </c>
      <c r="Z231" s="87">
        <f t="shared" si="21"/>
        <v>1.6807118316381191E-2</v>
      </c>
      <c r="AA231" s="87">
        <f t="shared" si="21"/>
        <v>0</v>
      </c>
      <c r="AB231" s="87">
        <f t="shared" si="21"/>
        <v>2.4292692569044483E-2</v>
      </c>
      <c r="AC231" s="87">
        <f t="shared" si="21"/>
        <v>3.3099948426344707E-2</v>
      </c>
      <c r="AD231" s="87">
        <f t="shared" si="21"/>
        <v>1.2578782206859965E-2</v>
      </c>
      <c r="AE231" s="90">
        <f t="shared" si="25"/>
        <v>1.1856777412386707E-2</v>
      </c>
      <c r="AF231" s="89"/>
    </row>
    <row r="232" spans="1:32" ht="15.5" x14ac:dyDescent="0.35">
      <c r="A232" s="82">
        <v>40101</v>
      </c>
      <c r="B232" s="83">
        <v>7204</v>
      </c>
      <c r="C232" s="84">
        <v>2173.3000000000002</v>
      </c>
      <c r="D232" s="61">
        <v>263.89999999999998</v>
      </c>
      <c r="E232" s="61">
        <v>16.5</v>
      </c>
      <c r="F232" s="61">
        <v>27.1</v>
      </c>
      <c r="G232" s="61">
        <v>25.9</v>
      </c>
      <c r="H232" s="61">
        <v>74.2</v>
      </c>
      <c r="I232" s="61">
        <v>17.2</v>
      </c>
      <c r="J232" s="61">
        <v>30.7</v>
      </c>
      <c r="K232" s="61">
        <v>36.299999999999997</v>
      </c>
      <c r="L232" s="61">
        <v>32.6</v>
      </c>
      <c r="M232" s="61">
        <v>37.700000000000003</v>
      </c>
      <c r="N232" s="61">
        <v>43.6</v>
      </c>
      <c r="O232" s="85">
        <v>16</v>
      </c>
      <c r="P232" s="105"/>
      <c r="Q232" s="87">
        <f t="shared" si="22"/>
        <v>3.0028382681790942E-3</v>
      </c>
      <c r="R232" s="87">
        <f t="shared" si="24"/>
        <v>5.0627086572110869E-4</v>
      </c>
      <c r="S232" s="87">
        <f t="shared" si="24"/>
        <v>-5.2910176344156592E-3</v>
      </c>
      <c r="T232" s="87">
        <f t="shared" si="24"/>
        <v>-1.8018505502678365E-2</v>
      </c>
      <c r="U232" s="87">
        <f t="shared" si="24"/>
        <v>-3.6832454162962934E-3</v>
      </c>
      <c r="V232" s="87">
        <f t="shared" si="24"/>
        <v>3.8684767779203319E-3</v>
      </c>
      <c r="W232" s="87">
        <f t="shared" si="23"/>
        <v>3.5669076206734929E-2</v>
      </c>
      <c r="X232" s="87">
        <f t="shared" si="23"/>
        <v>0</v>
      </c>
      <c r="Y232" s="87">
        <f t="shared" si="21"/>
        <v>1.311494207782795E-2</v>
      </c>
      <c r="Z232" s="87">
        <f t="shared" si="21"/>
        <v>8.2988028146950641E-3</v>
      </c>
      <c r="AA232" s="87">
        <f t="shared" si="21"/>
        <v>9.2450581440512089E-3</v>
      </c>
      <c r="AB232" s="87">
        <f t="shared" si="21"/>
        <v>5.3191614776000266E-3</v>
      </c>
      <c r="AC232" s="87">
        <f t="shared" si="21"/>
        <v>1.3857034661426281E-2</v>
      </c>
      <c r="AD232" s="87">
        <f t="shared" si="21"/>
        <v>0</v>
      </c>
      <c r="AE232" s="90">
        <f t="shared" si="25"/>
        <v>-2.4504505116270457E-3</v>
      </c>
      <c r="AF232" s="89"/>
    </row>
    <row r="233" spans="1:32" ht="15.5" x14ac:dyDescent="0.35">
      <c r="A233" s="82">
        <v>40102</v>
      </c>
      <c r="B233" s="83">
        <v>7134</v>
      </c>
      <c r="C233" s="84">
        <v>2156.8000000000002</v>
      </c>
      <c r="D233" s="61">
        <v>272.5</v>
      </c>
      <c r="E233" s="61">
        <v>16.399999999999999</v>
      </c>
      <c r="F233" s="61">
        <v>26.8</v>
      </c>
      <c r="G233" s="61">
        <v>26.1</v>
      </c>
      <c r="H233" s="61">
        <v>73.099999999999994</v>
      </c>
      <c r="I233" s="61">
        <v>17.2</v>
      </c>
      <c r="J233" s="61">
        <v>31.1</v>
      </c>
      <c r="K233" s="61">
        <v>35.6</v>
      </c>
      <c r="L233" s="61">
        <v>33</v>
      </c>
      <c r="M233" s="61">
        <v>36.9</v>
      </c>
      <c r="N233" s="61">
        <v>42.8</v>
      </c>
      <c r="O233" s="85">
        <v>16.100000000000001</v>
      </c>
      <c r="P233" s="105"/>
      <c r="Q233" s="87">
        <f t="shared" si="22"/>
        <v>-9.7643403770098572E-3</v>
      </c>
      <c r="R233" s="87">
        <f t="shared" si="24"/>
        <v>-7.6211079936686441E-3</v>
      </c>
      <c r="S233" s="87">
        <f t="shared" si="24"/>
        <v>3.2068370594020491E-2</v>
      </c>
      <c r="T233" s="87">
        <f t="shared" si="24"/>
        <v>-6.0790460763822263E-3</v>
      </c>
      <c r="U233" s="87">
        <f t="shared" si="24"/>
        <v>-1.1131840368844294E-2</v>
      </c>
      <c r="V233" s="87">
        <f t="shared" si="24"/>
        <v>7.6923456231558652E-3</v>
      </c>
      <c r="W233" s="87">
        <f t="shared" si="23"/>
        <v>-1.4935783417602037E-2</v>
      </c>
      <c r="X233" s="87">
        <f t="shared" si="23"/>
        <v>0</v>
      </c>
      <c r="Y233" s="87">
        <f t="shared" si="21"/>
        <v>1.2945164592036986E-2</v>
      </c>
      <c r="Z233" s="87">
        <f t="shared" si="21"/>
        <v>-1.9472103412820182E-2</v>
      </c>
      <c r="AA233" s="87">
        <f t="shared" si="21"/>
        <v>1.2195273093818206E-2</v>
      </c>
      <c r="AB233" s="87">
        <f t="shared" si="21"/>
        <v>-2.1448543407483742E-2</v>
      </c>
      <c r="AC233" s="87">
        <f t="shared" si="21"/>
        <v>-1.8519047767237642E-2</v>
      </c>
      <c r="AD233" s="87">
        <f t="shared" si="21"/>
        <v>6.2305497506361628E-3</v>
      </c>
      <c r="AE233" s="90">
        <f t="shared" si="25"/>
        <v>4.6783451745826083E-3</v>
      </c>
      <c r="AF233" s="89"/>
    </row>
    <row r="234" spans="1:32" ht="15.5" x14ac:dyDescent="0.35">
      <c r="A234" s="82">
        <v>40105</v>
      </c>
      <c r="B234" s="83">
        <v>7222.2</v>
      </c>
      <c r="C234" s="84">
        <v>2176.3000000000002</v>
      </c>
      <c r="D234" s="61">
        <v>274.60000000000002</v>
      </c>
      <c r="E234" s="61">
        <v>16.7</v>
      </c>
      <c r="F234" s="61">
        <v>26.5</v>
      </c>
      <c r="G234" s="61">
        <v>26.3</v>
      </c>
      <c r="H234" s="61">
        <v>72.900000000000006</v>
      </c>
      <c r="I234" s="61">
        <v>17.5</v>
      </c>
      <c r="J234" s="61">
        <v>33.1</v>
      </c>
      <c r="K234" s="61">
        <v>35.700000000000003</v>
      </c>
      <c r="L234" s="61">
        <v>33.1</v>
      </c>
      <c r="M234" s="61">
        <v>37.5</v>
      </c>
      <c r="N234" s="61">
        <v>43.4</v>
      </c>
      <c r="O234" s="85">
        <v>16.100000000000001</v>
      </c>
      <c r="P234" s="105"/>
      <c r="Q234" s="87">
        <f t="shared" si="22"/>
        <v>1.2287528694907207E-2</v>
      </c>
      <c r="R234" s="87">
        <f t="shared" si="24"/>
        <v>9.0005454020334781E-3</v>
      </c>
      <c r="S234" s="87">
        <f t="shared" si="24"/>
        <v>7.676879230571987E-3</v>
      </c>
      <c r="T234" s="87">
        <f t="shared" si="24"/>
        <v>1.8127384592556701E-2</v>
      </c>
      <c r="U234" s="87">
        <f t="shared" si="24"/>
        <v>-1.1257154524634447E-2</v>
      </c>
      <c r="V234" s="87">
        <f t="shared" si="24"/>
        <v>7.6336248550712051E-3</v>
      </c>
      <c r="W234" s="87">
        <f t="shared" si="23"/>
        <v>-2.7397277411202159E-3</v>
      </c>
      <c r="X234" s="87">
        <f t="shared" si="23"/>
        <v>1.7291497110061043E-2</v>
      </c>
      <c r="Y234" s="87">
        <f t="shared" si="23"/>
        <v>6.2325463197828786E-2</v>
      </c>
      <c r="Z234" s="87">
        <f t="shared" si="23"/>
        <v>2.8050509276086816E-3</v>
      </c>
      <c r="AA234" s="87">
        <f t="shared" si="23"/>
        <v>3.0257209165371114E-3</v>
      </c>
      <c r="AB234" s="87">
        <f t="shared" si="23"/>
        <v>1.6129381929883717E-2</v>
      </c>
      <c r="AC234" s="87">
        <f t="shared" si="23"/>
        <v>1.3921338518608014E-2</v>
      </c>
      <c r="AD234" s="87">
        <f t="shared" si="23"/>
        <v>0</v>
      </c>
      <c r="AE234" s="90">
        <f t="shared" si="25"/>
        <v>1.7265577316048081E-3</v>
      </c>
      <c r="AF234" s="89"/>
    </row>
    <row r="235" spans="1:32" ht="15.5" x14ac:dyDescent="0.35">
      <c r="A235" s="82">
        <v>40106</v>
      </c>
      <c r="B235" s="83">
        <v>7158.3</v>
      </c>
      <c r="C235" s="84">
        <v>2163.5</v>
      </c>
      <c r="D235" s="61">
        <v>270.60000000000002</v>
      </c>
      <c r="E235" s="61">
        <v>16.899999999999999</v>
      </c>
      <c r="F235" s="61">
        <v>28.3</v>
      </c>
      <c r="G235" s="61">
        <v>25.9</v>
      </c>
      <c r="H235" s="61">
        <v>72.5</v>
      </c>
      <c r="I235" s="61">
        <v>17.2</v>
      </c>
      <c r="J235" s="61">
        <v>33.700000000000003</v>
      </c>
      <c r="K235" s="61">
        <v>35.700000000000003</v>
      </c>
      <c r="L235" s="61">
        <v>33.6</v>
      </c>
      <c r="M235" s="61">
        <v>36.9</v>
      </c>
      <c r="N235" s="61">
        <v>43.4</v>
      </c>
      <c r="O235" s="85">
        <v>16.2</v>
      </c>
      <c r="P235" s="105"/>
      <c r="Q235" s="87">
        <f t="shared" si="22"/>
        <v>-8.8870930176551659E-3</v>
      </c>
      <c r="R235" s="87">
        <f t="shared" si="24"/>
        <v>-5.898906455081997E-3</v>
      </c>
      <c r="S235" s="87">
        <f t="shared" si="24"/>
        <v>-1.467377759718301E-2</v>
      </c>
      <c r="T235" s="87">
        <f t="shared" si="24"/>
        <v>1.1904902506318239E-2</v>
      </c>
      <c r="U235" s="87">
        <f t="shared" si="24"/>
        <v>6.5717071657015402E-2</v>
      </c>
      <c r="V235" s="87">
        <f t="shared" si="24"/>
        <v>-1.5325970478226933E-2</v>
      </c>
      <c r="W235" s="87">
        <f t="shared" si="23"/>
        <v>-5.5020771539834217E-3</v>
      </c>
      <c r="X235" s="87">
        <f t="shared" si="23"/>
        <v>-1.7291497110061109E-2</v>
      </c>
      <c r="Y235" s="87">
        <f t="shared" si="23"/>
        <v>1.7964554975298894E-2</v>
      </c>
      <c r="Z235" s="87">
        <f t="shared" si="23"/>
        <v>0</v>
      </c>
      <c r="AA235" s="87">
        <f t="shared" si="23"/>
        <v>1.4992784586141318E-2</v>
      </c>
      <c r="AB235" s="87">
        <f t="shared" si="23"/>
        <v>-1.6129381929883644E-2</v>
      </c>
      <c r="AC235" s="87">
        <f t="shared" si="23"/>
        <v>0</v>
      </c>
      <c r="AD235" s="87">
        <f t="shared" si="23"/>
        <v>6.1919702479209804E-3</v>
      </c>
      <c r="AE235" s="90">
        <f t="shared" si="25"/>
        <v>1.3479544875807371E-2</v>
      </c>
      <c r="AF235" s="89"/>
    </row>
    <row r="236" spans="1:32" ht="15.5" x14ac:dyDescent="0.35">
      <c r="A236" s="82">
        <v>40107</v>
      </c>
      <c r="B236" s="83">
        <v>7107.2</v>
      </c>
      <c r="C236" s="84">
        <v>2150.6999999999998</v>
      </c>
      <c r="D236" s="61">
        <v>274.8</v>
      </c>
      <c r="E236" s="61">
        <v>17.600000000000001</v>
      </c>
      <c r="F236" s="61">
        <v>28.5</v>
      </c>
      <c r="G236" s="61">
        <v>26.4</v>
      </c>
      <c r="H236" s="61">
        <v>75</v>
      </c>
      <c r="I236" s="61">
        <v>17.3</v>
      </c>
      <c r="J236" s="61">
        <v>33.5</v>
      </c>
      <c r="K236" s="61">
        <v>35.1</v>
      </c>
      <c r="L236" s="61">
        <v>32.6</v>
      </c>
      <c r="M236" s="61">
        <v>36.700000000000003</v>
      </c>
      <c r="N236" s="61">
        <v>45.2</v>
      </c>
      <c r="O236" s="85">
        <v>16.2</v>
      </c>
      <c r="P236" s="105"/>
      <c r="Q236" s="87">
        <f t="shared" si="22"/>
        <v>-7.1641678959807392E-3</v>
      </c>
      <c r="R236" s="87">
        <f t="shared" si="24"/>
        <v>-5.9339101380033472E-3</v>
      </c>
      <c r="S236" s="87">
        <f t="shared" si="24"/>
        <v>1.5401844611506484E-2</v>
      </c>
      <c r="T236" s="87">
        <f t="shared" si="24"/>
        <v>4.0585280115078511E-2</v>
      </c>
      <c r="U236" s="87">
        <f t="shared" si="24"/>
        <v>7.042282625412951E-3</v>
      </c>
      <c r="V236" s="87">
        <f t="shared" si="24"/>
        <v>1.9121041446778377E-2</v>
      </c>
      <c r="W236" s="87">
        <f t="shared" si="23"/>
        <v>3.3901551675681416E-2</v>
      </c>
      <c r="X236" s="87">
        <f t="shared" si="23"/>
        <v>5.7971176843259146E-3</v>
      </c>
      <c r="Y236" s="87">
        <f t="shared" si="23"/>
        <v>-5.9523985272953847E-3</v>
      </c>
      <c r="Z236" s="87">
        <f t="shared" si="23"/>
        <v>-1.694955831377332E-2</v>
      </c>
      <c r="AA236" s="87">
        <f t="shared" si="23"/>
        <v>-3.0213778596496595E-2</v>
      </c>
      <c r="AB236" s="87">
        <f t="shared" si="23"/>
        <v>-5.4347959859568327E-3</v>
      </c>
      <c r="AC236" s="87">
        <f t="shared" si="23"/>
        <v>4.0637645731826474E-2</v>
      </c>
      <c r="AD236" s="87">
        <f t="shared" si="23"/>
        <v>0</v>
      </c>
      <c r="AE236" s="90">
        <f t="shared" si="25"/>
        <v>4.7440927076676243E-3</v>
      </c>
      <c r="AF236" s="89"/>
    </row>
    <row r="237" spans="1:32" ht="15.5" x14ac:dyDescent="0.35">
      <c r="A237" s="82">
        <v>40108</v>
      </c>
      <c r="B237" s="83">
        <v>7182.9</v>
      </c>
      <c r="C237" s="84">
        <v>2165.3000000000002</v>
      </c>
      <c r="D237" s="61">
        <v>274.3</v>
      </c>
      <c r="E237" s="61">
        <v>17.3</v>
      </c>
      <c r="F237" s="61">
        <v>28.9</v>
      </c>
      <c r="G237" s="61">
        <v>26.1</v>
      </c>
      <c r="H237" s="61">
        <v>71.900000000000006</v>
      </c>
      <c r="I237" s="61">
        <v>16.8</v>
      </c>
      <c r="J237" s="61">
        <v>33.299999999999997</v>
      </c>
      <c r="K237" s="61">
        <v>35.200000000000003</v>
      </c>
      <c r="L237" s="61">
        <v>31.3</v>
      </c>
      <c r="M237" s="61">
        <v>36.700000000000003</v>
      </c>
      <c r="N237" s="61">
        <v>46.9</v>
      </c>
      <c r="O237" s="85">
        <v>16.100000000000001</v>
      </c>
      <c r="P237" s="105"/>
      <c r="Q237" s="87">
        <f t="shared" si="22"/>
        <v>1.0594846518074281E-2</v>
      </c>
      <c r="R237" s="87">
        <f t="shared" si="24"/>
        <v>6.7655494393078575E-3</v>
      </c>
      <c r="S237" s="87">
        <f t="shared" si="24"/>
        <v>-1.8211624046367218E-3</v>
      </c>
      <c r="T237" s="87">
        <f t="shared" si="24"/>
        <v>-1.7192400540372875E-2</v>
      </c>
      <c r="U237" s="87">
        <f t="shared" si="24"/>
        <v>1.3937507843781678E-2</v>
      </c>
      <c r="V237" s="87">
        <f t="shared" si="24"/>
        <v>-1.1428695823622631E-2</v>
      </c>
      <c r="W237" s="87">
        <f t="shared" si="23"/>
        <v>-4.2211848809309317E-2</v>
      </c>
      <c r="X237" s="87">
        <f t="shared" si="23"/>
        <v>-2.9327615094520063E-2</v>
      </c>
      <c r="Y237" s="87">
        <f t="shared" si="23"/>
        <v>-5.9880418446226691E-3</v>
      </c>
      <c r="Z237" s="87">
        <f t="shared" si="23"/>
        <v>2.8449521322313448E-3</v>
      </c>
      <c r="AA237" s="87">
        <f t="shared" si="23"/>
        <v>-4.069419082655442E-2</v>
      </c>
      <c r="AB237" s="87">
        <f t="shared" si="23"/>
        <v>0</v>
      </c>
      <c r="AC237" s="87">
        <f t="shared" si="23"/>
        <v>3.6920588614048074E-2</v>
      </c>
      <c r="AD237" s="87">
        <f t="shared" si="23"/>
        <v>-6.1919702479209951E-3</v>
      </c>
      <c r="AE237" s="90">
        <f t="shared" si="25"/>
        <v>4.7274447800117773E-3</v>
      </c>
      <c r="AF237" s="89"/>
    </row>
    <row r="238" spans="1:32" ht="15.5" x14ac:dyDescent="0.35">
      <c r="A238" s="82">
        <v>40109</v>
      </c>
      <c r="B238" s="83">
        <v>7066.8</v>
      </c>
      <c r="C238" s="84">
        <v>2154.5</v>
      </c>
      <c r="D238" s="61">
        <v>275.89999999999998</v>
      </c>
      <c r="E238" s="61">
        <v>17.100000000000001</v>
      </c>
      <c r="F238" s="61">
        <v>29</v>
      </c>
      <c r="G238" s="61">
        <v>27.9</v>
      </c>
      <c r="H238" s="61">
        <v>73.8</v>
      </c>
      <c r="I238" s="61">
        <v>17.5</v>
      </c>
      <c r="J238" s="61">
        <v>33.299999999999997</v>
      </c>
      <c r="K238" s="61">
        <v>35.799999999999997</v>
      </c>
      <c r="L238" s="61">
        <v>32.200000000000003</v>
      </c>
      <c r="M238" s="61">
        <v>36.700000000000003</v>
      </c>
      <c r="N238" s="61">
        <v>46.2</v>
      </c>
      <c r="O238" s="85">
        <v>15.9</v>
      </c>
      <c r="P238" s="105"/>
      <c r="Q238" s="87">
        <f t="shared" si="22"/>
        <v>-1.6295440479657159E-2</v>
      </c>
      <c r="R238" s="87">
        <f t="shared" si="24"/>
        <v>-5.0002419103514755E-3</v>
      </c>
      <c r="S238" s="87">
        <f t="shared" si="24"/>
        <v>5.816083279682624E-3</v>
      </c>
      <c r="T238" s="87">
        <f t="shared" si="24"/>
        <v>-1.1628037995119099E-2</v>
      </c>
      <c r="U238" s="87">
        <f t="shared" si="24"/>
        <v>3.4542348680876036E-3</v>
      </c>
      <c r="V238" s="87">
        <f t="shared" si="24"/>
        <v>6.6691374498672143E-2</v>
      </c>
      <c r="W238" s="87">
        <f t="shared" si="23"/>
        <v>2.6082466879425642E-2</v>
      </c>
      <c r="X238" s="87">
        <f t="shared" si="23"/>
        <v>4.0821994520254985E-2</v>
      </c>
      <c r="Y238" s="87">
        <f t="shared" si="23"/>
        <v>0</v>
      </c>
      <c r="Z238" s="87">
        <f t="shared" si="23"/>
        <v>1.6901810802603036E-2</v>
      </c>
      <c r="AA238" s="87">
        <f t="shared" si="23"/>
        <v>2.834835500425513E-2</v>
      </c>
      <c r="AB238" s="87">
        <f t="shared" si="23"/>
        <v>0</v>
      </c>
      <c r="AC238" s="87">
        <f t="shared" si="23"/>
        <v>-1.5037877364540446E-2</v>
      </c>
      <c r="AD238" s="87">
        <f t="shared" si="23"/>
        <v>-1.2500162764231494E-2</v>
      </c>
      <c r="AE238" s="90">
        <f t="shared" si="25"/>
        <v>-3.2774599724054812E-4</v>
      </c>
      <c r="AF238" s="89"/>
    </row>
    <row r="239" spans="1:32" ht="15.5" x14ac:dyDescent="0.35">
      <c r="A239" s="82">
        <v>40112</v>
      </c>
      <c r="B239" s="83">
        <v>6960.1</v>
      </c>
      <c r="C239" s="84">
        <v>2141.9</v>
      </c>
      <c r="D239" s="61">
        <v>275.7</v>
      </c>
      <c r="E239" s="61">
        <v>16.7</v>
      </c>
      <c r="F239" s="61">
        <v>28.6</v>
      </c>
      <c r="G239" s="61">
        <v>28.1</v>
      </c>
      <c r="H239" s="61">
        <v>72.8</v>
      </c>
      <c r="I239" s="61">
        <v>17.100000000000001</v>
      </c>
      <c r="J239" s="61">
        <v>32.4</v>
      </c>
      <c r="K239" s="61">
        <v>35.299999999999997</v>
      </c>
      <c r="L239" s="61">
        <v>31.9</v>
      </c>
      <c r="M239" s="61">
        <v>35.700000000000003</v>
      </c>
      <c r="N239" s="61">
        <v>45.8</v>
      </c>
      <c r="O239" s="85">
        <v>15.9</v>
      </c>
      <c r="P239" s="105"/>
      <c r="Q239" s="87">
        <f t="shared" si="22"/>
        <v>-1.5213918697184163E-2</v>
      </c>
      <c r="R239" s="87">
        <f t="shared" si="24"/>
        <v>-5.8653924787960493E-3</v>
      </c>
      <c r="S239" s="87">
        <f t="shared" si="24"/>
        <v>-7.2516319348928766E-4</v>
      </c>
      <c r="T239" s="87">
        <f t="shared" si="24"/>
        <v>-2.3669744085904849E-2</v>
      </c>
      <c r="U239" s="87">
        <f t="shared" si="24"/>
        <v>-1.3889112160667037E-2</v>
      </c>
      <c r="V239" s="87">
        <f t="shared" si="24"/>
        <v>7.1428875123802039E-3</v>
      </c>
      <c r="W239" s="87">
        <f t="shared" si="23"/>
        <v>-1.3642776403786489E-2</v>
      </c>
      <c r="X239" s="87">
        <f t="shared" si="23"/>
        <v>-2.3122417420854149E-2</v>
      </c>
      <c r="Y239" s="87">
        <f t="shared" si="23"/>
        <v>-2.7398974188114388E-2</v>
      </c>
      <c r="Z239" s="87">
        <f t="shared" si="23"/>
        <v>-1.4064929467403552E-2</v>
      </c>
      <c r="AA239" s="87">
        <f t="shared" si="23"/>
        <v>-9.3604427595639205E-3</v>
      </c>
      <c r="AB239" s="87">
        <f t="shared" si="23"/>
        <v>-2.7626066274931152E-2</v>
      </c>
      <c r="AC239" s="87">
        <f t="shared" si="23"/>
        <v>-8.6957069675540448E-3</v>
      </c>
      <c r="AD239" s="87">
        <f t="shared" si="23"/>
        <v>0</v>
      </c>
      <c r="AE239" s="90">
        <f t="shared" si="25"/>
        <v>-5.9418823036079572E-3</v>
      </c>
      <c r="AF239" s="89"/>
    </row>
    <row r="240" spans="1:32" ht="15.5" x14ac:dyDescent="0.35">
      <c r="A240" s="82">
        <v>40113</v>
      </c>
      <c r="B240" s="83">
        <v>6932</v>
      </c>
      <c r="C240" s="84">
        <v>2116.1</v>
      </c>
      <c r="D240" s="61">
        <v>272.39999999999998</v>
      </c>
      <c r="E240" s="61">
        <v>16.399999999999999</v>
      </c>
      <c r="F240" s="61">
        <v>28.1</v>
      </c>
      <c r="G240" s="61">
        <v>28.4</v>
      </c>
      <c r="H240" s="61">
        <v>72.2</v>
      </c>
      <c r="I240" s="61">
        <v>16.7</v>
      </c>
      <c r="J240" s="61">
        <v>32.200000000000003</v>
      </c>
      <c r="K240" s="61">
        <v>33.799999999999997</v>
      </c>
      <c r="L240" s="61">
        <v>32.200000000000003</v>
      </c>
      <c r="M240" s="61">
        <v>34.799999999999997</v>
      </c>
      <c r="N240" s="61">
        <v>46</v>
      </c>
      <c r="O240" s="85">
        <v>15.6</v>
      </c>
      <c r="P240" s="105"/>
      <c r="Q240" s="87">
        <f t="shared" si="22"/>
        <v>-4.0454702058445903E-3</v>
      </c>
      <c r="R240" s="87">
        <f t="shared" si="24"/>
        <v>-1.2118513736371019E-2</v>
      </c>
      <c r="S240" s="87">
        <f t="shared" si="24"/>
        <v>-1.2041743754393814E-2</v>
      </c>
      <c r="T240" s="87">
        <f t="shared" si="24"/>
        <v>-1.8127384592556715E-2</v>
      </c>
      <c r="U240" s="87">
        <f t="shared" si="24"/>
        <v>-1.7637141486106844E-2</v>
      </c>
      <c r="V240" s="87">
        <f t="shared" si="24"/>
        <v>1.0619568827460131E-2</v>
      </c>
      <c r="W240" s="87">
        <f t="shared" si="23"/>
        <v>-8.2759093038597097E-3</v>
      </c>
      <c r="X240" s="87">
        <f t="shared" si="23"/>
        <v>-2.3669744085904849E-2</v>
      </c>
      <c r="Y240" s="87">
        <f t="shared" si="23"/>
        <v>-6.1919702479209951E-3</v>
      </c>
      <c r="Z240" s="87">
        <f t="shared" si="23"/>
        <v>-4.3422161450277955E-2</v>
      </c>
      <c r="AA240" s="87">
        <f t="shared" si="23"/>
        <v>9.3604427595638928E-3</v>
      </c>
      <c r="AB240" s="87">
        <f t="shared" si="23"/>
        <v>-2.5533302005164876E-2</v>
      </c>
      <c r="AC240" s="87">
        <f t="shared" si="23"/>
        <v>4.3573053689558473E-3</v>
      </c>
      <c r="AD240" s="87">
        <f t="shared" si="23"/>
        <v>-1.9048194970694474E-2</v>
      </c>
      <c r="AE240" s="90">
        <f t="shared" si="25"/>
        <v>-1.4516319314804788E-2</v>
      </c>
      <c r="AF240" s="89"/>
    </row>
    <row r="241" spans="1:32" ht="15.5" x14ac:dyDescent="0.35">
      <c r="A241" s="82">
        <v>40114</v>
      </c>
      <c r="B241" s="83">
        <v>6765.7</v>
      </c>
      <c r="C241" s="84">
        <v>2059.6</v>
      </c>
      <c r="D241" s="61">
        <v>269.39999999999998</v>
      </c>
      <c r="E241" s="61">
        <v>16</v>
      </c>
      <c r="F241" s="61">
        <v>27.3</v>
      </c>
      <c r="G241" s="61">
        <v>28</v>
      </c>
      <c r="H241" s="61">
        <v>58.8</v>
      </c>
      <c r="I241" s="61">
        <v>12</v>
      </c>
      <c r="J241" s="61">
        <v>31.2</v>
      </c>
      <c r="K241" s="61">
        <v>33</v>
      </c>
      <c r="L241" s="61">
        <v>32</v>
      </c>
      <c r="M241" s="61">
        <v>34</v>
      </c>
      <c r="N241" s="61">
        <v>44.6</v>
      </c>
      <c r="O241" s="85">
        <v>15.6</v>
      </c>
      <c r="P241" s="105"/>
      <c r="Q241" s="87">
        <f t="shared" si="22"/>
        <v>-2.428264182163838E-2</v>
      </c>
      <c r="R241" s="87">
        <f t="shared" si="24"/>
        <v>-2.7062982668739393E-2</v>
      </c>
      <c r="S241" s="87">
        <f t="shared" si="24"/>
        <v>-1.1074310299093665E-2</v>
      </c>
      <c r="T241" s="87">
        <f t="shared" si="24"/>
        <v>-2.4692612590371411E-2</v>
      </c>
      <c r="U241" s="87">
        <f t="shared" si="24"/>
        <v>-2.8882874148786052E-2</v>
      </c>
      <c r="V241" s="87">
        <f t="shared" si="24"/>
        <v>-1.4184634991956413E-2</v>
      </c>
      <c r="W241" s="87">
        <f t="shared" si="23"/>
        <v>-0.20529819099419946</v>
      </c>
      <c r="X241" s="87">
        <f t="shared" si="23"/>
        <v>-0.33050206963470913</v>
      </c>
      <c r="Y241" s="87">
        <f t="shared" si="23"/>
        <v>-3.1548357734926008E-2</v>
      </c>
      <c r="Z241" s="87">
        <f t="shared" si="23"/>
        <v>-2.3953241022492758E-2</v>
      </c>
      <c r="AA241" s="87">
        <f t="shared" si="23"/>
        <v>-6.2305497506361975E-3</v>
      </c>
      <c r="AB241" s="87">
        <f t="shared" si="23"/>
        <v>-2.3256862164267235E-2</v>
      </c>
      <c r="AC241" s="87">
        <f t="shared" si="23"/>
        <v>-3.0907537463076548E-2</v>
      </c>
      <c r="AD241" s="87">
        <f t="shared" si="23"/>
        <v>0</v>
      </c>
      <c r="AE241" s="90">
        <f t="shared" si="25"/>
        <v>-1.9612989454265577E-2</v>
      </c>
      <c r="AF241" s="89"/>
    </row>
    <row r="242" spans="1:32" ht="15.5" x14ac:dyDescent="0.35">
      <c r="A242" s="82">
        <v>40115</v>
      </c>
      <c r="B242" s="83">
        <v>6955.3</v>
      </c>
      <c r="C242" s="84">
        <v>2097.6</v>
      </c>
      <c r="D242" s="61">
        <v>270.8</v>
      </c>
      <c r="E242" s="61">
        <v>15.7</v>
      </c>
      <c r="F242" s="61">
        <v>27.5</v>
      </c>
      <c r="G242" s="61">
        <v>27.9</v>
      </c>
      <c r="H242" s="61">
        <v>56.6</v>
      </c>
      <c r="I242" s="61">
        <v>11.9</v>
      </c>
      <c r="J242" s="61">
        <v>31.7</v>
      </c>
      <c r="K242" s="61">
        <v>33.5</v>
      </c>
      <c r="L242" s="61">
        <v>30.9</v>
      </c>
      <c r="M242" s="61">
        <v>34.9</v>
      </c>
      <c r="N242" s="61">
        <v>44.9</v>
      </c>
      <c r="O242" s="85">
        <v>15.7</v>
      </c>
      <c r="P242" s="105"/>
      <c r="Q242" s="87">
        <f t="shared" si="22"/>
        <v>2.7638228849079884E-2</v>
      </c>
      <c r="R242" s="87">
        <f t="shared" si="24"/>
        <v>1.8282044837449073E-2</v>
      </c>
      <c r="S242" s="87">
        <f t="shared" si="24"/>
        <v>5.1832770618563733E-3</v>
      </c>
      <c r="T242" s="87">
        <f t="shared" si="24"/>
        <v>-1.8928009885518911E-2</v>
      </c>
      <c r="U242" s="87">
        <f t="shared" si="24"/>
        <v>7.2993024816115351E-3</v>
      </c>
      <c r="V242" s="87">
        <f t="shared" si="24"/>
        <v>-3.577821347884078E-3</v>
      </c>
      <c r="W242" s="87">
        <f t="shared" si="23"/>
        <v>-3.8132869695443918E-2</v>
      </c>
      <c r="X242" s="87">
        <f t="shared" si="23"/>
        <v>-8.3682496705165792E-3</v>
      </c>
      <c r="Y242" s="87">
        <f t="shared" si="23"/>
        <v>1.5898586067798204E-2</v>
      </c>
      <c r="Z242" s="87">
        <f t="shared" si="23"/>
        <v>1.5037877364540502E-2</v>
      </c>
      <c r="AA242" s="87">
        <f t="shared" si="23"/>
        <v>-3.4979718896026815E-2</v>
      </c>
      <c r="AB242" s="87">
        <f t="shared" si="23"/>
        <v>2.6126304592219998E-2</v>
      </c>
      <c r="AC242" s="87">
        <f t="shared" si="23"/>
        <v>6.7039357221901344E-3</v>
      </c>
      <c r="AD242" s="87">
        <f t="shared" si="23"/>
        <v>6.3897980987709883E-3</v>
      </c>
      <c r="AE242" s="90">
        <f t="shared" si="25"/>
        <v>9.8613176275505823E-3</v>
      </c>
      <c r="AF242" s="89"/>
    </row>
    <row r="243" spans="1:32" ht="15.5" x14ac:dyDescent="0.35">
      <c r="A243" s="82">
        <v>40116</v>
      </c>
      <c r="B243" s="83">
        <v>6739.5</v>
      </c>
      <c r="C243" s="84">
        <v>2045.1</v>
      </c>
      <c r="D243" s="61">
        <v>267.39999999999998</v>
      </c>
      <c r="E243" s="61">
        <v>15.8</v>
      </c>
      <c r="F243" s="61">
        <v>26.6</v>
      </c>
      <c r="G243" s="61">
        <v>27.7</v>
      </c>
      <c r="H243" s="61">
        <v>56.4</v>
      </c>
      <c r="I243" s="61">
        <v>12.5</v>
      </c>
      <c r="J243" s="61">
        <v>30.6</v>
      </c>
      <c r="K243" s="61">
        <v>32.9</v>
      </c>
      <c r="L243" s="61">
        <v>30.8</v>
      </c>
      <c r="M243" s="61">
        <v>33.6</v>
      </c>
      <c r="N243" s="61">
        <v>44.9</v>
      </c>
      <c r="O243" s="85">
        <v>15.5</v>
      </c>
      <c r="P243" s="105"/>
      <c r="Q243" s="87">
        <f t="shared" si="22"/>
        <v>-3.1518220684613726E-2</v>
      </c>
      <c r="R243" s="87">
        <f t="shared" si="24"/>
        <v>-2.534714597258609E-2</v>
      </c>
      <c r="S243" s="87">
        <f t="shared" si="24"/>
        <v>-1.2634876370277227E-2</v>
      </c>
      <c r="T243" s="87">
        <f t="shared" si="24"/>
        <v>6.3492276786587445E-3</v>
      </c>
      <c r="U243" s="87">
        <f t="shared" si="24"/>
        <v>-3.327478888487221E-2</v>
      </c>
      <c r="V243" s="87">
        <f t="shared" si="24"/>
        <v>-7.1942756340270851E-3</v>
      </c>
      <c r="W243" s="87">
        <f t="shared" si="23"/>
        <v>-3.5398267051240623E-3</v>
      </c>
      <c r="X243" s="87">
        <f t="shared" si="23"/>
        <v>4.9190244190771781E-2</v>
      </c>
      <c r="Y243" s="87">
        <f t="shared" si="23"/>
        <v>-3.5316671924899734E-2</v>
      </c>
      <c r="Z243" s="87">
        <f t="shared" si="23"/>
        <v>-1.8072781059694617E-2</v>
      </c>
      <c r="AA243" s="87">
        <f t="shared" si="23"/>
        <v>-3.2414939241709557E-3</v>
      </c>
      <c r="AB243" s="87">
        <f t="shared" si="23"/>
        <v>-3.7960762239222852E-2</v>
      </c>
      <c r="AC243" s="87">
        <f t="shared" si="23"/>
        <v>0</v>
      </c>
      <c r="AD243" s="87">
        <f t="shared" si="23"/>
        <v>-1.2820688429061434E-2</v>
      </c>
      <c r="AE243" s="90">
        <f t="shared" si="25"/>
        <v>-2.2369699636837676E-2</v>
      </c>
      <c r="AF243" s="89"/>
    </row>
    <row r="244" spans="1:32" ht="15.5" x14ac:dyDescent="0.35">
      <c r="A244" s="82">
        <v>40119</v>
      </c>
      <c r="B244" s="83">
        <v>6784.9</v>
      </c>
      <c r="C244" s="84">
        <v>2049.1999999999998</v>
      </c>
      <c r="D244" s="61">
        <v>264.39999999999998</v>
      </c>
      <c r="E244" s="61">
        <v>15.6</v>
      </c>
      <c r="F244" s="61">
        <v>26.5</v>
      </c>
      <c r="G244" s="61">
        <v>27.4</v>
      </c>
      <c r="H244" s="61">
        <v>56.9</v>
      </c>
      <c r="I244" s="61">
        <v>12.6</v>
      </c>
      <c r="J244" s="61">
        <v>30.1</v>
      </c>
      <c r="K244" s="61">
        <v>32.200000000000003</v>
      </c>
      <c r="L244" s="61">
        <v>31</v>
      </c>
      <c r="M244" s="61">
        <v>32.6</v>
      </c>
      <c r="N244" s="61">
        <v>44.2</v>
      </c>
      <c r="O244" s="85">
        <v>15.5</v>
      </c>
      <c r="P244" s="105"/>
      <c r="Q244" s="87">
        <f t="shared" si="22"/>
        <v>6.7138165885188448E-3</v>
      </c>
      <c r="R244" s="87">
        <f t="shared" si="24"/>
        <v>2.0027850281979305E-3</v>
      </c>
      <c r="S244" s="87">
        <f t="shared" si="24"/>
        <v>-1.1282556690311571E-2</v>
      </c>
      <c r="T244" s="87">
        <f t="shared" si="24"/>
        <v>-1.2739025777429826E-2</v>
      </c>
      <c r="U244" s="87">
        <f t="shared" si="24"/>
        <v>-3.7664827954768934E-3</v>
      </c>
      <c r="V244" s="87">
        <f t="shared" si="24"/>
        <v>-1.0889399799268319E-2</v>
      </c>
      <c r="W244" s="87">
        <f t="shared" si="23"/>
        <v>8.8261826282721185E-3</v>
      </c>
      <c r="X244" s="87">
        <f t="shared" si="23"/>
        <v>7.9681696491768813E-3</v>
      </c>
      <c r="Y244" s="87">
        <f t="shared" si="23"/>
        <v>-1.6474837203505097E-2</v>
      </c>
      <c r="Z244" s="87">
        <f t="shared" si="23"/>
        <v>-2.1506205220963505E-2</v>
      </c>
      <c r="AA244" s="87">
        <f t="shared" si="23"/>
        <v>6.4725145056175196E-3</v>
      </c>
      <c r="AB244" s="87">
        <f t="shared" si="23"/>
        <v>-3.0213778596496595E-2</v>
      </c>
      <c r="AC244" s="87">
        <f t="shared" si="23"/>
        <v>-1.571300566455611E-2</v>
      </c>
      <c r="AD244" s="87">
        <f t="shared" si="23"/>
        <v>0</v>
      </c>
      <c r="AE244" s="90">
        <f t="shared" si="25"/>
        <v>-3.7797823377519E-3</v>
      </c>
      <c r="AF244" s="89"/>
    </row>
    <row r="245" spans="1:32" ht="15.5" x14ac:dyDescent="0.35">
      <c r="A245" s="82">
        <v>40120</v>
      </c>
      <c r="B245" s="83">
        <v>6812.7</v>
      </c>
      <c r="C245" s="84">
        <v>2057.3000000000002</v>
      </c>
      <c r="D245" s="61">
        <v>264.39999999999998</v>
      </c>
      <c r="E245" s="61">
        <v>15.6</v>
      </c>
      <c r="F245" s="61">
        <v>26.6</v>
      </c>
      <c r="G245" s="61">
        <v>27.4</v>
      </c>
      <c r="H245" s="61">
        <v>57</v>
      </c>
      <c r="I245" s="61">
        <v>12.6</v>
      </c>
      <c r="J245" s="61">
        <v>30.2</v>
      </c>
      <c r="K245" s="61">
        <v>32.299999999999997</v>
      </c>
      <c r="L245" s="61">
        <v>30.3</v>
      </c>
      <c r="M245" s="61">
        <v>32.200000000000003</v>
      </c>
      <c r="N245" s="61">
        <v>44.2</v>
      </c>
      <c r="O245" s="85">
        <v>15.5</v>
      </c>
      <c r="P245" s="105"/>
      <c r="Q245" s="87">
        <f t="shared" si="22"/>
        <v>4.0889625718897168E-3</v>
      </c>
      <c r="R245" s="87">
        <f t="shared" si="24"/>
        <v>3.9449704151379578E-3</v>
      </c>
      <c r="S245" s="87">
        <f t="shared" si="24"/>
        <v>0</v>
      </c>
      <c r="T245" s="87">
        <f t="shared" si="24"/>
        <v>0</v>
      </c>
      <c r="U245" s="87">
        <f t="shared" si="24"/>
        <v>3.7664827954768648E-3</v>
      </c>
      <c r="V245" s="87">
        <f t="shared" si="24"/>
        <v>0</v>
      </c>
      <c r="W245" s="87">
        <f t="shared" si="23"/>
        <v>1.7559267022650125E-3</v>
      </c>
      <c r="X245" s="87">
        <f t="shared" si="23"/>
        <v>0</v>
      </c>
      <c r="Y245" s="87">
        <f t="shared" si="23"/>
        <v>3.3167526259938207E-3</v>
      </c>
      <c r="Z245" s="87">
        <f t="shared" si="23"/>
        <v>3.1007776782479642E-3</v>
      </c>
      <c r="AA245" s="87">
        <f t="shared" si="23"/>
        <v>-2.2839491969822791E-2</v>
      </c>
      <c r="AB245" s="87">
        <f t="shared" si="23"/>
        <v>-1.2345835822299266E-2</v>
      </c>
      <c r="AC245" s="87">
        <f t="shared" si="23"/>
        <v>0</v>
      </c>
      <c r="AD245" s="87">
        <f t="shared" si="23"/>
        <v>0</v>
      </c>
      <c r="AE245" s="90">
        <f t="shared" si="25"/>
        <v>2.2594830081467234E-3</v>
      </c>
      <c r="AF245" s="89"/>
    </row>
    <row r="246" spans="1:32" ht="15.5" x14ac:dyDescent="0.35">
      <c r="A246" s="82">
        <v>40121</v>
      </c>
      <c r="B246" s="83">
        <v>6830.4</v>
      </c>
      <c r="C246" s="84">
        <v>2055.5</v>
      </c>
      <c r="D246" s="61">
        <v>268.5</v>
      </c>
      <c r="E246" s="61">
        <v>15.7</v>
      </c>
      <c r="F246" s="61">
        <v>27.2</v>
      </c>
      <c r="G246" s="61">
        <v>27.6</v>
      </c>
      <c r="H246" s="61">
        <v>56.7</v>
      </c>
      <c r="I246" s="61">
        <v>12.5</v>
      </c>
      <c r="J246" s="61">
        <v>31.4</v>
      </c>
      <c r="K246" s="61">
        <v>32</v>
      </c>
      <c r="L246" s="61">
        <v>31.3</v>
      </c>
      <c r="M246" s="61">
        <v>33.299999999999997</v>
      </c>
      <c r="N246" s="61">
        <v>44.4</v>
      </c>
      <c r="O246" s="85">
        <v>15.5</v>
      </c>
      <c r="P246" s="105"/>
      <c r="Q246" s="87">
        <f t="shared" si="22"/>
        <v>2.5947196649647305E-3</v>
      </c>
      <c r="R246" s="87">
        <f t="shared" si="24"/>
        <v>-8.7531614225197063E-4</v>
      </c>
      <c r="S246" s="87">
        <f t="shared" si="24"/>
        <v>1.5387805971388308E-2</v>
      </c>
      <c r="T246" s="87">
        <f t="shared" si="24"/>
        <v>6.3897980987709883E-3</v>
      </c>
      <c r="U246" s="87">
        <f t="shared" si="24"/>
        <v>2.2305757514298186E-2</v>
      </c>
      <c r="V246" s="87">
        <f t="shared" si="24"/>
        <v>7.2727593290798781E-3</v>
      </c>
      <c r="W246" s="87">
        <f t="shared" si="23"/>
        <v>-5.2770571008436693E-3</v>
      </c>
      <c r="X246" s="87">
        <f t="shared" si="23"/>
        <v>-7.9681696491768449E-3</v>
      </c>
      <c r="Y246" s="87">
        <f t="shared" si="23"/>
        <v>3.8965968533383709E-2</v>
      </c>
      <c r="Z246" s="87">
        <f t="shared" si="23"/>
        <v>-9.3313274288841924E-3</v>
      </c>
      <c r="AA246" s="87">
        <f t="shared" si="23"/>
        <v>3.2470385030784032E-2</v>
      </c>
      <c r="AB246" s="87">
        <f t="shared" si="23"/>
        <v>3.3590944436035421E-2</v>
      </c>
      <c r="AC246" s="87">
        <f t="shared" si="23"/>
        <v>4.514680354526613E-3</v>
      </c>
      <c r="AD246" s="87">
        <f t="shared" si="23"/>
        <v>0</v>
      </c>
      <c r="AE246" s="90">
        <f t="shared" si="25"/>
        <v>1.0620710246725191E-2</v>
      </c>
      <c r="AF246" s="89"/>
    </row>
    <row r="247" spans="1:32" ht="15.5" x14ac:dyDescent="0.35">
      <c r="A247" s="82">
        <v>40122</v>
      </c>
      <c r="B247" s="83">
        <v>6950.1</v>
      </c>
      <c r="C247" s="84">
        <v>2105.3000000000002</v>
      </c>
      <c r="D247" s="61">
        <v>271.60000000000002</v>
      </c>
      <c r="E247" s="61">
        <v>15.7</v>
      </c>
      <c r="F247" s="61">
        <v>27.4</v>
      </c>
      <c r="G247" s="61">
        <v>28.3</v>
      </c>
      <c r="H247" s="61">
        <v>56.1</v>
      </c>
      <c r="I247" s="61">
        <v>12.7</v>
      </c>
      <c r="J247" s="61">
        <v>31.2</v>
      </c>
      <c r="K247" s="61">
        <v>29.6</v>
      </c>
      <c r="L247" s="61">
        <v>32.5</v>
      </c>
      <c r="M247" s="61">
        <v>32.799999999999997</v>
      </c>
      <c r="N247" s="61">
        <v>44.7</v>
      </c>
      <c r="O247" s="85">
        <v>15.8</v>
      </c>
      <c r="P247" s="105"/>
      <c r="Q247" s="87">
        <f t="shared" si="22"/>
        <v>1.7372810940835665E-2</v>
      </c>
      <c r="R247" s="87">
        <f t="shared" si="24"/>
        <v>2.3938847438576574E-2</v>
      </c>
      <c r="S247" s="87">
        <f t="shared" si="24"/>
        <v>1.1479481735621726E-2</v>
      </c>
      <c r="T247" s="87">
        <f t="shared" si="24"/>
        <v>0</v>
      </c>
      <c r="U247" s="87">
        <f t="shared" si="24"/>
        <v>7.3260400920728812E-3</v>
      </c>
      <c r="V247" s="87">
        <f t="shared" si="24"/>
        <v>2.5046031926087516E-2</v>
      </c>
      <c r="W247" s="87">
        <f t="shared" si="23"/>
        <v>-1.0638398205055754E-2</v>
      </c>
      <c r="X247" s="87">
        <f t="shared" si="23"/>
        <v>1.5873349156290163E-2</v>
      </c>
      <c r="Y247" s="87">
        <f t="shared" si="23"/>
        <v>-6.38979809877101E-3</v>
      </c>
      <c r="Z247" s="87">
        <f t="shared" si="23"/>
        <v>-7.7961541469711806E-2</v>
      </c>
      <c r="AA247" s="87">
        <f t="shared" si="23"/>
        <v>3.7621991789584322E-2</v>
      </c>
      <c r="AB247" s="87">
        <f t="shared" si="23"/>
        <v>-1.5128881596300089E-2</v>
      </c>
      <c r="AC247" s="87">
        <f t="shared" si="23"/>
        <v>6.7340321813441194E-3</v>
      </c>
      <c r="AD247" s="87">
        <f t="shared" si="23"/>
        <v>1.9169916107720123E-2</v>
      </c>
      <c r="AE247" s="90">
        <f t="shared" si="25"/>
        <v>1.4961286129080117E-2</v>
      </c>
      <c r="AF247" s="89"/>
    </row>
    <row r="248" spans="1:32" ht="15.5" x14ac:dyDescent="0.35">
      <c r="A248" s="82">
        <v>40123</v>
      </c>
      <c r="B248" s="83">
        <v>6958.3</v>
      </c>
      <c r="C248" s="84">
        <v>2112.4</v>
      </c>
      <c r="D248" s="61">
        <v>273</v>
      </c>
      <c r="E248" s="61">
        <v>15.8</v>
      </c>
      <c r="F248" s="61">
        <v>27.5</v>
      </c>
      <c r="G248" s="61">
        <v>28.2</v>
      </c>
      <c r="H248" s="61">
        <v>55.6</v>
      </c>
      <c r="I248" s="61">
        <v>12.6</v>
      </c>
      <c r="J248" s="61">
        <v>31.4</v>
      </c>
      <c r="K248" s="61">
        <v>29.8</v>
      </c>
      <c r="L248" s="61">
        <v>32.200000000000003</v>
      </c>
      <c r="M248" s="61">
        <v>32.9</v>
      </c>
      <c r="N248" s="61">
        <v>44.8</v>
      </c>
      <c r="O248" s="85">
        <v>16</v>
      </c>
      <c r="P248" s="105"/>
      <c r="Q248" s="87">
        <f t="shared" si="22"/>
        <v>1.1791436757776555E-3</v>
      </c>
      <c r="R248" s="87">
        <f t="shared" si="24"/>
        <v>3.3667670562684457E-3</v>
      </c>
      <c r="S248" s="87">
        <f t="shared" si="24"/>
        <v>5.1413995004186523E-3</v>
      </c>
      <c r="T248" s="87">
        <f t="shared" si="24"/>
        <v>6.3492276786587445E-3</v>
      </c>
      <c r="U248" s="87">
        <f t="shared" si="24"/>
        <v>3.6429912785012298E-3</v>
      </c>
      <c r="V248" s="87">
        <f t="shared" si="24"/>
        <v>-3.5398267051240623E-3</v>
      </c>
      <c r="W248" s="87">
        <f t="shared" si="23"/>
        <v>-8.9526112721139382E-3</v>
      </c>
      <c r="X248" s="87">
        <f t="shared" si="23"/>
        <v>-7.9051795071132611E-3</v>
      </c>
      <c r="Y248" s="87">
        <f t="shared" si="23"/>
        <v>6.3897980987709883E-3</v>
      </c>
      <c r="Z248" s="87">
        <f t="shared" si="23"/>
        <v>6.7340321813441194E-3</v>
      </c>
      <c r="AA248" s="87">
        <f t="shared" si="23"/>
        <v>-9.2736367853291021E-3</v>
      </c>
      <c r="AB248" s="87">
        <f t="shared" si="23"/>
        <v>3.044142381228273E-3</v>
      </c>
      <c r="AC248" s="87">
        <f t="shared" si="23"/>
        <v>2.2346378014161412E-3</v>
      </c>
      <c r="AD248" s="87">
        <f t="shared" si="23"/>
        <v>1.2578782206859965E-2</v>
      </c>
      <c r="AE248" s="90">
        <f t="shared" si="25"/>
        <v>5.0850036861002047E-3</v>
      </c>
      <c r="AF248" s="89"/>
    </row>
    <row r="249" spans="1:32" ht="15.5" x14ac:dyDescent="0.35">
      <c r="A249" s="82">
        <v>40126</v>
      </c>
      <c r="B249" s="83">
        <v>7135.3</v>
      </c>
      <c r="C249" s="84">
        <v>2154.1</v>
      </c>
      <c r="D249" s="61">
        <v>277.39999999999998</v>
      </c>
      <c r="E249" s="61">
        <v>16</v>
      </c>
      <c r="F249" s="61">
        <v>28</v>
      </c>
      <c r="G249" s="61">
        <v>28.5</v>
      </c>
      <c r="H249" s="61">
        <v>52.8</v>
      </c>
      <c r="I249" s="61">
        <v>13.1</v>
      </c>
      <c r="J249" s="61">
        <v>32.700000000000003</v>
      </c>
      <c r="K249" s="61">
        <v>30.2</v>
      </c>
      <c r="L249" s="61">
        <v>32.700000000000003</v>
      </c>
      <c r="M249" s="61">
        <v>33.9</v>
      </c>
      <c r="N249" s="61">
        <v>46</v>
      </c>
      <c r="O249" s="85">
        <v>16.100000000000001</v>
      </c>
      <c r="P249" s="105"/>
      <c r="Q249" s="87">
        <f t="shared" si="22"/>
        <v>2.5119104657583172E-2</v>
      </c>
      <c r="R249" s="87">
        <f t="shared" si="24"/>
        <v>1.9548261061275773E-2</v>
      </c>
      <c r="S249" s="87">
        <f t="shared" si="24"/>
        <v>1.5988712695771425E-2</v>
      </c>
      <c r="T249" s="87">
        <f t="shared" ref="T249:AC281" si="26">+LN(E249/E248)</f>
        <v>1.2578782206859965E-2</v>
      </c>
      <c r="U249" s="87">
        <f t="shared" si="26"/>
        <v>1.8018505502678212E-2</v>
      </c>
      <c r="V249" s="87">
        <f t="shared" si="26"/>
        <v>1.0582109330537008E-2</v>
      </c>
      <c r="W249" s="87">
        <f t="shared" si="23"/>
        <v>-5.1672010544320926E-2</v>
      </c>
      <c r="X249" s="87">
        <f t="shared" si="23"/>
        <v>3.8915416249673623E-2</v>
      </c>
      <c r="Y249" s="87">
        <f t="shared" si="23"/>
        <v>4.0567184989000124E-2</v>
      </c>
      <c r="Z249" s="87">
        <f t="shared" si="23"/>
        <v>1.3333530869465168E-2</v>
      </c>
      <c r="AA249" s="87">
        <f t="shared" si="23"/>
        <v>1.5408625352845061E-2</v>
      </c>
      <c r="AB249" s="87">
        <f t="shared" si="23"/>
        <v>2.9942356615078318E-2</v>
      </c>
      <c r="AC249" s="87">
        <f t="shared" si="23"/>
        <v>2.6433257068155646E-2</v>
      </c>
      <c r="AD249" s="87">
        <f t="shared" si="23"/>
        <v>6.2305497506361628E-3</v>
      </c>
      <c r="AE249" s="90">
        <f t="shared" si="25"/>
        <v>1.6449991148138422E-2</v>
      </c>
      <c r="AF249" s="89"/>
    </row>
    <row r="250" spans="1:32" ht="15.5" x14ac:dyDescent="0.35">
      <c r="A250" s="82">
        <v>40127</v>
      </c>
      <c r="B250" s="83">
        <v>7126.4</v>
      </c>
      <c r="C250" s="84">
        <v>2151.1</v>
      </c>
      <c r="D250" s="61">
        <v>281.3</v>
      </c>
      <c r="E250" s="61">
        <v>16</v>
      </c>
      <c r="F250" s="61">
        <v>28.7</v>
      </c>
      <c r="G250" s="61">
        <v>28.8</v>
      </c>
      <c r="H250" s="61">
        <v>54.2</v>
      </c>
      <c r="I250" s="61">
        <v>13.3</v>
      </c>
      <c r="J250" s="61">
        <v>32.5</v>
      </c>
      <c r="K250" s="61">
        <v>30.5</v>
      </c>
      <c r="L250" s="61">
        <v>33.299999999999997</v>
      </c>
      <c r="M250" s="61">
        <v>34.4</v>
      </c>
      <c r="N250" s="61">
        <v>46.8</v>
      </c>
      <c r="O250" s="85">
        <v>16</v>
      </c>
      <c r="P250" s="105"/>
      <c r="Q250" s="87">
        <f t="shared" si="22"/>
        <v>-1.2480982148454808E-3</v>
      </c>
      <c r="R250" s="87">
        <f t="shared" ref="R250:X301" si="27">+LN(C250/C249)</f>
        <v>-1.3936637023016477E-3</v>
      </c>
      <c r="S250" s="87">
        <f t="shared" si="27"/>
        <v>1.3961207615080087E-2</v>
      </c>
      <c r="T250" s="87">
        <f t="shared" si="26"/>
        <v>0</v>
      </c>
      <c r="U250" s="87">
        <f t="shared" si="26"/>
        <v>2.4692612590371414E-2</v>
      </c>
      <c r="V250" s="87">
        <f t="shared" si="26"/>
        <v>1.0471299867295437E-2</v>
      </c>
      <c r="W250" s="87">
        <f t="shared" si="23"/>
        <v>2.616971773338482E-2</v>
      </c>
      <c r="X250" s="87">
        <f t="shared" si="23"/>
        <v>1.5151805020602246E-2</v>
      </c>
      <c r="Y250" s="87">
        <f t="shared" si="23"/>
        <v>-6.134988567515944E-3</v>
      </c>
      <c r="Z250" s="87">
        <f t="shared" si="23"/>
        <v>9.8847592325419249E-3</v>
      </c>
      <c r="AA250" s="87">
        <f t="shared" si="23"/>
        <v>1.8182319083190328E-2</v>
      </c>
      <c r="AB250" s="87">
        <f t="shared" si="23"/>
        <v>1.4641549992948187E-2</v>
      </c>
      <c r="AC250" s="87">
        <f t="shared" si="23"/>
        <v>1.7241806434505954E-2</v>
      </c>
      <c r="AD250" s="87">
        <f t="shared" si="23"/>
        <v>-6.2305497506361975E-3</v>
      </c>
      <c r="AE250" s="90">
        <f t="shared" si="25"/>
        <v>9.9728616010692425E-3</v>
      </c>
      <c r="AF250" s="89"/>
    </row>
    <row r="251" spans="1:32" ht="15.5" x14ac:dyDescent="0.35">
      <c r="A251" s="82">
        <v>40128</v>
      </c>
      <c r="B251" s="83">
        <v>7155.4</v>
      </c>
      <c r="C251" s="84">
        <v>2166.9</v>
      </c>
      <c r="D251" s="61">
        <v>283.2</v>
      </c>
      <c r="E251" s="61">
        <v>15.9</v>
      </c>
      <c r="F251" s="61">
        <v>28.8</v>
      </c>
      <c r="G251" s="61">
        <v>29</v>
      </c>
      <c r="H251" s="61">
        <v>54.3</v>
      </c>
      <c r="I251" s="61">
        <v>13.4</v>
      </c>
      <c r="J251" s="61">
        <v>33.4</v>
      </c>
      <c r="K251" s="61">
        <v>29.7</v>
      </c>
      <c r="L251" s="61">
        <v>33.1</v>
      </c>
      <c r="M251" s="61">
        <v>34.9</v>
      </c>
      <c r="N251" s="61">
        <v>48.3</v>
      </c>
      <c r="O251" s="85">
        <v>16.100000000000001</v>
      </c>
      <c r="P251" s="105"/>
      <c r="Q251" s="87">
        <f t="shared" si="22"/>
        <v>4.0611183264440721E-3</v>
      </c>
      <c r="R251" s="87">
        <f t="shared" si="27"/>
        <v>7.3182355331585756E-3</v>
      </c>
      <c r="S251" s="87">
        <f t="shared" si="27"/>
        <v>6.731646323753537E-3</v>
      </c>
      <c r="T251" s="87">
        <f t="shared" si="26"/>
        <v>-6.2696130135953742E-3</v>
      </c>
      <c r="U251" s="87">
        <f t="shared" si="26"/>
        <v>3.4782643763247925E-3</v>
      </c>
      <c r="V251" s="87">
        <f t="shared" si="26"/>
        <v>6.920442844573757E-3</v>
      </c>
      <c r="W251" s="87">
        <f t="shared" si="23"/>
        <v>1.843318494289093E-3</v>
      </c>
      <c r="X251" s="87">
        <f t="shared" si="23"/>
        <v>7.4906717291576587E-3</v>
      </c>
      <c r="Y251" s="87">
        <f t="shared" si="23"/>
        <v>2.7315810646962924E-2</v>
      </c>
      <c r="Z251" s="87">
        <f t="shared" si="23"/>
        <v>-2.6579637804712012E-2</v>
      </c>
      <c r="AA251" s="87">
        <f t="shared" si="23"/>
        <v>-6.0241146033807903E-3</v>
      </c>
      <c r="AB251" s="87">
        <f t="shared" si="23"/>
        <v>1.4430264829028837E-2</v>
      </c>
      <c r="AC251" s="87">
        <f t="shared" si="23"/>
        <v>3.1548357734926057E-2</v>
      </c>
      <c r="AD251" s="87">
        <f t="shared" si="23"/>
        <v>6.2305497506361628E-3</v>
      </c>
      <c r="AE251" s="90">
        <f t="shared" si="25"/>
        <v>5.9162996178674498E-3</v>
      </c>
      <c r="AF251" s="89"/>
    </row>
    <row r="252" spans="1:32" ht="15.5" x14ac:dyDescent="0.35">
      <c r="A252" s="82">
        <v>40129</v>
      </c>
      <c r="B252" s="83">
        <v>7063</v>
      </c>
      <c r="C252" s="84">
        <v>2149</v>
      </c>
      <c r="D252" s="61">
        <v>283</v>
      </c>
      <c r="E252" s="61">
        <v>16</v>
      </c>
      <c r="F252" s="61">
        <v>28.8</v>
      </c>
      <c r="G252" s="61">
        <v>29</v>
      </c>
      <c r="H252" s="61">
        <v>54.3</v>
      </c>
      <c r="I252" s="61">
        <v>13.5</v>
      </c>
      <c r="J252" s="61">
        <v>32.9</v>
      </c>
      <c r="K252" s="61">
        <v>29.3</v>
      </c>
      <c r="L252" s="61">
        <v>32.9</v>
      </c>
      <c r="M252" s="61">
        <v>34.299999999999997</v>
      </c>
      <c r="N252" s="61">
        <v>47.4</v>
      </c>
      <c r="O252" s="85">
        <v>16</v>
      </c>
      <c r="P252" s="105"/>
      <c r="Q252" s="87">
        <f t="shared" si="22"/>
        <v>-1.2997425980570148E-2</v>
      </c>
      <c r="R252" s="87">
        <f t="shared" si="27"/>
        <v>-8.2949570824003716E-3</v>
      </c>
      <c r="S252" s="87">
        <f t="shared" si="27"/>
        <v>-7.0646417632699507E-4</v>
      </c>
      <c r="T252" s="87">
        <f t="shared" si="26"/>
        <v>6.269613013595395E-3</v>
      </c>
      <c r="U252" s="87">
        <f t="shared" si="26"/>
        <v>0</v>
      </c>
      <c r="V252" s="87">
        <f t="shared" si="26"/>
        <v>0</v>
      </c>
      <c r="W252" s="87">
        <f t="shared" si="23"/>
        <v>0</v>
      </c>
      <c r="X252" s="87">
        <f t="shared" si="23"/>
        <v>7.4349784875179905E-3</v>
      </c>
      <c r="Y252" s="87">
        <f t="shared" si="23"/>
        <v>-1.5083242211328476E-2</v>
      </c>
      <c r="Z252" s="87">
        <f t="shared" si="23"/>
        <v>-1.3559529785632251E-2</v>
      </c>
      <c r="AA252" s="87">
        <f t="shared" si="23"/>
        <v>-6.0606246116910699E-3</v>
      </c>
      <c r="AB252" s="87">
        <f t="shared" si="23"/>
        <v>-1.7341475036487326E-2</v>
      </c>
      <c r="AC252" s="87">
        <f t="shared" si="23"/>
        <v>-1.8809331957496116E-2</v>
      </c>
      <c r="AD252" s="87">
        <f t="shared" si="23"/>
        <v>-6.2305497506361975E-3</v>
      </c>
      <c r="AE252" s="90">
        <f t="shared" si="25"/>
        <v>-3.4505408723983716E-3</v>
      </c>
      <c r="AF252" s="89"/>
    </row>
    <row r="253" spans="1:32" ht="15.5" x14ac:dyDescent="0.35">
      <c r="A253" s="82">
        <v>40130</v>
      </c>
      <c r="B253" s="83">
        <v>7119.9</v>
      </c>
      <c r="C253" s="84">
        <v>2167.9</v>
      </c>
      <c r="D253" s="61">
        <v>283.60000000000002</v>
      </c>
      <c r="E253" s="61">
        <v>15.9</v>
      </c>
      <c r="F253" s="61">
        <v>28.9</v>
      </c>
      <c r="G253" s="61">
        <v>29.4</v>
      </c>
      <c r="H253" s="61">
        <v>52.9</v>
      </c>
      <c r="I253" s="61">
        <v>14.1</v>
      </c>
      <c r="J253" s="61">
        <v>33.9</v>
      </c>
      <c r="K253" s="61">
        <v>30.5</v>
      </c>
      <c r="L253" s="61">
        <v>33</v>
      </c>
      <c r="M253" s="61">
        <v>34</v>
      </c>
      <c r="N253" s="61">
        <v>47</v>
      </c>
      <c r="O253" s="85">
        <v>15.9</v>
      </c>
      <c r="P253" s="105"/>
      <c r="Q253" s="87">
        <f t="shared" si="22"/>
        <v>8.0237899546477635E-3</v>
      </c>
      <c r="R253" s="87">
        <f t="shared" si="27"/>
        <v>8.7563393919600045E-3</v>
      </c>
      <c r="S253" s="87">
        <f t="shared" si="27"/>
        <v>2.117897014734913E-3</v>
      </c>
      <c r="T253" s="87">
        <f t="shared" si="26"/>
        <v>-6.2696130135953742E-3</v>
      </c>
      <c r="U253" s="87">
        <f t="shared" si="26"/>
        <v>3.4662079764861075E-3</v>
      </c>
      <c r="V253" s="87">
        <f t="shared" si="26"/>
        <v>1.3698844358161927E-2</v>
      </c>
      <c r="W253" s="87">
        <f t="shared" si="23"/>
        <v>-2.6120888075635989E-2</v>
      </c>
      <c r="X253" s="87">
        <f t="shared" si="23"/>
        <v>4.3485111939738891E-2</v>
      </c>
      <c r="Y253" s="87">
        <f t="shared" si="23"/>
        <v>2.9942356615078318E-2</v>
      </c>
      <c r="Z253" s="87">
        <f t="shared" si="23"/>
        <v>4.0139167590344263E-2</v>
      </c>
      <c r="AA253" s="87">
        <f t="shared" si="23"/>
        <v>3.0349036951541112E-3</v>
      </c>
      <c r="AB253" s="87">
        <f t="shared" si="23"/>
        <v>-8.7848295557328027E-3</v>
      </c>
      <c r="AC253" s="87">
        <f t="shared" si="23"/>
        <v>-8.4746269909722321E-3</v>
      </c>
      <c r="AD253" s="87">
        <f t="shared" si="23"/>
        <v>-6.2696130135953742E-3</v>
      </c>
      <c r="AE253" s="90">
        <f t="shared" si="25"/>
        <v>3.4738076096025418E-3</v>
      </c>
      <c r="AF253" s="89"/>
    </row>
    <row r="254" spans="1:32" ht="15.5" x14ac:dyDescent="0.35">
      <c r="A254" s="82">
        <v>40133</v>
      </c>
      <c r="B254" s="83">
        <v>7237.1</v>
      </c>
      <c r="C254" s="84">
        <v>2197.9</v>
      </c>
      <c r="D254" s="61">
        <v>286.7</v>
      </c>
      <c r="E254" s="61">
        <v>15.9</v>
      </c>
      <c r="F254" s="61">
        <v>29.3</v>
      </c>
      <c r="G254" s="61">
        <v>29.4</v>
      </c>
      <c r="H254" s="61">
        <v>56.4</v>
      </c>
      <c r="I254" s="61">
        <v>14.4</v>
      </c>
      <c r="J254" s="61">
        <v>34.4</v>
      </c>
      <c r="K254" s="61">
        <v>30.4</v>
      </c>
      <c r="L254" s="61">
        <v>33.5</v>
      </c>
      <c r="M254" s="61">
        <v>34.6</v>
      </c>
      <c r="N254" s="61">
        <v>47.5</v>
      </c>
      <c r="O254" s="85">
        <v>16.100000000000001</v>
      </c>
      <c r="P254" s="105"/>
      <c r="Q254" s="87">
        <f t="shared" si="22"/>
        <v>1.6326893287428885E-2</v>
      </c>
      <c r="R254" s="87">
        <f t="shared" si="27"/>
        <v>1.3743401988757663E-2</v>
      </c>
      <c r="S254" s="87">
        <f t="shared" si="27"/>
        <v>1.0871578231351537E-2</v>
      </c>
      <c r="T254" s="87">
        <f t="shared" si="26"/>
        <v>0</v>
      </c>
      <c r="U254" s="87">
        <f t="shared" si="26"/>
        <v>1.3745920904635136E-2</v>
      </c>
      <c r="V254" s="87">
        <f t="shared" si="26"/>
        <v>0</v>
      </c>
      <c r="W254" s="87">
        <f t="shared" si="23"/>
        <v>6.4065819639759478E-2</v>
      </c>
      <c r="X254" s="87">
        <f t="shared" si="23"/>
        <v>2.1053409197832482E-2</v>
      </c>
      <c r="Y254" s="87">
        <f t="shared" si="23"/>
        <v>1.4641549992948187E-2</v>
      </c>
      <c r="Z254" s="87">
        <f t="shared" si="23"/>
        <v>-3.2840752011899961E-3</v>
      </c>
      <c r="AA254" s="87">
        <f t="shared" si="23"/>
        <v>1.5037877364540502E-2</v>
      </c>
      <c r="AB254" s="87">
        <f t="shared" si="23"/>
        <v>1.7493157447517119E-2</v>
      </c>
      <c r="AC254" s="87">
        <f t="shared" si="23"/>
        <v>1.0582109330537008E-2</v>
      </c>
      <c r="AD254" s="87">
        <f t="shared" si="23"/>
        <v>1.2500162764231468E-2</v>
      </c>
      <c r="AE254" s="90">
        <f t="shared" si="25"/>
        <v>1.2752241146704061E-2</v>
      </c>
      <c r="AF254" s="89"/>
    </row>
    <row r="255" spans="1:32" ht="15.5" x14ac:dyDescent="0.35">
      <c r="A255" s="82">
        <v>40134</v>
      </c>
      <c r="B255" s="83">
        <v>7234.1</v>
      </c>
      <c r="C255" s="84">
        <v>2203.8000000000002</v>
      </c>
      <c r="D255" s="61">
        <v>287.2</v>
      </c>
      <c r="E255" s="61">
        <v>15.7</v>
      </c>
      <c r="F255" s="61">
        <v>29.3</v>
      </c>
      <c r="G255" s="61">
        <v>29.5</v>
      </c>
      <c r="H255" s="61">
        <v>56.2</v>
      </c>
      <c r="I255" s="61">
        <v>14.4</v>
      </c>
      <c r="J255" s="61">
        <v>34.4</v>
      </c>
      <c r="K255" s="61">
        <v>29.5</v>
      </c>
      <c r="L255" s="61">
        <v>33.4</v>
      </c>
      <c r="M255" s="61">
        <v>34.9</v>
      </c>
      <c r="N255" s="61">
        <v>48.4</v>
      </c>
      <c r="O255" s="85">
        <v>16.100000000000001</v>
      </c>
      <c r="P255" s="105"/>
      <c r="Q255" s="87">
        <f t="shared" si="22"/>
        <v>-4.1461662377367689E-4</v>
      </c>
      <c r="R255" s="87">
        <f t="shared" si="27"/>
        <v>2.6807840304486335E-3</v>
      </c>
      <c r="S255" s="87">
        <f t="shared" si="27"/>
        <v>1.7424642847450572E-3</v>
      </c>
      <c r="T255" s="87">
        <f t="shared" si="26"/>
        <v>-1.2658396871923577E-2</v>
      </c>
      <c r="U255" s="87">
        <f t="shared" si="26"/>
        <v>0</v>
      </c>
      <c r="V255" s="87">
        <f t="shared" si="26"/>
        <v>3.3955890011383287E-3</v>
      </c>
      <c r="W255" s="87">
        <f t="shared" si="23"/>
        <v>-3.5524016043677721E-3</v>
      </c>
      <c r="X255" s="87">
        <f t="shared" si="23"/>
        <v>0</v>
      </c>
      <c r="Y255" s="87">
        <f t="shared" si="23"/>
        <v>0</v>
      </c>
      <c r="Z255" s="87">
        <f t="shared" si="23"/>
        <v>-3.0052345066401823E-2</v>
      </c>
      <c r="AA255" s="87">
        <f t="shared" si="23"/>
        <v>-2.9895388483660483E-3</v>
      </c>
      <c r="AB255" s="87">
        <f t="shared" si="23"/>
        <v>8.6331471447028754E-3</v>
      </c>
      <c r="AC255" s="87">
        <f t="shared" si="23"/>
        <v>1.8770102681990468E-2</v>
      </c>
      <c r="AD255" s="87">
        <f t="shared" si="23"/>
        <v>0</v>
      </c>
      <c r="AE255" s="90">
        <f t="shared" si="25"/>
        <v>1.31369238007374E-3</v>
      </c>
      <c r="AF255" s="89"/>
    </row>
    <row r="256" spans="1:32" ht="15.5" x14ac:dyDescent="0.35">
      <c r="A256" s="82">
        <v>40135</v>
      </c>
      <c r="B256" s="83">
        <v>7226.7</v>
      </c>
      <c r="C256" s="84">
        <v>2193.1</v>
      </c>
      <c r="D256" s="61">
        <v>286.3</v>
      </c>
      <c r="E256" s="61">
        <v>15.8</v>
      </c>
      <c r="F256" s="61">
        <v>29.1</v>
      </c>
      <c r="G256" s="61">
        <v>29.8</v>
      </c>
      <c r="H256" s="61">
        <v>55.8</v>
      </c>
      <c r="I256" s="61">
        <v>14.4</v>
      </c>
      <c r="J256" s="61">
        <v>37.4</v>
      </c>
      <c r="K256" s="61">
        <v>29</v>
      </c>
      <c r="L256" s="61">
        <v>34.1</v>
      </c>
      <c r="M256" s="61">
        <v>34.6</v>
      </c>
      <c r="N256" s="61">
        <v>47.8</v>
      </c>
      <c r="O256" s="85">
        <v>16</v>
      </c>
      <c r="P256" s="105"/>
      <c r="Q256" s="87">
        <f t="shared" si="22"/>
        <v>-1.0234566062647312E-3</v>
      </c>
      <c r="R256" s="87">
        <f t="shared" si="27"/>
        <v>-4.8670750402173531E-3</v>
      </c>
      <c r="S256" s="87">
        <f t="shared" si="27"/>
        <v>-3.138625069999703E-3</v>
      </c>
      <c r="T256" s="87">
        <f t="shared" si="26"/>
        <v>6.3492276786587445E-3</v>
      </c>
      <c r="U256" s="87">
        <f t="shared" si="26"/>
        <v>-6.849341845574783E-3</v>
      </c>
      <c r="V256" s="87">
        <f t="shared" si="26"/>
        <v>1.0118130165584686E-2</v>
      </c>
      <c r="W256" s="87">
        <f t="shared" si="23"/>
        <v>-7.1428875123802247E-3</v>
      </c>
      <c r="X256" s="87">
        <f t="shared" si="23"/>
        <v>0</v>
      </c>
      <c r="Y256" s="87">
        <f t="shared" si="23"/>
        <v>8.3614140041133517E-2</v>
      </c>
      <c r="Z256" s="87">
        <f t="shared" si="23"/>
        <v>-1.7094433359300068E-2</v>
      </c>
      <c r="AA256" s="87">
        <f t="shared" si="23"/>
        <v>2.0741484306816372E-2</v>
      </c>
      <c r="AB256" s="87">
        <f t="shared" si="23"/>
        <v>-8.6331471447027783E-3</v>
      </c>
      <c r="AC256" s="87">
        <f t="shared" si="23"/>
        <v>-1.2474174225175801E-2</v>
      </c>
      <c r="AD256" s="87">
        <f t="shared" si="23"/>
        <v>-6.2305497506361975E-3</v>
      </c>
      <c r="AE256" s="90">
        <f t="shared" si="25"/>
        <v>-5.0935817470467897E-3</v>
      </c>
      <c r="AF256" s="89"/>
    </row>
    <row r="257" spans="1:32" ht="15.5" x14ac:dyDescent="0.35">
      <c r="A257" s="82">
        <v>40136</v>
      </c>
      <c r="B257" s="83">
        <v>7117.6</v>
      </c>
      <c r="C257" s="84">
        <v>2156.8000000000002</v>
      </c>
      <c r="D257" s="61">
        <v>285.3</v>
      </c>
      <c r="E257" s="61">
        <v>15.5</v>
      </c>
      <c r="F257" s="61">
        <v>28.5</v>
      </c>
      <c r="G257" s="61">
        <v>29.7</v>
      </c>
      <c r="H257" s="61">
        <v>54.6</v>
      </c>
      <c r="I257" s="61">
        <v>14.1</v>
      </c>
      <c r="J257" s="61">
        <v>36.799999999999997</v>
      </c>
      <c r="K257" s="61">
        <v>28.8</v>
      </c>
      <c r="L257" s="61">
        <v>34.799999999999997</v>
      </c>
      <c r="M257" s="61">
        <v>34</v>
      </c>
      <c r="N257" s="61">
        <v>46.4</v>
      </c>
      <c r="O257" s="85">
        <v>15.7</v>
      </c>
      <c r="P257" s="105"/>
      <c r="Q257" s="87">
        <f t="shared" si="22"/>
        <v>-1.5211910490402806E-2</v>
      </c>
      <c r="R257" s="87">
        <f t="shared" si="27"/>
        <v>-1.6690426295471284E-2</v>
      </c>
      <c r="S257" s="87">
        <f t="shared" si="27"/>
        <v>-3.49895388461507E-3</v>
      </c>
      <c r="T257" s="87">
        <f t="shared" si="26"/>
        <v>-1.9169916107720172E-2</v>
      </c>
      <c r="U257" s="87">
        <f t="shared" si="26"/>
        <v>-2.0834086902842025E-2</v>
      </c>
      <c r="V257" s="87">
        <f t="shared" si="26"/>
        <v>-3.3613477027048832E-3</v>
      </c>
      <c r="W257" s="87">
        <f t="shared" si="23"/>
        <v>-2.1739986636405764E-2</v>
      </c>
      <c r="X257" s="87">
        <f t="shared" si="23"/>
        <v>-2.1053409197832381E-2</v>
      </c>
      <c r="Y257" s="87">
        <f t="shared" si="23"/>
        <v>-1.6172859245601072E-2</v>
      </c>
      <c r="Z257" s="87">
        <f t="shared" si="23"/>
        <v>-6.9204428445737952E-3</v>
      </c>
      <c r="AA257" s="87">
        <f t="shared" si="23"/>
        <v>2.0320002490957528E-2</v>
      </c>
      <c r="AB257" s="87">
        <f t="shared" si="23"/>
        <v>-1.749315744751723E-2</v>
      </c>
      <c r="AC257" s="87">
        <f t="shared" si="23"/>
        <v>-2.9726180265200734E-2</v>
      </c>
      <c r="AD257" s="87">
        <f t="shared" si="23"/>
        <v>-1.8928009885518911E-2</v>
      </c>
      <c r="AE257" s="90">
        <f t="shared" si="25"/>
        <v>-1.428524197525731E-2</v>
      </c>
      <c r="AF257" s="89"/>
    </row>
    <row r="258" spans="1:32" ht="15.5" x14ac:dyDescent="0.35">
      <c r="A258" s="82">
        <v>40137</v>
      </c>
      <c r="B258" s="83">
        <v>7084.5</v>
      </c>
      <c r="C258" s="84">
        <v>2146</v>
      </c>
      <c r="D258" s="61">
        <v>285</v>
      </c>
      <c r="E258" s="61">
        <v>15.4</v>
      </c>
      <c r="F258" s="61">
        <v>28.3</v>
      </c>
      <c r="G258" s="61">
        <v>29.4</v>
      </c>
      <c r="H258" s="61">
        <v>54.9</v>
      </c>
      <c r="I258" s="61">
        <v>13.8</v>
      </c>
      <c r="J258" s="61">
        <v>36.799999999999997</v>
      </c>
      <c r="K258" s="61">
        <v>29.1</v>
      </c>
      <c r="L258" s="61">
        <v>35.299999999999997</v>
      </c>
      <c r="M258" s="61">
        <v>33.6</v>
      </c>
      <c r="N258" s="61">
        <v>45.9</v>
      </c>
      <c r="O258" s="85">
        <v>15.7</v>
      </c>
      <c r="P258" s="105"/>
      <c r="Q258" s="87">
        <f t="shared" si="22"/>
        <v>-4.6612909262761888E-3</v>
      </c>
      <c r="R258" s="87">
        <f t="shared" si="27"/>
        <v>-5.0199975273441996E-3</v>
      </c>
      <c r="S258" s="87">
        <f t="shared" si="27"/>
        <v>-1.0520779508037803E-3</v>
      </c>
      <c r="T258" s="87">
        <f t="shared" si="26"/>
        <v>-6.4725145056174788E-3</v>
      </c>
      <c r="U258" s="87">
        <f t="shared" si="26"/>
        <v>-7.0422826254129232E-3</v>
      </c>
      <c r="V258" s="87">
        <f t="shared" si="26"/>
        <v>-1.0152371464018073E-2</v>
      </c>
      <c r="W258" s="87">
        <f t="shared" si="23"/>
        <v>5.4794657646255705E-3</v>
      </c>
      <c r="X258" s="87">
        <f t="shared" si="23"/>
        <v>-2.1506205220963505E-2</v>
      </c>
      <c r="Y258" s="87">
        <f t="shared" si="23"/>
        <v>0</v>
      </c>
      <c r="Z258" s="87">
        <f t="shared" si="23"/>
        <v>1.0362787035546658E-2</v>
      </c>
      <c r="AA258" s="87">
        <f t="shared" si="23"/>
        <v>1.4265577158822439E-2</v>
      </c>
      <c r="AB258" s="87">
        <f t="shared" si="23"/>
        <v>-1.1834457647002796E-2</v>
      </c>
      <c r="AC258" s="87">
        <f t="shared" si="23"/>
        <v>-1.0834342165710118E-2</v>
      </c>
      <c r="AD258" s="87">
        <f t="shared" ref="AD258:AD321" si="28">+LN(O258/O257)</f>
        <v>0</v>
      </c>
      <c r="AE258" s="90">
        <f t="shared" si="25"/>
        <v>-3.8264103447606906E-3</v>
      </c>
      <c r="AF258" s="89"/>
    </row>
    <row r="259" spans="1:32" ht="15.5" x14ac:dyDescent="0.35">
      <c r="A259" s="82">
        <v>40140</v>
      </c>
      <c r="B259" s="83">
        <v>7186.3</v>
      </c>
      <c r="C259" s="84">
        <v>2176</v>
      </c>
      <c r="D259" s="61">
        <v>288.2</v>
      </c>
      <c r="E259" s="61">
        <v>15.3</v>
      </c>
      <c r="F259" s="61">
        <v>29</v>
      </c>
      <c r="G259" s="61">
        <v>29.7</v>
      </c>
      <c r="H259" s="61">
        <v>54.8</v>
      </c>
      <c r="I259" s="61">
        <v>13.8</v>
      </c>
      <c r="J259" s="61">
        <v>37.799999999999997</v>
      </c>
      <c r="K259" s="61">
        <v>29.1</v>
      </c>
      <c r="L259" s="61">
        <v>36.200000000000003</v>
      </c>
      <c r="M259" s="61">
        <v>34.299999999999997</v>
      </c>
      <c r="N259" s="61">
        <v>47.3</v>
      </c>
      <c r="O259" s="85">
        <v>16</v>
      </c>
      <c r="P259" s="105"/>
      <c r="Q259" s="87">
        <f t="shared" si="22"/>
        <v>1.4267136640793716E-2</v>
      </c>
      <c r="R259" s="87">
        <f t="shared" si="27"/>
        <v>1.3882684785189529E-2</v>
      </c>
      <c r="S259" s="87">
        <f t="shared" si="27"/>
        <v>1.1165503296771179E-2</v>
      </c>
      <c r="T259" s="87">
        <f t="shared" si="26"/>
        <v>-6.5146810211936419E-3</v>
      </c>
      <c r="U259" s="87">
        <f t="shared" si="26"/>
        <v>2.4434025337282041E-2</v>
      </c>
      <c r="V259" s="87">
        <f t="shared" si="26"/>
        <v>1.0152371464018128E-2</v>
      </c>
      <c r="W259" s="87">
        <f t="shared" si="26"/>
        <v>-1.8231545615151365E-3</v>
      </c>
      <c r="X259" s="87">
        <f t="shared" si="26"/>
        <v>0</v>
      </c>
      <c r="Y259" s="87">
        <f t="shared" si="26"/>
        <v>2.681125745065677E-2</v>
      </c>
      <c r="Z259" s="87">
        <f t="shared" si="26"/>
        <v>0</v>
      </c>
      <c r="AA259" s="87">
        <f t="shared" si="26"/>
        <v>2.5176154892474403E-2</v>
      </c>
      <c r="AB259" s="87">
        <f t="shared" si="26"/>
        <v>2.061928720273561E-2</v>
      </c>
      <c r="AC259" s="87">
        <f t="shared" si="26"/>
        <v>3.0045178431387778E-2</v>
      </c>
      <c r="AD259" s="87">
        <f t="shared" si="28"/>
        <v>1.8928009885518859E-2</v>
      </c>
      <c r="AE259" s="90">
        <f t="shared" si="25"/>
        <v>1.6717480361913093E-2</v>
      </c>
      <c r="AF259" s="89"/>
    </row>
    <row r="260" spans="1:32" ht="15.5" x14ac:dyDescent="0.35">
      <c r="A260" s="82">
        <v>40141</v>
      </c>
      <c r="B260" s="83">
        <v>7170.3</v>
      </c>
      <c r="C260" s="84">
        <v>2169.1999999999998</v>
      </c>
      <c r="D260" s="61">
        <v>288.60000000000002</v>
      </c>
      <c r="E260" s="61">
        <v>15.2</v>
      </c>
      <c r="F260" s="61">
        <v>29</v>
      </c>
      <c r="G260" s="61">
        <v>29.8</v>
      </c>
      <c r="H260" s="61">
        <v>55</v>
      </c>
      <c r="I260" s="61">
        <v>13.6</v>
      </c>
      <c r="J260" s="61">
        <v>37</v>
      </c>
      <c r="K260" s="61">
        <v>29.1</v>
      </c>
      <c r="L260" s="61">
        <v>35.9</v>
      </c>
      <c r="M260" s="61">
        <v>34.1</v>
      </c>
      <c r="N260" s="61">
        <v>48</v>
      </c>
      <c r="O260" s="85">
        <v>16.100000000000001</v>
      </c>
      <c r="P260" s="105"/>
      <c r="Q260" s="87">
        <f t="shared" si="22"/>
        <v>-2.2289409225354933E-3</v>
      </c>
      <c r="R260" s="87">
        <f t="shared" si="27"/>
        <v>-3.1298930089277044E-3</v>
      </c>
      <c r="S260" s="87">
        <f t="shared" si="27"/>
        <v>1.386962774348806E-3</v>
      </c>
      <c r="T260" s="87">
        <f t="shared" si="26"/>
        <v>-6.5574005461591636E-3</v>
      </c>
      <c r="U260" s="87">
        <f t="shared" si="26"/>
        <v>0</v>
      </c>
      <c r="V260" s="87">
        <f t="shared" si="26"/>
        <v>3.3613477027049274E-3</v>
      </c>
      <c r="W260" s="87">
        <f t="shared" si="26"/>
        <v>3.6429912785012298E-3</v>
      </c>
      <c r="X260" s="87">
        <f t="shared" si="26"/>
        <v>-1.4598799421152749E-2</v>
      </c>
      <c r="Y260" s="87">
        <f t="shared" si="26"/>
        <v>-2.1391189981317445E-2</v>
      </c>
      <c r="Z260" s="87">
        <f t="shared" si="26"/>
        <v>0</v>
      </c>
      <c r="AA260" s="87">
        <f t="shared" si="26"/>
        <v>-8.32182333749233E-3</v>
      </c>
      <c r="AB260" s="87">
        <f t="shared" si="26"/>
        <v>-5.8479698824229886E-3</v>
      </c>
      <c r="AC260" s="87">
        <f t="shared" si="26"/>
        <v>1.469071541000381E-2</v>
      </c>
      <c r="AD260" s="87">
        <f t="shared" si="28"/>
        <v>6.2305497506361628E-3</v>
      </c>
      <c r="AE260" s="90">
        <f t="shared" si="25"/>
        <v>2.2518488752410772E-4</v>
      </c>
      <c r="AF260" s="89"/>
    </row>
    <row r="261" spans="1:32" ht="15.5" x14ac:dyDescent="0.35">
      <c r="A261" s="82">
        <v>40142</v>
      </c>
      <c r="B261" s="83">
        <v>7232.1</v>
      </c>
      <c r="C261" s="84">
        <v>2176.1</v>
      </c>
      <c r="D261" s="61">
        <v>291.60000000000002</v>
      </c>
      <c r="E261" s="61">
        <v>15.2</v>
      </c>
      <c r="F261" s="61">
        <v>29.1</v>
      </c>
      <c r="G261" s="61">
        <v>29.6</v>
      </c>
      <c r="H261" s="61">
        <v>54.8</v>
      </c>
      <c r="I261" s="61">
        <v>13.8</v>
      </c>
      <c r="J261" s="61">
        <v>37.1</v>
      </c>
      <c r="K261" s="61">
        <v>29.4</v>
      </c>
      <c r="L261" s="61">
        <v>36</v>
      </c>
      <c r="M261" s="61">
        <v>34.4</v>
      </c>
      <c r="N261" s="61">
        <v>48.4</v>
      </c>
      <c r="O261" s="85">
        <v>16.100000000000001</v>
      </c>
      <c r="P261" s="105"/>
      <c r="Q261" s="87">
        <f t="shared" si="22"/>
        <v>8.5819556875029058E-3</v>
      </c>
      <c r="R261" s="87">
        <f t="shared" si="27"/>
        <v>3.1758478353415293E-3</v>
      </c>
      <c r="S261" s="87">
        <f t="shared" si="27"/>
        <v>1.0341353794732531E-2</v>
      </c>
      <c r="T261" s="87">
        <f t="shared" si="26"/>
        <v>0</v>
      </c>
      <c r="U261" s="87">
        <f t="shared" si="26"/>
        <v>3.4423441909729197E-3</v>
      </c>
      <c r="V261" s="87">
        <f t="shared" si="26"/>
        <v>-6.7340321813440683E-3</v>
      </c>
      <c r="W261" s="87">
        <f t="shared" si="26"/>
        <v>-3.6429912785010919E-3</v>
      </c>
      <c r="X261" s="87">
        <f t="shared" si="26"/>
        <v>1.4598799421152851E-2</v>
      </c>
      <c r="Y261" s="87">
        <f t="shared" si="26"/>
        <v>2.6990569691649835E-3</v>
      </c>
      <c r="Z261" s="87">
        <f t="shared" si="26"/>
        <v>1.0256500167189061E-2</v>
      </c>
      <c r="AA261" s="87">
        <f t="shared" si="26"/>
        <v>2.7816429618767705E-3</v>
      </c>
      <c r="AB261" s="87">
        <f t="shared" si="26"/>
        <v>8.7591800898815537E-3</v>
      </c>
      <c r="AC261" s="87">
        <f t="shared" si="26"/>
        <v>8.2988028146950641E-3</v>
      </c>
      <c r="AD261" s="87">
        <f t="shared" si="28"/>
        <v>0</v>
      </c>
      <c r="AE261" s="90">
        <f t="shared" si="25"/>
        <v>4.9638353045328466E-3</v>
      </c>
      <c r="AF261" s="89"/>
    </row>
    <row r="262" spans="1:32" ht="15.5" x14ac:dyDescent="0.35">
      <c r="A262" s="82">
        <v>40144</v>
      </c>
      <c r="B262" s="83">
        <v>7070.1</v>
      </c>
      <c r="C262" s="84">
        <v>2138.4</v>
      </c>
      <c r="D262" s="61">
        <v>285.8</v>
      </c>
      <c r="E262" s="61">
        <v>14.9</v>
      </c>
      <c r="F262" s="61">
        <v>28.3</v>
      </c>
      <c r="G262" s="61">
        <v>28.8</v>
      </c>
      <c r="H262" s="61">
        <v>54.8</v>
      </c>
      <c r="I262" s="61">
        <v>13.2</v>
      </c>
      <c r="J262" s="61">
        <v>36.299999999999997</v>
      </c>
      <c r="K262" s="61">
        <v>29.5</v>
      </c>
      <c r="L262" s="61">
        <v>35.6</v>
      </c>
      <c r="M262" s="61">
        <v>33.1</v>
      </c>
      <c r="N262" s="61">
        <v>46.8</v>
      </c>
      <c r="O262" s="85">
        <v>16</v>
      </c>
      <c r="P262" s="105"/>
      <c r="Q262" s="87">
        <f t="shared" si="22"/>
        <v>-2.2654826347883419E-2</v>
      </c>
      <c r="R262" s="87">
        <f t="shared" si="27"/>
        <v>-1.7476397977537608E-2</v>
      </c>
      <c r="S262" s="87">
        <f t="shared" si="27"/>
        <v>-2.0090734638736091E-2</v>
      </c>
      <c r="T262" s="87">
        <f t="shared" si="26"/>
        <v>-1.9934214900817138E-2</v>
      </c>
      <c r="U262" s="87">
        <f t="shared" si="26"/>
        <v>-2.7876369528254903E-2</v>
      </c>
      <c r="V262" s="87">
        <f t="shared" si="26"/>
        <v>-2.7398974188114503E-2</v>
      </c>
      <c r="W262" s="87">
        <f t="shared" si="26"/>
        <v>0</v>
      </c>
      <c r="X262" s="87">
        <f t="shared" si="26"/>
        <v>-4.4451762570833921E-2</v>
      </c>
      <c r="Y262" s="87">
        <f t="shared" si="26"/>
        <v>-2.1799228342584517E-2</v>
      </c>
      <c r="Z262" s="87">
        <f t="shared" si="26"/>
        <v>3.3955890011383287E-3</v>
      </c>
      <c r="AA262" s="87">
        <f t="shared" si="26"/>
        <v>-1.1173300598125189E-2</v>
      </c>
      <c r="AB262" s="87">
        <f t="shared" si="26"/>
        <v>-3.8523281996335403E-2</v>
      </c>
      <c r="AC262" s="87">
        <f t="shared" si="26"/>
        <v>-3.3616610798984974E-2</v>
      </c>
      <c r="AD262" s="87">
        <f t="shared" si="28"/>
        <v>-6.2305497506361975E-3</v>
      </c>
      <c r="AE262" s="90">
        <f t="shared" si="25"/>
        <v>-1.98486260137028E-2</v>
      </c>
      <c r="AF262" s="89"/>
    </row>
    <row r="263" spans="1:32" ht="15.5" x14ac:dyDescent="0.35">
      <c r="A263" s="82">
        <v>40147</v>
      </c>
      <c r="B263" s="83">
        <v>7092.4</v>
      </c>
      <c r="C263" s="84">
        <v>2144.6</v>
      </c>
      <c r="D263" s="61">
        <v>288.8</v>
      </c>
      <c r="E263" s="61">
        <v>14.8</v>
      </c>
      <c r="F263" s="61">
        <v>28.4</v>
      </c>
      <c r="G263" s="61">
        <v>29</v>
      </c>
      <c r="H263" s="61">
        <v>55.1</v>
      </c>
      <c r="I263" s="61">
        <v>13.5</v>
      </c>
      <c r="J263" s="61">
        <v>37.1</v>
      </c>
      <c r="K263" s="61">
        <v>28.1</v>
      </c>
      <c r="L263" s="61">
        <v>35.9</v>
      </c>
      <c r="M263" s="61">
        <v>33</v>
      </c>
      <c r="N263" s="61">
        <v>46.3</v>
      </c>
      <c r="O263" s="85">
        <v>16.100000000000001</v>
      </c>
      <c r="P263" s="105"/>
      <c r="Q263" s="87">
        <f t="shared" si="22"/>
        <v>3.1491641206742508E-3</v>
      </c>
      <c r="R263" s="87">
        <f t="shared" si="27"/>
        <v>2.8951689613359887E-3</v>
      </c>
      <c r="S263" s="87">
        <f t="shared" si="27"/>
        <v>1.0442141522904078E-2</v>
      </c>
      <c r="T263" s="87">
        <f t="shared" si="26"/>
        <v>-6.7340321813440683E-3</v>
      </c>
      <c r="U263" s="87">
        <f t="shared" si="26"/>
        <v>3.5273405179684406E-3</v>
      </c>
      <c r="V263" s="87">
        <f t="shared" si="26"/>
        <v>6.920442844573757E-3</v>
      </c>
      <c r="W263" s="87">
        <f t="shared" si="26"/>
        <v>5.4595222048989742E-3</v>
      </c>
      <c r="X263" s="87">
        <f t="shared" si="26"/>
        <v>2.2472855852058576E-2</v>
      </c>
      <c r="Y263" s="87">
        <f t="shared" si="26"/>
        <v>2.1799228342584579E-2</v>
      </c>
      <c r="Z263" s="87">
        <f t="shared" si="26"/>
        <v>-4.8620687006073977E-2</v>
      </c>
      <c r="AA263" s="87">
        <f t="shared" si="26"/>
        <v>8.3916576362483807E-3</v>
      </c>
      <c r="AB263" s="87">
        <f t="shared" si="26"/>
        <v>-3.0257209165370676E-3</v>
      </c>
      <c r="AC263" s="87">
        <f t="shared" si="26"/>
        <v>-1.0741241831412625E-2</v>
      </c>
      <c r="AD263" s="87">
        <f t="shared" si="28"/>
        <v>6.2305497506361628E-3</v>
      </c>
      <c r="AE263" s="90">
        <f t="shared" si="25"/>
        <v>5.6908254472686727E-3</v>
      </c>
      <c r="AF263" s="89"/>
    </row>
    <row r="264" spans="1:32" ht="15.5" x14ac:dyDescent="0.35">
      <c r="A264" s="82">
        <v>40148</v>
      </c>
      <c r="B264" s="83">
        <v>7212.1</v>
      </c>
      <c r="C264" s="84">
        <v>2175.8000000000002</v>
      </c>
      <c r="D264" s="61">
        <v>291.8</v>
      </c>
      <c r="E264" s="61">
        <v>14.9</v>
      </c>
      <c r="F264" s="61">
        <v>28.1</v>
      </c>
      <c r="G264" s="61">
        <v>29.4</v>
      </c>
      <c r="H264" s="61">
        <v>54.8</v>
      </c>
      <c r="I264" s="61">
        <v>13.9</v>
      </c>
      <c r="J264" s="61">
        <v>38.1</v>
      </c>
      <c r="K264" s="61">
        <v>28.7</v>
      </c>
      <c r="L264" s="61">
        <v>36.299999999999997</v>
      </c>
      <c r="M264" s="61">
        <v>33.9</v>
      </c>
      <c r="N264" s="61">
        <v>46.9</v>
      </c>
      <c r="O264" s="85">
        <v>16.2</v>
      </c>
      <c r="P264" s="105"/>
      <c r="Q264" s="87">
        <f t="shared" si="22"/>
        <v>1.673638282350224E-2</v>
      </c>
      <c r="R264" s="87">
        <f t="shared" si="27"/>
        <v>1.4443358200937197E-2</v>
      </c>
      <c r="S264" s="87">
        <f t="shared" si="27"/>
        <v>1.0334229070014064E-2</v>
      </c>
      <c r="T264" s="87">
        <f t="shared" si="26"/>
        <v>6.7340321813441194E-3</v>
      </c>
      <c r="U264" s="87">
        <f t="shared" si="26"/>
        <v>-1.0619568827460148E-2</v>
      </c>
      <c r="V264" s="87">
        <f t="shared" si="26"/>
        <v>1.3698844358161927E-2</v>
      </c>
      <c r="W264" s="87">
        <f t="shared" si="26"/>
        <v>-5.459522204898982E-3</v>
      </c>
      <c r="X264" s="87">
        <f t="shared" si="26"/>
        <v>2.919915469226235E-2</v>
      </c>
      <c r="Y264" s="87">
        <f t="shared" si="26"/>
        <v>2.659731251926585E-2</v>
      </c>
      <c r="Z264" s="87">
        <f t="shared" si="26"/>
        <v>2.1127546425875277E-2</v>
      </c>
      <c r="AA264" s="87">
        <f t="shared" si="26"/>
        <v>1.1080445776571959E-2</v>
      </c>
      <c r="AB264" s="87">
        <f t="shared" si="26"/>
        <v>2.6907452919924402E-2</v>
      </c>
      <c r="AC264" s="87">
        <f t="shared" si="26"/>
        <v>1.2875714360045367E-2</v>
      </c>
      <c r="AD264" s="87">
        <f t="shared" si="28"/>
        <v>6.1919702479209804E-3</v>
      </c>
      <c r="AE264" s="90">
        <f t="shared" si="25"/>
        <v>5.0709436526372737E-3</v>
      </c>
      <c r="AF264" s="89"/>
    </row>
    <row r="265" spans="1:32" ht="15.5" x14ac:dyDescent="0.35">
      <c r="A265" s="82">
        <v>40149</v>
      </c>
      <c r="B265" s="83">
        <v>7222.4</v>
      </c>
      <c r="C265" s="84">
        <v>2185</v>
      </c>
      <c r="D265" s="61">
        <v>293.39999999999998</v>
      </c>
      <c r="E265" s="61">
        <v>15.2</v>
      </c>
      <c r="F265" s="61">
        <v>28</v>
      </c>
      <c r="G265" s="61">
        <v>29.7</v>
      </c>
      <c r="H265" s="61">
        <v>55.7</v>
      </c>
      <c r="I265" s="61">
        <v>14</v>
      </c>
      <c r="J265" s="61">
        <v>39</v>
      </c>
      <c r="K265" s="61">
        <v>28.5</v>
      </c>
      <c r="L265" s="61">
        <v>36.5</v>
      </c>
      <c r="M265" s="61">
        <v>34</v>
      </c>
      <c r="N265" s="61">
        <v>46.8</v>
      </c>
      <c r="O265" s="85">
        <v>16.100000000000001</v>
      </c>
      <c r="P265" s="105"/>
      <c r="Q265" s="87">
        <f t="shared" si="22"/>
        <v>1.4271366168808835E-3</v>
      </c>
      <c r="R265" s="87">
        <f t="shared" si="27"/>
        <v>4.2194155427080684E-3</v>
      </c>
      <c r="S265" s="87">
        <f t="shared" si="27"/>
        <v>5.4682296201959005E-3</v>
      </c>
      <c r="T265" s="87">
        <f t="shared" si="26"/>
        <v>1.9934214900817111E-2</v>
      </c>
      <c r="U265" s="87">
        <f t="shared" si="26"/>
        <v>-3.5650661644962569E-3</v>
      </c>
      <c r="V265" s="87">
        <f t="shared" si="26"/>
        <v>1.0152371464018128E-2</v>
      </c>
      <c r="W265" s="87">
        <f t="shared" si="26"/>
        <v>1.6289952979268552E-2</v>
      </c>
      <c r="X265" s="87">
        <f t="shared" si="26"/>
        <v>7.168489478612497E-3</v>
      </c>
      <c r="Y265" s="87">
        <f t="shared" si="26"/>
        <v>2.3347363996991107E-2</v>
      </c>
      <c r="Z265" s="87">
        <f t="shared" si="26"/>
        <v>-6.9930354909705254E-3</v>
      </c>
      <c r="AA265" s="87">
        <f t="shared" si="26"/>
        <v>5.4945193176407798E-3</v>
      </c>
      <c r="AB265" s="87">
        <f t="shared" si="26"/>
        <v>2.9455102297569658E-3</v>
      </c>
      <c r="AC265" s="87">
        <f t="shared" si="26"/>
        <v>-2.1344725286326811E-3</v>
      </c>
      <c r="AD265" s="87">
        <f t="shared" si="28"/>
        <v>-6.1919702479209951E-3</v>
      </c>
      <c r="AE265" s="90">
        <f t="shared" si="25"/>
        <v>1.0936517348985272E-3</v>
      </c>
      <c r="AF265" s="89"/>
    </row>
    <row r="266" spans="1:32" ht="15.5" x14ac:dyDescent="0.35">
      <c r="A266" s="82">
        <v>40150</v>
      </c>
      <c r="B266" s="83">
        <v>7157</v>
      </c>
      <c r="C266" s="84">
        <v>2173.1</v>
      </c>
      <c r="D266" s="61">
        <v>292.8</v>
      </c>
      <c r="E266" s="61">
        <v>15.1</v>
      </c>
      <c r="F266" s="61">
        <v>28</v>
      </c>
      <c r="G266" s="61">
        <v>29.8</v>
      </c>
      <c r="H266" s="61">
        <v>54.5</v>
      </c>
      <c r="I266" s="61">
        <v>13.6</v>
      </c>
      <c r="J266" s="61">
        <v>40</v>
      </c>
      <c r="K266" s="61">
        <v>28.2</v>
      </c>
      <c r="L266" s="61">
        <v>36.6</v>
      </c>
      <c r="M266" s="61">
        <v>34.1</v>
      </c>
      <c r="N266" s="61">
        <v>47.9</v>
      </c>
      <c r="O266" s="85">
        <v>16.100000000000001</v>
      </c>
      <c r="P266" s="105"/>
      <c r="Q266" s="87">
        <f t="shared" si="22"/>
        <v>-9.0964088846190623E-3</v>
      </c>
      <c r="R266" s="87">
        <f t="shared" si="27"/>
        <v>-5.4611090039998981E-3</v>
      </c>
      <c r="S266" s="87">
        <f t="shared" si="27"/>
        <v>-2.0470836217246881E-3</v>
      </c>
      <c r="T266" s="87">
        <f t="shared" si="26"/>
        <v>-6.6006840313520242E-3</v>
      </c>
      <c r="U266" s="87">
        <f t="shared" si="26"/>
        <v>0</v>
      </c>
      <c r="V266" s="87">
        <f t="shared" si="26"/>
        <v>3.3613477027049274E-3</v>
      </c>
      <c r="W266" s="87">
        <f t="shared" si="26"/>
        <v>-2.1779445264039982E-2</v>
      </c>
      <c r="X266" s="87">
        <f t="shared" si="26"/>
        <v>-2.8987536873252298E-2</v>
      </c>
      <c r="Y266" s="87">
        <f t="shared" si="26"/>
        <v>2.5317807984289786E-2</v>
      </c>
      <c r="Z266" s="87">
        <f t="shared" si="26"/>
        <v>-1.0582109330536972E-2</v>
      </c>
      <c r="AA266" s="87">
        <f t="shared" si="26"/>
        <v>2.7359798188748455E-3</v>
      </c>
      <c r="AB266" s="87">
        <f t="shared" si="26"/>
        <v>2.9368596733097057E-3</v>
      </c>
      <c r="AC266" s="87">
        <f t="shared" si="26"/>
        <v>2.3232301493268631E-2</v>
      </c>
      <c r="AD266" s="87">
        <f t="shared" si="28"/>
        <v>0</v>
      </c>
      <c r="AE266" s="90">
        <f t="shared" si="25"/>
        <v>-2.2362723006541727E-3</v>
      </c>
      <c r="AF266" s="89"/>
    </row>
    <row r="267" spans="1:32" ht="15.5" x14ac:dyDescent="0.35">
      <c r="A267" s="82">
        <v>40151</v>
      </c>
      <c r="B267" s="83">
        <v>7182.7</v>
      </c>
      <c r="C267" s="84">
        <v>2194.4</v>
      </c>
      <c r="D267" s="61">
        <v>289.89999999999998</v>
      </c>
      <c r="E267" s="61">
        <v>15</v>
      </c>
      <c r="F267" s="61">
        <v>27.2</v>
      </c>
      <c r="G267" s="61">
        <v>29.8</v>
      </c>
      <c r="H267" s="61">
        <v>54.5</v>
      </c>
      <c r="I267" s="61">
        <v>13.9</v>
      </c>
      <c r="J267" s="61">
        <v>38.4</v>
      </c>
      <c r="K267" s="61">
        <v>27.7</v>
      </c>
      <c r="L267" s="61">
        <v>36.6</v>
      </c>
      <c r="M267" s="61">
        <v>34.200000000000003</v>
      </c>
      <c r="N267" s="61">
        <v>48.2</v>
      </c>
      <c r="O267" s="85">
        <v>16</v>
      </c>
      <c r="P267" s="105"/>
      <c r="Q267" s="87">
        <f t="shared" si="22"/>
        <v>3.5844581848792469E-3</v>
      </c>
      <c r="R267" s="87">
        <f t="shared" si="27"/>
        <v>9.7539410977030144E-3</v>
      </c>
      <c r="S267" s="87">
        <f t="shared" si="27"/>
        <v>-9.9537461595468196E-3</v>
      </c>
      <c r="T267" s="87">
        <f t="shared" si="26"/>
        <v>-6.6445427186685013E-3</v>
      </c>
      <c r="U267" s="87">
        <f t="shared" si="26"/>
        <v>-2.8987536873252298E-2</v>
      </c>
      <c r="V267" s="87">
        <f t="shared" si="26"/>
        <v>0</v>
      </c>
      <c r="W267" s="87">
        <f t="shared" si="26"/>
        <v>0</v>
      </c>
      <c r="X267" s="87">
        <f t="shared" si="26"/>
        <v>2.1819047394639888E-2</v>
      </c>
      <c r="Y267" s="87">
        <f t="shared" si="26"/>
        <v>-4.0821994520255166E-2</v>
      </c>
      <c r="Z267" s="87">
        <f t="shared" si="26"/>
        <v>-1.7889564750775057E-2</v>
      </c>
      <c r="AA267" s="87">
        <f t="shared" si="26"/>
        <v>0</v>
      </c>
      <c r="AB267" s="87">
        <f t="shared" si="26"/>
        <v>2.9282597790883597E-3</v>
      </c>
      <c r="AC267" s="87">
        <f t="shared" si="26"/>
        <v>6.2435166396852407E-3</v>
      </c>
      <c r="AD267" s="87">
        <f t="shared" si="28"/>
        <v>-6.2305497506361975E-3</v>
      </c>
      <c r="AE267" s="90">
        <f t="shared" si="25"/>
        <v>-9.0363500584808507E-3</v>
      </c>
      <c r="AF267" s="89"/>
    </row>
    <row r="268" spans="1:32" ht="15.5" x14ac:dyDescent="0.35">
      <c r="A268" s="82">
        <v>40154</v>
      </c>
      <c r="B268" s="83">
        <v>7155.7</v>
      </c>
      <c r="C268" s="84">
        <v>2189.6</v>
      </c>
      <c r="D268" s="61">
        <v>290.8</v>
      </c>
      <c r="E268" s="61">
        <v>15.3</v>
      </c>
      <c r="F268" s="61">
        <v>27</v>
      </c>
      <c r="G268" s="61">
        <v>29.7</v>
      </c>
      <c r="H268" s="61">
        <v>54.3</v>
      </c>
      <c r="I268" s="61">
        <v>14.4</v>
      </c>
      <c r="J268" s="61">
        <v>39.799999999999997</v>
      </c>
      <c r="K268" s="61">
        <v>27.9</v>
      </c>
      <c r="L268" s="61">
        <v>36.5</v>
      </c>
      <c r="M268" s="61">
        <v>35.5</v>
      </c>
      <c r="N268" s="61">
        <v>48.1</v>
      </c>
      <c r="O268" s="85">
        <v>16.100000000000001</v>
      </c>
      <c r="P268" s="105"/>
      <c r="Q268" s="87">
        <f t="shared" si="22"/>
        <v>-3.7661150355887624E-3</v>
      </c>
      <c r="R268" s="87">
        <f t="shared" si="27"/>
        <v>-2.189781896924264E-3</v>
      </c>
      <c r="S268" s="87">
        <f t="shared" si="27"/>
        <v>3.0997097317546013E-3</v>
      </c>
      <c r="T268" s="87">
        <f t="shared" si="26"/>
        <v>1.980262729617973E-2</v>
      </c>
      <c r="U268" s="87">
        <f t="shared" si="26"/>
        <v>-7.3801072976225337E-3</v>
      </c>
      <c r="V268" s="87">
        <f t="shared" si="26"/>
        <v>-3.3613477027048832E-3</v>
      </c>
      <c r="W268" s="87">
        <f t="shared" si="26"/>
        <v>-3.6764747293086368E-3</v>
      </c>
      <c r="X268" s="87">
        <f t="shared" si="26"/>
        <v>3.5339366445308863E-2</v>
      </c>
      <c r="Y268" s="87">
        <f t="shared" si="26"/>
        <v>3.5809452696710778E-2</v>
      </c>
      <c r="Z268" s="87">
        <f t="shared" si="26"/>
        <v>7.1942756340270106E-3</v>
      </c>
      <c r="AA268" s="87">
        <f t="shared" si="26"/>
        <v>-2.7359798188747488E-3</v>
      </c>
      <c r="AB268" s="87">
        <f t="shared" si="26"/>
        <v>3.7307052412810612E-2</v>
      </c>
      <c r="AC268" s="87">
        <f t="shared" si="26"/>
        <v>-2.0768439448391172E-3</v>
      </c>
      <c r="AD268" s="87">
        <f t="shared" si="28"/>
        <v>6.2305497506361628E-3</v>
      </c>
      <c r="AE268" s="90">
        <f t="shared" si="25"/>
        <v>-1.101846942107629E-3</v>
      </c>
      <c r="AF268" s="89"/>
    </row>
    <row r="269" spans="1:32" ht="15.5" x14ac:dyDescent="0.35">
      <c r="A269" s="82">
        <v>40155</v>
      </c>
      <c r="B269" s="83">
        <v>7056.3</v>
      </c>
      <c r="C269" s="84">
        <v>2173</v>
      </c>
      <c r="D269" s="61">
        <v>291.3</v>
      </c>
      <c r="E269" s="61">
        <v>15.2</v>
      </c>
      <c r="F269" s="61">
        <v>27</v>
      </c>
      <c r="G269" s="61">
        <v>29.4</v>
      </c>
      <c r="H269" s="61">
        <v>53.8</v>
      </c>
      <c r="I269" s="61">
        <v>14.2</v>
      </c>
      <c r="J269" s="61">
        <v>39.799999999999997</v>
      </c>
      <c r="K269" s="61">
        <v>27.6</v>
      </c>
      <c r="L269" s="61">
        <v>36.299999999999997</v>
      </c>
      <c r="M269" s="61">
        <v>35.1</v>
      </c>
      <c r="N269" s="61">
        <v>47.4</v>
      </c>
      <c r="O269" s="85">
        <v>15.8</v>
      </c>
      <c r="P269" s="105"/>
      <c r="Q269" s="87">
        <f t="shared" si="22"/>
        <v>-1.39884070982803E-2</v>
      </c>
      <c r="R269" s="87">
        <f t="shared" si="27"/>
        <v>-7.6101774700396262E-3</v>
      </c>
      <c r="S269" s="87">
        <f t="shared" si="27"/>
        <v>1.7179183060245676E-3</v>
      </c>
      <c r="T269" s="87">
        <f t="shared" si="26"/>
        <v>-6.5574005461591636E-3</v>
      </c>
      <c r="U269" s="87">
        <f t="shared" si="26"/>
        <v>0</v>
      </c>
      <c r="V269" s="87">
        <f t="shared" si="26"/>
        <v>-1.0152371464018073E-2</v>
      </c>
      <c r="W269" s="87">
        <f t="shared" si="26"/>
        <v>-9.2507597721509984E-3</v>
      </c>
      <c r="X269" s="87">
        <f t="shared" si="26"/>
        <v>-1.3986241974739952E-2</v>
      </c>
      <c r="Y269" s="87">
        <f t="shared" si="26"/>
        <v>0</v>
      </c>
      <c r="Z269" s="87">
        <f t="shared" si="26"/>
        <v>-1.0810916104215506E-2</v>
      </c>
      <c r="AA269" s="87">
        <f t="shared" si="26"/>
        <v>-5.4945193176408128E-3</v>
      </c>
      <c r="AB269" s="87">
        <f t="shared" si="26"/>
        <v>-1.133156600954997E-2</v>
      </c>
      <c r="AC269" s="87">
        <f t="shared" si="26"/>
        <v>-1.4659948410684742E-2</v>
      </c>
      <c r="AD269" s="87">
        <f t="shared" si="28"/>
        <v>-1.8809331957496227E-2</v>
      </c>
      <c r="AE269" s="90">
        <f t="shared" si="25"/>
        <v>-4.0644354411736305E-3</v>
      </c>
      <c r="AF269" s="89"/>
    </row>
    <row r="270" spans="1:32" ht="15.5" x14ac:dyDescent="0.35">
      <c r="A270" s="82">
        <v>40156</v>
      </c>
      <c r="B270" s="83">
        <v>7067.6</v>
      </c>
      <c r="C270" s="84">
        <v>2183.6999999999998</v>
      </c>
      <c r="D270" s="61">
        <v>292.10000000000002</v>
      </c>
      <c r="E270" s="61">
        <v>15.1</v>
      </c>
      <c r="F270" s="61">
        <v>27.2</v>
      </c>
      <c r="G270" s="61">
        <v>29.3</v>
      </c>
      <c r="H270" s="61">
        <v>53.6</v>
      </c>
      <c r="I270" s="61">
        <v>14</v>
      </c>
      <c r="J270" s="61">
        <v>39.6</v>
      </c>
      <c r="K270" s="61">
        <v>27.1</v>
      </c>
      <c r="L270" s="61">
        <v>36.1</v>
      </c>
      <c r="M270" s="61">
        <v>35.6</v>
      </c>
      <c r="N270" s="61">
        <v>47.1</v>
      </c>
      <c r="O270" s="85">
        <v>15.4</v>
      </c>
      <c r="P270" s="105"/>
      <c r="Q270" s="87">
        <f t="shared" ref="Q270:Q274" si="29">+LN(B270/B269)</f>
        <v>1.6001249528874377E-3</v>
      </c>
      <c r="R270" s="87">
        <f t="shared" si="27"/>
        <v>4.9119845358922415E-3</v>
      </c>
      <c r="S270" s="87">
        <f t="shared" si="27"/>
        <v>2.7425454283063759E-3</v>
      </c>
      <c r="T270" s="87">
        <f t="shared" si="26"/>
        <v>-6.6006840313520242E-3</v>
      </c>
      <c r="U270" s="87">
        <f t="shared" si="26"/>
        <v>7.38010729762246E-3</v>
      </c>
      <c r="V270" s="87">
        <f t="shared" si="26"/>
        <v>-3.4071583216141975E-3</v>
      </c>
      <c r="W270" s="87">
        <f t="shared" si="26"/>
        <v>-3.7243990909823282E-3</v>
      </c>
      <c r="X270" s="87">
        <f t="shared" si="26"/>
        <v>-1.4184634991956413E-2</v>
      </c>
      <c r="Y270" s="87">
        <f t="shared" si="26"/>
        <v>-5.0377940299570698E-3</v>
      </c>
      <c r="Z270" s="87">
        <f t="shared" si="26"/>
        <v>-1.8282044837449069E-2</v>
      </c>
      <c r="AA270" s="87">
        <f t="shared" si="26"/>
        <v>-5.5248759319696918E-3</v>
      </c>
      <c r="AB270" s="87">
        <f t="shared" si="26"/>
        <v>1.4144507386164743E-2</v>
      </c>
      <c r="AC270" s="87">
        <f t="shared" si="26"/>
        <v>-6.3492276786586681E-3</v>
      </c>
      <c r="AD270" s="87">
        <f t="shared" si="28"/>
        <v>-2.564243061333767E-2</v>
      </c>
      <c r="AE270" s="90">
        <f t="shared" si="25"/>
        <v>1.2687468977668117E-3</v>
      </c>
      <c r="AF270" s="89"/>
    </row>
    <row r="271" spans="1:32" ht="15.5" x14ac:dyDescent="0.35">
      <c r="A271" s="82">
        <v>40157</v>
      </c>
      <c r="B271" s="83">
        <v>7104.5</v>
      </c>
      <c r="C271" s="84">
        <v>2190.9</v>
      </c>
      <c r="D271" s="61">
        <v>295.5</v>
      </c>
      <c r="E271" s="61">
        <v>15.2</v>
      </c>
      <c r="F271" s="61">
        <v>28</v>
      </c>
      <c r="G271" s="61">
        <v>29.7</v>
      </c>
      <c r="H271" s="61">
        <v>55.2</v>
      </c>
      <c r="I271" s="61">
        <v>14.1</v>
      </c>
      <c r="J271" s="61">
        <v>40.299999999999997</v>
      </c>
      <c r="K271" s="61">
        <v>27.6</v>
      </c>
      <c r="L271" s="61">
        <v>37.4</v>
      </c>
      <c r="M271" s="61">
        <v>35.6</v>
      </c>
      <c r="N271" s="61">
        <v>47.9</v>
      </c>
      <c r="O271" s="85">
        <v>15.6</v>
      </c>
      <c r="P271" s="105"/>
      <c r="Q271" s="87">
        <f t="shared" si="29"/>
        <v>5.2074263356350001E-3</v>
      </c>
      <c r="R271" s="87">
        <f t="shared" si="27"/>
        <v>3.2917325018520039E-3</v>
      </c>
      <c r="S271" s="87">
        <f t="shared" si="27"/>
        <v>1.157262745245754E-2</v>
      </c>
      <c r="T271" s="87">
        <f t="shared" si="26"/>
        <v>6.6006840313520927E-3</v>
      </c>
      <c r="U271" s="87">
        <f t="shared" si="26"/>
        <v>2.8987536873252406E-2</v>
      </c>
      <c r="V271" s="87">
        <f t="shared" si="26"/>
        <v>1.3559529785632294E-2</v>
      </c>
      <c r="W271" s="87">
        <f t="shared" si="26"/>
        <v>2.9413885206293407E-2</v>
      </c>
      <c r="X271" s="87">
        <f t="shared" si="26"/>
        <v>7.1174677688639549E-3</v>
      </c>
      <c r="Y271" s="87">
        <f t="shared" si="26"/>
        <v>1.7522350692202274E-2</v>
      </c>
      <c r="Z271" s="87">
        <f t="shared" si="26"/>
        <v>1.8282044837449073E-2</v>
      </c>
      <c r="AA271" s="87">
        <f t="shared" si="26"/>
        <v>3.5377839081650896E-2</v>
      </c>
      <c r="AB271" s="87">
        <f t="shared" si="26"/>
        <v>0</v>
      </c>
      <c r="AC271" s="87">
        <f t="shared" si="26"/>
        <v>1.6842503394497482E-2</v>
      </c>
      <c r="AD271" s="87">
        <f t="shared" si="28"/>
        <v>1.2903404835907782E-2</v>
      </c>
      <c r="AE271" s="90">
        <f t="shared" ref="AE271:AE334" si="30">+SUMPRODUCT(Q271:AD271,$Q$8:$AD$8)</f>
        <v>1.423179571086694E-2</v>
      </c>
      <c r="AF271" s="89"/>
    </row>
    <row r="272" spans="1:32" ht="15.5" x14ac:dyDescent="0.35">
      <c r="A272" s="82">
        <v>40158</v>
      </c>
      <c r="B272" s="83">
        <v>7125.1</v>
      </c>
      <c r="C272" s="84">
        <v>2190.3000000000002</v>
      </c>
      <c r="D272" s="61">
        <v>294.2</v>
      </c>
      <c r="E272" s="61">
        <v>15.6</v>
      </c>
      <c r="F272" s="61">
        <v>27.6</v>
      </c>
      <c r="G272" s="61">
        <v>29.8</v>
      </c>
      <c r="H272" s="61">
        <v>56</v>
      </c>
      <c r="I272" s="61">
        <v>14.6</v>
      </c>
      <c r="J272" s="61">
        <v>39.4</v>
      </c>
      <c r="K272" s="61">
        <v>28.1</v>
      </c>
      <c r="L272" s="61">
        <v>36.9</v>
      </c>
      <c r="M272" s="61">
        <v>35.700000000000003</v>
      </c>
      <c r="N272" s="61">
        <v>47.9</v>
      </c>
      <c r="O272" s="85">
        <v>15.8</v>
      </c>
      <c r="P272" s="105"/>
      <c r="Q272" s="87">
        <f t="shared" si="29"/>
        <v>2.8953750479497045E-3</v>
      </c>
      <c r="R272" s="87">
        <f t="shared" si="27"/>
        <v>-2.7389756402401878E-4</v>
      </c>
      <c r="S272" s="87">
        <f t="shared" si="27"/>
        <v>-4.4090286788157507E-3</v>
      </c>
      <c r="T272" s="87">
        <f t="shared" si="26"/>
        <v>2.5975486403260736E-2</v>
      </c>
      <c r="U272" s="87">
        <f t="shared" si="26"/>
        <v>-1.4388737452099556E-2</v>
      </c>
      <c r="V272" s="87">
        <f t="shared" si="26"/>
        <v>3.3613477027049274E-3</v>
      </c>
      <c r="W272" s="87">
        <f t="shared" si="26"/>
        <v>1.4388737452099452E-2</v>
      </c>
      <c r="X272" s="87">
        <f t="shared" si="26"/>
        <v>3.48467313301681E-2</v>
      </c>
      <c r="Y272" s="87">
        <f t="shared" si="26"/>
        <v>-2.2585652648749153E-2</v>
      </c>
      <c r="Z272" s="87">
        <f t="shared" si="26"/>
        <v>1.7953803616595845E-2</v>
      </c>
      <c r="AA272" s="87">
        <f t="shared" si="26"/>
        <v>-1.3459153374004801E-2</v>
      </c>
      <c r="AB272" s="87">
        <f t="shared" si="26"/>
        <v>2.8050509276086816E-3</v>
      </c>
      <c r="AC272" s="87">
        <f t="shared" si="26"/>
        <v>0</v>
      </c>
      <c r="AD272" s="87">
        <f t="shared" si="28"/>
        <v>1.2739025777429932E-2</v>
      </c>
      <c r="AE272" s="90">
        <f t="shared" si="30"/>
        <v>-3.9388005343133827E-3</v>
      </c>
      <c r="AF272" s="89"/>
    </row>
    <row r="273" spans="1:32" ht="15.5" x14ac:dyDescent="0.35">
      <c r="A273" s="82">
        <v>40161</v>
      </c>
      <c r="B273" s="83">
        <v>7186.5</v>
      </c>
      <c r="C273" s="84">
        <v>2212.1</v>
      </c>
      <c r="D273" s="61">
        <v>296.60000000000002</v>
      </c>
      <c r="E273" s="61">
        <v>15.6</v>
      </c>
      <c r="F273" s="61">
        <v>27.5</v>
      </c>
      <c r="G273" s="61">
        <v>29.9</v>
      </c>
      <c r="H273" s="61">
        <v>55.8</v>
      </c>
      <c r="I273" s="61">
        <v>14.7</v>
      </c>
      <c r="J273" s="61">
        <v>38.6</v>
      </c>
      <c r="K273" s="61">
        <v>28.3</v>
      </c>
      <c r="L273" s="61">
        <v>37.299999999999997</v>
      </c>
      <c r="M273" s="61">
        <v>36</v>
      </c>
      <c r="N273" s="61">
        <v>47.5</v>
      </c>
      <c r="O273" s="85">
        <v>15.8</v>
      </c>
      <c r="P273" s="105"/>
      <c r="Q273" s="87">
        <f t="shared" si="29"/>
        <v>8.5805048652068845E-3</v>
      </c>
      <c r="R273" s="87">
        <f t="shared" si="27"/>
        <v>9.9037698468269209E-3</v>
      </c>
      <c r="S273" s="87">
        <f t="shared" si="27"/>
        <v>8.1246215364945834E-3</v>
      </c>
      <c r="T273" s="87">
        <f t="shared" si="26"/>
        <v>0</v>
      </c>
      <c r="U273" s="87">
        <f t="shared" si="26"/>
        <v>-3.6297680505787237E-3</v>
      </c>
      <c r="V273" s="87">
        <f t="shared" si="26"/>
        <v>3.3500868852818057E-3</v>
      </c>
      <c r="W273" s="87">
        <f t="shared" si="26"/>
        <v>-3.577821347884078E-3</v>
      </c>
      <c r="X273" s="87">
        <f t="shared" si="26"/>
        <v>6.8259650703998906E-3</v>
      </c>
      <c r="Y273" s="87">
        <f t="shared" si="26"/>
        <v>-2.0513539833102903E-2</v>
      </c>
      <c r="Z273" s="87">
        <f t="shared" si="26"/>
        <v>7.0922283094918366E-3</v>
      </c>
      <c r="AA273" s="87">
        <f t="shared" si="26"/>
        <v>1.0781775603288413E-2</v>
      </c>
      <c r="AB273" s="87">
        <f t="shared" si="26"/>
        <v>8.3682496705165792E-3</v>
      </c>
      <c r="AC273" s="87">
        <f t="shared" si="26"/>
        <v>-8.3857933762739589E-3</v>
      </c>
      <c r="AD273" s="87">
        <f t="shared" si="28"/>
        <v>0</v>
      </c>
      <c r="AE273" s="90">
        <f t="shared" si="30"/>
        <v>4.3093475589044529E-3</v>
      </c>
      <c r="AF273" s="89"/>
    </row>
    <row r="274" spans="1:32" ht="15.5" x14ac:dyDescent="0.35">
      <c r="A274" s="82">
        <v>40162</v>
      </c>
      <c r="B274" s="83">
        <v>7141.4</v>
      </c>
      <c r="C274" s="84">
        <v>2201.1</v>
      </c>
      <c r="D274" s="61">
        <v>295.8</v>
      </c>
      <c r="E274" s="61">
        <v>15.7</v>
      </c>
      <c r="F274" s="61">
        <v>27.6</v>
      </c>
      <c r="G274" s="61">
        <v>29.9</v>
      </c>
      <c r="H274" s="61">
        <v>60.5</v>
      </c>
      <c r="I274" s="61">
        <v>14.7</v>
      </c>
      <c r="J274" s="61">
        <v>38.799999999999997</v>
      </c>
      <c r="K274" s="61">
        <v>27.6</v>
      </c>
      <c r="L274" s="61">
        <v>37.299999999999997</v>
      </c>
      <c r="M274" s="61">
        <v>36.4</v>
      </c>
      <c r="N274" s="61">
        <v>48</v>
      </c>
      <c r="O274" s="85">
        <v>15.9</v>
      </c>
      <c r="P274" s="105"/>
      <c r="Q274" s="87">
        <f t="shared" si="29"/>
        <v>-6.2954304471470705E-3</v>
      </c>
      <c r="R274" s="87">
        <f t="shared" si="27"/>
        <v>-4.9850551889186025E-3</v>
      </c>
      <c r="S274" s="87">
        <f t="shared" si="27"/>
        <v>-2.70087942713239E-3</v>
      </c>
      <c r="T274" s="87">
        <f t="shared" si="26"/>
        <v>6.3897980987709883E-3</v>
      </c>
      <c r="U274" s="87">
        <f t="shared" si="26"/>
        <v>3.6297680505787311E-3</v>
      </c>
      <c r="V274" s="87">
        <f t="shared" si="26"/>
        <v>0</v>
      </c>
      <c r="W274" s="87">
        <f t="shared" si="26"/>
        <v>8.0869495649530596E-2</v>
      </c>
      <c r="X274" s="87">
        <f t="shared" si="26"/>
        <v>0</v>
      </c>
      <c r="Y274" s="87">
        <f t="shared" si="26"/>
        <v>5.1679701584423773E-3</v>
      </c>
      <c r="Z274" s="87">
        <f t="shared" si="26"/>
        <v>-2.5046031926087575E-2</v>
      </c>
      <c r="AA274" s="87">
        <f t="shared" si="26"/>
        <v>0</v>
      </c>
      <c r="AB274" s="87">
        <f t="shared" si="26"/>
        <v>1.1049836186584935E-2</v>
      </c>
      <c r="AC274" s="87">
        <f t="shared" si="26"/>
        <v>1.0471299867295437E-2</v>
      </c>
      <c r="AD274" s="87">
        <f t="shared" si="28"/>
        <v>6.3091691932647556E-3</v>
      </c>
      <c r="AE274" s="90">
        <f t="shared" si="30"/>
        <v>-4.8022354162184742E-4</v>
      </c>
      <c r="AF274" s="89"/>
    </row>
    <row r="275" spans="1:32" ht="15.5" x14ac:dyDescent="0.35">
      <c r="A275" s="82">
        <v>40163</v>
      </c>
      <c r="B275" s="83">
        <v>7180.8</v>
      </c>
      <c r="C275" s="84">
        <v>2206.9</v>
      </c>
      <c r="D275" s="61">
        <v>298.60000000000002</v>
      </c>
      <c r="E275" s="61">
        <v>15.5</v>
      </c>
      <c r="F275" s="61">
        <v>27.8</v>
      </c>
      <c r="G275" s="61">
        <v>30</v>
      </c>
      <c r="H275" s="61">
        <v>60.3</v>
      </c>
      <c r="I275" s="61">
        <v>14.5</v>
      </c>
      <c r="J275" s="61">
        <v>39.1</v>
      </c>
      <c r="K275" s="61">
        <v>27.4</v>
      </c>
      <c r="L275" s="61">
        <v>37.5</v>
      </c>
      <c r="M275" s="61">
        <v>36.5</v>
      </c>
      <c r="N275" s="61">
        <v>48.6</v>
      </c>
      <c r="O275" s="85">
        <v>15.9</v>
      </c>
      <c r="P275" s="105"/>
      <c r="Q275" s="87">
        <f t="shared" ref="Q275:Q333" si="31">+LN(B275/B274)</f>
        <v>5.5019619041284567E-3</v>
      </c>
      <c r="R275" s="87">
        <f t="shared" si="27"/>
        <v>2.6315804660560424E-3</v>
      </c>
      <c r="S275" s="87">
        <f t="shared" si="27"/>
        <v>9.4213348283906147E-3</v>
      </c>
      <c r="T275" s="87">
        <f t="shared" si="26"/>
        <v>-1.2820688429061434E-2</v>
      </c>
      <c r="U275" s="87">
        <f t="shared" si="26"/>
        <v>7.2202479734870973E-3</v>
      </c>
      <c r="V275" s="87">
        <f t="shared" si="26"/>
        <v>3.3389012655146303E-3</v>
      </c>
      <c r="W275" s="87">
        <f t="shared" si="26"/>
        <v>-3.3112613036560315E-3</v>
      </c>
      <c r="X275" s="87">
        <f t="shared" si="26"/>
        <v>-1.3698844358161802E-2</v>
      </c>
      <c r="Y275" s="87">
        <f t="shared" si="26"/>
        <v>7.7022203620925236E-3</v>
      </c>
      <c r="Z275" s="87">
        <f t="shared" si="26"/>
        <v>-7.2727593290799206E-3</v>
      </c>
      <c r="AA275" s="87">
        <f t="shared" si="26"/>
        <v>5.3476063265952773E-3</v>
      </c>
      <c r="AB275" s="87">
        <f t="shared" si="26"/>
        <v>2.7434859457508339E-3</v>
      </c>
      <c r="AC275" s="87">
        <f t="shared" si="26"/>
        <v>1.242251999855711E-2</v>
      </c>
      <c r="AD275" s="87">
        <f t="shared" si="28"/>
        <v>0</v>
      </c>
      <c r="AE275" s="90">
        <f t="shared" si="30"/>
        <v>5.6115929838303266E-3</v>
      </c>
      <c r="AF275" s="89"/>
    </row>
    <row r="276" spans="1:32" ht="15.5" x14ac:dyDescent="0.35">
      <c r="A276" s="82">
        <v>40164</v>
      </c>
      <c r="B276" s="83">
        <v>7063.8</v>
      </c>
      <c r="C276" s="84">
        <v>2180.1</v>
      </c>
      <c r="D276" s="61">
        <v>297.2</v>
      </c>
      <c r="E276" s="61">
        <v>15.6</v>
      </c>
      <c r="F276" s="61">
        <v>27.3</v>
      </c>
      <c r="G276" s="61">
        <v>29.6</v>
      </c>
      <c r="H276" s="61">
        <v>57.3</v>
      </c>
      <c r="I276" s="61">
        <v>14.1</v>
      </c>
      <c r="J276" s="61">
        <v>37.1</v>
      </c>
      <c r="K276" s="61">
        <v>27</v>
      </c>
      <c r="L276" s="61">
        <v>37.299999999999997</v>
      </c>
      <c r="M276" s="61">
        <v>35.6</v>
      </c>
      <c r="N276" s="61">
        <v>47.1</v>
      </c>
      <c r="O276" s="85">
        <v>15.8</v>
      </c>
      <c r="P276" s="105"/>
      <c r="Q276" s="87">
        <f t="shared" si="31"/>
        <v>-1.6427647136061627E-2</v>
      </c>
      <c r="R276" s="87">
        <f t="shared" si="27"/>
        <v>-1.2218068563414328E-2</v>
      </c>
      <c r="S276" s="87">
        <f t="shared" si="27"/>
        <v>-4.6995722614859717E-3</v>
      </c>
      <c r="T276" s="87">
        <f t="shared" si="26"/>
        <v>6.4308903302903314E-3</v>
      </c>
      <c r="U276" s="87">
        <f t="shared" si="26"/>
        <v>-1.8149318505677334E-2</v>
      </c>
      <c r="V276" s="87">
        <f t="shared" si="26"/>
        <v>-1.3423020332140661E-2</v>
      </c>
      <c r="W276" s="87">
        <f t="shared" si="26"/>
        <v>-5.1031480012445875E-2</v>
      </c>
      <c r="X276" s="87">
        <f t="shared" si="26"/>
        <v>-2.797385204240618E-2</v>
      </c>
      <c r="Y276" s="87">
        <f t="shared" si="26"/>
        <v>-5.2505497377930622E-2</v>
      </c>
      <c r="Z276" s="87">
        <f t="shared" si="26"/>
        <v>-1.4706147389695449E-2</v>
      </c>
      <c r="AA276" s="87">
        <f t="shared" si="26"/>
        <v>-5.3476063265953527E-3</v>
      </c>
      <c r="AB276" s="87">
        <f t="shared" si="26"/>
        <v>-2.4966622730461057E-2</v>
      </c>
      <c r="AC276" s="87">
        <f t="shared" si="26"/>
        <v>-3.1350529884076044E-2</v>
      </c>
      <c r="AD276" s="87">
        <f t="shared" si="28"/>
        <v>-6.309169193264721E-3</v>
      </c>
      <c r="AE276" s="90">
        <f t="shared" si="30"/>
        <v>-1.0994679914887614E-2</v>
      </c>
      <c r="AF276" s="89"/>
    </row>
    <row r="277" spans="1:32" ht="15.5" x14ac:dyDescent="0.35">
      <c r="A277" s="82">
        <v>40165</v>
      </c>
      <c r="B277" s="83">
        <v>7086.2</v>
      </c>
      <c r="C277" s="84">
        <v>2211.6999999999998</v>
      </c>
      <c r="D277" s="61">
        <v>297.8</v>
      </c>
      <c r="E277" s="61">
        <v>15.8</v>
      </c>
      <c r="F277" s="61">
        <v>27.5</v>
      </c>
      <c r="G277" s="61">
        <v>29.8</v>
      </c>
      <c r="H277" s="61">
        <v>55.8</v>
      </c>
      <c r="I277" s="61">
        <v>14</v>
      </c>
      <c r="J277" s="61">
        <v>35</v>
      </c>
      <c r="K277" s="61">
        <v>26.5</v>
      </c>
      <c r="L277" s="61">
        <v>37.200000000000003</v>
      </c>
      <c r="M277" s="61">
        <v>35.1</v>
      </c>
      <c r="N277" s="61">
        <v>44.9</v>
      </c>
      <c r="O277" s="85">
        <v>16</v>
      </c>
      <c r="P277" s="105"/>
      <c r="Q277" s="87">
        <f t="shared" si="31"/>
        <v>3.1660803832628285E-3</v>
      </c>
      <c r="R277" s="87">
        <f t="shared" si="27"/>
        <v>1.4390703283975749E-2</v>
      </c>
      <c r="S277" s="87">
        <f t="shared" si="27"/>
        <v>2.0168074063046E-3</v>
      </c>
      <c r="T277" s="87">
        <f t="shared" si="26"/>
        <v>1.2739025777429932E-2</v>
      </c>
      <c r="U277" s="87">
        <f t="shared" si="26"/>
        <v>7.2993024816115351E-3</v>
      </c>
      <c r="V277" s="87">
        <f t="shared" si="26"/>
        <v>6.7340321813441194E-3</v>
      </c>
      <c r="W277" s="87">
        <f t="shared" si="26"/>
        <v>-2.6526754333428597E-2</v>
      </c>
      <c r="X277" s="87">
        <f t="shared" si="26"/>
        <v>-7.1174677688639896E-3</v>
      </c>
      <c r="Y277" s="87">
        <f t="shared" si="26"/>
        <v>-5.8268908123975761E-2</v>
      </c>
      <c r="Z277" s="87">
        <f t="shared" si="26"/>
        <v>-1.8692133012152522E-2</v>
      </c>
      <c r="AA277" s="87">
        <f t="shared" si="26"/>
        <v>-2.6845653706688757E-3</v>
      </c>
      <c r="AB277" s="87">
        <f t="shared" si="26"/>
        <v>-1.4144507386164625E-2</v>
      </c>
      <c r="AC277" s="87">
        <f t="shared" si="26"/>
        <v>-4.7835206274163558E-2</v>
      </c>
      <c r="AD277" s="87">
        <f t="shared" si="28"/>
        <v>1.2578782206859965E-2</v>
      </c>
      <c r="AE277" s="90">
        <f t="shared" si="30"/>
        <v>8.5201246439811987E-3</v>
      </c>
      <c r="AF277" s="89"/>
    </row>
    <row r="278" spans="1:32" ht="15.5" x14ac:dyDescent="0.35">
      <c r="A278" s="82">
        <v>40168</v>
      </c>
      <c r="B278" s="83">
        <v>7147.1</v>
      </c>
      <c r="C278" s="84">
        <v>2237.6999999999998</v>
      </c>
      <c r="D278" s="61">
        <v>298.10000000000002</v>
      </c>
      <c r="E278" s="61">
        <v>15.9</v>
      </c>
      <c r="F278" s="61">
        <v>28</v>
      </c>
      <c r="G278" s="61">
        <v>30.4</v>
      </c>
      <c r="H278" s="61">
        <v>57.1</v>
      </c>
      <c r="I278" s="61">
        <v>14.4</v>
      </c>
      <c r="J278" s="61">
        <v>36</v>
      </c>
      <c r="K278" s="61">
        <v>27</v>
      </c>
      <c r="L278" s="61">
        <v>37.5</v>
      </c>
      <c r="M278" s="61">
        <v>35.200000000000003</v>
      </c>
      <c r="N278" s="61">
        <v>45.1</v>
      </c>
      <c r="O278" s="85">
        <v>16.100000000000001</v>
      </c>
      <c r="P278" s="105"/>
      <c r="Q278" s="87">
        <f t="shared" si="31"/>
        <v>8.5574493113313218E-3</v>
      </c>
      <c r="R278" s="87">
        <f t="shared" si="27"/>
        <v>1.1687102054551604E-2</v>
      </c>
      <c r="S278" s="87">
        <f t="shared" si="27"/>
        <v>1.0068804341171619E-3</v>
      </c>
      <c r="T278" s="87">
        <f t="shared" si="26"/>
        <v>6.3091691932647556E-3</v>
      </c>
      <c r="U278" s="87">
        <f t="shared" si="26"/>
        <v>1.8018505502678212E-2</v>
      </c>
      <c r="V278" s="87">
        <f t="shared" si="26"/>
        <v>1.9934214900817111E-2</v>
      </c>
      <c r="W278" s="87">
        <f t="shared" si="26"/>
        <v>2.3030247274699329E-2</v>
      </c>
      <c r="X278" s="87">
        <f t="shared" si="26"/>
        <v>2.8170876966696439E-2</v>
      </c>
      <c r="Y278" s="87">
        <f t="shared" si="26"/>
        <v>2.8170876966696224E-2</v>
      </c>
      <c r="Z278" s="87">
        <f t="shared" si="26"/>
        <v>1.8692133012152546E-2</v>
      </c>
      <c r="AA278" s="87">
        <f t="shared" si="26"/>
        <v>8.0321716972642527E-3</v>
      </c>
      <c r="AB278" s="87">
        <f t="shared" si="26"/>
        <v>2.8449521322313448E-3</v>
      </c>
      <c r="AC278" s="87">
        <f t="shared" si="26"/>
        <v>4.444451760424197E-3</v>
      </c>
      <c r="AD278" s="87">
        <f t="shared" si="28"/>
        <v>6.2305497506361628E-3</v>
      </c>
      <c r="AE278" s="90">
        <f t="shared" si="30"/>
        <v>9.7074744779279565E-3</v>
      </c>
      <c r="AF278" s="89"/>
    </row>
    <row r="279" spans="1:32" ht="15.5" x14ac:dyDescent="0.35">
      <c r="A279" s="82">
        <v>40169</v>
      </c>
      <c r="B279" s="83">
        <v>7184.2</v>
      </c>
      <c r="C279" s="84">
        <v>2252.6999999999998</v>
      </c>
      <c r="D279" s="61">
        <v>299.7</v>
      </c>
      <c r="E279" s="61">
        <v>15.8</v>
      </c>
      <c r="F279" s="61">
        <v>28.4</v>
      </c>
      <c r="G279" s="61">
        <v>30.5</v>
      </c>
      <c r="H279" s="61">
        <v>57.5</v>
      </c>
      <c r="I279" s="61">
        <v>14.3</v>
      </c>
      <c r="J279" s="61">
        <v>35.5</v>
      </c>
      <c r="K279" s="61">
        <v>27.5</v>
      </c>
      <c r="L279" s="61">
        <v>37.6</v>
      </c>
      <c r="M279" s="61">
        <v>35.4</v>
      </c>
      <c r="N279" s="61">
        <v>46.2</v>
      </c>
      <c r="O279" s="85">
        <v>16</v>
      </c>
      <c r="P279" s="105"/>
      <c r="Q279" s="87">
        <f t="shared" si="31"/>
        <v>5.1774902313720932E-3</v>
      </c>
      <c r="R279" s="87">
        <f t="shared" si="27"/>
        <v>6.6809441447205856E-3</v>
      </c>
      <c r="S279" s="87">
        <f t="shared" si="27"/>
        <v>5.3529736385917537E-3</v>
      </c>
      <c r="T279" s="87">
        <f t="shared" si="26"/>
        <v>-6.309169193264721E-3</v>
      </c>
      <c r="U279" s="87">
        <f t="shared" si="26"/>
        <v>1.4184634991956381E-2</v>
      </c>
      <c r="V279" s="87">
        <f t="shared" si="26"/>
        <v>3.2840752011900187E-3</v>
      </c>
      <c r="W279" s="87">
        <f t="shared" si="26"/>
        <v>6.9808311413401408E-3</v>
      </c>
      <c r="X279" s="87">
        <f t="shared" si="26"/>
        <v>-6.9686693160933158E-3</v>
      </c>
      <c r="Y279" s="87">
        <f t="shared" si="26"/>
        <v>-1.3986241974739839E-2</v>
      </c>
      <c r="Z279" s="87">
        <f t="shared" si="26"/>
        <v>1.8349138668196617E-2</v>
      </c>
      <c r="AA279" s="87">
        <f t="shared" si="26"/>
        <v>2.6631174194836284E-3</v>
      </c>
      <c r="AB279" s="87">
        <f t="shared" si="26"/>
        <v>5.6657375356772999E-3</v>
      </c>
      <c r="AC279" s="87">
        <f t="shared" si="26"/>
        <v>2.4097551579060524E-2</v>
      </c>
      <c r="AD279" s="87">
        <f t="shared" si="28"/>
        <v>-6.2305497506361975E-3</v>
      </c>
      <c r="AE279" s="90">
        <f t="shared" si="30"/>
        <v>6.8683895779977711E-3</v>
      </c>
      <c r="AF279" s="89"/>
    </row>
    <row r="280" spans="1:32" ht="15.5" x14ac:dyDescent="0.35">
      <c r="A280" s="82">
        <v>40170</v>
      </c>
      <c r="B280" s="83">
        <v>7217.2</v>
      </c>
      <c r="C280" s="84">
        <v>2269.6</v>
      </c>
      <c r="D280" s="61">
        <v>301.7</v>
      </c>
      <c r="E280" s="61">
        <v>16</v>
      </c>
      <c r="F280" s="61">
        <v>28.7</v>
      </c>
      <c r="G280" s="61">
        <v>30.7</v>
      </c>
      <c r="H280" s="61">
        <v>57.9</v>
      </c>
      <c r="I280" s="61">
        <v>14.1</v>
      </c>
      <c r="J280" s="61">
        <v>36.5</v>
      </c>
      <c r="K280" s="61">
        <v>27.1</v>
      </c>
      <c r="L280" s="61">
        <v>37.1</v>
      </c>
      <c r="M280" s="61">
        <v>35.200000000000003</v>
      </c>
      <c r="N280" s="61">
        <v>46.4</v>
      </c>
      <c r="O280" s="85">
        <v>16.2</v>
      </c>
      <c r="P280" s="105"/>
      <c r="Q280" s="87">
        <f t="shared" si="31"/>
        <v>4.5828957959708743E-3</v>
      </c>
      <c r="R280" s="87">
        <f t="shared" si="27"/>
        <v>7.4741077206937822E-3</v>
      </c>
      <c r="S280" s="87">
        <f t="shared" si="27"/>
        <v>6.6511718423979543E-3</v>
      </c>
      <c r="T280" s="87">
        <f t="shared" si="26"/>
        <v>1.2578782206859965E-2</v>
      </c>
      <c r="U280" s="87">
        <f t="shared" si="26"/>
        <v>1.0507977598415165E-2</v>
      </c>
      <c r="V280" s="87">
        <f t="shared" si="26"/>
        <v>6.5359709797854493E-3</v>
      </c>
      <c r="W280" s="87">
        <f t="shared" si="26"/>
        <v>6.9324367756446754E-3</v>
      </c>
      <c r="X280" s="87">
        <f t="shared" si="26"/>
        <v>-1.4084739881739085E-2</v>
      </c>
      <c r="Y280" s="87">
        <f t="shared" si="26"/>
        <v>2.7779564107075671E-2</v>
      </c>
      <c r="Z280" s="87">
        <f t="shared" si="26"/>
        <v>-1.4652276786870375E-2</v>
      </c>
      <c r="AA280" s="87">
        <f t="shared" si="26"/>
        <v>-1.3387080782459409E-2</v>
      </c>
      <c r="AB280" s="87">
        <f t="shared" si="26"/>
        <v>-5.6657375356771959E-3</v>
      </c>
      <c r="AC280" s="87">
        <f t="shared" si="26"/>
        <v>4.3196611445163796E-3</v>
      </c>
      <c r="AD280" s="87">
        <f t="shared" si="28"/>
        <v>1.242251999855711E-2</v>
      </c>
      <c r="AE280" s="90">
        <f t="shared" si="30"/>
        <v>8.7021537813985698E-3</v>
      </c>
      <c r="AF280" s="89"/>
    </row>
    <row r="281" spans="1:32" ht="15.5" x14ac:dyDescent="0.35">
      <c r="A281" s="82">
        <v>40171</v>
      </c>
      <c r="B281" s="83">
        <v>7255</v>
      </c>
      <c r="C281" s="84">
        <v>2285.6999999999998</v>
      </c>
      <c r="D281" s="61">
        <v>306.39999999999998</v>
      </c>
      <c r="E281" s="61">
        <v>16.7</v>
      </c>
      <c r="F281" s="61">
        <v>29.1</v>
      </c>
      <c r="G281" s="61">
        <v>30.8</v>
      </c>
      <c r="H281" s="61">
        <v>58.1</v>
      </c>
      <c r="I281" s="61">
        <v>14.3</v>
      </c>
      <c r="J281" s="61">
        <v>36.9</v>
      </c>
      <c r="K281" s="61">
        <v>27</v>
      </c>
      <c r="L281" s="61">
        <v>36.799999999999997</v>
      </c>
      <c r="M281" s="61">
        <v>35.1</v>
      </c>
      <c r="N281" s="61">
        <v>47</v>
      </c>
      <c r="O281" s="85">
        <v>16.3</v>
      </c>
      <c r="P281" s="105"/>
      <c r="Q281" s="87">
        <f t="shared" si="31"/>
        <v>5.2238202841448948E-3</v>
      </c>
      <c r="R281" s="87">
        <f t="shared" si="27"/>
        <v>7.0687186524321117E-3</v>
      </c>
      <c r="S281" s="87">
        <f t="shared" si="27"/>
        <v>1.5458291701420736E-2</v>
      </c>
      <c r="T281" s="87">
        <f t="shared" si="26"/>
        <v>4.2819997182928143E-2</v>
      </c>
      <c r="U281" s="87">
        <f t="shared" si="26"/>
        <v>1.3841051411871511E-2</v>
      </c>
      <c r="V281" s="87">
        <f t="shared" si="26"/>
        <v>3.2520353863773159E-3</v>
      </c>
      <c r="W281" s="87">
        <f t="shared" si="26"/>
        <v>3.4482792789159236E-3</v>
      </c>
      <c r="X281" s="87">
        <f t="shared" si="26"/>
        <v>1.4084739881739023E-2</v>
      </c>
      <c r="Y281" s="87">
        <f t="shared" ref="Y281:AD330" si="32">+LN(J281/J280)</f>
        <v>1.0899290458035638E-2</v>
      </c>
      <c r="Z281" s="87">
        <f t="shared" si="32"/>
        <v>-3.6968618813262031E-3</v>
      </c>
      <c r="AA281" s="87">
        <f t="shared" si="32"/>
        <v>-8.1191244385043528E-3</v>
      </c>
      <c r="AB281" s="87">
        <f t="shared" si="32"/>
        <v>-2.8449521322313617E-3</v>
      </c>
      <c r="AC281" s="87">
        <f t="shared" si="32"/>
        <v>1.2848142477849059E-2</v>
      </c>
      <c r="AD281" s="87">
        <f t="shared" si="28"/>
        <v>6.1538655743782859E-3</v>
      </c>
      <c r="AE281" s="90">
        <f t="shared" si="30"/>
        <v>1.1350161108558516E-2</v>
      </c>
      <c r="AF281" s="89"/>
    </row>
    <row r="282" spans="1:32" ht="15.5" x14ac:dyDescent="0.35">
      <c r="A282" s="82">
        <v>40175</v>
      </c>
      <c r="B282" s="83">
        <v>7261.2</v>
      </c>
      <c r="C282" s="84">
        <v>2291.1</v>
      </c>
      <c r="D282" s="61">
        <v>309.60000000000002</v>
      </c>
      <c r="E282" s="61">
        <v>16.7</v>
      </c>
      <c r="F282" s="61">
        <v>29.9</v>
      </c>
      <c r="G282" s="61">
        <v>30.9</v>
      </c>
      <c r="H282" s="61">
        <v>59.2</v>
      </c>
      <c r="I282" s="61">
        <v>14.3</v>
      </c>
      <c r="J282" s="61">
        <v>37</v>
      </c>
      <c r="K282" s="61">
        <v>27.1</v>
      </c>
      <c r="L282" s="61">
        <v>36.799999999999997</v>
      </c>
      <c r="M282" s="61">
        <v>35</v>
      </c>
      <c r="N282" s="61">
        <v>46.9</v>
      </c>
      <c r="O282" s="85">
        <v>16.2</v>
      </c>
      <c r="P282" s="105"/>
      <c r="Q282" s="87">
        <f t="shared" si="31"/>
        <v>8.5421809798784528E-4</v>
      </c>
      <c r="R282" s="87">
        <f t="shared" si="27"/>
        <v>2.3597284153745526E-3</v>
      </c>
      <c r="S282" s="87">
        <f t="shared" si="27"/>
        <v>1.0389703849135868E-2</v>
      </c>
      <c r="T282" s="87">
        <f t="shared" si="27"/>
        <v>0</v>
      </c>
      <c r="U282" s="87">
        <f t="shared" si="27"/>
        <v>2.712030621919382E-2</v>
      </c>
      <c r="V282" s="87">
        <f t="shared" si="27"/>
        <v>3.2414939241710229E-3</v>
      </c>
      <c r="W282" s="87">
        <f t="shared" si="27"/>
        <v>1.8755878032094497E-2</v>
      </c>
      <c r="X282" s="87">
        <f t="shared" si="27"/>
        <v>0</v>
      </c>
      <c r="Y282" s="87">
        <f t="shared" si="32"/>
        <v>2.7063615977430673E-3</v>
      </c>
      <c r="Z282" s="87">
        <f t="shared" si="32"/>
        <v>3.6968618813262026E-3</v>
      </c>
      <c r="AA282" s="87">
        <f t="shared" si="32"/>
        <v>0</v>
      </c>
      <c r="AB282" s="87">
        <f t="shared" si="32"/>
        <v>-2.8530689824065106E-3</v>
      </c>
      <c r="AC282" s="87">
        <f t="shared" si="32"/>
        <v>-2.1299262578249648E-3</v>
      </c>
      <c r="AD282" s="87">
        <f t="shared" si="28"/>
        <v>-6.1538655743783354E-3</v>
      </c>
      <c r="AE282" s="90">
        <f t="shared" si="30"/>
        <v>1.0755819300143774E-2</v>
      </c>
      <c r="AF282" s="89"/>
    </row>
    <row r="283" spans="1:32" ht="15.5" x14ac:dyDescent="0.35">
      <c r="A283" s="82">
        <v>40176</v>
      </c>
      <c r="B283" s="83">
        <v>7252.2</v>
      </c>
      <c r="C283" s="84">
        <v>2288.4</v>
      </c>
      <c r="D283" s="61">
        <v>309.5</v>
      </c>
      <c r="E283" s="61">
        <v>16.7</v>
      </c>
      <c r="F283" s="61">
        <v>29.8</v>
      </c>
      <c r="G283" s="61">
        <v>31.2</v>
      </c>
      <c r="H283" s="61">
        <v>60.8</v>
      </c>
      <c r="I283" s="61">
        <v>14.1</v>
      </c>
      <c r="J283" s="61">
        <v>36.1</v>
      </c>
      <c r="K283" s="61">
        <v>26.9</v>
      </c>
      <c r="L283" s="61">
        <v>37.1</v>
      </c>
      <c r="M283" s="61">
        <v>35.1</v>
      </c>
      <c r="N283" s="61">
        <v>46.9</v>
      </c>
      <c r="O283" s="85">
        <v>16.3</v>
      </c>
      <c r="P283" s="105"/>
      <c r="Q283" s="87">
        <f t="shared" si="31"/>
        <v>-1.2402333228098349E-3</v>
      </c>
      <c r="R283" s="87">
        <f t="shared" si="27"/>
        <v>-1.1791681680743272E-3</v>
      </c>
      <c r="S283" s="87">
        <f t="shared" si="27"/>
        <v>-3.230495909212953E-4</v>
      </c>
      <c r="T283" s="87">
        <f t="shared" si="27"/>
        <v>0</v>
      </c>
      <c r="U283" s="87">
        <f t="shared" si="27"/>
        <v>-3.350086885281863E-3</v>
      </c>
      <c r="V283" s="87">
        <f t="shared" si="27"/>
        <v>9.6619109117368901E-3</v>
      </c>
      <c r="W283" s="87">
        <f t="shared" si="27"/>
        <v>2.6668247082161273E-2</v>
      </c>
      <c r="X283" s="87">
        <f t="shared" si="27"/>
        <v>-1.4084739881739085E-2</v>
      </c>
      <c r="Y283" s="87">
        <f t="shared" si="32"/>
        <v>-2.462504730538918E-2</v>
      </c>
      <c r="Z283" s="87">
        <f t="shared" si="32"/>
        <v>-7.4074412778619165E-3</v>
      </c>
      <c r="AA283" s="87">
        <f t="shared" si="32"/>
        <v>8.1191244385044117E-3</v>
      </c>
      <c r="AB283" s="87">
        <f t="shared" si="32"/>
        <v>2.8530689824064807E-3</v>
      </c>
      <c r="AC283" s="87">
        <f t="shared" si="32"/>
        <v>0</v>
      </c>
      <c r="AD283" s="87">
        <f t="shared" si="28"/>
        <v>6.1538655743782859E-3</v>
      </c>
      <c r="AE283" s="90">
        <f t="shared" si="30"/>
        <v>-6.5795994796546053E-4</v>
      </c>
      <c r="AF283" s="89"/>
    </row>
    <row r="284" spans="1:32" ht="15.5" x14ac:dyDescent="0.35">
      <c r="A284" s="82">
        <v>40177</v>
      </c>
      <c r="B284" s="83">
        <v>7241.2</v>
      </c>
      <c r="C284" s="84">
        <v>2291.3000000000002</v>
      </c>
      <c r="D284" s="61">
        <v>309.3</v>
      </c>
      <c r="E284" s="61">
        <v>16.8</v>
      </c>
      <c r="F284" s="61">
        <v>29.8</v>
      </c>
      <c r="G284" s="61">
        <v>30.8</v>
      </c>
      <c r="H284" s="61">
        <v>60.5</v>
      </c>
      <c r="I284" s="61">
        <v>14.1</v>
      </c>
      <c r="J284" s="61">
        <v>36.1</v>
      </c>
      <c r="K284" s="61">
        <v>26.7</v>
      </c>
      <c r="L284" s="61">
        <v>36.799999999999997</v>
      </c>
      <c r="M284" s="61">
        <v>34.9</v>
      </c>
      <c r="N284" s="61">
        <v>47.2</v>
      </c>
      <c r="O284" s="85">
        <v>16.399999999999999</v>
      </c>
      <c r="P284" s="105"/>
      <c r="Q284" s="87">
        <f t="shared" si="31"/>
        <v>-1.5179325916774877E-3</v>
      </c>
      <c r="R284" s="87">
        <f t="shared" si="27"/>
        <v>1.2664586709231476E-3</v>
      </c>
      <c r="S284" s="87">
        <f t="shared" si="27"/>
        <v>-6.4641243362679676E-4</v>
      </c>
      <c r="T284" s="87">
        <f t="shared" si="27"/>
        <v>5.9701669865039747E-3</v>
      </c>
      <c r="U284" s="87">
        <f t="shared" si="27"/>
        <v>0</v>
      </c>
      <c r="V284" s="87">
        <f t="shared" si="27"/>
        <v>-1.2903404835907841E-2</v>
      </c>
      <c r="W284" s="87">
        <f t="shared" si="27"/>
        <v>-4.9464239353254622E-3</v>
      </c>
      <c r="X284" s="87">
        <f t="shared" si="27"/>
        <v>0</v>
      </c>
      <c r="Y284" s="87">
        <f t="shared" si="32"/>
        <v>0</v>
      </c>
      <c r="Z284" s="87">
        <f t="shared" si="32"/>
        <v>-7.4627212015896003E-3</v>
      </c>
      <c r="AA284" s="87">
        <f t="shared" si="32"/>
        <v>-8.1191244385043528E-3</v>
      </c>
      <c r="AB284" s="87">
        <f t="shared" si="32"/>
        <v>-5.7143012634387758E-3</v>
      </c>
      <c r="AC284" s="87">
        <f t="shared" si="32"/>
        <v>6.3762171392760638E-3</v>
      </c>
      <c r="AD284" s="87">
        <f t="shared" si="28"/>
        <v>6.1162270174360536E-3</v>
      </c>
      <c r="AE284" s="90">
        <f t="shared" si="30"/>
        <v>9.3378926553473079E-4</v>
      </c>
      <c r="AF284" s="89"/>
    </row>
    <row r="285" spans="1:32" ht="15.5" x14ac:dyDescent="0.35">
      <c r="A285" s="82">
        <v>40178</v>
      </c>
      <c r="B285" s="83">
        <v>7185</v>
      </c>
      <c r="C285" s="84">
        <v>2269.1</v>
      </c>
      <c r="D285" s="61">
        <v>310.3</v>
      </c>
      <c r="E285" s="61">
        <v>16.8</v>
      </c>
      <c r="F285" s="61">
        <v>30.1</v>
      </c>
      <c r="G285" s="61">
        <v>30.5</v>
      </c>
      <c r="H285" s="61">
        <v>60.6</v>
      </c>
      <c r="I285" s="61">
        <v>14.1</v>
      </c>
      <c r="J285" s="61">
        <v>36.200000000000003</v>
      </c>
      <c r="K285" s="61">
        <v>26.6</v>
      </c>
      <c r="L285" s="61">
        <v>36.5</v>
      </c>
      <c r="M285" s="61">
        <v>35.299999999999997</v>
      </c>
      <c r="N285" s="61">
        <v>46.5</v>
      </c>
      <c r="O285" s="85">
        <v>16.5</v>
      </c>
      <c r="P285" s="105"/>
      <c r="Q285" s="87">
        <f t="shared" si="31"/>
        <v>-7.7914189886634849E-3</v>
      </c>
      <c r="R285" s="87">
        <f t="shared" si="27"/>
        <v>-9.7360649780728354E-3</v>
      </c>
      <c r="S285" s="87">
        <f t="shared" si="27"/>
        <v>3.2278917633105884E-3</v>
      </c>
      <c r="T285" s="87">
        <f t="shared" si="27"/>
        <v>0</v>
      </c>
      <c r="U285" s="87">
        <f t="shared" si="27"/>
        <v>1.0016778243471209E-2</v>
      </c>
      <c r="V285" s="87">
        <f t="shared" si="27"/>
        <v>-9.7880063661628207E-3</v>
      </c>
      <c r="W285" s="87">
        <f t="shared" si="27"/>
        <v>1.6515280384729392E-3</v>
      </c>
      <c r="X285" s="87">
        <f t="shared" si="27"/>
        <v>0</v>
      </c>
      <c r="Y285" s="87">
        <f t="shared" si="32"/>
        <v>2.76625349289011E-3</v>
      </c>
      <c r="Z285" s="87">
        <f t="shared" si="32"/>
        <v>-3.7523496185503527E-3</v>
      </c>
      <c r="AA285" s="87">
        <f t="shared" si="32"/>
        <v>-8.1855845864392939E-3</v>
      </c>
      <c r="AB285" s="87">
        <f t="shared" si="32"/>
        <v>1.1396134730869582E-2</v>
      </c>
      <c r="AC285" s="87">
        <f t="shared" si="32"/>
        <v>-1.494157999819914E-2</v>
      </c>
      <c r="AD285" s="87">
        <f t="shared" si="28"/>
        <v>6.0790460763821925E-3</v>
      </c>
      <c r="AE285" s="90">
        <f t="shared" si="30"/>
        <v>1.6297248556920202E-3</v>
      </c>
      <c r="AF285" s="89"/>
    </row>
    <row r="286" spans="1:32" ht="15.5" x14ac:dyDescent="0.35">
      <c r="A286" s="82">
        <v>40182</v>
      </c>
      <c r="B286" s="83">
        <v>7326.7</v>
      </c>
      <c r="C286" s="84">
        <v>2308.4</v>
      </c>
      <c r="D286" s="61">
        <v>312.39999999999998</v>
      </c>
      <c r="E286" s="61">
        <v>16.899999999999999</v>
      </c>
      <c r="F286" s="61">
        <v>30.3</v>
      </c>
      <c r="G286" s="61">
        <v>30.6</v>
      </c>
      <c r="H286" s="61">
        <v>60.5</v>
      </c>
      <c r="I286" s="61">
        <v>14.3</v>
      </c>
      <c r="J286" s="61">
        <v>36.799999999999997</v>
      </c>
      <c r="K286" s="61">
        <v>26.8</v>
      </c>
      <c r="L286" s="61">
        <v>36.6</v>
      </c>
      <c r="M286" s="61">
        <v>35.5</v>
      </c>
      <c r="N286" s="61">
        <v>47.1</v>
      </c>
      <c r="O286" s="85">
        <v>16.3</v>
      </c>
      <c r="P286" s="105"/>
      <c r="Q286" s="87">
        <f t="shared" si="31"/>
        <v>1.9529690356564808E-2</v>
      </c>
      <c r="R286" s="87">
        <f t="shared" si="27"/>
        <v>1.7171366749587285E-2</v>
      </c>
      <c r="S286" s="87">
        <f t="shared" si="27"/>
        <v>6.7448465111963809E-3</v>
      </c>
      <c r="T286" s="87">
        <f t="shared" si="27"/>
        <v>5.9347355198145265E-3</v>
      </c>
      <c r="U286" s="87">
        <f t="shared" si="27"/>
        <v>6.6225407604934569E-3</v>
      </c>
      <c r="V286" s="87">
        <f t="shared" si="27"/>
        <v>3.2733253449691085E-3</v>
      </c>
      <c r="W286" s="87">
        <f t="shared" si="27"/>
        <v>-1.6515280384730646E-3</v>
      </c>
      <c r="X286" s="87">
        <f t="shared" si="27"/>
        <v>1.4084739881739023E-2</v>
      </c>
      <c r="Y286" s="87">
        <f t="shared" si="32"/>
        <v>1.643872634315972E-2</v>
      </c>
      <c r="Z286" s="87">
        <f t="shared" si="32"/>
        <v>7.4906717291576587E-3</v>
      </c>
      <c r="AA286" s="87">
        <f t="shared" si="32"/>
        <v>2.7359798188748455E-3</v>
      </c>
      <c r="AB286" s="87">
        <f t="shared" si="32"/>
        <v>5.6497325421191276E-3</v>
      </c>
      <c r="AC286" s="87">
        <f t="shared" si="32"/>
        <v>1.2820688429061469E-2</v>
      </c>
      <c r="AD286" s="87">
        <f t="shared" si="28"/>
        <v>-1.2195273093818243E-2</v>
      </c>
      <c r="AE286" s="90">
        <f t="shared" si="30"/>
        <v>7.5330700061572728E-3</v>
      </c>
      <c r="AF286" s="89"/>
    </row>
    <row r="287" spans="1:32" ht="15.5" x14ac:dyDescent="0.35">
      <c r="A287" s="82">
        <v>40183</v>
      </c>
      <c r="B287" s="83">
        <v>7354.9</v>
      </c>
      <c r="C287" s="84">
        <v>2308.6999999999998</v>
      </c>
      <c r="D287" s="61">
        <v>311.10000000000002</v>
      </c>
      <c r="E287" s="61">
        <v>17</v>
      </c>
      <c r="F287" s="61">
        <v>30.5</v>
      </c>
      <c r="G287" s="61">
        <v>30.6</v>
      </c>
      <c r="H287" s="61">
        <v>61.4</v>
      </c>
      <c r="I287" s="61">
        <v>14.8</v>
      </c>
      <c r="J287" s="61">
        <v>38.299999999999997</v>
      </c>
      <c r="K287" s="61">
        <v>27.1</v>
      </c>
      <c r="L287" s="61">
        <v>36.9</v>
      </c>
      <c r="M287" s="61">
        <v>36</v>
      </c>
      <c r="N287" s="61">
        <v>47.5</v>
      </c>
      <c r="O287" s="85">
        <v>16.2</v>
      </c>
      <c r="P287" s="105"/>
      <c r="Q287" s="87">
        <f t="shared" si="31"/>
        <v>3.8415478803527111E-3</v>
      </c>
      <c r="R287" s="87">
        <f t="shared" si="27"/>
        <v>1.2995170146720239E-4</v>
      </c>
      <c r="S287" s="87">
        <f t="shared" si="27"/>
        <v>-4.1700140619394064E-3</v>
      </c>
      <c r="T287" s="87">
        <f t="shared" si="27"/>
        <v>5.899722127188322E-3</v>
      </c>
      <c r="U287" s="87">
        <f t="shared" si="27"/>
        <v>6.5789710980425605E-3</v>
      </c>
      <c r="V287" s="87">
        <f t="shared" si="27"/>
        <v>0</v>
      </c>
      <c r="W287" s="87">
        <f t="shared" si="27"/>
        <v>1.4766470116300995E-2</v>
      </c>
      <c r="X287" s="87">
        <f t="shared" si="27"/>
        <v>3.4367643504207818E-2</v>
      </c>
      <c r="Y287" s="87">
        <f t="shared" si="32"/>
        <v>3.9952051011714972E-2</v>
      </c>
      <c r="Z287" s="87">
        <f t="shared" si="32"/>
        <v>1.1131840368844199E-2</v>
      </c>
      <c r="AA287" s="87">
        <f t="shared" si="32"/>
        <v>8.1633106391608354E-3</v>
      </c>
      <c r="AB287" s="87">
        <f t="shared" si="32"/>
        <v>1.398624197473987E-2</v>
      </c>
      <c r="AC287" s="87">
        <f t="shared" si="32"/>
        <v>8.4567100182234584E-3</v>
      </c>
      <c r="AD287" s="87">
        <f t="shared" si="28"/>
        <v>-6.1538655743783354E-3</v>
      </c>
      <c r="AE287" s="90">
        <f t="shared" si="30"/>
        <v>-4.8686194981954561E-5</v>
      </c>
      <c r="AF287" s="89"/>
    </row>
    <row r="288" spans="1:32" ht="15.5" x14ac:dyDescent="0.35">
      <c r="A288" s="82">
        <v>40184</v>
      </c>
      <c r="B288" s="83">
        <v>7377.7</v>
      </c>
      <c r="C288" s="84">
        <v>2301.1</v>
      </c>
      <c r="D288" s="61">
        <v>303.5</v>
      </c>
      <c r="E288" s="61">
        <v>17.100000000000001</v>
      </c>
      <c r="F288" s="61">
        <v>30.1</v>
      </c>
      <c r="G288" s="61">
        <v>30.5</v>
      </c>
      <c r="H288" s="61">
        <v>61.8</v>
      </c>
      <c r="I288" s="61">
        <v>15.6</v>
      </c>
      <c r="J288" s="61">
        <v>39.4</v>
      </c>
      <c r="K288" s="61">
        <v>27</v>
      </c>
      <c r="L288" s="61">
        <v>36.9</v>
      </c>
      <c r="M288" s="61">
        <v>36.799999999999997</v>
      </c>
      <c r="N288" s="61">
        <v>48</v>
      </c>
      <c r="O288" s="85">
        <v>16.2</v>
      </c>
      <c r="P288" s="105"/>
      <c r="Q288" s="87">
        <f t="shared" si="31"/>
        <v>3.0951791540192778E-3</v>
      </c>
      <c r="R288" s="87">
        <f t="shared" si="27"/>
        <v>-3.2973260817502226E-3</v>
      </c>
      <c r="S288" s="87">
        <f t="shared" si="27"/>
        <v>-2.4732793404038406E-2</v>
      </c>
      <c r="T288" s="87">
        <f t="shared" si="27"/>
        <v>5.8651194523980576E-3</v>
      </c>
      <c r="U288" s="87">
        <f t="shared" si="27"/>
        <v>-1.3201511858535842E-2</v>
      </c>
      <c r="V288" s="87">
        <f t="shared" si="27"/>
        <v>-3.273325344969249E-3</v>
      </c>
      <c r="W288" s="87">
        <f t="shared" si="27"/>
        <v>6.4935293105483115E-3</v>
      </c>
      <c r="X288" s="87">
        <f t="shared" si="27"/>
        <v>5.2643733485421881E-2</v>
      </c>
      <c r="Y288" s="87">
        <f t="shared" si="32"/>
        <v>2.8315920117287858E-2</v>
      </c>
      <c r="Z288" s="87">
        <f t="shared" si="32"/>
        <v>-3.6968618813262031E-3</v>
      </c>
      <c r="AA288" s="87">
        <f t="shared" si="32"/>
        <v>0</v>
      </c>
      <c r="AB288" s="87">
        <f t="shared" si="32"/>
        <v>2.1978906718775167E-2</v>
      </c>
      <c r="AC288" s="87">
        <f t="shared" si="32"/>
        <v>1.0471299867295437E-2</v>
      </c>
      <c r="AD288" s="87">
        <f t="shared" si="28"/>
        <v>0</v>
      </c>
      <c r="AE288" s="90">
        <f t="shared" si="30"/>
        <v>-1.2004074252917395E-2</v>
      </c>
      <c r="AF288" s="89"/>
    </row>
    <row r="289" spans="1:32" ht="15.5" x14ac:dyDescent="0.35">
      <c r="A289" s="82">
        <v>40185</v>
      </c>
      <c r="B289" s="83">
        <v>7393.9</v>
      </c>
      <c r="C289" s="84">
        <v>2300.1</v>
      </c>
      <c r="D289" s="61">
        <v>296.60000000000002</v>
      </c>
      <c r="E289" s="61">
        <v>16.600000000000001</v>
      </c>
      <c r="F289" s="61">
        <v>29.9</v>
      </c>
      <c r="G289" s="61">
        <v>30.2</v>
      </c>
      <c r="H289" s="61">
        <v>63.7</v>
      </c>
      <c r="I289" s="61">
        <v>15.5</v>
      </c>
      <c r="J289" s="61">
        <v>40.4</v>
      </c>
      <c r="K289" s="61">
        <v>25.6</v>
      </c>
      <c r="L289" s="61">
        <v>37.4</v>
      </c>
      <c r="M289" s="61">
        <v>37</v>
      </c>
      <c r="N289" s="61">
        <v>47.9</v>
      </c>
      <c r="O289" s="85">
        <v>16.3</v>
      </c>
      <c r="P289" s="105"/>
      <c r="Q289" s="87">
        <f t="shared" si="31"/>
        <v>2.193399021750966E-3</v>
      </c>
      <c r="R289" s="87">
        <f t="shared" si="27"/>
        <v>-4.3466922356989713E-4</v>
      </c>
      <c r="S289" s="87">
        <f t="shared" si="27"/>
        <v>-2.2997180795721151E-2</v>
      </c>
      <c r="T289" s="87">
        <f t="shared" si="27"/>
        <v>-2.9675768146116551E-2</v>
      </c>
      <c r="U289" s="87">
        <f t="shared" si="27"/>
        <v>-6.6666913581893451E-3</v>
      </c>
      <c r="V289" s="87">
        <f t="shared" si="27"/>
        <v>-9.8847592325419734E-3</v>
      </c>
      <c r="W289" s="87">
        <f t="shared" si="27"/>
        <v>3.0281198114472704E-2</v>
      </c>
      <c r="X289" s="87">
        <f t="shared" si="27"/>
        <v>-6.4308903302904025E-3</v>
      </c>
      <c r="Y289" s="87">
        <f t="shared" si="32"/>
        <v>2.506396866321622E-2</v>
      </c>
      <c r="Z289" s="87">
        <f t="shared" si="32"/>
        <v>-5.3244514518812243E-2</v>
      </c>
      <c r="AA289" s="87">
        <f t="shared" si="32"/>
        <v>1.3459153374004711E-2</v>
      </c>
      <c r="AB289" s="87">
        <f t="shared" si="32"/>
        <v>5.4200674693393345E-3</v>
      </c>
      <c r="AC289" s="87">
        <f t="shared" si="32"/>
        <v>-2.0855064910213707E-3</v>
      </c>
      <c r="AD289" s="87">
        <f t="shared" si="28"/>
        <v>6.1538655743782859E-3</v>
      </c>
      <c r="AE289" s="90">
        <f t="shared" si="30"/>
        <v>-8.0213205739141057E-3</v>
      </c>
      <c r="AF289" s="89"/>
    </row>
    <row r="290" spans="1:32" ht="15.5" x14ac:dyDescent="0.35">
      <c r="A290" s="82">
        <v>40186</v>
      </c>
      <c r="B290" s="83">
        <v>7425.4</v>
      </c>
      <c r="C290" s="84">
        <v>2317.1999999999998</v>
      </c>
      <c r="D290" s="61">
        <v>294.89999999999998</v>
      </c>
      <c r="E290" s="61">
        <v>16.600000000000001</v>
      </c>
      <c r="F290" s="61">
        <v>29.9</v>
      </c>
      <c r="G290" s="61">
        <v>30.2</v>
      </c>
      <c r="H290" s="61">
        <v>58.4</v>
      </c>
      <c r="I290" s="61">
        <v>15.5</v>
      </c>
      <c r="J290" s="61">
        <v>41.1</v>
      </c>
      <c r="K290" s="61">
        <v>26.4</v>
      </c>
      <c r="L290" s="61">
        <v>37.4</v>
      </c>
      <c r="M290" s="61">
        <v>37.4</v>
      </c>
      <c r="N290" s="61">
        <v>47.5</v>
      </c>
      <c r="O290" s="85">
        <v>16.2</v>
      </c>
      <c r="P290" s="105"/>
      <c r="Q290" s="87">
        <f t="shared" si="31"/>
        <v>4.2512193479123115E-3</v>
      </c>
      <c r="R290" s="87">
        <f t="shared" si="27"/>
        <v>7.4069599895105328E-3</v>
      </c>
      <c r="S290" s="87">
        <f t="shared" si="27"/>
        <v>-5.7481138826012629E-3</v>
      </c>
      <c r="T290" s="87">
        <f t="shared" si="27"/>
        <v>0</v>
      </c>
      <c r="U290" s="87">
        <f t="shared" si="27"/>
        <v>0</v>
      </c>
      <c r="V290" s="87">
        <f t="shared" si="27"/>
        <v>0</v>
      </c>
      <c r="W290" s="87">
        <f t="shared" si="27"/>
        <v>-8.6868672743936393E-2</v>
      </c>
      <c r="X290" s="87">
        <f t="shared" si="27"/>
        <v>0</v>
      </c>
      <c r="Y290" s="87">
        <f t="shared" si="32"/>
        <v>1.7178336535084552E-2</v>
      </c>
      <c r="Z290" s="87">
        <f t="shared" si="32"/>
        <v>3.0771658666753472E-2</v>
      </c>
      <c r="AA290" s="87">
        <f t="shared" si="32"/>
        <v>0</v>
      </c>
      <c r="AB290" s="87">
        <f t="shared" si="32"/>
        <v>1.0752791776261697E-2</v>
      </c>
      <c r="AC290" s="87">
        <f t="shared" si="32"/>
        <v>-8.3857933762739589E-3</v>
      </c>
      <c r="AD290" s="87">
        <f t="shared" si="28"/>
        <v>-6.1538655743783354E-3</v>
      </c>
      <c r="AE290" s="90">
        <f t="shared" si="30"/>
        <v>-2.106091084496882E-4</v>
      </c>
      <c r="AF290" s="89"/>
    </row>
    <row r="291" spans="1:32" ht="15.5" x14ac:dyDescent="0.35">
      <c r="A291" s="82">
        <v>40189</v>
      </c>
      <c r="B291" s="83">
        <v>7449</v>
      </c>
      <c r="C291" s="84">
        <v>2312.4</v>
      </c>
      <c r="D291" s="61">
        <v>297.3</v>
      </c>
      <c r="E291" s="61">
        <v>16.5</v>
      </c>
      <c r="F291" s="61">
        <v>29.8</v>
      </c>
      <c r="G291" s="61">
        <v>30.1</v>
      </c>
      <c r="H291" s="61">
        <v>58.8</v>
      </c>
      <c r="I291" s="61">
        <v>15.9</v>
      </c>
      <c r="J291" s="61">
        <v>40.6</v>
      </c>
      <c r="K291" s="61">
        <v>26.3</v>
      </c>
      <c r="L291" s="61">
        <v>37.5</v>
      </c>
      <c r="M291" s="61">
        <v>38.200000000000003</v>
      </c>
      <c r="N291" s="61">
        <v>44.1</v>
      </c>
      <c r="O291" s="85">
        <v>16.2</v>
      </c>
      <c r="P291" s="105"/>
      <c r="Q291" s="87">
        <f t="shared" si="31"/>
        <v>3.173239902550831E-3</v>
      </c>
      <c r="R291" s="87">
        <f t="shared" si="27"/>
        <v>-2.0736140141478835E-3</v>
      </c>
      <c r="S291" s="87">
        <f t="shared" si="27"/>
        <v>8.1054141828216207E-3</v>
      </c>
      <c r="T291" s="87">
        <f t="shared" si="27"/>
        <v>-6.0423144559626982E-3</v>
      </c>
      <c r="U291" s="87">
        <f t="shared" si="27"/>
        <v>-3.350086885281863E-3</v>
      </c>
      <c r="V291" s="87">
        <f t="shared" si="27"/>
        <v>-3.316752625993815E-3</v>
      </c>
      <c r="W291" s="87">
        <f t="shared" si="27"/>
        <v>6.8259650703998906E-3</v>
      </c>
      <c r="X291" s="87">
        <f t="shared" si="27"/>
        <v>2.5479085300984968E-2</v>
      </c>
      <c r="Y291" s="87">
        <f t="shared" si="32"/>
        <v>-1.224005489450195E-2</v>
      </c>
      <c r="Z291" s="87">
        <f t="shared" si="32"/>
        <v>-3.7950709685514979E-3</v>
      </c>
      <c r="AA291" s="87">
        <f t="shared" si="32"/>
        <v>2.6702285558788921E-3</v>
      </c>
      <c r="AB291" s="87">
        <f t="shared" si="32"/>
        <v>2.1164811192043331E-2</v>
      </c>
      <c r="AC291" s="87">
        <f t="shared" si="32"/>
        <v>-7.4269928587795242E-2</v>
      </c>
      <c r="AD291" s="87">
        <f t="shared" si="28"/>
        <v>0</v>
      </c>
      <c r="AE291" s="90">
        <f t="shared" si="30"/>
        <v>7.934931938664351E-4</v>
      </c>
      <c r="AF291" s="89"/>
    </row>
    <row r="292" spans="1:32" ht="15.5" x14ac:dyDescent="0.35">
      <c r="A292" s="82">
        <v>40190</v>
      </c>
      <c r="B292" s="83">
        <v>7370.5</v>
      </c>
      <c r="C292" s="84">
        <v>2282.3000000000002</v>
      </c>
      <c r="D292" s="61">
        <v>294.3</v>
      </c>
      <c r="E292" s="61">
        <v>16.600000000000001</v>
      </c>
      <c r="F292" s="61">
        <v>29.5</v>
      </c>
      <c r="G292" s="61">
        <v>29.9</v>
      </c>
      <c r="H292" s="61">
        <v>59.1</v>
      </c>
      <c r="I292" s="61">
        <v>15.1</v>
      </c>
      <c r="J292" s="61">
        <v>38.700000000000003</v>
      </c>
      <c r="K292" s="61">
        <v>25.2</v>
      </c>
      <c r="L292" s="61">
        <v>37.299999999999997</v>
      </c>
      <c r="M292" s="61">
        <v>38.4</v>
      </c>
      <c r="N292" s="61">
        <v>44.5</v>
      </c>
      <c r="O292" s="85">
        <v>16.100000000000001</v>
      </c>
      <c r="P292" s="105"/>
      <c r="Q292" s="87">
        <f t="shared" si="31"/>
        <v>-1.0594248688943451E-2</v>
      </c>
      <c r="R292" s="87">
        <f t="shared" si="27"/>
        <v>-1.3102239798489457E-2</v>
      </c>
      <c r="S292" s="87">
        <f t="shared" si="27"/>
        <v>-1.0142074764624927E-2</v>
      </c>
      <c r="T292" s="87">
        <f t="shared" si="27"/>
        <v>6.0423144559626617E-3</v>
      </c>
      <c r="U292" s="87">
        <f t="shared" si="27"/>
        <v>-1.0118130165584667E-2</v>
      </c>
      <c r="V292" s="87">
        <f t="shared" si="27"/>
        <v>-6.6666913581893451E-3</v>
      </c>
      <c r="W292" s="87">
        <f t="shared" si="27"/>
        <v>5.0890695074714493E-3</v>
      </c>
      <c r="X292" s="87">
        <f t="shared" si="27"/>
        <v>-5.1624365405307182E-2</v>
      </c>
      <c r="Y292" s="87">
        <f t="shared" si="32"/>
        <v>-4.7928466571950837E-2</v>
      </c>
      <c r="Z292" s="87">
        <f t="shared" si="32"/>
        <v>-4.2724944666341268E-2</v>
      </c>
      <c r="AA292" s="87">
        <f t="shared" si="32"/>
        <v>-5.3476063265953527E-3</v>
      </c>
      <c r="AB292" s="87">
        <f t="shared" si="32"/>
        <v>5.2219439811516249E-3</v>
      </c>
      <c r="AC292" s="87">
        <f t="shared" si="32"/>
        <v>9.0294067193941573E-3</v>
      </c>
      <c r="AD292" s="87">
        <f t="shared" si="28"/>
        <v>-6.1919702479209951E-3</v>
      </c>
      <c r="AE292" s="90">
        <f t="shared" si="30"/>
        <v>-1.0542404823209188E-2</v>
      </c>
      <c r="AF292" s="89"/>
    </row>
    <row r="293" spans="1:32" ht="15.5" x14ac:dyDescent="0.35">
      <c r="A293" s="82">
        <v>40191</v>
      </c>
      <c r="B293" s="83">
        <v>7430.1</v>
      </c>
      <c r="C293" s="84">
        <v>2307.9</v>
      </c>
      <c r="D293" s="61">
        <v>287.2</v>
      </c>
      <c r="E293" s="61">
        <v>16.7</v>
      </c>
      <c r="F293" s="61">
        <v>29.2</v>
      </c>
      <c r="G293" s="61">
        <v>30</v>
      </c>
      <c r="H293" s="61">
        <v>58.8</v>
      </c>
      <c r="I293" s="61">
        <v>14.6</v>
      </c>
      <c r="J293" s="61">
        <v>38.6</v>
      </c>
      <c r="K293" s="61">
        <v>25.2</v>
      </c>
      <c r="L293" s="61">
        <v>38.1</v>
      </c>
      <c r="M293" s="61">
        <v>37.6</v>
      </c>
      <c r="N293" s="61">
        <v>43.6</v>
      </c>
      <c r="O293" s="85">
        <v>16.2</v>
      </c>
      <c r="P293" s="105"/>
      <c r="Q293" s="87">
        <f t="shared" si="31"/>
        <v>8.053771084102955E-3</v>
      </c>
      <c r="R293" s="87">
        <f t="shared" si="27"/>
        <v>1.1154313723167117E-2</v>
      </c>
      <c r="S293" s="87">
        <f t="shared" si="27"/>
        <v>-2.4420818065358074E-2</v>
      </c>
      <c r="T293" s="87">
        <f t="shared" si="27"/>
        <v>6.0060240602117284E-3</v>
      </c>
      <c r="U293" s="87">
        <f t="shared" si="27"/>
        <v>-1.0221554071538139E-2</v>
      </c>
      <c r="V293" s="87">
        <f t="shared" si="27"/>
        <v>3.3389012655146303E-3</v>
      </c>
      <c r="W293" s="87">
        <f t="shared" si="27"/>
        <v>-5.0890695074714042E-3</v>
      </c>
      <c r="X293" s="87">
        <f t="shared" si="27"/>
        <v>-3.3673215106587835E-2</v>
      </c>
      <c r="Y293" s="87">
        <f t="shared" si="32"/>
        <v>-2.5873235649510238E-3</v>
      </c>
      <c r="Z293" s="87">
        <f t="shared" si="32"/>
        <v>0</v>
      </c>
      <c r="AA293" s="87">
        <f t="shared" si="32"/>
        <v>2.1220955482885436E-2</v>
      </c>
      <c r="AB293" s="87">
        <f t="shared" si="32"/>
        <v>-2.1053409197832267E-2</v>
      </c>
      <c r="AC293" s="87">
        <f t="shared" si="32"/>
        <v>-2.0432038817205855E-2</v>
      </c>
      <c r="AD293" s="87">
        <f t="shared" si="28"/>
        <v>6.1919702479209804E-3</v>
      </c>
      <c r="AE293" s="90">
        <f t="shared" si="30"/>
        <v>-5.9761725659388913E-3</v>
      </c>
      <c r="AF293" s="89"/>
    </row>
    <row r="294" spans="1:32" ht="15.5" x14ac:dyDescent="0.35">
      <c r="A294" s="82">
        <v>40192</v>
      </c>
      <c r="B294" s="83">
        <v>7448.5</v>
      </c>
      <c r="C294" s="84">
        <v>2316.6999999999998</v>
      </c>
      <c r="D294" s="61">
        <v>291.7</v>
      </c>
      <c r="E294" s="61">
        <v>16.8</v>
      </c>
      <c r="F294" s="61">
        <v>29.9</v>
      </c>
      <c r="G294" s="61">
        <v>30.3</v>
      </c>
      <c r="H294" s="61">
        <v>59</v>
      </c>
      <c r="I294" s="61">
        <v>14.6</v>
      </c>
      <c r="J294" s="61">
        <v>38.299999999999997</v>
      </c>
      <c r="K294" s="61">
        <v>25.5</v>
      </c>
      <c r="L294" s="61">
        <v>39.1</v>
      </c>
      <c r="M294" s="61">
        <v>37.1</v>
      </c>
      <c r="N294" s="61">
        <v>45</v>
      </c>
      <c r="O294" s="85">
        <v>16.2</v>
      </c>
      <c r="P294" s="105"/>
      <c r="Q294" s="87">
        <f t="shared" si="31"/>
        <v>2.4733522482117431E-3</v>
      </c>
      <c r="R294" s="87">
        <f t="shared" si="27"/>
        <v>3.8057391434247545E-3</v>
      </c>
      <c r="S294" s="87">
        <f t="shared" si="27"/>
        <v>1.5547039699606713E-2</v>
      </c>
      <c r="T294" s="87">
        <f t="shared" si="27"/>
        <v>5.9701669865039747E-3</v>
      </c>
      <c r="U294" s="87">
        <f t="shared" si="27"/>
        <v>2.3689771122404665E-2</v>
      </c>
      <c r="V294" s="87">
        <f t="shared" si="27"/>
        <v>9.950330853168092E-3</v>
      </c>
      <c r="W294" s="87">
        <f t="shared" si="27"/>
        <v>3.3955890011383287E-3</v>
      </c>
      <c r="X294" s="87">
        <f t="shared" si="27"/>
        <v>0</v>
      </c>
      <c r="Y294" s="87">
        <f t="shared" si="32"/>
        <v>-7.8023802841850108E-3</v>
      </c>
      <c r="Z294" s="87">
        <f t="shared" si="32"/>
        <v>1.1834457647002798E-2</v>
      </c>
      <c r="AA294" s="87">
        <f t="shared" si="32"/>
        <v>2.5908184858664834E-2</v>
      </c>
      <c r="AB294" s="87">
        <f t="shared" si="32"/>
        <v>-1.3387080782459409E-2</v>
      </c>
      <c r="AC294" s="87">
        <f t="shared" si="32"/>
        <v>3.1605339415331044E-2</v>
      </c>
      <c r="AD294" s="87">
        <f t="shared" si="28"/>
        <v>0</v>
      </c>
      <c r="AE294" s="90">
        <f t="shared" si="30"/>
        <v>1.246621087229856E-2</v>
      </c>
      <c r="AF294" s="89"/>
    </row>
    <row r="295" spans="1:32" ht="15.5" x14ac:dyDescent="0.35">
      <c r="A295" s="82">
        <v>40193</v>
      </c>
      <c r="B295" s="83">
        <v>7356.8</v>
      </c>
      <c r="C295" s="84">
        <v>2288</v>
      </c>
      <c r="D295" s="61">
        <v>289.3</v>
      </c>
      <c r="E295" s="61">
        <v>16.8</v>
      </c>
      <c r="F295" s="61">
        <v>29.4</v>
      </c>
      <c r="G295" s="61">
        <v>30.7</v>
      </c>
      <c r="H295" s="61">
        <v>59.7</v>
      </c>
      <c r="I295" s="61">
        <v>14.6</v>
      </c>
      <c r="J295" s="61">
        <v>38.200000000000003</v>
      </c>
      <c r="K295" s="61">
        <v>25.8</v>
      </c>
      <c r="L295" s="61">
        <v>39</v>
      </c>
      <c r="M295" s="61">
        <v>37.299999999999997</v>
      </c>
      <c r="N295" s="61">
        <v>44.1</v>
      </c>
      <c r="O295" s="85">
        <v>16</v>
      </c>
      <c r="P295" s="105"/>
      <c r="Q295" s="87">
        <f t="shared" si="31"/>
        <v>-1.2387614250785186E-2</v>
      </c>
      <c r="R295" s="87">
        <f t="shared" si="27"/>
        <v>-1.2465685776734887E-2</v>
      </c>
      <c r="S295" s="87">
        <f t="shared" si="27"/>
        <v>-8.2616648915862824E-3</v>
      </c>
      <c r="T295" s="87">
        <f t="shared" si="27"/>
        <v>0</v>
      </c>
      <c r="U295" s="87">
        <f t="shared" si="27"/>
        <v>-1.6863806052004805E-2</v>
      </c>
      <c r="V295" s="87">
        <f t="shared" si="27"/>
        <v>1.311494207782795E-2</v>
      </c>
      <c r="W295" s="87">
        <f t="shared" si="27"/>
        <v>1.1794576492837097E-2</v>
      </c>
      <c r="X295" s="87">
        <f t="shared" si="27"/>
        <v>0</v>
      </c>
      <c r="Y295" s="87">
        <f t="shared" si="32"/>
        <v>-2.6143805740707093E-3</v>
      </c>
      <c r="Z295" s="87">
        <f t="shared" si="32"/>
        <v>1.1696039763191236E-2</v>
      </c>
      <c r="AA295" s="87">
        <f t="shared" si="32"/>
        <v>-2.5608208616737039E-3</v>
      </c>
      <c r="AB295" s="87">
        <f t="shared" si="32"/>
        <v>5.3763570363802747E-3</v>
      </c>
      <c r="AC295" s="87">
        <f t="shared" si="32"/>
        <v>-2.0202707317519466E-2</v>
      </c>
      <c r="AD295" s="87">
        <f t="shared" si="28"/>
        <v>-1.2422519998557096E-2</v>
      </c>
      <c r="AE295" s="90">
        <f t="shared" si="30"/>
        <v>-1.2487245485518692E-2</v>
      </c>
      <c r="AF295" s="89"/>
    </row>
    <row r="296" spans="1:32" ht="15.5" x14ac:dyDescent="0.35">
      <c r="A296" s="82">
        <v>40197</v>
      </c>
      <c r="B296" s="83">
        <v>7443.7</v>
      </c>
      <c r="C296" s="84">
        <v>2320.4</v>
      </c>
      <c r="D296" s="61">
        <v>288.39999999999998</v>
      </c>
      <c r="E296" s="61">
        <v>16.600000000000001</v>
      </c>
      <c r="F296" s="61">
        <v>29.6</v>
      </c>
      <c r="G296" s="61">
        <v>30.7</v>
      </c>
      <c r="H296" s="61">
        <v>59.1</v>
      </c>
      <c r="I296" s="61">
        <v>14.7</v>
      </c>
      <c r="J296" s="61">
        <v>37.9</v>
      </c>
      <c r="K296" s="61">
        <v>25.8</v>
      </c>
      <c r="L296" s="61">
        <v>39.4</v>
      </c>
      <c r="M296" s="61">
        <v>37.6</v>
      </c>
      <c r="N296" s="61">
        <v>44</v>
      </c>
      <c r="O296" s="85">
        <v>16</v>
      </c>
      <c r="P296" s="105"/>
      <c r="Q296" s="87">
        <f t="shared" si="31"/>
        <v>1.1742981467687852E-2</v>
      </c>
      <c r="R296" s="87">
        <f t="shared" si="27"/>
        <v>1.4061511092220794E-2</v>
      </c>
      <c r="S296" s="87">
        <f t="shared" si="27"/>
        <v>-3.115806571295488E-3</v>
      </c>
      <c r="T296" s="87">
        <f t="shared" si="27"/>
        <v>-1.1976191046715649E-2</v>
      </c>
      <c r="U296" s="87">
        <f t="shared" si="27"/>
        <v>6.7796869853787691E-3</v>
      </c>
      <c r="V296" s="87">
        <f t="shared" si="27"/>
        <v>0</v>
      </c>
      <c r="W296" s="87">
        <f t="shared" si="27"/>
        <v>-1.0101095986503933E-2</v>
      </c>
      <c r="X296" s="87">
        <f t="shared" si="27"/>
        <v>6.8259650703998906E-3</v>
      </c>
      <c r="Y296" s="87">
        <f t="shared" si="32"/>
        <v>-7.8844035241489828E-3</v>
      </c>
      <c r="Z296" s="87">
        <f t="shared" si="32"/>
        <v>0</v>
      </c>
      <c r="AA296" s="87">
        <f t="shared" si="32"/>
        <v>1.0204170174241668E-2</v>
      </c>
      <c r="AB296" s="87">
        <f t="shared" si="32"/>
        <v>8.010723746078979E-3</v>
      </c>
      <c r="AC296" s="87">
        <f t="shared" si="32"/>
        <v>-2.2701485345391855E-3</v>
      </c>
      <c r="AD296" s="87">
        <f t="shared" si="28"/>
        <v>0</v>
      </c>
      <c r="AE296" s="90">
        <f t="shared" si="30"/>
        <v>5.2412962696867229E-3</v>
      </c>
      <c r="AF296" s="89"/>
    </row>
    <row r="297" spans="1:32" ht="15.5" x14ac:dyDescent="0.35">
      <c r="A297" s="82">
        <v>40198</v>
      </c>
      <c r="B297" s="83">
        <v>7329.8</v>
      </c>
      <c r="C297" s="84">
        <v>2291.3000000000002</v>
      </c>
      <c r="D297" s="61">
        <v>287.89999999999998</v>
      </c>
      <c r="E297" s="61">
        <v>16.3</v>
      </c>
      <c r="F297" s="61">
        <v>29.9</v>
      </c>
      <c r="G297" s="61">
        <v>30.3</v>
      </c>
      <c r="H297" s="61">
        <v>58.3</v>
      </c>
      <c r="I297" s="61">
        <v>14.3</v>
      </c>
      <c r="J297" s="61">
        <v>37.200000000000003</v>
      </c>
      <c r="K297" s="61">
        <v>25.7</v>
      </c>
      <c r="L297" s="61">
        <v>40</v>
      </c>
      <c r="M297" s="61">
        <v>38</v>
      </c>
      <c r="N297" s="61">
        <v>43.5</v>
      </c>
      <c r="O297" s="85">
        <v>15.9</v>
      </c>
      <c r="P297" s="105"/>
      <c r="Q297" s="87">
        <f t="shared" si="31"/>
        <v>-1.5419806657703452E-2</v>
      </c>
      <c r="R297" s="87">
        <f t="shared" si="27"/>
        <v>-1.2620242526612393E-2</v>
      </c>
      <c r="S297" s="87">
        <f t="shared" si="27"/>
        <v>-1.7352077926638221E-3</v>
      </c>
      <c r="T297" s="87">
        <f t="shared" si="27"/>
        <v>-1.8237587549780901E-2</v>
      </c>
      <c r="U297" s="87">
        <f t="shared" si="27"/>
        <v>1.0084119066626008E-2</v>
      </c>
      <c r="V297" s="87">
        <f t="shared" si="27"/>
        <v>-1.3114942077828018E-2</v>
      </c>
      <c r="W297" s="87">
        <f t="shared" si="27"/>
        <v>-1.3628831055605899E-2</v>
      </c>
      <c r="X297" s="87">
        <f t="shared" si="27"/>
        <v>-2.7587956518828938E-2</v>
      </c>
      <c r="Y297" s="87">
        <f t="shared" si="32"/>
        <v>-1.8642350809279718E-2</v>
      </c>
      <c r="Z297" s="87">
        <f t="shared" si="32"/>
        <v>-3.883500026397633E-3</v>
      </c>
      <c r="AA297" s="87">
        <f t="shared" si="32"/>
        <v>1.5113637810048106E-2</v>
      </c>
      <c r="AB297" s="87">
        <f t="shared" si="32"/>
        <v>1.0582109330537008E-2</v>
      </c>
      <c r="AC297" s="87">
        <f t="shared" si="32"/>
        <v>-1.1428695823622744E-2</v>
      </c>
      <c r="AD297" s="87">
        <f t="shared" si="28"/>
        <v>-6.2696130135953742E-3</v>
      </c>
      <c r="AE297" s="90">
        <f t="shared" si="30"/>
        <v>-2.1695240562221293E-3</v>
      </c>
      <c r="AF297" s="89"/>
    </row>
    <row r="298" spans="1:32" ht="15.5" x14ac:dyDescent="0.35">
      <c r="A298" s="82">
        <v>40199</v>
      </c>
      <c r="B298" s="83">
        <v>7174.5</v>
      </c>
      <c r="C298" s="84">
        <v>2265.6999999999998</v>
      </c>
      <c r="D298" s="61">
        <v>286.39999999999998</v>
      </c>
      <c r="E298" s="61">
        <v>16.100000000000001</v>
      </c>
      <c r="F298" s="61">
        <v>29.6</v>
      </c>
      <c r="G298" s="61">
        <v>30</v>
      </c>
      <c r="H298" s="61">
        <v>59.8</v>
      </c>
      <c r="I298" s="61">
        <v>13.7</v>
      </c>
      <c r="J298" s="61">
        <v>37.4</v>
      </c>
      <c r="K298" s="61">
        <v>25.3</v>
      </c>
      <c r="L298" s="61">
        <v>40.1</v>
      </c>
      <c r="M298" s="61">
        <v>36.6</v>
      </c>
      <c r="N298" s="61">
        <v>41.7</v>
      </c>
      <c r="O298" s="85">
        <v>15.8</v>
      </c>
      <c r="P298" s="105"/>
      <c r="Q298" s="87">
        <f t="shared" si="31"/>
        <v>-2.1415157590385658E-2</v>
      </c>
      <c r="R298" s="87">
        <f t="shared" si="27"/>
        <v>-1.1235580121888633E-2</v>
      </c>
      <c r="S298" s="87">
        <f t="shared" si="27"/>
        <v>-5.2237625316395872E-3</v>
      </c>
      <c r="T298" s="87">
        <f t="shared" si="27"/>
        <v>-1.2345835822299266E-2</v>
      </c>
      <c r="U298" s="87">
        <f t="shared" si="27"/>
        <v>-1.0084119066625935E-2</v>
      </c>
      <c r="V298" s="87">
        <f t="shared" si="27"/>
        <v>-9.950330853168092E-3</v>
      </c>
      <c r="W298" s="87">
        <f t="shared" si="27"/>
        <v>2.5403567600139253E-2</v>
      </c>
      <c r="X298" s="87">
        <f t="shared" si="27"/>
        <v>-4.2863704431782501E-2</v>
      </c>
      <c r="Y298" s="87">
        <f t="shared" si="32"/>
        <v>5.3619431413853731E-3</v>
      </c>
      <c r="Z298" s="87">
        <f t="shared" si="32"/>
        <v>-1.5686596167699508E-2</v>
      </c>
      <c r="AA298" s="87">
        <f t="shared" si="32"/>
        <v>2.4968801985871458E-3</v>
      </c>
      <c r="AB298" s="87">
        <f t="shared" si="32"/>
        <v>-3.7537919319065208E-2</v>
      </c>
      <c r="AC298" s="87">
        <f t="shared" si="32"/>
        <v>-4.2259809289882613E-2</v>
      </c>
      <c r="AD298" s="87">
        <f t="shared" si="28"/>
        <v>-6.309169193264721E-3</v>
      </c>
      <c r="AE298" s="90">
        <f t="shared" si="30"/>
        <v>-8.5474902416132724E-3</v>
      </c>
      <c r="AF298" s="89"/>
    </row>
    <row r="299" spans="1:32" ht="15.5" x14ac:dyDescent="0.35">
      <c r="A299" s="82">
        <v>40200</v>
      </c>
      <c r="B299" s="83">
        <v>7030.6</v>
      </c>
      <c r="C299" s="84">
        <v>2205.3000000000002</v>
      </c>
      <c r="D299" s="61">
        <v>267.7</v>
      </c>
      <c r="E299" s="61">
        <v>15.8</v>
      </c>
      <c r="F299" s="61">
        <v>28.2</v>
      </c>
      <c r="G299" s="61">
        <v>28.8</v>
      </c>
      <c r="H299" s="61">
        <v>60.1</v>
      </c>
      <c r="I299" s="61">
        <v>13.2</v>
      </c>
      <c r="J299" s="61">
        <v>36.200000000000003</v>
      </c>
      <c r="K299" s="61">
        <v>25.2</v>
      </c>
      <c r="L299" s="61">
        <v>38.799999999999997</v>
      </c>
      <c r="M299" s="61">
        <v>36</v>
      </c>
      <c r="N299" s="61">
        <v>41.6</v>
      </c>
      <c r="O299" s="85">
        <v>15.7</v>
      </c>
      <c r="P299" s="105"/>
      <c r="Q299" s="87">
        <f t="shared" si="31"/>
        <v>-2.026102211932608E-2</v>
      </c>
      <c r="R299" s="87">
        <f t="shared" si="27"/>
        <v>-2.7020207895256602E-2</v>
      </c>
      <c r="S299" s="87">
        <f t="shared" si="27"/>
        <v>-6.7522484560183629E-2</v>
      </c>
      <c r="T299" s="87">
        <f t="shared" si="27"/>
        <v>-1.8809331957496227E-2</v>
      </c>
      <c r="U299" s="87">
        <f t="shared" si="27"/>
        <v>-4.8452383385946859E-2</v>
      </c>
      <c r="V299" s="87">
        <f t="shared" si="27"/>
        <v>-4.0821994520255048E-2</v>
      </c>
      <c r="W299" s="87">
        <f t="shared" si="27"/>
        <v>5.0041805845759497E-3</v>
      </c>
      <c r="X299" s="87">
        <f t="shared" si="27"/>
        <v>-3.7179003241754015E-2</v>
      </c>
      <c r="Y299" s="87">
        <f t="shared" si="32"/>
        <v>-3.2611585588760782E-2</v>
      </c>
      <c r="Z299" s="87">
        <f t="shared" si="32"/>
        <v>-3.9604012160970167E-3</v>
      </c>
      <c r="AA299" s="87">
        <f t="shared" si="32"/>
        <v>-3.2956087683295839E-2</v>
      </c>
      <c r="AB299" s="87">
        <f t="shared" si="32"/>
        <v>-1.6529301951210582E-2</v>
      </c>
      <c r="AC299" s="87">
        <f t="shared" si="32"/>
        <v>-2.4009615375381503E-3</v>
      </c>
      <c r="AD299" s="87">
        <f t="shared" si="28"/>
        <v>-6.3492276786588919E-3</v>
      </c>
      <c r="AE299" s="90">
        <f t="shared" si="30"/>
        <v>-4.2493601418426806E-2</v>
      </c>
      <c r="AF299" s="89"/>
    </row>
    <row r="300" spans="1:32" ht="15.5" x14ac:dyDescent="0.35">
      <c r="A300" s="82">
        <v>40203</v>
      </c>
      <c r="B300" s="83">
        <v>7073.1</v>
      </c>
      <c r="C300" s="84">
        <v>2210.8000000000002</v>
      </c>
      <c r="D300" s="61">
        <v>268</v>
      </c>
      <c r="E300" s="61">
        <v>15.7</v>
      </c>
      <c r="F300" s="61">
        <v>28.6</v>
      </c>
      <c r="G300" s="61">
        <v>29.1</v>
      </c>
      <c r="H300" s="61">
        <v>60.4</v>
      </c>
      <c r="I300" s="61">
        <v>13.2</v>
      </c>
      <c r="J300" s="61">
        <v>36.299999999999997</v>
      </c>
      <c r="K300" s="61">
        <v>24.9</v>
      </c>
      <c r="L300" s="61">
        <v>38.700000000000003</v>
      </c>
      <c r="M300" s="61">
        <v>36.299999999999997</v>
      </c>
      <c r="N300" s="61">
        <v>41.4</v>
      </c>
      <c r="O300" s="85">
        <v>15.8</v>
      </c>
      <c r="P300" s="105"/>
      <c r="Q300" s="87">
        <f t="shared" si="31"/>
        <v>6.0268055392133551E-3</v>
      </c>
      <c r="R300" s="87">
        <f t="shared" si="27"/>
        <v>2.4908869109561429E-3</v>
      </c>
      <c r="S300" s="87">
        <f t="shared" si="27"/>
        <v>1.1200299845499052E-3</v>
      </c>
      <c r="T300" s="87">
        <f t="shared" si="27"/>
        <v>-6.3492276786588919E-3</v>
      </c>
      <c r="U300" s="87">
        <f t="shared" si="27"/>
        <v>1.4084739881739023E-2</v>
      </c>
      <c r="V300" s="87">
        <f t="shared" si="27"/>
        <v>1.0362787035546658E-2</v>
      </c>
      <c r="W300" s="87">
        <f t="shared" si="27"/>
        <v>4.979263399607364E-3</v>
      </c>
      <c r="X300" s="87">
        <f t="shared" si="27"/>
        <v>0</v>
      </c>
      <c r="Y300" s="87">
        <f t="shared" si="32"/>
        <v>2.7586224390796607E-3</v>
      </c>
      <c r="Z300" s="87">
        <f t="shared" si="32"/>
        <v>-1.1976191046715762E-2</v>
      </c>
      <c r="AA300" s="87">
        <f t="shared" si="32"/>
        <v>-2.580646593491514E-3</v>
      </c>
      <c r="AB300" s="87">
        <f t="shared" si="32"/>
        <v>8.2988028146950641E-3</v>
      </c>
      <c r="AC300" s="87">
        <f t="shared" si="32"/>
        <v>-4.8192864359489947E-3</v>
      </c>
      <c r="AD300" s="87">
        <f t="shared" si="28"/>
        <v>6.3492276786587445E-3</v>
      </c>
      <c r="AE300" s="90">
        <f t="shared" si="30"/>
        <v>5.8736573046721764E-3</v>
      </c>
      <c r="AF300" s="89"/>
    </row>
    <row r="301" spans="1:32" ht="15.5" x14ac:dyDescent="0.35">
      <c r="A301" s="82">
        <v>40204</v>
      </c>
      <c r="B301" s="83">
        <v>7028.3</v>
      </c>
      <c r="C301" s="84">
        <v>2203.6999999999998</v>
      </c>
      <c r="D301" s="61">
        <v>268.39999999999998</v>
      </c>
      <c r="E301" s="61">
        <v>15.7</v>
      </c>
      <c r="F301" s="61">
        <v>28.9</v>
      </c>
      <c r="G301" s="61">
        <v>29.1</v>
      </c>
      <c r="H301" s="61">
        <v>60</v>
      </c>
      <c r="I301" s="61">
        <v>13</v>
      </c>
      <c r="J301" s="61">
        <v>36.1</v>
      </c>
      <c r="K301" s="61">
        <v>25</v>
      </c>
      <c r="L301" s="61">
        <v>38.200000000000003</v>
      </c>
      <c r="M301" s="61">
        <v>35.6</v>
      </c>
      <c r="N301" s="61">
        <v>41.9</v>
      </c>
      <c r="O301" s="85">
        <v>15.8</v>
      </c>
      <c r="P301" s="105"/>
      <c r="Q301" s="87">
        <f t="shared" si="31"/>
        <v>-6.3540004151310548E-3</v>
      </c>
      <c r="R301" s="87">
        <f t="shared" si="27"/>
        <v>-3.2166751033972079E-3</v>
      </c>
      <c r="S301" s="87">
        <f t="shared" si="27"/>
        <v>1.4914245866698983E-3</v>
      </c>
      <c r="T301" s="87">
        <f t="shared" si="27"/>
        <v>0</v>
      </c>
      <c r="U301" s="87">
        <f t="shared" si="27"/>
        <v>1.0434877292579494E-2</v>
      </c>
      <c r="V301" s="87">
        <f t="shared" si="27"/>
        <v>0</v>
      </c>
      <c r="W301" s="87">
        <f t="shared" si="27"/>
        <v>-6.6445427186685013E-3</v>
      </c>
      <c r="X301" s="87">
        <f t="shared" ref="X301:Z364" si="33">+LN(I301/I300)</f>
        <v>-1.5267472130788421E-2</v>
      </c>
      <c r="Y301" s="87">
        <f t="shared" si="32"/>
        <v>-5.5248759319696918E-3</v>
      </c>
      <c r="Z301" s="87">
        <f t="shared" si="32"/>
        <v>4.0080213975388678E-3</v>
      </c>
      <c r="AA301" s="87">
        <f t="shared" si="32"/>
        <v>-1.3004084423206573E-2</v>
      </c>
      <c r="AB301" s="87">
        <f t="shared" si="32"/>
        <v>-1.9472103412820182E-2</v>
      </c>
      <c r="AC301" s="87">
        <f t="shared" si="32"/>
        <v>1.2004946096823401E-2</v>
      </c>
      <c r="AD301" s="87">
        <f t="shared" si="28"/>
        <v>0</v>
      </c>
      <c r="AE301" s="90">
        <f t="shared" si="30"/>
        <v>2.4561799528943777E-3</v>
      </c>
      <c r="AF301" s="89"/>
    </row>
    <row r="302" spans="1:32" ht="15.5" x14ac:dyDescent="0.35">
      <c r="A302" s="82">
        <v>40205</v>
      </c>
      <c r="B302" s="83">
        <v>7035.6</v>
      </c>
      <c r="C302" s="84">
        <v>2221.4</v>
      </c>
      <c r="D302" s="61">
        <v>267.89999999999998</v>
      </c>
      <c r="E302" s="61">
        <v>15.8</v>
      </c>
      <c r="F302" s="61">
        <v>28.5</v>
      </c>
      <c r="G302" s="61">
        <v>29</v>
      </c>
      <c r="H302" s="61">
        <v>61.9</v>
      </c>
      <c r="I302" s="61">
        <v>13.4</v>
      </c>
      <c r="J302" s="61">
        <v>35.6</v>
      </c>
      <c r="K302" s="61">
        <v>24.6</v>
      </c>
      <c r="L302" s="61">
        <v>38</v>
      </c>
      <c r="M302" s="61">
        <v>35.299999999999997</v>
      </c>
      <c r="N302" s="61">
        <v>42.2</v>
      </c>
      <c r="O302" s="85">
        <v>15.8</v>
      </c>
      <c r="P302" s="105"/>
      <c r="Q302" s="87">
        <f t="shared" si="31"/>
        <v>1.0381189649522314E-3</v>
      </c>
      <c r="R302" s="87">
        <f t="shared" ref="R302:W338" si="34">+LN(C302/C301)</f>
        <v>7.9998618773089534E-3</v>
      </c>
      <c r="S302" s="87">
        <f t="shared" si="34"/>
        <v>-1.864628546963721E-3</v>
      </c>
      <c r="T302" s="87">
        <f t="shared" si="34"/>
        <v>6.3492276786587445E-3</v>
      </c>
      <c r="U302" s="87">
        <f t="shared" si="34"/>
        <v>-1.3937507843781624E-2</v>
      </c>
      <c r="V302" s="87">
        <f t="shared" si="34"/>
        <v>-3.4423441909729015E-3</v>
      </c>
      <c r="W302" s="87">
        <f t="shared" si="34"/>
        <v>3.1175617468449796E-2</v>
      </c>
      <c r="X302" s="87">
        <f t="shared" si="33"/>
        <v>3.0305349495329058E-2</v>
      </c>
      <c r="Y302" s="87">
        <f t="shared" si="32"/>
        <v>-1.3947227480850441E-2</v>
      </c>
      <c r="Z302" s="87">
        <f t="shared" si="32"/>
        <v>-1.6129381929883529E-2</v>
      </c>
      <c r="AA302" s="87">
        <f t="shared" si="32"/>
        <v>-5.2493558861437901E-3</v>
      </c>
      <c r="AB302" s="87">
        <f t="shared" si="32"/>
        <v>-8.4626739187337666E-3</v>
      </c>
      <c r="AC302" s="87">
        <f t="shared" si="32"/>
        <v>7.1343941138741112E-3</v>
      </c>
      <c r="AD302" s="87">
        <f t="shared" si="28"/>
        <v>0</v>
      </c>
      <c r="AE302" s="90">
        <f t="shared" si="30"/>
        <v>-2.1332260991384806E-3</v>
      </c>
      <c r="AF302" s="89"/>
    </row>
    <row r="303" spans="1:32" ht="15.5" x14ac:dyDescent="0.35">
      <c r="A303" s="82">
        <v>40206</v>
      </c>
      <c r="B303" s="83">
        <v>6957</v>
      </c>
      <c r="C303" s="84">
        <v>2179</v>
      </c>
      <c r="D303" s="61">
        <v>265.60000000000002</v>
      </c>
      <c r="E303" s="61">
        <v>15.4</v>
      </c>
      <c r="F303" s="61">
        <v>28.4</v>
      </c>
      <c r="G303" s="61">
        <v>28.9</v>
      </c>
      <c r="H303" s="61">
        <v>62.3</v>
      </c>
      <c r="I303" s="61">
        <v>13.2</v>
      </c>
      <c r="J303" s="61">
        <v>33.700000000000003</v>
      </c>
      <c r="K303" s="61">
        <v>24.2</v>
      </c>
      <c r="L303" s="61">
        <v>37.9</v>
      </c>
      <c r="M303" s="61">
        <v>35.299999999999997</v>
      </c>
      <c r="N303" s="61">
        <v>42.3</v>
      </c>
      <c r="O303" s="85">
        <v>15.8</v>
      </c>
      <c r="P303" s="105"/>
      <c r="Q303" s="87">
        <f t="shared" si="31"/>
        <v>-1.1234627834528369E-2</v>
      </c>
      <c r="R303" s="87">
        <f t="shared" si="34"/>
        <v>-1.9271571788399763E-2</v>
      </c>
      <c r="S303" s="87">
        <f t="shared" si="34"/>
        <v>-8.6223589482840451E-3</v>
      </c>
      <c r="T303" s="87">
        <f t="shared" si="34"/>
        <v>-2.564243061333767E-2</v>
      </c>
      <c r="U303" s="87">
        <f t="shared" si="34"/>
        <v>-3.5149421074444969E-3</v>
      </c>
      <c r="V303" s="87">
        <f t="shared" si="34"/>
        <v>-3.4542348680875576E-3</v>
      </c>
      <c r="W303" s="87">
        <f t="shared" si="34"/>
        <v>6.4412461028570747E-3</v>
      </c>
      <c r="X303" s="87">
        <f t="shared" si="33"/>
        <v>-1.5037877364540559E-2</v>
      </c>
      <c r="Y303" s="87">
        <f t="shared" si="32"/>
        <v>-5.4847800499668697E-2</v>
      </c>
      <c r="Z303" s="87">
        <f t="shared" si="32"/>
        <v>-1.6393809775676497E-2</v>
      </c>
      <c r="AA303" s="87">
        <f t="shared" si="32"/>
        <v>-2.6350476380051138E-3</v>
      </c>
      <c r="AB303" s="87">
        <f t="shared" si="32"/>
        <v>0</v>
      </c>
      <c r="AC303" s="87">
        <f t="shared" si="32"/>
        <v>2.3668650102660225E-3</v>
      </c>
      <c r="AD303" s="87">
        <f t="shared" si="28"/>
        <v>0</v>
      </c>
      <c r="AE303" s="90">
        <f t="shared" si="30"/>
        <v>-9.3060026469201761E-3</v>
      </c>
      <c r="AF303" s="89"/>
    </row>
    <row r="304" spans="1:32" ht="15.5" x14ac:dyDescent="0.35">
      <c r="A304" s="82">
        <v>40207</v>
      </c>
      <c r="B304" s="83">
        <v>6883.8</v>
      </c>
      <c r="C304" s="84">
        <v>2147.4</v>
      </c>
      <c r="D304" s="61">
        <v>263.10000000000002</v>
      </c>
      <c r="E304" s="61">
        <v>14.9</v>
      </c>
      <c r="F304" s="61">
        <v>27.2</v>
      </c>
      <c r="G304" s="61">
        <v>27.7</v>
      </c>
      <c r="H304" s="61">
        <v>60.4</v>
      </c>
      <c r="I304" s="61">
        <v>13.2</v>
      </c>
      <c r="J304" s="61">
        <v>32.799999999999997</v>
      </c>
      <c r="K304" s="61">
        <v>24.7</v>
      </c>
      <c r="L304" s="61">
        <v>37.700000000000003</v>
      </c>
      <c r="M304" s="61">
        <v>35.200000000000003</v>
      </c>
      <c r="N304" s="61">
        <v>42.5</v>
      </c>
      <c r="O304" s="85">
        <v>15.9</v>
      </c>
      <c r="P304" s="105"/>
      <c r="Q304" s="87">
        <f t="shared" si="31"/>
        <v>-1.0577521890489007E-2</v>
      </c>
      <c r="R304" s="87">
        <f t="shared" si="34"/>
        <v>-1.4608247944584683E-2</v>
      </c>
      <c r="S304" s="87">
        <f t="shared" si="34"/>
        <v>-9.4572295560316887E-3</v>
      </c>
      <c r="T304" s="87">
        <f t="shared" si="34"/>
        <v>-3.3006296468169972E-2</v>
      </c>
      <c r="U304" s="87">
        <f t="shared" si="34"/>
        <v>-4.3172171865208664E-2</v>
      </c>
      <c r="V304" s="87">
        <f t="shared" si="34"/>
        <v>-4.2409181925093631E-2</v>
      </c>
      <c r="W304" s="87">
        <f t="shared" si="34"/>
        <v>-3.097232085263819E-2</v>
      </c>
      <c r="X304" s="87">
        <f t="shared" si="33"/>
        <v>0</v>
      </c>
      <c r="Y304" s="87">
        <f t="shared" si="32"/>
        <v>-2.7069321968218141E-2</v>
      </c>
      <c r="Z304" s="87">
        <f t="shared" si="32"/>
        <v>2.0450610471290841E-2</v>
      </c>
      <c r="AA304" s="87">
        <f t="shared" si="32"/>
        <v>-5.2910176344154363E-3</v>
      </c>
      <c r="AB304" s="87">
        <f t="shared" si="32"/>
        <v>-2.8368813351995039E-3</v>
      </c>
      <c r="AC304" s="87">
        <f t="shared" si="32"/>
        <v>4.7169898781388667E-3</v>
      </c>
      <c r="AD304" s="87">
        <f t="shared" si="28"/>
        <v>6.3091691932647556E-3</v>
      </c>
      <c r="AE304" s="90">
        <f t="shared" si="30"/>
        <v>-1.8725275772428395E-2</v>
      </c>
      <c r="AF304" s="89"/>
    </row>
    <row r="305" spans="1:32" ht="15.5" x14ac:dyDescent="0.35">
      <c r="A305" s="82">
        <v>40210</v>
      </c>
      <c r="B305" s="83">
        <v>7008.2</v>
      </c>
      <c r="C305" s="84">
        <v>2171.1999999999998</v>
      </c>
      <c r="D305" s="61">
        <v>265.39999999999998</v>
      </c>
      <c r="E305" s="61">
        <v>14.9</v>
      </c>
      <c r="F305" s="61">
        <v>27.3</v>
      </c>
      <c r="G305" s="61">
        <v>27.9</v>
      </c>
      <c r="H305" s="61">
        <v>59.8</v>
      </c>
      <c r="I305" s="61">
        <v>13.3</v>
      </c>
      <c r="J305" s="61">
        <v>33.200000000000003</v>
      </c>
      <c r="K305" s="61">
        <v>24.8</v>
      </c>
      <c r="L305" s="61">
        <v>38.1</v>
      </c>
      <c r="M305" s="61">
        <v>35.700000000000003</v>
      </c>
      <c r="N305" s="61">
        <v>42.7</v>
      </c>
      <c r="O305" s="85">
        <v>15.9</v>
      </c>
      <c r="P305" s="105"/>
      <c r="Q305" s="87">
        <f t="shared" si="31"/>
        <v>1.7910066988636231E-2</v>
      </c>
      <c r="R305" s="87">
        <f t="shared" si="34"/>
        <v>1.1022202080569516E-2</v>
      </c>
      <c r="S305" s="87">
        <f t="shared" si="34"/>
        <v>8.703933851859965E-3</v>
      </c>
      <c r="T305" s="87">
        <f t="shared" si="34"/>
        <v>0</v>
      </c>
      <c r="U305" s="87">
        <f t="shared" si="34"/>
        <v>3.6697288889624017E-3</v>
      </c>
      <c r="V305" s="87">
        <f t="shared" si="34"/>
        <v>7.1942756340270106E-3</v>
      </c>
      <c r="W305" s="87">
        <f t="shared" si="34"/>
        <v>-9.9834439841832625E-3</v>
      </c>
      <c r="X305" s="87">
        <f t="shared" si="33"/>
        <v>7.5472056353831241E-3</v>
      </c>
      <c r="Y305" s="87">
        <f t="shared" si="32"/>
        <v>1.2121360532345041E-2</v>
      </c>
      <c r="Z305" s="87">
        <f t="shared" si="32"/>
        <v>4.040409537005127E-3</v>
      </c>
      <c r="AA305" s="87">
        <f t="shared" si="32"/>
        <v>1.0554187678690171E-2</v>
      </c>
      <c r="AB305" s="87">
        <f t="shared" si="32"/>
        <v>1.4104606181541945E-2</v>
      </c>
      <c r="AC305" s="87">
        <f t="shared" si="32"/>
        <v>4.6948443042078847E-3</v>
      </c>
      <c r="AD305" s="87">
        <f t="shared" si="28"/>
        <v>0</v>
      </c>
      <c r="AE305" s="90">
        <f t="shared" si="30"/>
        <v>6.9014082231953801E-3</v>
      </c>
      <c r="AF305" s="89"/>
    </row>
    <row r="306" spans="1:32" ht="15.5" x14ac:dyDescent="0.35">
      <c r="A306" s="82">
        <v>40211</v>
      </c>
      <c r="B306" s="83">
        <v>7101.4</v>
      </c>
      <c r="C306" s="84">
        <v>2190.1</v>
      </c>
      <c r="D306" s="61">
        <v>264.10000000000002</v>
      </c>
      <c r="E306" s="61">
        <v>15</v>
      </c>
      <c r="F306" s="61">
        <v>27.6</v>
      </c>
      <c r="G306" s="61">
        <v>28.1</v>
      </c>
      <c r="H306" s="61">
        <v>59.9</v>
      </c>
      <c r="I306" s="61">
        <v>13.6</v>
      </c>
      <c r="J306" s="61">
        <v>34</v>
      </c>
      <c r="K306" s="61">
        <v>25.2</v>
      </c>
      <c r="L306" s="61">
        <v>38.1</v>
      </c>
      <c r="M306" s="61">
        <v>35.700000000000003</v>
      </c>
      <c r="N306" s="61">
        <v>44</v>
      </c>
      <c r="O306" s="85">
        <v>15.9</v>
      </c>
      <c r="P306" s="105"/>
      <c r="Q306" s="87">
        <f t="shared" si="31"/>
        <v>1.3211055668177768E-2</v>
      </c>
      <c r="R306" s="87">
        <f t="shared" si="34"/>
        <v>8.6671947879165892E-3</v>
      </c>
      <c r="S306" s="87">
        <f t="shared" si="34"/>
        <v>-4.9103025950204444E-3</v>
      </c>
      <c r="T306" s="87">
        <f t="shared" si="34"/>
        <v>6.6889881507964889E-3</v>
      </c>
      <c r="U306" s="87">
        <f t="shared" si="34"/>
        <v>1.092907053219023E-2</v>
      </c>
      <c r="V306" s="87">
        <f t="shared" si="34"/>
        <v>7.1428875123802039E-3</v>
      </c>
      <c r="W306" s="87">
        <f t="shared" si="34"/>
        <v>1.6708441648177223E-3</v>
      </c>
      <c r="X306" s="87">
        <f t="shared" si="33"/>
        <v>2.2305757514298186E-2</v>
      </c>
      <c r="Y306" s="87">
        <f t="shared" si="32"/>
        <v>2.3810648693718392E-2</v>
      </c>
      <c r="Z306" s="87">
        <f t="shared" si="32"/>
        <v>1.600034134644112E-2</v>
      </c>
      <c r="AA306" s="87">
        <f t="shared" si="32"/>
        <v>0</v>
      </c>
      <c r="AB306" s="87">
        <f t="shared" si="32"/>
        <v>0</v>
      </c>
      <c r="AC306" s="87">
        <f t="shared" si="32"/>
        <v>2.9990713683682325E-2</v>
      </c>
      <c r="AD306" s="87">
        <f t="shared" si="28"/>
        <v>0</v>
      </c>
      <c r="AE306" s="90">
        <f t="shared" si="30"/>
        <v>4.285463883814883E-3</v>
      </c>
      <c r="AF306" s="89"/>
    </row>
    <row r="307" spans="1:32" ht="15.5" x14ac:dyDescent="0.35">
      <c r="A307" s="82">
        <v>40212</v>
      </c>
      <c r="B307" s="83">
        <v>7042.6</v>
      </c>
      <c r="C307" s="84">
        <v>2190.9</v>
      </c>
      <c r="D307" s="61">
        <v>264.39999999999998</v>
      </c>
      <c r="E307" s="61">
        <v>15.1</v>
      </c>
      <c r="F307" s="61">
        <v>27.8</v>
      </c>
      <c r="G307" s="61">
        <v>28.1</v>
      </c>
      <c r="H307" s="61">
        <v>60</v>
      </c>
      <c r="I307" s="61">
        <v>13.7</v>
      </c>
      <c r="J307" s="61">
        <v>35.4</v>
      </c>
      <c r="K307" s="61">
        <v>25.5</v>
      </c>
      <c r="L307" s="61">
        <v>38.5</v>
      </c>
      <c r="M307" s="61">
        <v>34.299999999999997</v>
      </c>
      <c r="N307" s="61">
        <v>45.9</v>
      </c>
      <c r="O307" s="85">
        <v>15.8</v>
      </c>
      <c r="P307" s="105"/>
      <c r="Q307" s="87">
        <f t="shared" si="31"/>
        <v>-8.314527537233227E-3</v>
      </c>
      <c r="R307" s="87">
        <f t="shared" si="34"/>
        <v>3.6521342565271829E-4</v>
      </c>
      <c r="S307" s="87">
        <f t="shared" si="34"/>
        <v>1.135288674444482E-3</v>
      </c>
      <c r="T307" s="87">
        <f t="shared" si="34"/>
        <v>6.6445427186685108E-3</v>
      </c>
      <c r="U307" s="87">
        <f t="shared" si="34"/>
        <v>7.2202479734870973E-3</v>
      </c>
      <c r="V307" s="87">
        <f t="shared" si="34"/>
        <v>0</v>
      </c>
      <c r="W307" s="87">
        <f t="shared" si="34"/>
        <v>1.6680571006970134E-3</v>
      </c>
      <c r="X307" s="87">
        <f t="shared" si="33"/>
        <v>7.3260400920728812E-3</v>
      </c>
      <c r="Y307" s="87">
        <f t="shared" si="32"/>
        <v>4.035129552356724E-2</v>
      </c>
      <c r="Z307" s="87">
        <f t="shared" si="32"/>
        <v>1.1834457647002798E-2</v>
      </c>
      <c r="AA307" s="87">
        <f t="shared" si="32"/>
        <v>1.0443959161083314E-2</v>
      </c>
      <c r="AB307" s="87">
        <f t="shared" si="32"/>
        <v>-4.0005334613699366E-2</v>
      </c>
      <c r="AC307" s="87">
        <f t="shared" si="32"/>
        <v>4.2275483148238334E-2</v>
      </c>
      <c r="AD307" s="87">
        <f t="shared" si="28"/>
        <v>-6.309169193264721E-3</v>
      </c>
      <c r="AE307" s="90">
        <f t="shared" si="30"/>
        <v>1.7395256748029421E-3</v>
      </c>
      <c r="AF307" s="89"/>
    </row>
    <row r="308" spans="1:32" ht="15.5" x14ac:dyDescent="0.35">
      <c r="A308" s="82">
        <v>40213</v>
      </c>
      <c r="B308" s="83">
        <v>6787.9</v>
      </c>
      <c r="C308" s="84">
        <v>2125.4</v>
      </c>
      <c r="D308" s="61">
        <v>263</v>
      </c>
      <c r="E308" s="61">
        <v>15</v>
      </c>
      <c r="F308" s="61">
        <v>27.4</v>
      </c>
      <c r="G308" s="61">
        <v>27.8</v>
      </c>
      <c r="H308" s="61">
        <v>60.4</v>
      </c>
      <c r="I308" s="61">
        <v>12.9</v>
      </c>
      <c r="J308" s="61">
        <v>33.700000000000003</v>
      </c>
      <c r="K308" s="61">
        <v>25.2</v>
      </c>
      <c r="L308" s="61">
        <v>36.799999999999997</v>
      </c>
      <c r="M308" s="61">
        <v>34.299999999999997</v>
      </c>
      <c r="N308" s="61">
        <v>44</v>
      </c>
      <c r="O308" s="85">
        <v>15.5</v>
      </c>
      <c r="P308" s="105"/>
      <c r="Q308" s="87">
        <f t="shared" si="31"/>
        <v>-3.6835804786919259E-2</v>
      </c>
      <c r="R308" s="87">
        <f t="shared" si="34"/>
        <v>-3.0352398355578982E-2</v>
      </c>
      <c r="S308" s="87">
        <f t="shared" si="34"/>
        <v>-5.3090757997666096E-3</v>
      </c>
      <c r="T308" s="87">
        <f t="shared" si="34"/>
        <v>-6.6445427186685013E-3</v>
      </c>
      <c r="U308" s="87">
        <f t="shared" si="34"/>
        <v>-1.4493007302566864E-2</v>
      </c>
      <c r="V308" s="87">
        <f t="shared" si="34"/>
        <v>-1.0733555643108777E-2</v>
      </c>
      <c r="W308" s="87">
        <f t="shared" si="34"/>
        <v>6.6445427186685108E-3</v>
      </c>
      <c r="X308" s="87">
        <f t="shared" si="33"/>
        <v>-6.0168521466452726E-2</v>
      </c>
      <c r="Y308" s="87">
        <f t="shared" si="32"/>
        <v>-4.9213982781412556E-2</v>
      </c>
      <c r="Z308" s="87">
        <f t="shared" si="32"/>
        <v>-1.1834457647002909E-2</v>
      </c>
      <c r="AA308" s="87">
        <f t="shared" si="32"/>
        <v>-4.5160396118853426E-2</v>
      </c>
      <c r="AB308" s="87">
        <f t="shared" si="32"/>
        <v>0</v>
      </c>
      <c r="AC308" s="87">
        <f t="shared" si="32"/>
        <v>-4.2275483148238306E-2</v>
      </c>
      <c r="AD308" s="87">
        <f t="shared" si="28"/>
        <v>-1.9169916107720172E-2</v>
      </c>
      <c r="AE308" s="90">
        <f t="shared" si="30"/>
        <v>-1.7126578558362679E-2</v>
      </c>
      <c r="AF308" s="89"/>
    </row>
    <row r="309" spans="1:32" ht="15.5" x14ac:dyDescent="0.35">
      <c r="A309" s="82">
        <v>40214</v>
      </c>
      <c r="B309" s="83">
        <v>6782.8</v>
      </c>
      <c r="C309" s="84">
        <v>2141.1</v>
      </c>
      <c r="D309" s="61">
        <v>261.5</v>
      </c>
      <c r="E309" s="61">
        <v>14.9</v>
      </c>
      <c r="F309" s="61">
        <v>27.3</v>
      </c>
      <c r="G309" s="61">
        <v>27.6</v>
      </c>
      <c r="H309" s="61">
        <v>59.4</v>
      </c>
      <c r="I309" s="61">
        <v>12.1</v>
      </c>
      <c r="J309" s="61">
        <v>33</v>
      </c>
      <c r="K309" s="61">
        <v>23.9</v>
      </c>
      <c r="L309" s="61">
        <v>35.799999999999997</v>
      </c>
      <c r="M309" s="61">
        <v>33.6</v>
      </c>
      <c r="N309" s="61">
        <v>42.3</v>
      </c>
      <c r="O309" s="85">
        <v>15.2</v>
      </c>
      <c r="P309" s="105"/>
      <c r="Q309" s="87">
        <f t="shared" si="31"/>
        <v>-7.516193328414093E-4</v>
      </c>
      <c r="R309" s="87">
        <f t="shared" si="34"/>
        <v>7.3596957065364607E-3</v>
      </c>
      <c r="S309" s="87">
        <f t="shared" si="34"/>
        <v>-5.7197486727869531E-3</v>
      </c>
      <c r="T309" s="87">
        <f t="shared" si="34"/>
        <v>-6.6889881507965401E-3</v>
      </c>
      <c r="U309" s="87">
        <f t="shared" si="34"/>
        <v>-3.6563112031104319E-3</v>
      </c>
      <c r="V309" s="87">
        <f t="shared" si="34"/>
        <v>-7.2202479734870201E-3</v>
      </c>
      <c r="W309" s="87">
        <f t="shared" si="34"/>
        <v>-1.6694878572169992E-2</v>
      </c>
      <c r="X309" s="87">
        <f t="shared" si="33"/>
        <v>-6.4021858764931022E-2</v>
      </c>
      <c r="Y309" s="87">
        <f t="shared" si="32"/>
        <v>-2.0990275891835858E-2</v>
      </c>
      <c r="Z309" s="87">
        <f t="shared" si="32"/>
        <v>-5.2965535579912681E-2</v>
      </c>
      <c r="AA309" s="87">
        <f t="shared" si="32"/>
        <v>-2.7549951768230631E-2</v>
      </c>
      <c r="AB309" s="87">
        <f t="shared" si="32"/>
        <v>-2.0619287202735592E-2</v>
      </c>
      <c r="AC309" s="87">
        <f t="shared" si="32"/>
        <v>-3.9402547866028932E-2</v>
      </c>
      <c r="AD309" s="87">
        <f t="shared" si="28"/>
        <v>-1.9544596072970283E-2</v>
      </c>
      <c r="AE309" s="90">
        <f t="shared" si="30"/>
        <v>-2.8895737037444389E-3</v>
      </c>
      <c r="AF309" s="89"/>
    </row>
    <row r="310" spans="1:32" ht="15.5" x14ac:dyDescent="0.35">
      <c r="A310" s="82">
        <v>40217</v>
      </c>
      <c r="B310" s="83">
        <v>6713.9</v>
      </c>
      <c r="C310" s="84">
        <v>2126.1</v>
      </c>
      <c r="D310" s="61">
        <v>266</v>
      </c>
      <c r="E310" s="61">
        <v>15</v>
      </c>
      <c r="F310" s="61">
        <v>27.7</v>
      </c>
      <c r="G310" s="61">
        <v>27.6</v>
      </c>
      <c r="H310" s="61">
        <v>59.3</v>
      </c>
      <c r="I310" s="61">
        <v>12.3</v>
      </c>
      <c r="J310" s="61">
        <v>33.799999999999997</v>
      </c>
      <c r="K310" s="61">
        <v>24.1</v>
      </c>
      <c r="L310" s="61">
        <v>36.200000000000003</v>
      </c>
      <c r="M310" s="61">
        <v>33.6</v>
      </c>
      <c r="N310" s="61">
        <v>42.5</v>
      </c>
      <c r="O310" s="85">
        <v>15.3</v>
      </c>
      <c r="P310" s="105"/>
      <c r="Q310" s="87">
        <f t="shared" si="31"/>
        <v>-1.0209991854731874E-2</v>
      </c>
      <c r="R310" s="87">
        <f t="shared" si="34"/>
        <v>-7.0304001608113538E-3</v>
      </c>
      <c r="S310" s="87">
        <f t="shared" si="34"/>
        <v>1.706202527672155E-2</v>
      </c>
      <c r="T310" s="87">
        <f t="shared" si="34"/>
        <v>6.6889881507964889E-3</v>
      </c>
      <c r="U310" s="87">
        <f t="shared" si="34"/>
        <v>1.4545711002378716E-2</v>
      </c>
      <c r="V310" s="87">
        <f t="shared" si="34"/>
        <v>0</v>
      </c>
      <c r="W310" s="87">
        <f t="shared" si="34"/>
        <v>-1.6849203649195231E-3</v>
      </c>
      <c r="X310" s="87">
        <f t="shared" si="33"/>
        <v>1.639380977567657E-2</v>
      </c>
      <c r="Y310" s="87">
        <f t="shared" si="32"/>
        <v>2.3953241022492796E-2</v>
      </c>
      <c r="Z310" s="87">
        <f t="shared" si="32"/>
        <v>8.3333815591444607E-3</v>
      </c>
      <c r="AA310" s="87">
        <f t="shared" si="32"/>
        <v>1.1111225425070849E-2</v>
      </c>
      <c r="AB310" s="87">
        <f t="shared" si="32"/>
        <v>0</v>
      </c>
      <c r="AC310" s="87">
        <f t="shared" si="32"/>
        <v>4.7169898781388667E-3</v>
      </c>
      <c r="AD310" s="87">
        <f t="shared" si="28"/>
        <v>6.5574005461592607E-3</v>
      </c>
      <c r="AE310" s="90">
        <f t="shared" si="30"/>
        <v>7.8440259208447886E-3</v>
      </c>
      <c r="AF310" s="89"/>
    </row>
    <row r="311" spans="1:32" ht="15.5" x14ac:dyDescent="0.35">
      <c r="A311" s="82">
        <v>40218</v>
      </c>
      <c r="B311" s="83">
        <v>6835.2</v>
      </c>
      <c r="C311" s="84">
        <v>2150.9</v>
      </c>
      <c r="D311" s="61">
        <v>267.8</v>
      </c>
      <c r="E311" s="61">
        <v>14.9</v>
      </c>
      <c r="F311" s="61">
        <v>27.8</v>
      </c>
      <c r="G311" s="61">
        <v>27.8</v>
      </c>
      <c r="H311" s="61">
        <v>58.7</v>
      </c>
      <c r="I311" s="61">
        <v>12.7</v>
      </c>
      <c r="J311" s="61">
        <v>34.4</v>
      </c>
      <c r="K311" s="61">
        <v>24.4</v>
      </c>
      <c r="L311" s="61">
        <v>36.299999999999997</v>
      </c>
      <c r="M311" s="61">
        <v>33.4</v>
      </c>
      <c r="N311" s="61">
        <v>43.3</v>
      </c>
      <c r="O311" s="85">
        <v>15.4</v>
      </c>
      <c r="P311" s="105"/>
      <c r="Q311" s="87">
        <f t="shared" si="31"/>
        <v>1.7905726707525802E-2</v>
      </c>
      <c r="R311" s="87">
        <f t="shared" si="34"/>
        <v>1.1597043698067407E-2</v>
      </c>
      <c r="S311" s="87">
        <f t="shared" si="34"/>
        <v>6.7441244753731729E-3</v>
      </c>
      <c r="T311" s="87">
        <f t="shared" si="34"/>
        <v>-6.6889881507965401E-3</v>
      </c>
      <c r="U311" s="87">
        <f t="shared" si="34"/>
        <v>3.6036075032986181E-3</v>
      </c>
      <c r="V311" s="87">
        <f t="shared" si="34"/>
        <v>7.2202479734870973E-3</v>
      </c>
      <c r="W311" s="87">
        <f t="shared" si="34"/>
        <v>-1.0169579169628937E-2</v>
      </c>
      <c r="X311" s="87">
        <f t="shared" si="33"/>
        <v>3.2002731086173734E-2</v>
      </c>
      <c r="Y311" s="87">
        <f t="shared" si="32"/>
        <v>1.759576189037966E-2</v>
      </c>
      <c r="Z311" s="87">
        <f t="shared" si="32"/>
        <v>1.2371291802546829E-2</v>
      </c>
      <c r="AA311" s="87">
        <f t="shared" si="32"/>
        <v>2.7586224390796607E-3</v>
      </c>
      <c r="AB311" s="87">
        <f t="shared" si="32"/>
        <v>-5.9701669865039079E-3</v>
      </c>
      <c r="AC311" s="87">
        <f t="shared" si="32"/>
        <v>1.8648559078072995E-2</v>
      </c>
      <c r="AD311" s="87">
        <f t="shared" si="28"/>
        <v>6.5146810211936723E-3</v>
      </c>
      <c r="AE311" s="90">
        <f t="shared" si="30"/>
        <v>7.2728952495624824E-3</v>
      </c>
      <c r="AF311" s="89"/>
    </row>
    <row r="312" spans="1:32" ht="15.5" x14ac:dyDescent="0.35">
      <c r="A312" s="82">
        <v>40219</v>
      </c>
      <c r="B312" s="83">
        <v>6819.1</v>
      </c>
      <c r="C312" s="84">
        <v>2147.9</v>
      </c>
      <c r="D312" s="61">
        <v>264.10000000000002</v>
      </c>
      <c r="E312" s="61">
        <v>14.5</v>
      </c>
      <c r="F312" s="61">
        <v>27.8</v>
      </c>
      <c r="G312" s="61">
        <v>27.8</v>
      </c>
      <c r="H312" s="61">
        <v>58.4</v>
      </c>
      <c r="I312" s="61">
        <v>12.7</v>
      </c>
      <c r="J312" s="61">
        <v>34.700000000000003</v>
      </c>
      <c r="K312" s="61">
        <v>24.5</v>
      </c>
      <c r="L312" s="61">
        <v>35.799999999999997</v>
      </c>
      <c r="M312" s="61">
        <v>34.5</v>
      </c>
      <c r="N312" s="61">
        <v>43</v>
      </c>
      <c r="O312" s="85">
        <v>15.6</v>
      </c>
      <c r="P312" s="105"/>
      <c r="Q312" s="87">
        <f t="shared" si="31"/>
        <v>-2.3582325657641443E-3</v>
      </c>
      <c r="R312" s="87">
        <f t="shared" si="34"/>
        <v>-1.395738572169731E-3</v>
      </c>
      <c r="S312" s="87">
        <f t="shared" si="34"/>
        <v>-1.3912613953985575E-2</v>
      </c>
      <c r="T312" s="87">
        <f t="shared" si="34"/>
        <v>-2.7212563524884815E-2</v>
      </c>
      <c r="U312" s="87">
        <f t="shared" si="34"/>
        <v>0</v>
      </c>
      <c r="V312" s="87">
        <f t="shared" si="34"/>
        <v>0</v>
      </c>
      <c r="W312" s="87">
        <f t="shared" si="34"/>
        <v>-5.1238369998695063E-3</v>
      </c>
      <c r="X312" s="87">
        <f t="shared" si="33"/>
        <v>0</v>
      </c>
      <c r="Y312" s="87">
        <f t="shared" si="32"/>
        <v>8.6831225734608566E-3</v>
      </c>
      <c r="Z312" s="87">
        <f t="shared" si="32"/>
        <v>4.0899852515250664E-3</v>
      </c>
      <c r="AA312" s="87">
        <f t="shared" si="32"/>
        <v>-1.3869847864150502E-2</v>
      </c>
      <c r="AB312" s="87">
        <f t="shared" si="32"/>
        <v>3.240342405465943E-2</v>
      </c>
      <c r="AC312" s="87">
        <f t="shared" si="32"/>
        <v>-6.9525193148816406E-3</v>
      </c>
      <c r="AD312" s="87">
        <f t="shared" si="28"/>
        <v>1.2903404835907782E-2</v>
      </c>
      <c r="AE312" s="90">
        <f t="shared" si="30"/>
        <v>-2.9231013545492276E-3</v>
      </c>
      <c r="AF312" s="89"/>
    </row>
    <row r="313" spans="1:32" ht="15.5" x14ac:dyDescent="0.35">
      <c r="A313" s="82">
        <v>40220</v>
      </c>
      <c r="B313" s="83">
        <v>6898.7</v>
      </c>
      <c r="C313" s="84">
        <v>2177.4</v>
      </c>
      <c r="D313" s="61">
        <v>265</v>
      </c>
      <c r="E313" s="61">
        <v>14.8</v>
      </c>
      <c r="F313" s="61">
        <v>27.7</v>
      </c>
      <c r="G313" s="61">
        <v>27.7</v>
      </c>
      <c r="H313" s="61">
        <v>57.3</v>
      </c>
      <c r="I313" s="61">
        <v>12.7</v>
      </c>
      <c r="J313" s="61">
        <v>35.299999999999997</v>
      </c>
      <c r="K313" s="61">
        <v>24.2</v>
      </c>
      <c r="L313" s="61">
        <v>35.9</v>
      </c>
      <c r="M313" s="61">
        <v>34.299999999999997</v>
      </c>
      <c r="N313" s="61">
        <v>42.8</v>
      </c>
      <c r="O313" s="85">
        <v>15.5</v>
      </c>
      <c r="P313" s="105"/>
      <c r="Q313" s="87">
        <f t="shared" si="31"/>
        <v>1.1605489717645462E-2</v>
      </c>
      <c r="R313" s="87">
        <f t="shared" si="34"/>
        <v>1.3640883836862043E-2</v>
      </c>
      <c r="S313" s="87">
        <f t="shared" si="34"/>
        <v>3.402006683135503E-3</v>
      </c>
      <c r="T313" s="87">
        <f t="shared" si="34"/>
        <v>2.0478531343540701E-2</v>
      </c>
      <c r="U313" s="87">
        <f t="shared" si="34"/>
        <v>-3.6036075032986558E-3</v>
      </c>
      <c r="V313" s="87">
        <f t="shared" si="34"/>
        <v>-3.6036075032986558E-3</v>
      </c>
      <c r="W313" s="87">
        <f t="shared" si="34"/>
        <v>-1.9015266113487514E-2</v>
      </c>
      <c r="X313" s="87">
        <f t="shared" si="33"/>
        <v>0</v>
      </c>
      <c r="Y313" s="87">
        <f t="shared" si="32"/>
        <v>1.7143276986437438E-2</v>
      </c>
      <c r="Z313" s="87">
        <f t="shared" si="32"/>
        <v>-1.2320484388040624E-2</v>
      </c>
      <c r="AA313" s="87">
        <f t="shared" si="32"/>
        <v>2.7894020875785922E-3</v>
      </c>
      <c r="AB313" s="87">
        <f t="shared" si="32"/>
        <v>-5.8139698654199566E-3</v>
      </c>
      <c r="AC313" s="87">
        <f t="shared" si="32"/>
        <v>-4.662013105811413E-3</v>
      </c>
      <c r="AD313" s="87">
        <f t="shared" si="28"/>
        <v>-6.4308903302904025E-3</v>
      </c>
      <c r="AE313" s="90">
        <f t="shared" si="30"/>
        <v>3.272745587982634E-3</v>
      </c>
      <c r="AF313" s="89"/>
    </row>
    <row r="314" spans="1:32" ht="15.5" x14ac:dyDescent="0.35">
      <c r="A314" s="82">
        <v>40221</v>
      </c>
      <c r="B314" s="83">
        <v>6874.6</v>
      </c>
      <c r="C314" s="84">
        <v>2183.5</v>
      </c>
      <c r="D314" s="61">
        <v>265.5</v>
      </c>
      <c r="E314" s="61">
        <v>14.9</v>
      </c>
      <c r="F314" s="61">
        <v>27.9</v>
      </c>
      <c r="G314" s="61">
        <v>27.6</v>
      </c>
      <c r="H314" s="61">
        <v>57.7</v>
      </c>
      <c r="I314" s="61">
        <v>12.7</v>
      </c>
      <c r="J314" s="61">
        <v>36.4</v>
      </c>
      <c r="K314" s="61">
        <v>24.4</v>
      </c>
      <c r="L314" s="61">
        <v>36.1</v>
      </c>
      <c r="M314" s="61">
        <v>33.700000000000003</v>
      </c>
      <c r="N314" s="61">
        <v>42.9</v>
      </c>
      <c r="O314" s="85">
        <v>15.4</v>
      </c>
      <c r="P314" s="105"/>
      <c r="Q314" s="87">
        <f t="shared" si="31"/>
        <v>-3.499528013684848E-3</v>
      </c>
      <c r="R314" s="87">
        <f t="shared" si="34"/>
        <v>2.7975894785358607E-3</v>
      </c>
      <c r="S314" s="87">
        <f t="shared" si="34"/>
        <v>1.8850146957714257E-3</v>
      </c>
      <c r="T314" s="87">
        <f t="shared" si="34"/>
        <v>6.7340321813441194E-3</v>
      </c>
      <c r="U314" s="87">
        <f t="shared" si="34"/>
        <v>7.1942756340270106E-3</v>
      </c>
      <c r="V314" s="87">
        <f t="shared" si="34"/>
        <v>-3.6166404701884389E-3</v>
      </c>
      <c r="W314" s="87">
        <f t="shared" si="34"/>
        <v>6.9565497933601513E-3</v>
      </c>
      <c r="X314" s="87">
        <f t="shared" si="33"/>
        <v>0</v>
      </c>
      <c r="Y314" s="87">
        <f t="shared" si="32"/>
        <v>3.0685810703443887E-2</v>
      </c>
      <c r="Z314" s="87">
        <f t="shared" si="32"/>
        <v>8.2304991365154435E-3</v>
      </c>
      <c r="AA314" s="87">
        <f t="shared" si="32"/>
        <v>5.555569844602184E-3</v>
      </c>
      <c r="AB314" s="87">
        <f t="shared" si="32"/>
        <v>-1.7647516813578002E-2</v>
      </c>
      <c r="AC314" s="87">
        <f t="shared" si="32"/>
        <v>2.3337233462203183E-3</v>
      </c>
      <c r="AD314" s="87">
        <f t="shared" si="28"/>
        <v>-6.4725145056174788E-3</v>
      </c>
      <c r="AE314" s="90">
        <f t="shared" si="30"/>
        <v>2.6608389471603007E-3</v>
      </c>
      <c r="AF314" s="89"/>
    </row>
    <row r="315" spans="1:32" ht="15.5" x14ac:dyDescent="0.35">
      <c r="A315" s="82">
        <v>40225</v>
      </c>
      <c r="B315" s="83">
        <v>7013.4</v>
      </c>
      <c r="C315" s="84">
        <v>2214.1999999999998</v>
      </c>
      <c r="D315" s="61">
        <v>267.39999999999998</v>
      </c>
      <c r="E315" s="61">
        <v>15.2</v>
      </c>
      <c r="F315" s="61">
        <v>28.8</v>
      </c>
      <c r="G315" s="61">
        <v>28</v>
      </c>
      <c r="H315" s="61">
        <v>59.3</v>
      </c>
      <c r="I315" s="61">
        <v>13.2</v>
      </c>
      <c r="J315" s="61">
        <v>37.5</v>
      </c>
      <c r="K315" s="61">
        <v>24.7</v>
      </c>
      <c r="L315" s="61">
        <v>37.299999999999997</v>
      </c>
      <c r="M315" s="61">
        <v>34.5</v>
      </c>
      <c r="N315" s="61">
        <v>43.1</v>
      </c>
      <c r="O315" s="85">
        <v>15.6</v>
      </c>
      <c r="P315" s="105"/>
      <c r="Q315" s="87">
        <f t="shared" si="31"/>
        <v>1.9989144817816825E-2</v>
      </c>
      <c r="R315" s="87">
        <f t="shared" si="34"/>
        <v>1.3962070499750612E-2</v>
      </c>
      <c r="S315" s="87">
        <f t="shared" si="34"/>
        <v>7.1308239858492656E-3</v>
      </c>
      <c r="T315" s="87">
        <f t="shared" si="34"/>
        <v>1.9934214900817111E-2</v>
      </c>
      <c r="U315" s="87">
        <f t="shared" si="34"/>
        <v>3.174869831458027E-2</v>
      </c>
      <c r="V315" s="87">
        <f t="shared" si="34"/>
        <v>1.4388737452099452E-2</v>
      </c>
      <c r="W315" s="87">
        <f t="shared" si="34"/>
        <v>2.7352132489625879E-2</v>
      </c>
      <c r="X315" s="87">
        <f t="shared" si="33"/>
        <v>3.8614836127779516E-2</v>
      </c>
      <c r="Y315" s="87">
        <f t="shared" si="32"/>
        <v>2.9772158333670265E-2</v>
      </c>
      <c r="Z315" s="87">
        <f t="shared" si="32"/>
        <v>1.2220111334775397E-2</v>
      </c>
      <c r="AA315" s="87">
        <f t="shared" si="32"/>
        <v>3.2700461310934528E-2</v>
      </c>
      <c r="AB315" s="87">
        <f t="shared" si="32"/>
        <v>2.3461486678997966E-2</v>
      </c>
      <c r="AC315" s="87">
        <f t="shared" si="32"/>
        <v>4.6511711757308803E-3</v>
      </c>
      <c r="AD315" s="87">
        <f t="shared" si="28"/>
        <v>1.2903404835907782E-2</v>
      </c>
      <c r="AE315" s="90">
        <f t="shared" si="30"/>
        <v>1.6919335469128525E-2</v>
      </c>
      <c r="AF315" s="89"/>
    </row>
    <row r="316" spans="1:32" ht="15.5" x14ac:dyDescent="0.35">
      <c r="A316" s="82">
        <v>40226</v>
      </c>
      <c r="B316" s="83">
        <v>7035.2</v>
      </c>
      <c r="C316" s="84">
        <v>2226.3000000000002</v>
      </c>
      <c r="D316" s="61">
        <v>269.10000000000002</v>
      </c>
      <c r="E316" s="61">
        <v>15.3</v>
      </c>
      <c r="F316" s="61">
        <v>28.7</v>
      </c>
      <c r="G316" s="61">
        <v>28.4</v>
      </c>
      <c r="H316" s="61">
        <v>60.1</v>
      </c>
      <c r="I316" s="61">
        <v>13.4</v>
      </c>
      <c r="J316" s="61">
        <v>37.4</v>
      </c>
      <c r="K316" s="61">
        <v>25.6</v>
      </c>
      <c r="L316" s="61">
        <v>37.200000000000003</v>
      </c>
      <c r="M316" s="61">
        <v>34.700000000000003</v>
      </c>
      <c r="N316" s="61">
        <v>43.8</v>
      </c>
      <c r="O316" s="85">
        <v>15.9</v>
      </c>
      <c r="P316" s="105"/>
      <c r="Q316" s="87">
        <f t="shared" si="31"/>
        <v>3.1035145847660007E-3</v>
      </c>
      <c r="R316" s="87">
        <f t="shared" si="34"/>
        <v>5.4498502188312552E-3</v>
      </c>
      <c r="S316" s="87">
        <f t="shared" si="34"/>
        <v>6.337393065017404E-3</v>
      </c>
      <c r="T316" s="87">
        <f t="shared" si="34"/>
        <v>6.5574005461592607E-3</v>
      </c>
      <c r="U316" s="87">
        <f t="shared" si="34"/>
        <v>-3.47826437632492E-3</v>
      </c>
      <c r="V316" s="87">
        <f t="shared" si="34"/>
        <v>1.4184634991956381E-2</v>
      </c>
      <c r="W316" s="87">
        <f t="shared" si="34"/>
        <v>1.3400535537482113E-2</v>
      </c>
      <c r="X316" s="87">
        <f t="shared" si="33"/>
        <v>1.5037877364540502E-2</v>
      </c>
      <c r="Y316" s="87">
        <f t="shared" si="32"/>
        <v>-2.6702285558789208E-3</v>
      </c>
      <c r="Z316" s="87">
        <f t="shared" si="32"/>
        <v>3.5789107851585289E-2</v>
      </c>
      <c r="AA316" s="87">
        <f t="shared" si="32"/>
        <v>-2.6845653706688757E-3</v>
      </c>
      <c r="AB316" s="87">
        <f t="shared" si="32"/>
        <v>5.7803629154995493E-3</v>
      </c>
      <c r="AC316" s="87">
        <f t="shared" si="32"/>
        <v>1.6110820272698272E-2</v>
      </c>
      <c r="AD316" s="87">
        <f t="shared" si="28"/>
        <v>1.904819497069463E-2</v>
      </c>
      <c r="AE316" s="90">
        <f t="shared" si="30"/>
        <v>4.8096506030833354E-3</v>
      </c>
      <c r="AF316" s="89"/>
    </row>
    <row r="317" spans="1:32" ht="15.5" x14ac:dyDescent="0.35">
      <c r="A317" s="82">
        <v>40227</v>
      </c>
      <c r="B317" s="83">
        <v>7080.4</v>
      </c>
      <c r="C317" s="84">
        <v>2241.6999999999998</v>
      </c>
      <c r="D317" s="61">
        <v>268.3</v>
      </c>
      <c r="E317" s="61">
        <v>15.3</v>
      </c>
      <c r="F317" s="61">
        <v>28.7</v>
      </c>
      <c r="G317" s="61">
        <v>28.5</v>
      </c>
      <c r="H317" s="61">
        <v>60.4</v>
      </c>
      <c r="I317" s="61">
        <v>14.1</v>
      </c>
      <c r="J317" s="61">
        <v>37.799999999999997</v>
      </c>
      <c r="K317" s="61">
        <v>25.4</v>
      </c>
      <c r="L317" s="61">
        <v>37</v>
      </c>
      <c r="M317" s="61">
        <v>34.700000000000003</v>
      </c>
      <c r="N317" s="61">
        <v>44.6</v>
      </c>
      <c r="O317" s="85">
        <v>16</v>
      </c>
      <c r="P317" s="105"/>
      <c r="Q317" s="87">
        <f t="shared" si="31"/>
        <v>6.4042838404557252E-3</v>
      </c>
      <c r="R317" s="87">
        <f t="shared" si="34"/>
        <v>6.8934919356525353E-3</v>
      </c>
      <c r="S317" s="87">
        <f t="shared" si="34"/>
        <v>-2.9773003012817183E-3</v>
      </c>
      <c r="T317" s="87">
        <f t="shared" si="34"/>
        <v>0</v>
      </c>
      <c r="U317" s="87">
        <f t="shared" si="34"/>
        <v>0</v>
      </c>
      <c r="V317" s="87">
        <f t="shared" si="34"/>
        <v>3.5149421074445919E-3</v>
      </c>
      <c r="W317" s="87">
        <f t="shared" si="34"/>
        <v>4.979263399607364E-3</v>
      </c>
      <c r="X317" s="87">
        <f t="shared" si="33"/>
        <v>5.0920090427256946E-2</v>
      </c>
      <c r="Y317" s="87">
        <f t="shared" si="32"/>
        <v>1.0638398205055797E-2</v>
      </c>
      <c r="Z317" s="87">
        <f t="shared" si="32"/>
        <v>-7.8431774610260054E-3</v>
      </c>
      <c r="AA317" s="87">
        <f t="shared" si="32"/>
        <v>-5.3908486348765343E-3</v>
      </c>
      <c r="AB317" s="87">
        <f t="shared" si="32"/>
        <v>0</v>
      </c>
      <c r="AC317" s="87">
        <f t="shared" si="32"/>
        <v>1.8100041643617937E-2</v>
      </c>
      <c r="AD317" s="87">
        <f t="shared" si="28"/>
        <v>6.269613013595395E-3</v>
      </c>
      <c r="AE317" s="90">
        <f t="shared" si="30"/>
        <v>1.9567270383448751E-3</v>
      </c>
      <c r="AF317" s="89"/>
    </row>
    <row r="318" spans="1:32" ht="15.5" x14ac:dyDescent="0.35">
      <c r="A318" s="82">
        <v>40228</v>
      </c>
      <c r="B318" s="83">
        <v>7083.3</v>
      </c>
      <c r="C318" s="84">
        <v>2243.9</v>
      </c>
      <c r="D318" s="61">
        <v>270.10000000000002</v>
      </c>
      <c r="E318" s="61">
        <v>15.3</v>
      </c>
      <c r="F318" s="61">
        <v>28.7</v>
      </c>
      <c r="G318" s="61">
        <v>28.7</v>
      </c>
      <c r="H318" s="61">
        <v>55.3</v>
      </c>
      <c r="I318" s="61">
        <v>13.3</v>
      </c>
      <c r="J318" s="61">
        <v>38.1</v>
      </c>
      <c r="K318" s="61">
        <v>27</v>
      </c>
      <c r="L318" s="61">
        <v>37.200000000000003</v>
      </c>
      <c r="M318" s="61">
        <v>34.5</v>
      </c>
      <c r="N318" s="61">
        <v>45</v>
      </c>
      <c r="O318" s="85">
        <v>16</v>
      </c>
      <c r="P318" s="105"/>
      <c r="Q318" s="87">
        <f t="shared" si="31"/>
        <v>4.0949752402633034E-4</v>
      </c>
      <c r="R318" s="87">
        <f t="shared" si="34"/>
        <v>9.8091678990680454E-4</v>
      </c>
      <c r="S318" s="87">
        <f t="shared" si="34"/>
        <v>6.6865033669915039E-3</v>
      </c>
      <c r="T318" s="87">
        <f t="shared" si="34"/>
        <v>0</v>
      </c>
      <c r="U318" s="87">
        <f t="shared" si="34"/>
        <v>0</v>
      </c>
      <c r="V318" s="87">
        <f t="shared" si="34"/>
        <v>6.9930354909706043E-3</v>
      </c>
      <c r="W318" s="87">
        <f t="shared" si="34"/>
        <v>-8.8216196412480199E-2</v>
      </c>
      <c r="X318" s="87">
        <f t="shared" si="33"/>
        <v>-5.8410762156414484E-2</v>
      </c>
      <c r="Y318" s="87">
        <f t="shared" si="32"/>
        <v>7.9051795071134676E-3</v>
      </c>
      <c r="Z318" s="87">
        <f t="shared" si="32"/>
        <v>6.1087691979838279E-2</v>
      </c>
      <c r="AA318" s="87">
        <f t="shared" si="32"/>
        <v>5.3908486348765933E-3</v>
      </c>
      <c r="AB318" s="87">
        <f t="shared" si="32"/>
        <v>-5.7803629154995371E-3</v>
      </c>
      <c r="AC318" s="87">
        <f t="shared" si="32"/>
        <v>8.9286307443013982E-3</v>
      </c>
      <c r="AD318" s="87">
        <f t="shared" si="28"/>
        <v>0</v>
      </c>
      <c r="AE318" s="90">
        <f t="shared" si="30"/>
        <v>2.2515979945686702E-3</v>
      </c>
      <c r="AF318" s="89"/>
    </row>
    <row r="319" spans="1:32" ht="15.5" x14ac:dyDescent="0.35">
      <c r="A319" s="82">
        <v>40231</v>
      </c>
      <c r="B319" s="83">
        <v>7078.5</v>
      </c>
      <c r="C319" s="84">
        <v>2242</v>
      </c>
      <c r="D319" s="61">
        <v>270.8</v>
      </c>
      <c r="E319" s="61">
        <v>15.4</v>
      </c>
      <c r="F319" s="61">
        <v>28.5</v>
      </c>
      <c r="G319" s="61">
        <v>28.7</v>
      </c>
      <c r="H319" s="61">
        <v>56.9</v>
      </c>
      <c r="I319" s="61">
        <v>13.1</v>
      </c>
      <c r="J319" s="61">
        <v>37.6</v>
      </c>
      <c r="K319" s="61">
        <v>27.5</v>
      </c>
      <c r="L319" s="61">
        <v>36.6</v>
      </c>
      <c r="M319" s="61">
        <v>34.9</v>
      </c>
      <c r="N319" s="61">
        <v>45.4</v>
      </c>
      <c r="O319" s="85">
        <v>16</v>
      </c>
      <c r="P319" s="105"/>
      <c r="Q319" s="87">
        <f t="shared" si="31"/>
        <v>-6.7787995647568006E-4</v>
      </c>
      <c r="R319" s="87">
        <f t="shared" si="34"/>
        <v>-8.4709873765188664E-4</v>
      </c>
      <c r="S319" s="87">
        <f t="shared" si="34"/>
        <v>2.588280239550073E-3</v>
      </c>
      <c r="T319" s="87">
        <f t="shared" si="34"/>
        <v>6.5146810211936723E-3</v>
      </c>
      <c r="U319" s="87">
        <f t="shared" si="34"/>
        <v>-6.9930354909705254E-3</v>
      </c>
      <c r="V319" s="87">
        <f t="shared" si="34"/>
        <v>0</v>
      </c>
      <c r="W319" s="87">
        <f t="shared" si="34"/>
        <v>2.8522432603996117E-2</v>
      </c>
      <c r="X319" s="87">
        <f t="shared" si="33"/>
        <v>-1.5151805020602333E-2</v>
      </c>
      <c r="Y319" s="87">
        <f t="shared" si="32"/>
        <v>-1.3210231736806462E-2</v>
      </c>
      <c r="Z319" s="87">
        <f t="shared" si="32"/>
        <v>1.8349138668196617E-2</v>
      </c>
      <c r="AA319" s="87">
        <f t="shared" si="32"/>
        <v>-1.6260520871780291E-2</v>
      </c>
      <c r="AB319" s="87">
        <f t="shared" si="32"/>
        <v>1.1527505171067414E-2</v>
      </c>
      <c r="AC319" s="87">
        <f t="shared" si="32"/>
        <v>8.8496152769826E-3</v>
      </c>
      <c r="AD319" s="87">
        <f t="shared" si="28"/>
        <v>0</v>
      </c>
      <c r="AE319" s="90">
        <f t="shared" si="30"/>
        <v>-1.4957414969360408E-3</v>
      </c>
      <c r="AF319" s="89"/>
    </row>
    <row r="320" spans="1:32" ht="15.5" x14ac:dyDescent="0.35">
      <c r="A320" s="82">
        <v>40232</v>
      </c>
      <c r="B320" s="83">
        <v>6974.6</v>
      </c>
      <c r="C320" s="84">
        <v>2213.4</v>
      </c>
      <c r="D320" s="61">
        <v>266.39999999999998</v>
      </c>
      <c r="E320" s="61">
        <v>15.1</v>
      </c>
      <c r="F320" s="61">
        <v>28</v>
      </c>
      <c r="G320" s="61">
        <v>28.1</v>
      </c>
      <c r="H320" s="61">
        <v>57.6</v>
      </c>
      <c r="I320" s="61">
        <v>12.7</v>
      </c>
      <c r="J320" s="61">
        <v>36.4</v>
      </c>
      <c r="K320" s="61">
        <v>27.3</v>
      </c>
      <c r="L320" s="61">
        <v>36.4</v>
      </c>
      <c r="M320" s="61">
        <v>34.4</v>
      </c>
      <c r="N320" s="61">
        <v>45.1</v>
      </c>
      <c r="O320" s="85">
        <v>15.9</v>
      </c>
      <c r="P320" s="105"/>
      <c r="Q320" s="87">
        <f t="shared" si="31"/>
        <v>-1.4787042459676878E-2</v>
      </c>
      <c r="R320" s="87">
        <f t="shared" si="34"/>
        <v>-1.2838529801420234E-2</v>
      </c>
      <c r="S320" s="87">
        <f t="shared" si="34"/>
        <v>-1.6381602371885996E-2</v>
      </c>
      <c r="T320" s="87">
        <f t="shared" si="34"/>
        <v>-1.9672765598704893E-2</v>
      </c>
      <c r="U320" s="87">
        <f t="shared" si="34"/>
        <v>-1.7699577099400975E-2</v>
      </c>
      <c r="V320" s="87">
        <f t="shared" si="34"/>
        <v>-2.1127546425875283E-2</v>
      </c>
      <c r="W320" s="87">
        <f t="shared" si="34"/>
        <v>1.2227226569560341E-2</v>
      </c>
      <c r="X320" s="87">
        <f t="shared" si="33"/>
        <v>-3.1010236742560322E-2</v>
      </c>
      <c r="Y320" s="87">
        <f t="shared" si="32"/>
        <v>-3.2435275753153962E-2</v>
      </c>
      <c r="Z320" s="87">
        <f t="shared" si="32"/>
        <v>-7.299302481611496E-3</v>
      </c>
      <c r="AA320" s="87">
        <f t="shared" si="32"/>
        <v>-5.4794657646257076E-3</v>
      </c>
      <c r="AB320" s="87">
        <f t="shared" si="32"/>
        <v>-1.4430264829028783E-2</v>
      </c>
      <c r="AC320" s="87">
        <f t="shared" si="32"/>
        <v>-6.6298585386695766E-3</v>
      </c>
      <c r="AD320" s="87">
        <f t="shared" si="28"/>
        <v>-6.2696130135953742E-3</v>
      </c>
      <c r="AE320" s="90">
        <f t="shared" si="30"/>
        <v>-1.446733736349347E-2</v>
      </c>
      <c r="AF320" s="89"/>
    </row>
    <row r="321" spans="1:32" ht="15.5" x14ac:dyDescent="0.35">
      <c r="A321" s="82">
        <v>40233</v>
      </c>
      <c r="B321" s="83">
        <v>7030.7</v>
      </c>
      <c r="C321" s="84">
        <v>2235.9</v>
      </c>
      <c r="D321" s="61">
        <v>265.5</v>
      </c>
      <c r="E321" s="61">
        <v>15.3</v>
      </c>
      <c r="F321" s="61">
        <v>28.3</v>
      </c>
      <c r="G321" s="61">
        <v>28.4</v>
      </c>
      <c r="H321" s="61">
        <v>58.8</v>
      </c>
      <c r="I321" s="61">
        <v>12.7</v>
      </c>
      <c r="J321" s="61">
        <v>35.700000000000003</v>
      </c>
      <c r="K321" s="61">
        <v>27.6</v>
      </c>
      <c r="L321" s="61">
        <v>36.299999999999997</v>
      </c>
      <c r="M321" s="61">
        <v>34.6</v>
      </c>
      <c r="N321" s="61">
        <v>45.2</v>
      </c>
      <c r="O321" s="85">
        <v>16</v>
      </c>
      <c r="P321" s="105"/>
      <c r="Q321" s="87">
        <f t="shared" si="31"/>
        <v>8.0112957302158928E-3</v>
      </c>
      <c r="R321" s="87">
        <f t="shared" si="34"/>
        <v>1.011403672507287E-2</v>
      </c>
      <c r="S321" s="87">
        <f t="shared" si="34"/>
        <v>-3.3840979842404569E-3</v>
      </c>
      <c r="T321" s="87">
        <f t="shared" si="34"/>
        <v>1.3158084577511201E-2</v>
      </c>
      <c r="U321" s="87">
        <f t="shared" si="34"/>
        <v>1.0657294473987979E-2</v>
      </c>
      <c r="V321" s="87">
        <f t="shared" si="34"/>
        <v>1.0619568827460131E-2</v>
      </c>
      <c r="W321" s="87">
        <f t="shared" si="34"/>
        <v>2.061928720273561E-2</v>
      </c>
      <c r="X321" s="87">
        <f t="shared" si="33"/>
        <v>0</v>
      </c>
      <c r="Y321" s="87">
        <f t="shared" si="32"/>
        <v>-1.9418085857101513E-2</v>
      </c>
      <c r="Z321" s="87">
        <f t="shared" si="32"/>
        <v>1.092907053219023E-2</v>
      </c>
      <c r="AA321" s="87">
        <f t="shared" si="32"/>
        <v>-2.7510333718898708E-3</v>
      </c>
      <c r="AB321" s="87">
        <f t="shared" si="32"/>
        <v>5.7971176843259146E-3</v>
      </c>
      <c r="AC321" s="87">
        <f t="shared" si="32"/>
        <v>2.2148403295528213E-3</v>
      </c>
      <c r="AD321" s="87">
        <f t="shared" si="28"/>
        <v>6.269613013595395E-3</v>
      </c>
      <c r="AE321" s="90">
        <f t="shared" si="30"/>
        <v>5.8503199749145255E-3</v>
      </c>
      <c r="AF321" s="89"/>
    </row>
    <row r="322" spans="1:32" ht="15.5" x14ac:dyDescent="0.35">
      <c r="A322" s="82">
        <v>40234</v>
      </c>
      <c r="B322" s="83">
        <v>7013.5</v>
      </c>
      <c r="C322" s="84">
        <v>2234.1999999999998</v>
      </c>
      <c r="D322" s="61">
        <v>260.3</v>
      </c>
      <c r="E322" s="61">
        <v>15.1</v>
      </c>
      <c r="F322" s="61">
        <v>28.1</v>
      </c>
      <c r="G322" s="61">
        <v>28</v>
      </c>
      <c r="H322" s="61">
        <v>58.4</v>
      </c>
      <c r="I322" s="61">
        <v>12.6</v>
      </c>
      <c r="J322" s="61">
        <v>35.200000000000003</v>
      </c>
      <c r="K322" s="61">
        <v>27.4</v>
      </c>
      <c r="L322" s="61">
        <v>36.1</v>
      </c>
      <c r="M322" s="61">
        <v>34.799999999999997</v>
      </c>
      <c r="N322" s="61">
        <v>44.5</v>
      </c>
      <c r="O322" s="85">
        <v>16</v>
      </c>
      <c r="P322" s="105"/>
      <c r="Q322" s="87">
        <f t="shared" si="31"/>
        <v>-2.4494109453647543E-3</v>
      </c>
      <c r="R322" s="87">
        <f t="shared" si="34"/>
        <v>-7.6060941900991952E-4</v>
      </c>
      <c r="S322" s="87">
        <f t="shared" si="34"/>
        <v>-1.9780028681473768E-2</v>
      </c>
      <c r="T322" s="87">
        <f t="shared" si="34"/>
        <v>-1.3158084577511199E-2</v>
      </c>
      <c r="U322" s="87">
        <f t="shared" si="34"/>
        <v>-7.0922283094917984E-3</v>
      </c>
      <c r="V322" s="87">
        <f t="shared" si="34"/>
        <v>-1.4184634991956413E-2</v>
      </c>
      <c r="W322" s="87">
        <f t="shared" si="34"/>
        <v>-6.8259650703998706E-3</v>
      </c>
      <c r="X322" s="87">
        <f t="shared" si="33"/>
        <v>-7.9051795071132611E-3</v>
      </c>
      <c r="Y322" s="87">
        <f t="shared" si="32"/>
        <v>-1.4104606181541935E-2</v>
      </c>
      <c r="Z322" s="87">
        <f t="shared" si="32"/>
        <v>-7.2727593290799206E-3</v>
      </c>
      <c r="AA322" s="87">
        <f t="shared" si="32"/>
        <v>-5.5248759319696918E-3</v>
      </c>
      <c r="AB322" s="87">
        <f t="shared" si="32"/>
        <v>5.7637047167499126E-3</v>
      </c>
      <c r="AC322" s="87">
        <f t="shared" si="32"/>
        <v>-1.5607897665991055E-2</v>
      </c>
      <c r="AD322" s="87">
        <f t="shared" si="32"/>
        <v>0</v>
      </c>
      <c r="AE322" s="90">
        <f t="shared" si="30"/>
        <v>-8.0468224421486878E-3</v>
      </c>
      <c r="AF322" s="89"/>
    </row>
    <row r="323" spans="1:32" ht="15.5" x14ac:dyDescent="0.35">
      <c r="A323" s="82">
        <v>40235</v>
      </c>
      <c r="B323" s="83">
        <v>7035</v>
      </c>
      <c r="C323" s="84">
        <v>2238.3000000000002</v>
      </c>
      <c r="D323" s="61">
        <v>262</v>
      </c>
      <c r="E323" s="61">
        <v>15.2</v>
      </c>
      <c r="F323" s="61">
        <v>28.9</v>
      </c>
      <c r="G323" s="61">
        <v>28.5</v>
      </c>
      <c r="H323" s="61">
        <v>59.3</v>
      </c>
      <c r="I323" s="61">
        <v>12.8</v>
      </c>
      <c r="J323" s="61">
        <v>36.5</v>
      </c>
      <c r="K323" s="61">
        <v>27.6</v>
      </c>
      <c r="L323" s="61">
        <v>36.4</v>
      </c>
      <c r="M323" s="61">
        <v>35.4</v>
      </c>
      <c r="N323" s="61">
        <v>46.1</v>
      </c>
      <c r="O323" s="85">
        <v>16.600000000000001</v>
      </c>
      <c r="P323" s="105"/>
      <c r="Q323" s="87">
        <f t="shared" si="31"/>
        <v>3.0608273887632936E-3</v>
      </c>
      <c r="R323" s="87">
        <f t="shared" si="34"/>
        <v>1.8334270088306394E-3</v>
      </c>
      <c r="S323" s="87">
        <f t="shared" si="34"/>
        <v>6.5096917605772069E-3</v>
      </c>
      <c r="T323" s="87">
        <f t="shared" si="34"/>
        <v>6.6006840313520927E-3</v>
      </c>
      <c r="U323" s="87">
        <f t="shared" si="34"/>
        <v>2.8072018778686307E-2</v>
      </c>
      <c r="V323" s="87">
        <f t="shared" si="34"/>
        <v>1.7699577099400857E-2</v>
      </c>
      <c r="W323" s="87">
        <f t="shared" si="34"/>
        <v>1.52934161694984E-2</v>
      </c>
      <c r="X323" s="87">
        <f t="shared" si="33"/>
        <v>1.5748356968139331E-2</v>
      </c>
      <c r="Y323" s="87">
        <f t="shared" si="32"/>
        <v>3.6266177984394354E-2</v>
      </c>
      <c r="Z323" s="87">
        <f t="shared" si="32"/>
        <v>7.2727593290798781E-3</v>
      </c>
      <c r="AA323" s="87">
        <f t="shared" si="32"/>
        <v>8.2759093038596611E-3</v>
      </c>
      <c r="AB323" s="87">
        <f t="shared" si="32"/>
        <v>1.7094433359300255E-2</v>
      </c>
      <c r="AC323" s="87">
        <f t="shared" si="32"/>
        <v>3.5323760830408259E-2</v>
      </c>
      <c r="AD323" s="87">
        <f t="shared" si="32"/>
        <v>3.6813973122716399E-2</v>
      </c>
      <c r="AE323" s="90">
        <f t="shared" si="30"/>
        <v>1.4956929285939596E-2</v>
      </c>
      <c r="AF323" s="89"/>
    </row>
    <row r="324" spans="1:32" ht="15.5" x14ac:dyDescent="0.35">
      <c r="A324" s="82">
        <v>40238</v>
      </c>
      <c r="B324" s="83">
        <v>7100.8</v>
      </c>
      <c r="C324" s="84">
        <v>2273.6</v>
      </c>
      <c r="D324" s="61">
        <v>264.10000000000002</v>
      </c>
      <c r="E324" s="61">
        <v>15.4</v>
      </c>
      <c r="F324" s="61">
        <v>29.4</v>
      </c>
      <c r="G324" s="61">
        <v>28.5</v>
      </c>
      <c r="H324" s="61">
        <v>59.6</v>
      </c>
      <c r="I324" s="61">
        <v>13.1</v>
      </c>
      <c r="J324" s="61">
        <v>36.9</v>
      </c>
      <c r="K324" s="61">
        <v>27.4</v>
      </c>
      <c r="L324" s="61">
        <v>37</v>
      </c>
      <c r="M324" s="61">
        <v>36.299999999999997</v>
      </c>
      <c r="N324" s="61">
        <v>46.8</v>
      </c>
      <c r="O324" s="85">
        <v>16.899999999999999</v>
      </c>
      <c r="P324" s="105"/>
      <c r="Q324" s="87">
        <f t="shared" si="31"/>
        <v>9.3097631897853233E-3</v>
      </c>
      <c r="R324" s="87">
        <f t="shared" si="34"/>
        <v>1.5647829197257792E-2</v>
      </c>
      <c r="S324" s="87">
        <f t="shared" si="34"/>
        <v>7.9833155419898189E-3</v>
      </c>
      <c r="T324" s="87">
        <f t="shared" si="34"/>
        <v>1.3072081567352921E-2</v>
      </c>
      <c r="U324" s="87">
        <f t="shared" si="34"/>
        <v>1.7153079226249493E-2</v>
      </c>
      <c r="V324" s="87">
        <f t="shared" si="34"/>
        <v>0</v>
      </c>
      <c r="W324" s="87">
        <f t="shared" si="34"/>
        <v>5.0462680676244395E-3</v>
      </c>
      <c r="X324" s="87">
        <f t="shared" si="33"/>
        <v>2.3167059281534379E-2</v>
      </c>
      <c r="Y324" s="87">
        <f t="shared" si="32"/>
        <v>1.0899290458035638E-2</v>
      </c>
      <c r="Z324" s="87">
        <f t="shared" si="32"/>
        <v>-7.2727593290799206E-3</v>
      </c>
      <c r="AA324" s="87">
        <f t="shared" si="32"/>
        <v>1.6349138001529411E-2</v>
      </c>
      <c r="AB324" s="87">
        <f t="shared" si="32"/>
        <v>2.5105921131076261E-2</v>
      </c>
      <c r="AC324" s="87">
        <f t="shared" si="32"/>
        <v>1.5070252920998173E-2</v>
      </c>
      <c r="AD324" s="87">
        <f t="shared" si="32"/>
        <v>1.7910926566530025E-2</v>
      </c>
      <c r="AE324" s="90">
        <f t="shared" si="30"/>
        <v>1.4109418110256015E-2</v>
      </c>
      <c r="AF324" s="89"/>
    </row>
    <row r="325" spans="1:32" ht="15.5" x14ac:dyDescent="0.35">
      <c r="A325" s="82">
        <v>40239</v>
      </c>
      <c r="B325" s="83">
        <v>7136</v>
      </c>
      <c r="C325" s="84">
        <v>2280.8000000000002</v>
      </c>
      <c r="D325" s="61">
        <v>267.8</v>
      </c>
      <c r="E325" s="61">
        <v>15.7</v>
      </c>
      <c r="F325" s="61">
        <v>29.7</v>
      </c>
      <c r="G325" s="61">
        <v>28.2</v>
      </c>
      <c r="H325" s="61">
        <v>59.2</v>
      </c>
      <c r="I325" s="61">
        <v>13.2</v>
      </c>
      <c r="J325" s="61">
        <v>38.200000000000003</v>
      </c>
      <c r="K325" s="61">
        <v>27.6</v>
      </c>
      <c r="L325" s="61">
        <v>37.299999999999997</v>
      </c>
      <c r="M325" s="61">
        <v>36.4</v>
      </c>
      <c r="N325" s="61">
        <v>46.6</v>
      </c>
      <c r="O325" s="85">
        <v>16.899999999999999</v>
      </c>
      <c r="P325" s="105"/>
      <c r="Q325" s="87">
        <f t="shared" si="31"/>
        <v>4.9449415215705875E-3</v>
      </c>
      <c r="R325" s="87">
        <f t="shared" si="34"/>
        <v>3.1617802556261447E-3</v>
      </c>
      <c r="S325" s="87">
        <f t="shared" si="34"/>
        <v>1.3912613953985652E-2</v>
      </c>
      <c r="T325" s="87">
        <f t="shared" si="34"/>
        <v>1.9293202934678851E-2</v>
      </c>
      <c r="U325" s="87">
        <f t="shared" si="34"/>
        <v>1.0152371464018128E-2</v>
      </c>
      <c r="V325" s="87">
        <f t="shared" si="34"/>
        <v>-1.0582109330536972E-2</v>
      </c>
      <c r="W325" s="87">
        <f t="shared" si="34"/>
        <v>-6.7340321813440683E-3</v>
      </c>
      <c r="X325" s="87">
        <f t="shared" si="33"/>
        <v>7.6045993852192125E-3</v>
      </c>
      <c r="Y325" s="87">
        <f t="shared" si="32"/>
        <v>3.4623964566048077E-2</v>
      </c>
      <c r="Z325" s="87">
        <f t="shared" si="32"/>
        <v>7.2727593290798781E-3</v>
      </c>
      <c r="AA325" s="87">
        <f t="shared" si="32"/>
        <v>8.0754140055453311E-3</v>
      </c>
      <c r="AB325" s="87">
        <f t="shared" si="32"/>
        <v>2.7510333718900187E-3</v>
      </c>
      <c r="AC325" s="87">
        <f t="shared" si="32"/>
        <v>-4.2826617920007359E-3</v>
      </c>
      <c r="AD325" s="87">
        <f t="shared" si="32"/>
        <v>0</v>
      </c>
      <c r="AE325" s="90">
        <f t="shared" si="30"/>
        <v>7.9238141205488291E-3</v>
      </c>
      <c r="AF325" s="89"/>
    </row>
    <row r="326" spans="1:32" ht="15.5" x14ac:dyDescent="0.35">
      <c r="A326" s="82">
        <v>40240</v>
      </c>
      <c r="B326" s="83">
        <v>7164.7</v>
      </c>
      <c r="C326" s="84">
        <v>2280.6999999999998</v>
      </c>
      <c r="D326" s="61">
        <v>269.89999999999998</v>
      </c>
      <c r="E326" s="61">
        <v>15.6</v>
      </c>
      <c r="F326" s="61">
        <v>29.7</v>
      </c>
      <c r="G326" s="61">
        <v>28.4</v>
      </c>
      <c r="H326" s="61">
        <v>58.8</v>
      </c>
      <c r="I326" s="61">
        <v>13.2</v>
      </c>
      <c r="J326" s="61">
        <v>38</v>
      </c>
      <c r="K326" s="61">
        <v>28.8</v>
      </c>
      <c r="L326" s="61">
        <v>37.1</v>
      </c>
      <c r="M326" s="61">
        <v>36.6</v>
      </c>
      <c r="N326" s="61">
        <v>46.6</v>
      </c>
      <c r="O326" s="85">
        <v>16.8</v>
      </c>
      <c r="P326" s="105"/>
      <c r="Q326" s="87">
        <f t="shared" si="31"/>
        <v>4.0137949234727967E-3</v>
      </c>
      <c r="R326" s="87">
        <f t="shared" si="34"/>
        <v>-4.384522635812352E-5</v>
      </c>
      <c r="S326" s="87">
        <f t="shared" si="34"/>
        <v>7.8110867668866818E-3</v>
      </c>
      <c r="T326" s="87">
        <f t="shared" si="34"/>
        <v>-6.38979809877101E-3</v>
      </c>
      <c r="U326" s="87">
        <f t="shared" si="34"/>
        <v>0</v>
      </c>
      <c r="V326" s="87">
        <f t="shared" si="34"/>
        <v>7.0671672230923528E-3</v>
      </c>
      <c r="W326" s="87">
        <f t="shared" si="34"/>
        <v>-6.7796869853788038E-3</v>
      </c>
      <c r="X326" s="87">
        <f t="shared" si="33"/>
        <v>0</v>
      </c>
      <c r="Y326" s="87">
        <f t="shared" si="32"/>
        <v>-5.2493558861437901E-3</v>
      </c>
      <c r="Z326" s="87">
        <f t="shared" si="32"/>
        <v>4.2559614418795903E-2</v>
      </c>
      <c r="AA326" s="87">
        <f t="shared" si="32"/>
        <v>-5.3763570363802938E-3</v>
      </c>
      <c r="AB326" s="87">
        <f t="shared" si="32"/>
        <v>5.4794657646255705E-3</v>
      </c>
      <c r="AC326" s="87">
        <f t="shared" si="32"/>
        <v>0</v>
      </c>
      <c r="AD326" s="87">
        <f t="shared" si="32"/>
        <v>-5.9347355198144658E-3</v>
      </c>
      <c r="AE326" s="90">
        <f t="shared" si="30"/>
        <v>1.5523083136957661E-3</v>
      </c>
      <c r="AF326" s="89"/>
    </row>
    <row r="327" spans="1:32" ht="15.5" x14ac:dyDescent="0.35">
      <c r="A327" s="82">
        <v>40241</v>
      </c>
      <c r="B327" s="83">
        <v>7173.1</v>
      </c>
      <c r="C327" s="84">
        <v>2292.3000000000002</v>
      </c>
      <c r="D327" s="61">
        <v>273.39999999999998</v>
      </c>
      <c r="E327" s="61">
        <v>15.5</v>
      </c>
      <c r="F327" s="61">
        <v>29.8</v>
      </c>
      <c r="G327" s="61">
        <v>28.3</v>
      </c>
      <c r="H327" s="61">
        <v>61</v>
      </c>
      <c r="I327" s="61">
        <v>13.1</v>
      </c>
      <c r="J327" s="61">
        <v>38</v>
      </c>
      <c r="K327" s="61">
        <v>28.8</v>
      </c>
      <c r="L327" s="61">
        <v>36.9</v>
      </c>
      <c r="M327" s="61">
        <v>36.799999999999997</v>
      </c>
      <c r="N327" s="61">
        <v>46.7</v>
      </c>
      <c r="O327" s="85">
        <v>16.899999999999999</v>
      </c>
      <c r="P327" s="105"/>
      <c r="Q327" s="87">
        <f t="shared" si="31"/>
        <v>1.1717280142091214E-3</v>
      </c>
      <c r="R327" s="87">
        <f t="shared" si="34"/>
        <v>5.0732669495265927E-3</v>
      </c>
      <c r="S327" s="87">
        <f t="shared" si="34"/>
        <v>1.2884404265890296E-2</v>
      </c>
      <c r="T327" s="87">
        <f t="shared" si="34"/>
        <v>-6.4308903302904025E-3</v>
      </c>
      <c r="U327" s="87">
        <f t="shared" si="34"/>
        <v>3.3613477027049274E-3</v>
      </c>
      <c r="V327" s="87">
        <f t="shared" si="34"/>
        <v>-3.5273405179682992E-3</v>
      </c>
      <c r="W327" s="87">
        <f t="shared" si="34"/>
        <v>3.6732009268730159E-2</v>
      </c>
      <c r="X327" s="87">
        <f t="shared" si="33"/>
        <v>-7.6045993852193036E-3</v>
      </c>
      <c r="Y327" s="87">
        <f t="shared" si="32"/>
        <v>0</v>
      </c>
      <c r="Z327" s="87">
        <f t="shared" si="32"/>
        <v>0</v>
      </c>
      <c r="AA327" s="87">
        <f t="shared" si="32"/>
        <v>-5.4054185669080469E-3</v>
      </c>
      <c r="AB327" s="87">
        <f t="shared" si="32"/>
        <v>5.4496047675644645E-3</v>
      </c>
      <c r="AC327" s="87">
        <f t="shared" si="32"/>
        <v>2.1436235432513691E-3</v>
      </c>
      <c r="AD327" s="87">
        <f t="shared" si="32"/>
        <v>5.9347355198145265E-3</v>
      </c>
      <c r="AE327" s="90">
        <f t="shared" si="30"/>
        <v>6.9752949553824077E-3</v>
      </c>
      <c r="AF327" s="89"/>
    </row>
    <row r="328" spans="1:32" ht="15.5" x14ac:dyDescent="0.35">
      <c r="A328" s="82">
        <v>40242</v>
      </c>
      <c r="B328" s="83">
        <v>7291.3</v>
      </c>
      <c r="C328" s="84">
        <v>2326.4</v>
      </c>
      <c r="D328" s="61">
        <v>280.2</v>
      </c>
      <c r="E328" s="61">
        <v>15.9</v>
      </c>
      <c r="F328" s="61">
        <v>30.7</v>
      </c>
      <c r="G328" s="61">
        <v>28.4</v>
      </c>
      <c r="H328" s="61">
        <v>61</v>
      </c>
      <c r="I328" s="61">
        <v>13.2</v>
      </c>
      <c r="J328" s="61">
        <v>38.700000000000003</v>
      </c>
      <c r="K328" s="61">
        <v>29.4</v>
      </c>
      <c r="L328" s="61">
        <v>36.9</v>
      </c>
      <c r="M328" s="61">
        <v>38.1</v>
      </c>
      <c r="N328" s="61">
        <v>46.9</v>
      </c>
      <c r="O328" s="85">
        <v>17</v>
      </c>
      <c r="P328" s="105"/>
      <c r="Q328" s="87">
        <f t="shared" si="31"/>
        <v>1.6343938381523763E-2</v>
      </c>
      <c r="R328" s="87">
        <f t="shared" si="34"/>
        <v>1.4766328017569417E-2</v>
      </c>
      <c r="S328" s="87">
        <f t="shared" si="34"/>
        <v>2.4567709613057504E-2</v>
      </c>
      <c r="T328" s="87">
        <f t="shared" si="34"/>
        <v>2.5479085300984968E-2</v>
      </c>
      <c r="U328" s="87">
        <f t="shared" si="34"/>
        <v>2.9754261081792716E-2</v>
      </c>
      <c r="V328" s="87">
        <f t="shared" si="34"/>
        <v>3.5273405179684406E-3</v>
      </c>
      <c r="W328" s="87">
        <f t="shared" si="34"/>
        <v>0</v>
      </c>
      <c r="X328" s="87">
        <f t="shared" si="33"/>
        <v>7.6045993852192125E-3</v>
      </c>
      <c r="Y328" s="87">
        <f t="shared" si="32"/>
        <v>1.8253440309350517E-2</v>
      </c>
      <c r="Z328" s="87">
        <f t="shared" si="32"/>
        <v>2.061928720273561E-2</v>
      </c>
      <c r="AA328" s="87">
        <f t="shared" si="32"/>
        <v>0</v>
      </c>
      <c r="AB328" s="87">
        <f t="shared" si="32"/>
        <v>3.4716436957770241E-2</v>
      </c>
      <c r="AC328" s="87">
        <f t="shared" si="32"/>
        <v>4.2735107773818641E-3</v>
      </c>
      <c r="AD328" s="87">
        <f t="shared" si="32"/>
        <v>5.899722127188322E-3</v>
      </c>
      <c r="AE328" s="90">
        <f t="shared" si="30"/>
        <v>2.0843735938920586E-2</v>
      </c>
      <c r="AF328" s="89"/>
    </row>
    <row r="329" spans="1:32" ht="15.5" x14ac:dyDescent="0.35">
      <c r="A329" s="82">
        <v>40245</v>
      </c>
      <c r="B329" s="83">
        <v>7292.5</v>
      </c>
      <c r="C329" s="84">
        <v>2332.1999999999998</v>
      </c>
      <c r="D329" s="61">
        <v>280.8</v>
      </c>
      <c r="E329" s="61">
        <v>16.3</v>
      </c>
      <c r="F329" s="61">
        <v>31.2</v>
      </c>
      <c r="G329" s="61">
        <v>28.5</v>
      </c>
      <c r="H329" s="61">
        <v>62.1</v>
      </c>
      <c r="I329" s="61">
        <v>13.5</v>
      </c>
      <c r="J329" s="61">
        <v>39.1</v>
      </c>
      <c r="K329" s="61">
        <v>30.2</v>
      </c>
      <c r="L329" s="61">
        <v>37.1</v>
      </c>
      <c r="M329" s="61">
        <v>40</v>
      </c>
      <c r="N329" s="61">
        <v>47.1</v>
      </c>
      <c r="O329" s="85">
        <v>17</v>
      </c>
      <c r="P329" s="105"/>
      <c r="Q329" s="87">
        <f t="shared" si="31"/>
        <v>1.6456616282570233E-4</v>
      </c>
      <c r="R329" s="87">
        <f t="shared" si="34"/>
        <v>2.4900197470321224E-3</v>
      </c>
      <c r="S329" s="87">
        <f t="shared" si="34"/>
        <v>2.1390382487494423E-3</v>
      </c>
      <c r="T329" s="87">
        <f t="shared" si="34"/>
        <v>2.4845998586530804E-2</v>
      </c>
      <c r="U329" s="87">
        <f t="shared" si="34"/>
        <v>1.6155440222285208E-2</v>
      </c>
      <c r="V329" s="87">
        <f t="shared" si="34"/>
        <v>3.5149421074445919E-3</v>
      </c>
      <c r="W329" s="87">
        <f t="shared" si="34"/>
        <v>1.7872124766121829E-2</v>
      </c>
      <c r="X329" s="87">
        <f t="shared" si="33"/>
        <v>2.2472855852058576E-2</v>
      </c>
      <c r="Y329" s="87">
        <f t="shared" si="32"/>
        <v>1.0282866955583836E-2</v>
      </c>
      <c r="Z329" s="87">
        <f t="shared" si="32"/>
        <v>2.6847250036188056E-2</v>
      </c>
      <c r="AA329" s="87">
        <f t="shared" si="32"/>
        <v>5.4054185669079819E-3</v>
      </c>
      <c r="AB329" s="87">
        <f t="shared" si="32"/>
        <v>4.8665171981281008E-2</v>
      </c>
      <c r="AC329" s="87">
        <f t="shared" si="32"/>
        <v>4.255325570138491E-3</v>
      </c>
      <c r="AD329" s="87">
        <f t="shared" si="32"/>
        <v>0</v>
      </c>
      <c r="AE329" s="90">
        <f t="shared" si="30"/>
        <v>5.992082969191341E-3</v>
      </c>
      <c r="AF329" s="89"/>
    </row>
    <row r="330" spans="1:32" ht="15.5" x14ac:dyDescent="0.35">
      <c r="A330" s="82">
        <v>40246</v>
      </c>
      <c r="B330" s="83">
        <v>7294</v>
      </c>
      <c r="C330" s="84">
        <v>2340.6999999999998</v>
      </c>
      <c r="D330" s="61">
        <v>278.5</v>
      </c>
      <c r="E330" s="61">
        <v>16.399999999999999</v>
      </c>
      <c r="F330" s="61">
        <v>31.1</v>
      </c>
      <c r="G330" s="61">
        <v>28.6</v>
      </c>
      <c r="H330" s="61">
        <v>62</v>
      </c>
      <c r="I330" s="61">
        <v>13.5</v>
      </c>
      <c r="J330" s="61">
        <v>38.9</v>
      </c>
      <c r="K330" s="61">
        <v>30</v>
      </c>
      <c r="L330" s="61">
        <v>36.799999999999997</v>
      </c>
      <c r="M330" s="61">
        <v>40.5</v>
      </c>
      <c r="N330" s="61">
        <v>47.2</v>
      </c>
      <c r="O330" s="85">
        <v>17.100000000000001</v>
      </c>
      <c r="P330" s="105"/>
      <c r="Q330" s="87">
        <f t="shared" si="31"/>
        <v>2.056696267491476E-4</v>
      </c>
      <c r="R330" s="87">
        <f t="shared" si="34"/>
        <v>3.638001829626124E-3</v>
      </c>
      <c r="S330" s="87">
        <f t="shared" si="34"/>
        <v>-8.224612784317388E-3</v>
      </c>
      <c r="T330" s="87">
        <f t="shared" si="34"/>
        <v>6.1162270174360536E-3</v>
      </c>
      <c r="U330" s="87">
        <f t="shared" si="34"/>
        <v>-3.2102756302480988E-3</v>
      </c>
      <c r="V330" s="87">
        <f t="shared" si="34"/>
        <v>3.5026305512020745E-3</v>
      </c>
      <c r="W330" s="87">
        <f t="shared" si="34"/>
        <v>-1.6116038943415328E-3</v>
      </c>
      <c r="X330" s="87">
        <f t="shared" si="33"/>
        <v>0</v>
      </c>
      <c r="Y330" s="87">
        <f t="shared" si="32"/>
        <v>-5.1282163669195665E-3</v>
      </c>
      <c r="Z330" s="87">
        <f t="shared" si="32"/>
        <v>-6.6445427186685013E-3</v>
      </c>
      <c r="AA330" s="87">
        <f t="shared" ref="AA330:AD393" si="35">+LN(L330/L329)</f>
        <v>-8.1191244385043528E-3</v>
      </c>
      <c r="AB330" s="87">
        <f t="shared" si="35"/>
        <v>1.242251999855711E-2</v>
      </c>
      <c r="AC330" s="87">
        <f t="shared" si="35"/>
        <v>2.1208915691376296E-3</v>
      </c>
      <c r="AD330" s="87">
        <f t="shared" si="35"/>
        <v>5.8651194523980576E-3</v>
      </c>
      <c r="AE330" s="90">
        <f t="shared" si="30"/>
        <v>-1.5224353917590938E-3</v>
      </c>
      <c r="AF330" s="89"/>
    </row>
    <row r="331" spans="1:32" ht="15.5" x14ac:dyDescent="0.35">
      <c r="A331" s="82">
        <v>40247</v>
      </c>
      <c r="B331" s="83">
        <v>7327.7</v>
      </c>
      <c r="C331" s="84">
        <v>2358.9</v>
      </c>
      <c r="D331" s="61">
        <v>281.39999999999998</v>
      </c>
      <c r="E331" s="61">
        <v>16.5</v>
      </c>
      <c r="F331" s="61">
        <v>31.9</v>
      </c>
      <c r="G331" s="61">
        <v>28.8</v>
      </c>
      <c r="H331" s="61">
        <v>61.9</v>
      </c>
      <c r="I331" s="61">
        <v>13.4</v>
      </c>
      <c r="J331" s="61">
        <v>39.200000000000003</v>
      </c>
      <c r="K331" s="61">
        <v>30</v>
      </c>
      <c r="L331" s="61">
        <v>36.5</v>
      </c>
      <c r="M331" s="61">
        <v>40.799999999999997</v>
      </c>
      <c r="N331" s="61">
        <v>47.1</v>
      </c>
      <c r="O331" s="85">
        <v>17.100000000000001</v>
      </c>
      <c r="P331" s="105"/>
      <c r="Q331" s="87">
        <f t="shared" si="31"/>
        <v>4.6095952826935944E-3</v>
      </c>
      <c r="R331" s="87">
        <f t="shared" si="34"/>
        <v>7.7453787497213586E-3</v>
      </c>
      <c r="S331" s="87">
        <f t="shared" si="34"/>
        <v>1.0359085312949923E-2</v>
      </c>
      <c r="T331" s="87">
        <f t="shared" si="34"/>
        <v>6.0790460763821925E-3</v>
      </c>
      <c r="U331" s="87">
        <f t="shared" si="34"/>
        <v>2.5398190605610403E-2</v>
      </c>
      <c r="V331" s="87">
        <f t="shared" si="34"/>
        <v>6.9686693160932152E-3</v>
      </c>
      <c r="W331" s="87">
        <f t="shared" si="34"/>
        <v>-1.6142053545411135E-3</v>
      </c>
      <c r="X331" s="87">
        <f t="shared" si="33"/>
        <v>-7.4349784875180902E-3</v>
      </c>
      <c r="Y331" s="87">
        <f t="shared" si="33"/>
        <v>7.6824961720164311E-3</v>
      </c>
      <c r="Z331" s="87">
        <f t="shared" si="33"/>
        <v>0</v>
      </c>
      <c r="AA331" s="87">
        <f t="shared" si="35"/>
        <v>-8.1855845864392939E-3</v>
      </c>
      <c r="AB331" s="87">
        <f t="shared" si="35"/>
        <v>7.38010729762246E-3</v>
      </c>
      <c r="AC331" s="87">
        <f t="shared" si="35"/>
        <v>-2.1208915691376244E-3</v>
      </c>
      <c r="AD331" s="87">
        <f t="shared" si="35"/>
        <v>0</v>
      </c>
      <c r="AE331" s="90">
        <f t="shared" si="30"/>
        <v>1.2616767597168822E-2</v>
      </c>
      <c r="AF331" s="89"/>
    </row>
    <row r="332" spans="1:32" ht="15.5" x14ac:dyDescent="0.35">
      <c r="A332" s="82">
        <v>40248</v>
      </c>
      <c r="B332" s="83">
        <v>7353.2</v>
      </c>
      <c r="C332" s="84">
        <v>2368.5</v>
      </c>
      <c r="D332" s="61">
        <v>287.39999999999998</v>
      </c>
      <c r="E332" s="61">
        <v>16.100000000000001</v>
      </c>
      <c r="F332" s="61">
        <v>31.9</v>
      </c>
      <c r="G332" s="61">
        <v>28.9</v>
      </c>
      <c r="H332" s="61">
        <v>62.9</v>
      </c>
      <c r="I332" s="61">
        <v>13.4</v>
      </c>
      <c r="J332" s="61">
        <v>38.700000000000003</v>
      </c>
      <c r="K332" s="61">
        <v>29.9</v>
      </c>
      <c r="L332" s="61">
        <v>36.1</v>
      </c>
      <c r="M332" s="61">
        <v>41.5</v>
      </c>
      <c r="N332" s="61">
        <v>47.1</v>
      </c>
      <c r="O332" s="85">
        <v>17.2</v>
      </c>
      <c r="P332" s="105"/>
      <c r="Q332" s="87">
        <f t="shared" si="31"/>
        <v>3.4739049573973765E-3</v>
      </c>
      <c r="R332" s="87">
        <f t="shared" si="34"/>
        <v>4.0614346982263587E-3</v>
      </c>
      <c r="S332" s="87">
        <f t="shared" si="34"/>
        <v>2.109782896463596E-2</v>
      </c>
      <c r="T332" s="87">
        <f t="shared" si="34"/>
        <v>-2.4541108916117545E-2</v>
      </c>
      <c r="U332" s="87">
        <f t="shared" si="34"/>
        <v>0</v>
      </c>
      <c r="V332" s="87">
        <f t="shared" si="34"/>
        <v>3.4662079764861075E-3</v>
      </c>
      <c r="W332" s="87">
        <f t="shared" si="34"/>
        <v>1.6025984015844395E-2</v>
      </c>
      <c r="X332" s="87">
        <f t="shared" si="33"/>
        <v>0</v>
      </c>
      <c r="Y332" s="87">
        <f t="shared" si="33"/>
        <v>-1.2837146760680719E-2</v>
      </c>
      <c r="Z332" s="87">
        <f t="shared" si="33"/>
        <v>-3.3389012655147096E-3</v>
      </c>
      <c r="AA332" s="87">
        <f t="shared" si="35"/>
        <v>-1.1019395249610538E-2</v>
      </c>
      <c r="AB332" s="87">
        <f t="shared" si="35"/>
        <v>1.7011345826536756E-2</v>
      </c>
      <c r="AC332" s="87">
        <f t="shared" si="35"/>
        <v>0</v>
      </c>
      <c r="AD332" s="87">
        <f t="shared" si="35"/>
        <v>5.8309203107931437E-3</v>
      </c>
      <c r="AE332" s="90">
        <f t="shared" si="30"/>
        <v>8.1028388051637198E-3</v>
      </c>
      <c r="AF332" s="89"/>
    </row>
    <row r="333" spans="1:32" ht="15.5" x14ac:dyDescent="0.35">
      <c r="A333" s="82">
        <v>40249</v>
      </c>
      <c r="B333" s="83">
        <v>7362.9</v>
      </c>
      <c r="C333" s="84">
        <v>2367.6999999999998</v>
      </c>
      <c r="D333" s="61">
        <v>289.89999999999998</v>
      </c>
      <c r="E333" s="61">
        <v>16.3</v>
      </c>
      <c r="F333" s="61">
        <v>32.299999999999997</v>
      </c>
      <c r="G333" s="61">
        <v>29</v>
      </c>
      <c r="H333" s="61">
        <v>62.5</v>
      </c>
      <c r="I333" s="61">
        <v>13.7</v>
      </c>
      <c r="J333" s="61">
        <v>41</v>
      </c>
      <c r="K333" s="61">
        <v>30.2</v>
      </c>
      <c r="L333" s="61">
        <v>36.700000000000003</v>
      </c>
      <c r="M333" s="61">
        <v>41.9</v>
      </c>
      <c r="N333" s="61">
        <v>47.6</v>
      </c>
      <c r="O333" s="85">
        <v>17.399999999999999</v>
      </c>
      <c r="P333" s="105"/>
      <c r="Q333" s="87">
        <f t="shared" si="31"/>
        <v>1.3182842471551712E-3</v>
      </c>
      <c r="R333" s="87">
        <f t="shared" si="34"/>
        <v>-3.3782357485267789E-4</v>
      </c>
      <c r="S333" s="87">
        <f t="shared" si="34"/>
        <v>8.6610622826853358E-3</v>
      </c>
      <c r="T333" s="87">
        <f t="shared" si="34"/>
        <v>1.2345835822299362E-2</v>
      </c>
      <c r="U333" s="87">
        <f t="shared" si="34"/>
        <v>1.2461220437812033E-2</v>
      </c>
      <c r="V333" s="87">
        <f t="shared" si="34"/>
        <v>3.4542348680876036E-3</v>
      </c>
      <c r="W333" s="87">
        <f t="shared" si="34"/>
        <v>-6.3796069640390399E-3</v>
      </c>
      <c r="X333" s="87">
        <f t="shared" si="33"/>
        <v>2.2141125877213501E-2</v>
      </c>
      <c r="Y333" s="87">
        <f t="shared" si="33"/>
        <v>5.7732466668571708E-2</v>
      </c>
      <c r="Z333" s="87">
        <f t="shared" si="33"/>
        <v>9.9834439841832052E-3</v>
      </c>
      <c r="AA333" s="87">
        <f t="shared" si="35"/>
        <v>1.6483889721689415E-2</v>
      </c>
      <c r="AB333" s="87">
        <f t="shared" si="35"/>
        <v>9.5923996914395078E-3</v>
      </c>
      <c r="AC333" s="87">
        <f t="shared" si="35"/>
        <v>1.0559760215002253E-2</v>
      </c>
      <c r="AD333" s="87">
        <f t="shared" si="35"/>
        <v>1.1560822401076006E-2</v>
      </c>
      <c r="AE333" s="90">
        <f t="shared" si="30"/>
        <v>7.4027336224635858E-3</v>
      </c>
      <c r="AF333" s="89"/>
    </row>
    <row r="334" spans="1:32" ht="15.5" x14ac:dyDescent="0.35">
      <c r="A334" s="82">
        <v>40252</v>
      </c>
      <c r="B334" s="83">
        <v>7351</v>
      </c>
      <c r="C334" s="84">
        <v>2362.1999999999998</v>
      </c>
      <c r="D334" s="61">
        <v>278.3</v>
      </c>
      <c r="E334" s="61">
        <v>16.3</v>
      </c>
      <c r="F334" s="61">
        <v>31.5</v>
      </c>
      <c r="G334" s="61">
        <v>29</v>
      </c>
      <c r="H334" s="61">
        <v>62.6</v>
      </c>
      <c r="I334" s="61">
        <v>13.5</v>
      </c>
      <c r="J334" s="61">
        <v>41.1</v>
      </c>
      <c r="K334" s="61">
        <v>30.2</v>
      </c>
      <c r="L334" s="61">
        <v>37</v>
      </c>
      <c r="M334" s="61">
        <v>41.6</v>
      </c>
      <c r="N334" s="61">
        <v>48.3</v>
      </c>
      <c r="O334" s="85">
        <v>17.399999999999999</v>
      </c>
      <c r="P334" s="105"/>
      <c r="Q334" s="87">
        <f t="shared" ref="Q334:Q397" si="36">+LN(B334/B333)</f>
        <v>-1.6175184817842213E-3</v>
      </c>
      <c r="R334" s="87">
        <f t="shared" si="34"/>
        <v>-2.3256316112070653E-3</v>
      </c>
      <c r="S334" s="87">
        <f t="shared" si="34"/>
        <v>-4.0836367395764635E-2</v>
      </c>
      <c r="T334" s="87">
        <f t="shared" si="34"/>
        <v>0</v>
      </c>
      <c r="U334" s="87">
        <f t="shared" si="34"/>
        <v>-2.5079684397023429E-2</v>
      </c>
      <c r="V334" s="87">
        <f t="shared" si="34"/>
        <v>0</v>
      </c>
      <c r="W334" s="87">
        <f t="shared" si="34"/>
        <v>1.5987213636970735E-3</v>
      </c>
      <c r="X334" s="87">
        <f t="shared" si="33"/>
        <v>-1.4706147389695449E-2</v>
      </c>
      <c r="Y334" s="87">
        <f t="shared" si="33"/>
        <v>2.436054797881121E-3</v>
      </c>
      <c r="Z334" s="87">
        <f t="shared" si="33"/>
        <v>0</v>
      </c>
      <c r="AA334" s="87">
        <f t="shared" si="35"/>
        <v>8.1411575836998658E-3</v>
      </c>
      <c r="AB334" s="87">
        <f t="shared" si="35"/>
        <v>-7.1856596608743739E-3</v>
      </c>
      <c r="AC334" s="87">
        <f t="shared" si="35"/>
        <v>1.4598799421152631E-2</v>
      </c>
      <c r="AD334" s="87">
        <f t="shared" si="35"/>
        <v>0</v>
      </c>
      <c r="AE334" s="90">
        <f t="shared" si="30"/>
        <v>-1.9823794158785251E-2</v>
      </c>
      <c r="AF334" s="89"/>
    </row>
    <row r="335" spans="1:32" ht="15.5" x14ac:dyDescent="0.35">
      <c r="A335" s="82">
        <v>40253</v>
      </c>
      <c r="B335" s="83">
        <v>7426.7</v>
      </c>
      <c r="C335" s="84">
        <v>2378</v>
      </c>
      <c r="D335" s="61">
        <v>280.7</v>
      </c>
      <c r="E335" s="61">
        <v>16.2</v>
      </c>
      <c r="F335" s="61">
        <v>31.8</v>
      </c>
      <c r="G335" s="61">
        <v>29.2</v>
      </c>
      <c r="H335" s="61">
        <v>63.2</v>
      </c>
      <c r="I335" s="61">
        <v>13.5</v>
      </c>
      <c r="J335" s="61">
        <v>42.2</v>
      </c>
      <c r="K335" s="61">
        <v>30.5</v>
      </c>
      <c r="L335" s="61">
        <v>37.4</v>
      </c>
      <c r="M335" s="61">
        <v>42.1</v>
      </c>
      <c r="N335" s="61">
        <v>48.5</v>
      </c>
      <c r="O335" s="85">
        <v>17.5</v>
      </c>
      <c r="P335" s="105"/>
      <c r="Q335" s="87">
        <f t="shared" si="36"/>
        <v>1.0245256319291504E-2</v>
      </c>
      <c r="R335" s="87">
        <f t="shared" si="34"/>
        <v>6.6664100729804448E-3</v>
      </c>
      <c r="S335" s="87">
        <f t="shared" si="34"/>
        <v>8.5868148359917029E-3</v>
      </c>
      <c r="T335" s="87">
        <f t="shared" si="34"/>
        <v>-6.1538655743783354E-3</v>
      </c>
      <c r="U335" s="87">
        <f t="shared" si="34"/>
        <v>9.4787439545437387E-3</v>
      </c>
      <c r="V335" s="87">
        <f t="shared" si="34"/>
        <v>6.8728792877620504E-3</v>
      </c>
      <c r="W335" s="87">
        <f t="shared" si="34"/>
        <v>9.5390230467589099E-3</v>
      </c>
      <c r="X335" s="87">
        <f t="shared" si="33"/>
        <v>0</v>
      </c>
      <c r="Y335" s="87">
        <f t="shared" si="33"/>
        <v>2.6412099539777276E-2</v>
      </c>
      <c r="Z335" s="87">
        <f t="shared" si="33"/>
        <v>9.8847592325419249E-3</v>
      </c>
      <c r="AA335" s="87">
        <f t="shared" si="35"/>
        <v>1.0752791776261697E-2</v>
      </c>
      <c r="AB335" s="87">
        <f t="shared" si="35"/>
        <v>1.1947573421118202E-2</v>
      </c>
      <c r="AC335" s="87">
        <f t="shared" si="35"/>
        <v>4.1322372849105912E-3</v>
      </c>
      <c r="AD335" s="87">
        <f t="shared" si="35"/>
        <v>5.7306747089850745E-3</v>
      </c>
      <c r="AE335" s="90">
        <f t="shared" ref="AE335:AE398" si="37">+SUMPRODUCT(Q335:AD335,$Q$8:$AD$8)</f>
        <v>7.9190548094908823E-3</v>
      </c>
      <c r="AF335" s="89"/>
    </row>
    <row r="336" spans="1:32" ht="15.5" x14ac:dyDescent="0.35">
      <c r="A336" s="82">
        <v>40254</v>
      </c>
      <c r="B336" s="83">
        <v>7474.1</v>
      </c>
      <c r="C336" s="84">
        <v>2389.1</v>
      </c>
      <c r="D336" s="61">
        <v>282.39999999999998</v>
      </c>
      <c r="E336" s="61">
        <v>16.3</v>
      </c>
      <c r="F336" s="61">
        <v>31.9</v>
      </c>
      <c r="G336" s="61">
        <v>29.4</v>
      </c>
      <c r="H336" s="61">
        <v>63.7</v>
      </c>
      <c r="I336" s="61">
        <v>13.4</v>
      </c>
      <c r="J336" s="61">
        <v>41.7</v>
      </c>
      <c r="K336" s="61">
        <v>30.6</v>
      </c>
      <c r="L336" s="61">
        <v>37.6</v>
      </c>
      <c r="M336" s="61">
        <v>42.9</v>
      </c>
      <c r="N336" s="61">
        <v>48.3</v>
      </c>
      <c r="O336" s="85">
        <v>17.600000000000001</v>
      </c>
      <c r="P336" s="105"/>
      <c r="Q336" s="87">
        <f t="shared" si="36"/>
        <v>6.3620959788923716E-3</v>
      </c>
      <c r="R336" s="87">
        <f t="shared" si="34"/>
        <v>4.6569277172474194E-3</v>
      </c>
      <c r="S336" s="87">
        <f t="shared" si="34"/>
        <v>6.0380222512502555E-3</v>
      </c>
      <c r="T336" s="87">
        <f t="shared" si="34"/>
        <v>6.1538655743782859E-3</v>
      </c>
      <c r="U336" s="87">
        <f t="shared" si="34"/>
        <v>3.1397200046676247E-3</v>
      </c>
      <c r="V336" s="87">
        <f t="shared" si="34"/>
        <v>6.8259650703998906E-3</v>
      </c>
      <c r="W336" s="87">
        <f t="shared" si="34"/>
        <v>7.8802614253059653E-3</v>
      </c>
      <c r="X336" s="87">
        <f t="shared" si="33"/>
        <v>-7.4349784875180902E-3</v>
      </c>
      <c r="Y336" s="87">
        <f t="shared" si="33"/>
        <v>-1.1919092237210311E-2</v>
      </c>
      <c r="Z336" s="87">
        <f t="shared" si="33"/>
        <v>3.2733253449691085E-3</v>
      </c>
      <c r="AA336" s="87">
        <f t="shared" si="35"/>
        <v>5.3333459753626029E-3</v>
      </c>
      <c r="AB336" s="87">
        <f t="shared" si="35"/>
        <v>1.8824085245635398E-2</v>
      </c>
      <c r="AC336" s="87">
        <f t="shared" si="35"/>
        <v>-4.1322372849106059E-3</v>
      </c>
      <c r="AD336" s="87">
        <f t="shared" si="35"/>
        <v>5.6980211146377959E-3</v>
      </c>
      <c r="AE336" s="90">
        <f t="shared" si="37"/>
        <v>4.7539772666547863E-3</v>
      </c>
      <c r="AF336" s="89"/>
    </row>
    <row r="337" spans="1:32" ht="15.5" x14ac:dyDescent="0.35">
      <c r="A337" s="82">
        <v>40255</v>
      </c>
      <c r="B337" s="83">
        <v>7443.6</v>
      </c>
      <c r="C337" s="84">
        <v>2391.3000000000002</v>
      </c>
      <c r="D337" s="61">
        <v>281.8</v>
      </c>
      <c r="E337" s="61">
        <v>16.3</v>
      </c>
      <c r="F337" s="61">
        <v>31.8</v>
      </c>
      <c r="G337" s="61">
        <v>29.5</v>
      </c>
      <c r="H337" s="61">
        <v>63.9</v>
      </c>
      <c r="I337" s="61">
        <v>13.2</v>
      </c>
      <c r="J337" s="61">
        <v>40.5</v>
      </c>
      <c r="K337" s="61">
        <v>31</v>
      </c>
      <c r="L337" s="61">
        <v>37.9</v>
      </c>
      <c r="M337" s="61">
        <v>42.2</v>
      </c>
      <c r="N337" s="61">
        <v>47.4</v>
      </c>
      <c r="O337" s="85">
        <v>18.3</v>
      </c>
      <c r="P337" s="105"/>
      <c r="Q337" s="87">
        <f t="shared" si="36"/>
        <v>-4.0891079051994846E-3</v>
      </c>
      <c r="R337" s="87">
        <f t="shared" si="34"/>
        <v>9.204251340125774E-4</v>
      </c>
      <c r="S337" s="87">
        <f t="shared" si="34"/>
        <v>-2.1269061545070678E-3</v>
      </c>
      <c r="T337" s="87">
        <f t="shared" si="34"/>
        <v>0</v>
      </c>
      <c r="U337" s="87">
        <f t="shared" si="34"/>
        <v>-3.1397200046676412E-3</v>
      </c>
      <c r="V337" s="87">
        <f t="shared" si="34"/>
        <v>3.3955890011383287E-3</v>
      </c>
      <c r="W337" s="87">
        <f t="shared" si="34"/>
        <v>3.1347988053714785E-3</v>
      </c>
      <c r="X337" s="87">
        <f t="shared" si="33"/>
        <v>-1.5037877364540559E-2</v>
      </c>
      <c r="Y337" s="87">
        <f t="shared" si="33"/>
        <v>-2.9199154692262353E-2</v>
      </c>
      <c r="Z337" s="87">
        <f t="shared" si="33"/>
        <v>1.2987195526811112E-2</v>
      </c>
      <c r="AA337" s="87">
        <f t="shared" si="35"/>
        <v>7.9470616925317195E-3</v>
      </c>
      <c r="AB337" s="87">
        <f t="shared" si="35"/>
        <v>-1.6451604892005055E-2</v>
      </c>
      <c r="AC337" s="87">
        <f t="shared" si="35"/>
        <v>-1.8809331957496116E-2</v>
      </c>
      <c r="AD337" s="87">
        <f t="shared" si="35"/>
        <v>3.9002157803269176E-2</v>
      </c>
      <c r="AE337" s="90">
        <f t="shared" si="37"/>
        <v>3.4960895899025144E-3</v>
      </c>
      <c r="AF337" s="89"/>
    </row>
    <row r="338" spans="1:32" ht="15.5" x14ac:dyDescent="0.35">
      <c r="A338" s="82">
        <v>40256</v>
      </c>
      <c r="B338" s="83">
        <v>7386.9</v>
      </c>
      <c r="C338" s="84">
        <v>2374.4</v>
      </c>
      <c r="D338" s="61">
        <v>278.89999999999998</v>
      </c>
      <c r="E338" s="61">
        <v>16.3</v>
      </c>
      <c r="F338" s="61">
        <v>31.6</v>
      </c>
      <c r="G338" s="61">
        <v>29.4</v>
      </c>
      <c r="H338" s="61">
        <v>64</v>
      </c>
      <c r="I338" s="61">
        <v>12.9</v>
      </c>
      <c r="J338" s="61">
        <v>39.9</v>
      </c>
      <c r="K338" s="61">
        <v>31.1</v>
      </c>
      <c r="L338" s="61">
        <v>37.9</v>
      </c>
      <c r="M338" s="61">
        <v>41.7</v>
      </c>
      <c r="N338" s="61">
        <v>46.6</v>
      </c>
      <c r="O338" s="85">
        <v>18.3</v>
      </c>
      <c r="P338" s="105"/>
      <c r="Q338" s="87">
        <f t="shared" si="36"/>
        <v>-7.6464416252128809E-3</v>
      </c>
      <c r="R338" s="87">
        <f t="shared" si="34"/>
        <v>-7.0923771289258782E-3</v>
      </c>
      <c r="S338" s="87">
        <f t="shared" si="34"/>
        <v>-1.0344304831136696E-2</v>
      </c>
      <c r="T338" s="87">
        <f t="shared" ref="T338:Z385" si="38">+LN(E338/E337)</f>
        <v>0</v>
      </c>
      <c r="U338" s="87">
        <f t="shared" si="38"/>
        <v>-6.309169193264721E-3</v>
      </c>
      <c r="V338" s="87">
        <f t="shared" si="38"/>
        <v>-3.3955890011382718E-3</v>
      </c>
      <c r="W338" s="87">
        <f t="shared" si="38"/>
        <v>1.5637219761827589E-3</v>
      </c>
      <c r="X338" s="87">
        <f t="shared" si="33"/>
        <v>-2.2989518224698604E-2</v>
      </c>
      <c r="Y338" s="87">
        <f t="shared" si="33"/>
        <v>-1.4925650216675706E-2</v>
      </c>
      <c r="Z338" s="87">
        <f t="shared" si="33"/>
        <v>3.2206147000421572E-3</v>
      </c>
      <c r="AA338" s="87">
        <f t="shared" si="35"/>
        <v>0</v>
      </c>
      <c r="AB338" s="87">
        <f t="shared" si="35"/>
        <v>-1.1919092237210311E-2</v>
      </c>
      <c r="AC338" s="87">
        <f t="shared" si="35"/>
        <v>-1.7021687569430524E-2</v>
      </c>
      <c r="AD338" s="87">
        <f t="shared" si="35"/>
        <v>0</v>
      </c>
      <c r="AE338" s="90">
        <f t="shared" si="37"/>
        <v>-6.9584099062822953E-3</v>
      </c>
      <c r="AF338" s="89"/>
    </row>
    <row r="339" spans="1:32" ht="15.5" x14ac:dyDescent="0.35">
      <c r="A339" s="82">
        <v>40259</v>
      </c>
      <c r="B339" s="83">
        <v>7419</v>
      </c>
      <c r="C339" s="84">
        <v>2395.4</v>
      </c>
      <c r="D339" s="61">
        <v>277.39999999999998</v>
      </c>
      <c r="E339" s="61">
        <v>16.3</v>
      </c>
      <c r="F339" s="61">
        <v>31.5</v>
      </c>
      <c r="G339" s="61">
        <v>29.4</v>
      </c>
      <c r="H339" s="61">
        <v>64</v>
      </c>
      <c r="I339" s="61">
        <v>12.8</v>
      </c>
      <c r="J339" s="61">
        <v>39.700000000000003</v>
      </c>
      <c r="K339" s="61">
        <v>30.7</v>
      </c>
      <c r="L339" s="61">
        <v>38</v>
      </c>
      <c r="M339" s="61">
        <v>41.1</v>
      </c>
      <c r="N339" s="61">
        <v>46.4</v>
      </c>
      <c r="O339" s="85">
        <v>18.2</v>
      </c>
      <c r="P339" s="105"/>
      <c r="Q339" s="87">
        <f t="shared" si="36"/>
        <v>4.3361160476665201E-3</v>
      </c>
      <c r="R339" s="87">
        <f t="shared" ref="R339:AC396" si="39">+LN(C339/C338)</f>
        <v>8.8054575403450058E-3</v>
      </c>
      <c r="S339" s="87">
        <f t="shared" si="39"/>
        <v>-5.3927867527120135E-3</v>
      </c>
      <c r="T339" s="87">
        <f t="shared" si="38"/>
        <v>0</v>
      </c>
      <c r="U339" s="87">
        <f t="shared" si="38"/>
        <v>-3.1695747612790672E-3</v>
      </c>
      <c r="V339" s="87">
        <f t="shared" si="38"/>
        <v>0</v>
      </c>
      <c r="W339" s="87">
        <f t="shared" si="38"/>
        <v>0</v>
      </c>
      <c r="X339" s="87">
        <f t="shared" si="33"/>
        <v>-7.7821404420549628E-3</v>
      </c>
      <c r="Y339" s="87">
        <f t="shared" si="33"/>
        <v>-5.0251362026729317E-3</v>
      </c>
      <c r="Z339" s="87">
        <f t="shared" si="33"/>
        <v>-1.2945164592037076E-2</v>
      </c>
      <c r="AA339" s="87">
        <f t="shared" si="35"/>
        <v>2.6350476380052534E-3</v>
      </c>
      <c r="AB339" s="87">
        <f t="shared" si="35"/>
        <v>-1.4493007302566864E-2</v>
      </c>
      <c r="AC339" s="87">
        <f t="shared" si="35"/>
        <v>-4.3010818993906973E-3</v>
      </c>
      <c r="AD339" s="87">
        <f t="shared" si="35"/>
        <v>-5.4794657646257076E-3</v>
      </c>
      <c r="AE339" s="90">
        <f t="shared" si="37"/>
        <v>-5.1171713515879146E-4</v>
      </c>
      <c r="AF339" s="89"/>
    </row>
    <row r="340" spans="1:32" ht="15.5" x14ac:dyDescent="0.35">
      <c r="A340" s="82">
        <v>40260</v>
      </c>
      <c r="B340" s="83">
        <v>7478.9</v>
      </c>
      <c r="C340" s="84">
        <v>2415.1999999999998</v>
      </c>
      <c r="D340" s="61">
        <v>271.3</v>
      </c>
      <c r="E340" s="61">
        <v>16</v>
      </c>
      <c r="F340" s="61">
        <v>32</v>
      </c>
      <c r="G340" s="61">
        <v>29.4</v>
      </c>
      <c r="H340" s="61">
        <v>63.8</v>
      </c>
      <c r="I340" s="61">
        <v>12.9</v>
      </c>
      <c r="J340" s="61">
        <v>40.6</v>
      </c>
      <c r="K340" s="61">
        <v>31.8</v>
      </c>
      <c r="L340" s="61">
        <v>38.299999999999997</v>
      </c>
      <c r="M340" s="61">
        <v>41.3</v>
      </c>
      <c r="N340" s="61">
        <v>47</v>
      </c>
      <c r="O340" s="85">
        <v>18.5</v>
      </c>
      <c r="P340" s="105"/>
      <c r="Q340" s="87">
        <f t="shared" si="36"/>
        <v>8.0414451412585339E-3</v>
      </c>
      <c r="R340" s="87">
        <f t="shared" si="39"/>
        <v>8.2318678792224799E-3</v>
      </c>
      <c r="S340" s="87">
        <f t="shared" si="39"/>
        <v>-2.2235288215845011E-2</v>
      </c>
      <c r="T340" s="87">
        <f t="shared" si="38"/>
        <v>-1.8576385572935419E-2</v>
      </c>
      <c r="U340" s="87">
        <f t="shared" si="38"/>
        <v>1.5748356968139112E-2</v>
      </c>
      <c r="V340" s="87">
        <f t="shared" si="38"/>
        <v>0</v>
      </c>
      <c r="W340" s="87">
        <f t="shared" si="38"/>
        <v>-3.1298930089277044E-3</v>
      </c>
      <c r="X340" s="87">
        <f t="shared" si="33"/>
        <v>7.782140442054949E-3</v>
      </c>
      <c r="Y340" s="87">
        <f t="shared" si="33"/>
        <v>2.2416878914542273E-2</v>
      </c>
      <c r="Z340" s="87">
        <f t="shared" si="33"/>
        <v>3.5203635192979699E-2</v>
      </c>
      <c r="AA340" s="87">
        <f t="shared" si="35"/>
        <v>7.8637364602144513E-3</v>
      </c>
      <c r="AB340" s="87">
        <f t="shared" si="35"/>
        <v>4.854378464798143E-3</v>
      </c>
      <c r="AC340" s="87">
        <f t="shared" si="35"/>
        <v>1.2848142477849059E-2</v>
      </c>
      <c r="AD340" s="87">
        <f t="shared" si="35"/>
        <v>1.6349138001529411E-2</v>
      </c>
      <c r="AE340" s="90">
        <f t="shared" si="37"/>
        <v>2.4480681977909632E-3</v>
      </c>
      <c r="AF340" s="89"/>
    </row>
    <row r="341" spans="1:32" ht="15.5" x14ac:dyDescent="0.35">
      <c r="A341" s="82">
        <v>40261</v>
      </c>
      <c r="B341" s="83">
        <v>7408.2</v>
      </c>
      <c r="C341" s="84">
        <v>2398.8000000000002</v>
      </c>
      <c r="D341" s="61">
        <v>270.10000000000002</v>
      </c>
      <c r="E341" s="61">
        <v>15.9</v>
      </c>
      <c r="F341" s="61">
        <v>32.5</v>
      </c>
      <c r="G341" s="61">
        <v>29.6</v>
      </c>
      <c r="H341" s="61">
        <v>63</v>
      </c>
      <c r="I341" s="61">
        <v>13.2</v>
      </c>
      <c r="J341" s="61">
        <v>40.299999999999997</v>
      </c>
      <c r="K341" s="61">
        <v>32.700000000000003</v>
      </c>
      <c r="L341" s="61">
        <v>38</v>
      </c>
      <c r="M341" s="61">
        <v>41.9</v>
      </c>
      <c r="N341" s="61">
        <v>47.7</v>
      </c>
      <c r="O341" s="85">
        <v>18.3</v>
      </c>
      <c r="P341" s="105"/>
      <c r="Q341" s="87">
        <f t="shared" si="36"/>
        <v>-9.4982275290315041E-3</v>
      </c>
      <c r="R341" s="87">
        <f t="shared" si="39"/>
        <v>-6.8134870982742551E-3</v>
      </c>
      <c r="S341" s="87">
        <f t="shared" si="39"/>
        <v>-4.4329588663161116E-3</v>
      </c>
      <c r="T341" s="87">
        <f t="shared" si="38"/>
        <v>-6.2696130135953742E-3</v>
      </c>
      <c r="U341" s="87">
        <f t="shared" si="38"/>
        <v>1.5504186535965254E-2</v>
      </c>
      <c r="V341" s="87">
        <f t="shared" si="38"/>
        <v>6.7796869853787691E-3</v>
      </c>
      <c r="W341" s="87">
        <f t="shared" si="38"/>
        <v>-1.2618463959211462E-2</v>
      </c>
      <c r="X341" s="87">
        <f t="shared" si="33"/>
        <v>2.2989518224698562E-2</v>
      </c>
      <c r="Y341" s="87">
        <f t="shared" si="33"/>
        <v>-7.4165976550498187E-3</v>
      </c>
      <c r="Z341" s="87">
        <f t="shared" si="33"/>
        <v>2.7908788117076658E-2</v>
      </c>
      <c r="AA341" s="87">
        <f t="shared" si="35"/>
        <v>-7.8637364602144634E-3</v>
      </c>
      <c r="AB341" s="87">
        <f t="shared" si="35"/>
        <v>1.4423326961104906E-2</v>
      </c>
      <c r="AC341" s="87">
        <f t="shared" si="35"/>
        <v>1.4783796184236912E-2</v>
      </c>
      <c r="AD341" s="87">
        <f t="shared" si="35"/>
        <v>-1.0869672236903879E-2</v>
      </c>
      <c r="AE341" s="90">
        <f t="shared" si="37"/>
        <v>-2.2808397300228185E-4</v>
      </c>
      <c r="AF341" s="89"/>
    </row>
    <row r="342" spans="1:32" ht="15.5" x14ac:dyDescent="0.35">
      <c r="A342" s="82">
        <v>40262</v>
      </c>
      <c r="B342" s="83">
        <v>7385.6</v>
      </c>
      <c r="C342" s="84">
        <v>2397.4</v>
      </c>
      <c r="D342" s="61">
        <v>279.60000000000002</v>
      </c>
      <c r="E342" s="61">
        <v>16.100000000000001</v>
      </c>
      <c r="F342" s="61">
        <v>32.299999999999997</v>
      </c>
      <c r="G342" s="61">
        <v>29.8</v>
      </c>
      <c r="H342" s="61">
        <v>62.3</v>
      </c>
      <c r="I342" s="61">
        <v>13.1</v>
      </c>
      <c r="J342" s="61">
        <v>39.9</v>
      </c>
      <c r="K342" s="61">
        <v>32.799999999999997</v>
      </c>
      <c r="L342" s="61">
        <v>37.799999999999997</v>
      </c>
      <c r="M342" s="61">
        <v>42</v>
      </c>
      <c r="N342" s="61">
        <v>47.6</v>
      </c>
      <c r="O342" s="85">
        <v>18.399999999999999</v>
      </c>
      <c r="P342" s="105"/>
      <c r="Q342" s="87">
        <f t="shared" si="36"/>
        <v>-3.0553363680818637E-3</v>
      </c>
      <c r="R342" s="87">
        <f t="shared" si="39"/>
        <v>-5.8379552135533099E-4</v>
      </c>
      <c r="S342" s="87">
        <f t="shared" si="39"/>
        <v>3.4567749561085291E-2</v>
      </c>
      <c r="T342" s="87">
        <f t="shared" si="38"/>
        <v>1.2500162764231468E-2</v>
      </c>
      <c r="U342" s="87">
        <f t="shared" si="38"/>
        <v>-6.1728591070810794E-3</v>
      </c>
      <c r="V342" s="87">
        <f t="shared" si="38"/>
        <v>6.7340321813441194E-3</v>
      </c>
      <c r="W342" s="87">
        <f t="shared" si="38"/>
        <v>-1.1173300598125302E-2</v>
      </c>
      <c r="X342" s="87">
        <f t="shared" si="33"/>
        <v>-7.6045993852193036E-3</v>
      </c>
      <c r="Y342" s="87">
        <f t="shared" si="33"/>
        <v>-9.9751450568195087E-3</v>
      </c>
      <c r="Z342" s="87">
        <f t="shared" si="33"/>
        <v>3.0534374868902482E-3</v>
      </c>
      <c r="AA342" s="87">
        <f t="shared" si="35"/>
        <v>-5.2770571008438931E-3</v>
      </c>
      <c r="AB342" s="87">
        <f t="shared" si="35"/>
        <v>2.3837913552761975E-3</v>
      </c>
      <c r="AC342" s="87">
        <f t="shared" si="35"/>
        <v>-2.0986366569212492E-3</v>
      </c>
      <c r="AD342" s="87">
        <f t="shared" si="35"/>
        <v>5.4496047675644645E-3</v>
      </c>
      <c r="AE342" s="90">
        <f t="shared" si="37"/>
        <v>8.8425413156291398E-3</v>
      </c>
      <c r="AF342" s="89"/>
    </row>
    <row r="343" spans="1:32" ht="15.5" x14ac:dyDescent="0.35">
      <c r="A343" s="82">
        <v>40263</v>
      </c>
      <c r="B343" s="83">
        <v>7403.6</v>
      </c>
      <c r="C343" s="84">
        <v>2395.1</v>
      </c>
      <c r="D343" s="61">
        <v>280.3</v>
      </c>
      <c r="E343" s="61">
        <v>16.3</v>
      </c>
      <c r="F343" s="61">
        <v>32.700000000000003</v>
      </c>
      <c r="G343" s="61">
        <v>29.6</v>
      </c>
      <c r="H343" s="61">
        <v>60.8</v>
      </c>
      <c r="I343" s="61">
        <v>12.9</v>
      </c>
      <c r="J343" s="61">
        <v>39.9</v>
      </c>
      <c r="K343" s="61">
        <v>32.799999999999997</v>
      </c>
      <c r="L343" s="61">
        <v>37.4</v>
      </c>
      <c r="M343" s="61">
        <v>42</v>
      </c>
      <c r="N343" s="61">
        <v>47.4</v>
      </c>
      <c r="O343" s="85">
        <v>18.3</v>
      </c>
      <c r="P343" s="105"/>
      <c r="Q343" s="87">
        <f t="shared" si="36"/>
        <v>2.4342099488906498E-3</v>
      </c>
      <c r="R343" s="87">
        <f t="shared" si="39"/>
        <v>-9.5983314619876988E-4</v>
      </c>
      <c r="S343" s="87">
        <f t="shared" si="39"/>
        <v>2.5004478110874353E-3</v>
      </c>
      <c r="T343" s="87">
        <f t="shared" si="38"/>
        <v>1.2345835822299362E-2</v>
      </c>
      <c r="U343" s="87">
        <f t="shared" si="38"/>
        <v>1.2307847674596993E-2</v>
      </c>
      <c r="V343" s="87">
        <f t="shared" si="38"/>
        <v>-6.7340321813440683E-3</v>
      </c>
      <c r="W343" s="87">
        <f t="shared" si="38"/>
        <v>-2.437163682128618E-2</v>
      </c>
      <c r="X343" s="87">
        <f t="shared" si="33"/>
        <v>-1.5384918839479343E-2</v>
      </c>
      <c r="Y343" s="87">
        <f t="shared" si="33"/>
        <v>0</v>
      </c>
      <c r="Z343" s="87">
        <f t="shared" si="33"/>
        <v>0</v>
      </c>
      <c r="AA343" s="87">
        <f t="shared" si="35"/>
        <v>-1.0638398205055754E-2</v>
      </c>
      <c r="AB343" s="87">
        <f t="shared" si="35"/>
        <v>0</v>
      </c>
      <c r="AC343" s="87">
        <f t="shared" si="35"/>
        <v>-4.2105325363436053E-3</v>
      </c>
      <c r="AD343" s="87">
        <f t="shared" si="35"/>
        <v>-5.4496047675645911E-3</v>
      </c>
      <c r="AE343" s="90">
        <f t="shared" si="37"/>
        <v>3.3012361776639312E-3</v>
      </c>
      <c r="AF343" s="89"/>
    </row>
    <row r="344" spans="1:32" ht="15.5" x14ac:dyDescent="0.35">
      <c r="A344" s="82">
        <v>40266</v>
      </c>
      <c r="B344" s="83">
        <v>7464.9</v>
      </c>
      <c r="C344" s="84">
        <v>2404.4</v>
      </c>
      <c r="D344" s="61">
        <v>280.60000000000002</v>
      </c>
      <c r="E344" s="61">
        <v>16.5</v>
      </c>
      <c r="F344" s="61">
        <v>33.1</v>
      </c>
      <c r="G344" s="61">
        <v>29.6</v>
      </c>
      <c r="H344" s="61">
        <v>62.6</v>
      </c>
      <c r="I344" s="61">
        <v>13</v>
      </c>
      <c r="J344" s="61">
        <v>40</v>
      </c>
      <c r="K344" s="61">
        <v>32.5</v>
      </c>
      <c r="L344" s="61">
        <v>37.6</v>
      </c>
      <c r="M344" s="61">
        <v>42.4</v>
      </c>
      <c r="N344" s="61">
        <v>47.8</v>
      </c>
      <c r="O344" s="85">
        <v>18.399999999999999</v>
      </c>
      <c r="P344" s="105"/>
      <c r="Q344" s="87">
        <f t="shared" si="36"/>
        <v>8.245666653716538E-3</v>
      </c>
      <c r="R344" s="87">
        <f t="shared" si="39"/>
        <v>3.8754085382063344E-3</v>
      </c>
      <c r="S344" s="87">
        <f t="shared" si="39"/>
        <v>1.0697094976179606E-3</v>
      </c>
      <c r="T344" s="87">
        <f t="shared" si="38"/>
        <v>1.2195273093818206E-2</v>
      </c>
      <c r="U344" s="87">
        <f t="shared" si="38"/>
        <v>1.2158204479809363E-2</v>
      </c>
      <c r="V344" s="87">
        <f t="shared" si="38"/>
        <v>0</v>
      </c>
      <c r="W344" s="87">
        <f t="shared" si="38"/>
        <v>2.9175489133931688E-2</v>
      </c>
      <c r="X344" s="87">
        <f t="shared" si="33"/>
        <v>7.7220460939103185E-3</v>
      </c>
      <c r="Y344" s="87">
        <f t="shared" si="33"/>
        <v>2.5031302181184748E-3</v>
      </c>
      <c r="Z344" s="87">
        <f t="shared" si="33"/>
        <v>-9.1884260544061423E-3</v>
      </c>
      <c r="AA344" s="87">
        <f t="shared" si="35"/>
        <v>5.3333459753626029E-3</v>
      </c>
      <c r="AB344" s="87">
        <f t="shared" si="35"/>
        <v>9.4787439545437387E-3</v>
      </c>
      <c r="AC344" s="87">
        <f t="shared" si="35"/>
        <v>8.4034107963793792E-3</v>
      </c>
      <c r="AD344" s="87">
        <f t="shared" si="35"/>
        <v>5.4496047675644645E-3</v>
      </c>
      <c r="AE344" s="90">
        <f t="shared" si="37"/>
        <v>5.6137144970741645E-3</v>
      </c>
      <c r="AF344" s="89"/>
    </row>
    <row r="345" spans="1:32" ht="15.5" x14ac:dyDescent="0.35">
      <c r="A345" s="82">
        <v>40267</v>
      </c>
      <c r="B345" s="83">
        <v>7460.7</v>
      </c>
      <c r="C345" s="84">
        <v>2410.6999999999998</v>
      </c>
      <c r="D345" s="61">
        <v>280.39999999999998</v>
      </c>
      <c r="E345" s="61">
        <v>16.399999999999999</v>
      </c>
      <c r="F345" s="61">
        <v>33.5</v>
      </c>
      <c r="G345" s="61">
        <v>29.5</v>
      </c>
      <c r="H345" s="61">
        <v>61.6</v>
      </c>
      <c r="I345" s="61">
        <v>12.9</v>
      </c>
      <c r="J345" s="61">
        <v>39.9</v>
      </c>
      <c r="K345" s="61">
        <v>32.700000000000003</v>
      </c>
      <c r="L345" s="61">
        <v>37.5</v>
      </c>
      <c r="M345" s="61">
        <v>42.8</v>
      </c>
      <c r="N345" s="61">
        <v>48.6</v>
      </c>
      <c r="O345" s="85">
        <v>18.399999999999999</v>
      </c>
      <c r="P345" s="105"/>
      <c r="Q345" s="87">
        <f t="shared" si="36"/>
        <v>-5.6279146042466659E-4</v>
      </c>
      <c r="R345" s="87">
        <f t="shared" si="39"/>
        <v>2.6167695769259785E-3</v>
      </c>
      <c r="S345" s="87">
        <f t="shared" si="39"/>
        <v>-7.1301250792566123E-4</v>
      </c>
      <c r="T345" s="87">
        <f t="shared" si="38"/>
        <v>-6.0790460763822263E-3</v>
      </c>
      <c r="U345" s="87">
        <f t="shared" si="38"/>
        <v>1.2012156448003434E-2</v>
      </c>
      <c r="V345" s="87">
        <f t="shared" si="38"/>
        <v>-3.3840979842405684E-3</v>
      </c>
      <c r="W345" s="87">
        <f t="shared" si="38"/>
        <v>-1.6103407566578735E-2</v>
      </c>
      <c r="X345" s="87">
        <f t="shared" si="33"/>
        <v>-7.7220460939102778E-3</v>
      </c>
      <c r="Y345" s="87">
        <f t="shared" si="33"/>
        <v>-2.5031302181185884E-3</v>
      </c>
      <c r="Z345" s="87">
        <f t="shared" si="33"/>
        <v>6.1349885675159293E-3</v>
      </c>
      <c r="AA345" s="87">
        <f t="shared" si="35"/>
        <v>-2.6631174194837732E-3</v>
      </c>
      <c r="AB345" s="87">
        <f t="shared" si="35"/>
        <v>9.3897403498389171E-3</v>
      </c>
      <c r="AC345" s="87">
        <f t="shared" si="35"/>
        <v>1.6597891409037831E-2</v>
      </c>
      <c r="AD345" s="87">
        <f t="shared" si="35"/>
        <v>0</v>
      </c>
      <c r="AE345" s="90">
        <f t="shared" si="37"/>
        <v>4.0103712186047944E-3</v>
      </c>
      <c r="AF345" s="89"/>
    </row>
    <row r="346" spans="1:32" ht="15.5" x14ac:dyDescent="0.35">
      <c r="A346" s="82">
        <v>40268</v>
      </c>
      <c r="B346" s="83">
        <v>7447.8</v>
      </c>
      <c r="C346" s="84">
        <v>2398</v>
      </c>
      <c r="D346" s="61">
        <v>281.7</v>
      </c>
      <c r="E346" s="61">
        <v>16.399999999999999</v>
      </c>
      <c r="F346" s="61">
        <v>33.5</v>
      </c>
      <c r="G346" s="61">
        <v>29.2</v>
      </c>
      <c r="H346" s="61">
        <v>61.2</v>
      </c>
      <c r="I346" s="61">
        <v>12.6</v>
      </c>
      <c r="J346" s="61">
        <v>39.5</v>
      </c>
      <c r="K346" s="61">
        <v>32.1</v>
      </c>
      <c r="L346" s="61">
        <v>37.1</v>
      </c>
      <c r="M346" s="61">
        <v>42.6</v>
      </c>
      <c r="N346" s="61">
        <v>48.2</v>
      </c>
      <c r="O346" s="85">
        <v>18.3</v>
      </c>
      <c r="P346" s="105"/>
      <c r="Q346" s="87">
        <f t="shared" si="36"/>
        <v>-1.7305568258964498E-3</v>
      </c>
      <c r="R346" s="87">
        <f t="shared" si="39"/>
        <v>-5.2821051544733339E-3</v>
      </c>
      <c r="S346" s="87">
        <f t="shared" si="39"/>
        <v>4.6255197218918447E-3</v>
      </c>
      <c r="T346" s="87">
        <f t="shared" si="38"/>
        <v>0</v>
      </c>
      <c r="U346" s="87">
        <f t="shared" si="38"/>
        <v>0</v>
      </c>
      <c r="V346" s="87">
        <f t="shared" si="38"/>
        <v>-1.0221554071538139E-2</v>
      </c>
      <c r="W346" s="87">
        <f t="shared" si="38"/>
        <v>-6.5146810211936419E-3</v>
      </c>
      <c r="X346" s="87">
        <f t="shared" si="33"/>
        <v>-2.3530497410194161E-2</v>
      </c>
      <c r="Y346" s="87">
        <f t="shared" si="33"/>
        <v>-1.0075651988741587E-2</v>
      </c>
      <c r="Z346" s="87">
        <f t="shared" si="33"/>
        <v>-1.8519047767237527E-2</v>
      </c>
      <c r="AA346" s="87">
        <f t="shared" si="35"/>
        <v>-1.0723963362975611E-2</v>
      </c>
      <c r="AB346" s="87">
        <f t="shared" si="35"/>
        <v>-4.6838493124263143E-3</v>
      </c>
      <c r="AC346" s="87">
        <f t="shared" si="35"/>
        <v>-8.2645098498934245E-3</v>
      </c>
      <c r="AD346" s="87">
        <f t="shared" si="35"/>
        <v>-5.4496047675645911E-3</v>
      </c>
      <c r="AE346" s="90">
        <f t="shared" si="37"/>
        <v>-8.9150585032407061E-4</v>
      </c>
      <c r="AF346" s="89"/>
    </row>
    <row r="347" spans="1:32" ht="15.5" x14ac:dyDescent="0.35">
      <c r="A347" s="82">
        <v>40269</v>
      </c>
      <c r="B347" s="83">
        <v>7539</v>
      </c>
      <c r="C347" s="84">
        <v>2402.6</v>
      </c>
      <c r="D347" s="61">
        <v>281.7</v>
      </c>
      <c r="E347" s="61">
        <v>16.399999999999999</v>
      </c>
      <c r="F347" s="61">
        <v>33.5</v>
      </c>
      <c r="G347" s="61">
        <v>29.2</v>
      </c>
      <c r="H347" s="61">
        <v>61.2</v>
      </c>
      <c r="I347" s="61">
        <v>12.6</v>
      </c>
      <c r="J347" s="61">
        <v>39</v>
      </c>
      <c r="K347" s="61">
        <v>32.299999999999997</v>
      </c>
      <c r="L347" s="61">
        <v>37.5</v>
      </c>
      <c r="M347" s="61">
        <v>43.4</v>
      </c>
      <c r="N347" s="61">
        <v>48</v>
      </c>
      <c r="O347" s="85">
        <v>18.399999999999999</v>
      </c>
      <c r="P347" s="105"/>
      <c r="Q347" s="87">
        <f t="shared" si="36"/>
        <v>1.2170860461744688E-2</v>
      </c>
      <c r="R347" s="87">
        <f t="shared" si="39"/>
        <v>1.9164276998151234E-3</v>
      </c>
      <c r="S347" s="87">
        <f t="shared" si="39"/>
        <v>0</v>
      </c>
      <c r="T347" s="87">
        <f t="shared" si="38"/>
        <v>0</v>
      </c>
      <c r="U347" s="87">
        <f t="shared" si="38"/>
        <v>0</v>
      </c>
      <c r="V347" s="87">
        <f t="shared" si="38"/>
        <v>0</v>
      </c>
      <c r="W347" s="87">
        <f t="shared" si="38"/>
        <v>0</v>
      </c>
      <c r="X347" s="87">
        <f t="shared" si="33"/>
        <v>0</v>
      </c>
      <c r="Y347" s="87">
        <f t="shared" si="33"/>
        <v>-1.2739025777429714E-2</v>
      </c>
      <c r="Z347" s="87">
        <f t="shared" si="33"/>
        <v>6.2112000926404553E-3</v>
      </c>
      <c r="AA347" s="87">
        <f t="shared" si="35"/>
        <v>1.0723963362975642E-2</v>
      </c>
      <c r="AB347" s="87">
        <f t="shared" si="35"/>
        <v>1.8605187831034268E-2</v>
      </c>
      <c r="AC347" s="87">
        <f t="shared" si="35"/>
        <v>-4.1580101486637881E-3</v>
      </c>
      <c r="AD347" s="87">
        <f t="shared" si="35"/>
        <v>5.4496047675644645E-3</v>
      </c>
      <c r="AE347" s="90">
        <f t="shared" si="37"/>
        <v>1.2368362426862477E-3</v>
      </c>
      <c r="AF347" s="89"/>
    </row>
    <row r="348" spans="1:32" ht="15.5" x14ac:dyDescent="0.35">
      <c r="A348" s="82">
        <v>40273</v>
      </c>
      <c r="B348" s="83">
        <v>7600.9</v>
      </c>
      <c r="C348" s="84">
        <v>2429.5</v>
      </c>
      <c r="D348" s="61">
        <v>284.8</v>
      </c>
      <c r="E348" s="61">
        <v>16.3</v>
      </c>
      <c r="F348" s="61">
        <v>33.5</v>
      </c>
      <c r="G348" s="61">
        <v>29</v>
      </c>
      <c r="H348" s="61">
        <v>61.5</v>
      </c>
      <c r="I348" s="61">
        <v>12.9</v>
      </c>
      <c r="J348" s="61">
        <v>38.299999999999997</v>
      </c>
      <c r="K348" s="61">
        <v>32.9</v>
      </c>
      <c r="L348" s="61">
        <v>37.299999999999997</v>
      </c>
      <c r="M348" s="61">
        <v>44.2</v>
      </c>
      <c r="N348" s="61">
        <v>48.8</v>
      </c>
      <c r="O348" s="85">
        <v>18.399999999999999</v>
      </c>
      <c r="P348" s="105"/>
      <c r="Q348" s="87">
        <f t="shared" si="36"/>
        <v>8.1771141041327884E-3</v>
      </c>
      <c r="R348" s="87">
        <f t="shared" si="39"/>
        <v>1.1133990558682959E-2</v>
      </c>
      <c r="S348" s="87">
        <f t="shared" si="39"/>
        <v>1.0944504655493939E-2</v>
      </c>
      <c r="T348" s="87">
        <f t="shared" si="38"/>
        <v>-6.1162270174359825E-3</v>
      </c>
      <c r="U348" s="87">
        <f t="shared" si="38"/>
        <v>0</v>
      </c>
      <c r="V348" s="87">
        <f t="shared" si="38"/>
        <v>-6.8728792877620643E-3</v>
      </c>
      <c r="W348" s="87">
        <f t="shared" si="38"/>
        <v>4.8899852941917702E-3</v>
      </c>
      <c r="X348" s="87">
        <f t="shared" si="33"/>
        <v>2.3530497410194251E-2</v>
      </c>
      <c r="Y348" s="87">
        <f t="shared" si="33"/>
        <v>-1.8111749943046169E-2</v>
      </c>
      <c r="Z348" s="87">
        <f t="shared" si="33"/>
        <v>1.8405427542715343E-2</v>
      </c>
      <c r="AA348" s="87">
        <f t="shared" si="35"/>
        <v>-5.3476063265953527E-3</v>
      </c>
      <c r="AB348" s="87">
        <f t="shared" si="35"/>
        <v>1.8265347977293404E-2</v>
      </c>
      <c r="AC348" s="87">
        <f t="shared" si="35"/>
        <v>1.6529301951210506E-2</v>
      </c>
      <c r="AD348" s="87">
        <f t="shared" si="35"/>
        <v>0</v>
      </c>
      <c r="AE348" s="90">
        <f t="shared" si="37"/>
        <v>6.5415575263555684E-3</v>
      </c>
      <c r="AF348" s="89"/>
    </row>
    <row r="349" spans="1:32" ht="15.5" x14ac:dyDescent="0.35">
      <c r="A349" s="82">
        <v>40274</v>
      </c>
      <c r="B349" s="83">
        <v>7604.4</v>
      </c>
      <c r="C349" s="84">
        <v>2436.8000000000002</v>
      </c>
      <c r="D349" s="61">
        <v>283</v>
      </c>
      <c r="E349" s="61">
        <v>16.399999999999999</v>
      </c>
      <c r="F349" s="61">
        <v>33.9</v>
      </c>
      <c r="G349" s="61">
        <v>29</v>
      </c>
      <c r="H349" s="61">
        <v>62.1</v>
      </c>
      <c r="I349" s="61">
        <v>12.9</v>
      </c>
      <c r="J349" s="61">
        <v>38.299999999999997</v>
      </c>
      <c r="K349" s="61">
        <v>33.299999999999997</v>
      </c>
      <c r="L349" s="61">
        <v>37.200000000000003</v>
      </c>
      <c r="M349" s="61">
        <v>44.7</v>
      </c>
      <c r="N349" s="61">
        <v>49.3</v>
      </c>
      <c r="O349" s="85">
        <v>18.399999999999999</v>
      </c>
      <c r="P349" s="105"/>
      <c r="Q349" s="87">
        <f t="shared" si="36"/>
        <v>4.6036580163683169E-4</v>
      </c>
      <c r="R349" s="87">
        <f t="shared" si="39"/>
        <v>3.0002282949396679E-3</v>
      </c>
      <c r="S349" s="87">
        <f t="shared" si="39"/>
        <v>-6.3402818945831625E-3</v>
      </c>
      <c r="T349" s="87">
        <f t="shared" si="38"/>
        <v>6.1162270174360536E-3</v>
      </c>
      <c r="U349" s="87">
        <f t="shared" si="38"/>
        <v>1.1869575555383729E-2</v>
      </c>
      <c r="V349" s="87">
        <f t="shared" si="38"/>
        <v>0</v>
      </c>
      <c r="W349" s="87">
        <f t="shared" si="38"/>
        <v>9.7088141269609032E-3</v>
      </c>
      <c r="X349" s="87">
        <f t="shared" si="33"/>
        <v>0</v>
      </c>
      <c r="Y349" s="87">
        <f t="shared" si="33"/>
        <v>0</v>
      </c>
      <c r="Z349" s="87">
        <f t="shared" si="33"/>
        <v>1.2084739215071827E-2</v>
      </c>
      <c r="AA349" s="87">
        <f t="shared" si="35"/>
        <v>-2.6845653706688757E-3</v>
      </c>
      <c r="AB349" s="87">
        <f t="shared" si="35"/>
        <v>1.1248712535870667E-2</v>
      </c>
      <c r="AC349" s="87">
        <f t="shared" si="35"/>
        <v>1.0193768189543024E-2</v>
      </c>
      <c r="AD349" s="87">
        <f t="shared" si="35"/>
        <v>0</v>
      </c>
      <c r="AE349" s="90">
        <f t="shared" si="37"/>
        <v>2.4370792346269212E-3</v>
      </c>
      <c r="AF349" s="89"/>
    </row>
    <row r="350" spans="1:32" ht="15.5" x14ac:dyDescent="0.35">
      <c r="A350" s="82">
        <v>40275</v>
      </c>
      <c r="B350" s="83">
        <v>7546.2</v>
      </c>
      <c r="C350" s="84">
        <v>2431.1999999999998</v>
      </c>
      <c r="D350" s="61">
        <v>281.2</v>
      </c>
      <c r="E350" s="61">
        <v>16.8</v>
      </c>
      <c r="F350" s="61">
        <v>34.1</v>
      </c>
      <c r="G350" s="61">
        <v>29.1</v>
      </c>
      <c r="H350" s="61">
        <v>63.4</v>
      </c>
      <c r="I350" s="61">
        <v>12.8</v>
      </c>
      <c r="J350" s="61">
        <v>37.6</v>
      </c>
      <c r="K350" s="61">
        <v>32.6</v>
      </c>
      <c r="L350" s="61">
        <v>36.6</v>
      </c>
      <c r="M350" s="61">
        <v>43.8</v>
      </c>
      <c r="N350" s="61">
        <v>48.5</v>
      </c>
      <c r="O350" s="85">
        <v>18.3</v>
      </c>
      <c r="P350" s="105"/>
      <c r="Q350" s="87">
        <f t="shared" si="36"/>
        <v>-7.6829018363066557E-3</v>
      </c>
      <c r="R350" s="87">
        <f t="shared" si="39"/>
        <v>-2.3007405383141544E-3</v>
      </c>
      <c r="S350" s="87">
        <f t="shared" si="39"/>
        <v>-6.3807377067278759E-3</v>
      </c>
      <c r="T350" s="87">
        <f t="shared" si="38"/>
        <v>2.4097551579060524E-2</v>
      </c>
      <c r="U350" s="87">
        <f t="shared" si="38"/>
        <v>5.8823699030666129E-3</v>
      </c>
      <c r="V350" s="87">
        <f t="shared" si="38"/>
        <v>3.4423441909729197E-3</v>
      </c>
      <c r="W350" s="87">
        <f t="shared" si="38"/>
        <v>2.0717872503747032E-2</v>
      </c>
      <c r="X350" s="87">
        <f t="shared" si="33"/>
        <v>-7.7821404420549628E-3</v>
      </c>
      <c r="Y350" s="87">
        <f t="shared" si="33"/>
        <v>-1.8445845790751342E-2</v>
      </c>
      <c r="Z350" s="87">
        <f t="shared" si="33"/>
        <v>-2.124510861373604E-2</v>
      </c>
      <c r="AA350" s="87">
        <f t="shared" si="35"/>
        <v>-1.6260520871780291E-2</v>
      </c>
      <c r="AB350" s="87">
        <f t="shared" si="35"/>
        <v>-2.0339684237122787E-2</v>
      </c>
      <c r="AC350" s="87">
        <f t="shared" si="35"/>
        <v>-1.6360283105206798E-2</v>
      </c>
      <c r="AD350" s="87">
        <f t="shared" si="35"/>
        <v>-5.4496047675645911E-3</v>
      </c>
      <c r="AE350" s="90">
        <f t="shared" si="37"/>
        <v>-1.538087300562832E-3</v>
      </c>
      <c r="AF350" s="89"/>
    </row>
    <row r="351" spans="1:32" ht="15.5" x14ac:dyDescent="0.35">
      <c r="A351" s="82">
        <v>40276</v>
      </c>
      <c r="B351" s="83">
        <v>7565.3</v>
      </c>
      <c r="C351" s="84">
        <v>2436.8000000000002</v>
      </c>
      <c r="D351" s="61">
        <v>280.3</v>
      </c>
      <c r="E351" s="61">
        <v>16.899999999999999</v>
      </c>
      <c r="F351" s="61">
        <v>34</v>
      </c>
      <c r="G351" s="61">
        <v>29.3</v>
      </c>
      <c r="H351" s="61">
        <v>62.8</v>
      </c>
      <c r="I351" s="61">
        <v>12.7</v>
      </c>
      <c r="J351" s="61">
        <v>37.4</v>
      </c>
      <c r="K351" s="61">
        <v>30.9</v>
      </c>
      <c r="L351" s="61">
        <v>36.6</v>
      </c>
      <c r="M351" s="61">
        <v>43.9</v>
      </c>
      <c r="N351" s="61">
        <v>47.7</v>
      </c>
      <c r="O351" s="85">
        <v>18.3</v>
      </c>
      <c r="P351" s="105"/>
      <c r="Q351" s="87">
        <f t="shared" si="36"/>
        <v>2.5278774669637871E-3</v>
      </c>
      <c r="R351" s="87">
        <f t="shared" si="39"/>
        <v>2.3007405383142286E-3</v>
      </c>
      <c r="S351" s="87">
        <f t="shared" si="39"/>
        <v>-3.205701765767188E-3</v>
      </c>
      <c r="T351" s="87">
        <f t="shared" si="38"/>
        <v>5.9347355198145265E-3</v>
      </c>
      <c r="U351" s="87">
        <f t="shared" si="38"/>
        <v>-2.9368596733097135E-3</v>
      </c>
      <c r="V351" s="87">
        <f t="shared" si="38"/>
        <v>6.8493418455747683E-3</v>
      </c>
      <c r="W351" s="87">
        <f t="shared" si="38"/>
        <v>-9.5087879690273006E-3</v>
      </c>
      <c r="X351" s="87">
        <f t="shared" si="33"/>
        <v>-7.8431774610260054E-3</v>
      </c>
      <c r="Y351" s="87">
        <f t="shared" si="33"/>
        <v>-5.3333459753626168E-3</v>
      </c>
      <c r="Z351" s="87">
        <f t="shared" si="33"/>
        <v>-5.3556104468962216E-2</v>
      </c>
      <c r="AA351" s="87">
        <f t="shared" si="35"/>
        <v>0</v>
      </c>
      <c r="AB351" s="87">
        <f t="shared" si="35"/>
        <v>2.2805026987253031E-3</v>
      </c>
      <c r="AC351" s="87">
        <f t="shared" si="35"/>
        <v>-1.6632400049141922E-2</v>
      </c>
      <c r="AD351" s="87">
        <f t="shared" si="35"/>
        <v>0</v>
      </c>
      <c r="AE351" s="90">
        <f t="shared" si="37"/>
        <v>-1.0886340834114282E-3</v>
      </c>
      <c r="AF351" s="89"/>
    </row>
    <row r="352" spans="1:32" ht="15.5" x14ac:dyDescent="0.35">
      <c r="A352" s="82">
        <v>40277</v>
      </c>
      <c r="B352" s="83">
        <v>7629</v>
      </c>
      <c r="C352" s="84">
        <v>2454.1</v>
      </c>
      <c r="D352" s="61">
        <v>282.3</v>
      </c>
      <c r="E352" s="61">
        <v>17.2</v>
      </c>
      <c r="F352" s="61">
        <v>34.4</v>
      </c>
      <c r="G352" s="61">
        <v>29.9</v>
      </c>
      <c r="H352" s="61">
        <v>62.3</v>
      </c>
      <c r="I352" s="61">
        <v>12.9</v>
      </c>
      <c r="J352" s="61">
        <v>38.200000000000003</v>
      </c>
      <c r="K352" s="61">
        <v>31.3</v>
      </c>
      <c r="L352" s="61">
        <v>36.799999999999997</v>
      </c>
      <c r="M352" s="61">
        <v>44.8</v>
      </c>
      <c r="N352" s="61">
        <v>47.3</v>
      </c>
      <c r="O352" s="85">
        <v>18.399999999999999</v>
      </c>
      <c r="P352" s="105"/>
      <c r="Q352" s="87">
        <f t="shared" si="36"/>
        <v>8.3847723421008116E-3</v>
      </c>
      <c r="R352" s="87">
        <f t="shared" si="39"/>
        <v>7.0743920959599159E-3</v>
      </c>
      <c r="S352" s="87">
        <f t="shared" si="39"/>
        <v>7.1098770887011321E-3</v>
      </c>
      <c r="T352" s="87">
        <f t="shared" si="38"/>
        <v>1.759576189037966E-2</v>
      </c>
      <c r="U352" s="87">
        <f t="shared" si="38"/>
        <v>1.1696039763191236E-2</v>
      </c>
      <c r="V352" s="87">
        <f t="shared" si="38"/>
        <v>2.0270964373618985E-2</v>
      </c>
      <c r="W352" s="87">
        <f t="shared" si="38"/>
        <v>-7.9936476807455862E-3</v>
      </c>
      <c r="X352" s="87">
        <f t="shared" si="33"/>
        <v>1.5625317903081033E-2</v>
      </c>
      <c r="Y352" s="87">
        <f t="shared" si="33"/>
        <v>2.1164811192043331E-2</v>
      </c>
      <c r="Z352" s="87">
        <f t="shared" si="33"/>
        <v>1.2861913642407822E-2</v>
      </c>
      <c r="AA352" s="87">
        <f t="shared" si="35"/>
        <v>5.4496047675644645E-3</v>
      </c>
      <c r="AB352" s="87">
        <f t="shared" si="35"/>
        <v>2.0293819339813682E-2</v>
      </c>
      <c r="AC352" s="87">
        <f t="shared" si="35"/>
        <v>-8.4211023964083972E-3</v>
      </c>
      <c r="AD352" s="87">
        <f t="shared" si="35"/>
        <v>5.4496047675644645E-3</v>
      </c>
      <c r="AE352" s="90">
        <f t="shared" si="37"/>
        <v>8.208799742439838E-3</v>
      </c>
      <c r="AF352" s="89"/>
    </row>
    <row r="353" spans="1:32" ht="15.5" x14ac:dyDescent="0.35">
      <c r="A353" s="82">
        <v>40280</v>
      </c>
      <c r="B353" s="83">
        <v>7641.8</v>
      </c>
      <c r="C353" s="84">
        <v>2457.9</v>
      </c>
      <c r="D353" s="61">
        <v>283.39999999999998</v>
      </c>
      <c r="E353" s="61">
        <v>17.399999999999999</v>
      </c>
      <c r="F353" s="61">
        <v>34.5</v>
      </c>
      <c r="G353" s="61">
        <v>30.2</v>
      </c>
      <c r="H353" s="61">
        <v>62.3</v>
      </c>
      <c r="I353" s="61">
        <v>12.9</v>
      </c>
      <c r="J353" s="61">
        <v>37.9</v>
      </c>
      <c r="K353" s="61">
        <v>30.9</v>
      </c>
      <c r="L353" s="61">
        <v>36.799999999999997</v>
      </c>
      <c r="M353" s="61">
        <v>45.2</v>
      </c>
      <c r="N353" s="61">
        <v>47.7</v>
      </c>
      <c r="O353" s="85">
        <v>18.8</v>
      </c>
      <c r="P353" s="105"/>
      <c r="Q353" s="87">
        <f t="shared" si="36"/>
        <v>1.676402414762907E-3</v>
      </c>
      <c r="R353" s="87">
        <f t="shared" si="39"/>
        <v>1.5472315790213025E-3</v>
      </c>
      <c r="S353" s="87">
        <f t="shared" si="39"/>
        <v>3.888991997136295E-3</v>
      </c>
      <c r="T353" s="87">
        <f t="shared" si="38"/>
        <v>1.1560822401076006E-2</v>
      </c>
      <c r="U353" s="87">
        <f t="shared" si="38"/>
        <v>2.9027596579614102E-3</v>
      </c>
      <c r="V353" s="87">
        <f t="shared" si="38"/>
        <v>9.9834439841832052E-3</v>
      </c>
      <c r="W353" s="87">
        <f t="shared" si="38"/>
        <v>0</v>
      </c>
      <c r="X353" s="87">
        <f t="shared" si="33"/>
        <v>0</v>
      </c>
      <c r="Y353" s="87">
        <f t="shared" si="33"/>
        <v>-7.8844035241489828E-3</v>
      </c>
      <c r="Z353" s="87">
        <f t="shared" si="33"/>
        <v>-1.286191364240781E-2</v>
      </c>
      <c r="AA353" s="87">
        <f t="shared" si="35"/>
        <v>0</v>
      </c>
      <c r="AB353" s="87">
        <f t="shared" si="35"/>
        <v>8.8889474172462145E-3</v>
      </c>
      <c r="AC353" s="87">
        <f t="shared" si="35"/>
        <v>8.4211023964083451E-3</v>
      </c>
      <c r="AD353" s="87">
        <f t="shared" si="35"/>
        <v>2.1506205220963682E-2</v>
      </c>
      <c r="AE353" s="90">
        <f t="shared" si="37"/>
        <v>5.0463920052770603E-3</v>
      </c>
      <c r="AF353" s="89"/>
    </row>
    <row r="354" spans="1:32" ht="15.5" x14ac:dyDescent="0.35">
      <c r="A354" s="82">
        <v>40281</v>
      </c>
      <c r="B354" s="83">
        <v>7638.4</v>
      </c>
      <c r="C354" s="84">
        <v>2466</v>
      </c>
      <c r="D354" s="61">
        <v>285.89999999999998</v>
      </c>
      <c r="E354" s="61">
        <v>17.399999999999999</v>
      </c>
      <c r="F354" s="61">
        <v>34.4</v>
      </c>
      <c r="G354" s="61">
        <v>30.1</v>
      </c>
      <c r="H354" s="61">
        <v>62.8</v>
      </c>
      <c r="I354" s="61">
        <v>12.9</v>
      </c>
      <c r="J354" s="61">
        <v>37.200000000000003</v>
      </c>
      <c r="K354" s="61">
        <v>30.6</v>
      </c>
      <c r="L354" s="61">
        <v>36.6</v>
      </c>
      <c r="M354" s="61">
        <v>44.8</v>
      </c>
      <c r="N354" s="61">
        <v>47.6</v>
      </c>
      <c r="O354" s="85">
        <v>18.7</v>
      </c>
      <c r="P354" s="105"/>
      <c r="Q354" s="87">
        <f t="shared" si="36"/>
        <v>-4.4502036048123754E-4</v>
      </c>
      <c r="R354" s="87">
        <f t="shared" si="39"/>
        <v>3.2900779084108996E-3</v>
      </c>
      <c r="S354" s="87">
        <f t="shared" si="39"/>
        <v>8.7827720716860316E-3</v>
      </c>
      <c r="T354" s="87">
        <f t="shared" si="38"/>
        <v>0</v>
      </c>
      <c r="U354" s="87">
        <f t="shared" si="38"/>
        <v>-2.9027596579614626E-3</v>
      </c>
      <c r="V354" s="87">
        <f t="shared" si="38"/>
        <v>-3.316752625993815E-3</v>
      </c>
      <c r="W354" s="87">
        <f t="shared" si="38"/>
        <v>7.9936476807455845E-3</v>
      </c>
      <c r="X354" s="87">
        <f t="shared" si="33"/>
        <v>0</v>
      </c>
      <c r="Y354" s="87">
        <f t="shared" si="33"/>
        <v>-1.8642350809279718E-2</v>
      </c>
      <c r="Z354" s="87">
        <f t="shared" si="33"/>
        <v>-9.7561749453645725E-3</v>
      </c>
      <c r="AA354" s="87">
        <f t="shared" si="35"/>
        <v>-5.4496047675645911E-3</v>
      </c>
      <c r="AB354" s="87">
        <f t="shared" si="35"/>
        <v>-8.888947417246152E-3</v>
      </c>
      <c r="AC354" s="87">
        <f t="shared" si="35"/>
        <v>-2.0986366569212492E-3</v>
      </c>
      <c r="AD354" s="87">
        <f t="shared" si="35"/>
        <v>-5.3333459753626168E-3</v>
      </c>
      <c r="AE354" s="90">
        <f t="shared" si="37"/>
        <v>2.0792074459410328E-3</v>
      </c>
      <c r="AF354" s="89"/>
    </row>
    <row r="355" spans="1:32" ht="15.5" x14ac:dyDescent="0.35">
      <c r="A355" s="82">
        <v>40282</v>
      </c>
      <c r="B355" s="83">
        <v>7729</v>
      </c>
      <c r="C355" s="84">
        <v>2504.9</v>
      </c>
      <c r="D355" s="61">
        <v>292.3</v>
      </c>
      <c r="E355" s="61">
        <v>18.100000000000001</v>
      </c>
      <c r="F355" s="61">
        <v>34.9</v>
      </c>
      <c r="G355" s="61">
        <v>30.7</v>
      </c>
      <c r="H355" s="61">
        <v>62.9</v>
      </c>
      <c r="I355" s="61">
        <v>13.5</v>
      </c>
      <c r="J355" s="61">
        <v>36</v>
      </c>
      <c r="K355" s="61">
        <v>31</v>
      </c>
      <c r="L355" s="61">
        <v>36</v>
      </c>
      <c r="M355" s="61">
        <v>45.3</v>
      </c>
      <c r="N355" s="61">
        <v>47.3</v>
      </c>
      <c r="O355" s="85">
        <v>18.8</v>
      </c>
      <c r="P355" s="105"/>
      <c r="Q355" s="87">
        <f t="shared" si="36"/>
        <v>1.1791330962360003E-2</v>
      </c>
      <c r="R355" s="87">
        <f t="shared" si="39"/>
        <v>1.5651408838164092E-2</v>
      </c>
      <c r="S355" s="87">
        <f t="shared" si="39"/>
        <v>2.2138572788934326E-2</v>
      </c>
      <c r="T355" s="87">
        <f t="shared" si="38"/>
        <v>3.9441732051296835E-2</v>
      </c>
      <c r="U355" s="87">
        <f t="shared" si="38"/>
        <v>1.4430264829028837E-2</v>
      </c>
      <c r="V355" s="87">
        <f t="shared" si="38"/>
        <v>1.9737482838321337E-2</v>
      </c>
      <c r="W355" s="87">
        <f t="shared" si="38"/>
        <v>1.5910902322419035E-3</v>
      </c>
      <c r="X355" s="87">
        <f t="shared" si="33"/>
        <v>4.5462374076757198E-2</v>
      </c>
      <c r="Y355" s="87">
        <f t="shared" si="33"/>
        <v>-3.2789822822990956E-2</v>
      </c>
      <c r="Z355" s="87">
        <f t="shared" si="33"/>
        <v>1.2987195526811112E-2</v>
      </c>
      <c r="AA355" s="87">
        <f t="shared" si="35"/>
        <v>-1.6529301951210582E-2</v>
      </c>
      <c r="AB355" s="87">
        <f t="shared" si="35"/>
        <v>1.1098893068048765E-2</v>
      </c>
      <c r="AC355" s="87">
        <f t="shared" si="35"/>
        <v>-6.3224657394871263E-3</v>
      </c>
      <c r="AD355" s="87">
        <f t="shared" si="35"/>
        <v>5.3333459753626029E-3</v>
      </c>
      <c r="AE355" s="90">
        <f t="shared" si="37"/>
        <v>1.5947303959209198E-2</v>
      </c>
      <c r="AF355" s="89"/>
    </row>
    <row r="356" spans="1:32" ht="15.5" x14ac:dyDescent="0.35">
      <c r="A356" s="82">
        <v>40283</v>
      </c>
      <c r="B356" s="83">
        <v>7719.7</v>
      </c>
      <c r="C356" s="84">
        <v>2515.6999999999998</v>
      </c>
      <c r="D356" s="61">
        <v>294.39999999999998</v>
      </c>
      <c r="E356" s="61">
        <v>18.100000000000001</v>
      </c>
      <c r="F356" s="61">
        <v>35.1</v>
      </c>
      <c r="G356" s="61">
        <v>30.7</v>
      </c>
      <c r="H356" s="61">
        <v>63.4</v>
      </c>
      <c r="I356" s="61">
        <v>14.1</v>
      </c>
      <c r="J356" s="61">
        <v>36.700000000000003</v>
      </c>
      <c r="K356" s="61">
        <v>31.2</v>
      </c>
      <c r="L356" s="61">
        <v>36</v>
      </c>
      <c r="M356" s="61">
        <v>45.5</v>
      </c>
      <c r="N356" s="61">
        <v>47.4</v>
      </c>
      <c r="O356" s="85">
        <v>18.7</v>
      </c>
      <c r="P356" s="105"/>
      <c r="Q356" s="87">
        <f t="shared" si="36"/>
        <v>-1.2039849467494433E-3</v>
      </c>
      <c r="R356" s="87">
        <f t="shared" si="39"/>
        <v>4.3022812646521698E-3</v>
      </c>
      <c r="S356" s="87">
        <f t="shared" si="39"/>
        <v>7.1587147375207476E-3</v>
      </c>
      <c r="T356" s="87">
        <f t="shared" si="38"/>
        <v>0</v>
      </c>
      <c r="U356" s="87">
        <f t="shared" si="38"/>
        <v>5.7143012634386352E-3</v>
      </c>
      <c r="V356" s="87">
        <f t="shared" si="38"/>
        <v>0</v>
      </c>
      <c r="W356" s="87">
        <f t="shared" si="38"/>
        <v>7.917697736785306E-3</v>
      </c>
      <c r="X356" s="87">
        <f t="shared" si="33"/>
        <v>4.3485111939738891E-2</v>
      </c>
      <c r="Y356" s="87">
        <f t="shared" si="33"/>
        <v>1.9257816604414738E-2</v>
      </c>
      <c r="Z356" s="87">
        <f t="shared" si="33"/>
        <v>6.4308903302903314E-3</v>
      </c>
      <c r="AA356" s="87">
        <f t="shared" si="35"/>
        <v>0</v>
      </c>
      <c r="AB356" s="87">
        <f t="shared" si="35"/>
        <v>4.4052934679164176E-3</v>
      </c>
      <c r="AC356" s="87">
        <f t="shared" si="35"/>
        <v>2.1119332031435513E-3</v>
      </c>
      <c r="AD356" s="87">
        <f t="shared" si="35"/>
        <v>-5.3333459753626168E-3</v>
      </c>
      <c r="AE356" s="90">
        <f t="shared" si="37"/>
        <v>4.3711009581546409E-3</v>
      </c>
      <c r="AF356" s="89"/>
    </row>
    <row r="357" spans="1:32" ht="15.5" x14ac:dyDescent="0.35">
      <c r="A357" s="82">
        <v>40284</v>
      </c>
      <c r="B357" s="83">
        <v>7584.6</v>
      </c>
      <c r="C357" s="84">
        <v>2481.3000000000002</v>
      </c>
      <c r="D357" s="61">
        <v>275.10000000000002</v>
      </c>
      <c r="E357" s="61">
        <v>18</v>
      </c>
      <c r="F357" s="61">
        <v>34.9</v>
      </c>
      <c r="G357" s="61">
        <v>30.6</v>
      </c>
      <c r="H357" s="61">
        <v>63.7</v>
      </c>
      <c r="I357" s="61">
        <v>14</v>
      </c>
      <c r="J357" s="61">
        <v>35.799999999999997</v>
      </c>
      <c r="K357" s="61">
        <v>31</v>
      </c>
      <c r="L357" s="61">
        <v>35.4</v>
      </c>
      <c r="M357" s="61">
        <v>44.8</v>
      </c>
      <c r="N357" s="61">
        <v>47.5</v>
      </c>
      <c r="O357" s="85">
        <v>18.7</v>
      </c>
      <c r="P357" s="105"/>
      <c r="Q357" s="87">
        <f t="shared" si="36"/>
        <v>-1.7655627430554564E-2</v>
      </c>
      <c r="R357" s="87">
        <f t="shared" si="39"/>
        <v>-1.3768478461135467E-2</v>
      </c>
      <c r="S357" s="87">
        <f t="shared" si="39"/>
        <v>-6.7804718924192126E-2</v>
      </c>
      <c r="T357" s="87">
        <f t="shared" si="38"/>
        <v>-5.540180375615468E-3</v>
      </c>
      <c r="U357" s="87">
        <f t="shared" si="38"/>
        <v>-5.7143012634387758E-3</v>
      </c>
      <c r="V357" s="87">
        <f t="shared" si="38"/>
        <v>-3.2626456348162714E-3</v>
      </c>
      <c r="W357" s="87">
        <f t="shared" si="38"/>
        <v>4.7207011349373936E-3</v>
      </c>
      <c r="X357" s="87">
        <f t="shared" si="33"/>
        <v>-7.1174677688639896E-3</v>
      </c>
      <c r="Y357" s="87">
        <f t="shared" si="33"/>
        <v>-2.4828861653870108E-2</v>
      </c>
      <c r="Z357" s="87">
        <f t="shared" si="33"/>
        <v>-6.4308903302904025E-3</v>
      </c>
      <c r="AA357" s="87">
        <f t="shared" si="35"/>
        <v>-1.6807118316381289E-2</v>
      </c>
      <c r="AB357" s="87">
        <f t="shared" si="35"/>
        <v>-1.5504186535965312E-2</v>
      </c>
      <c r="AC357" s="87">
        <f t="shared" si="35"/>
        <v>2.1074823395647994E-3</v>
      </c>
      <c r="AD357" s="87">
        <f t="shared" si="35"/>
        <v>0</v>
      </c>
      <c r="AE357" s="90">
        <f t="shared" si="37"/>
        <v>-2.5611824828319116E-2</v>
      </c>
      <c r="AF357" s="89"/>
    </row>
    <row r="358" spans="1:32" ht="15.5" x14ac:dyDescent="0.35">
      <c r="A358" s="82">
        <v>40287</v>
      </c>
      <c r="B358" s="83">
        <v>7596.6</v>
      </c>
      <c r="C358" s="84">
        <v>2480.1</v>
      </c>
      <c r="D358" s="61">
        <v>272.8</v>
      </c>
      <c r="E358" s="61">
        <v>18</v>
      </c>
      <c r="F358" s="61">
        <v>34.5</v>
      </c>
      <c r="G358" s="61">
        <v>30.8</v>
      </c>
      <c r="H358" s="61">
        <v>63.8</v>
      </c>
      <c r="I358" s="61">
        <v>13.8</v>
      </c>
      <c r="J358" s="61">
        <v>34.799999999999997</v>
      </c>
      <c r="K358" s="61">
        <v>30.4</v>
      </c>
      <c r="L358" s="61">
        <v>35.299999999999997</v>
      </c>
      <c r="M358" s="61">
        <v>44.9</v>
      </c>
      <c r="N358" s="61">
        <v>46.5</v>
      </c>
      <c r="O358" s="85">
        <v>18.600000000000001</v>
      </c>
      <c r="P358" s="105"/>
      <c r="Q358" s="87">
        <f t="shared" si="36"/>
        <v>1.580903024695476E-3</v>
      </c>
      <c r="R358" s="87">
        <f t="shared" si="39"/>
        <v>-4.8373443923094679E-4</v>
      </c>
      <c r="S358" s="87">
        <f t="shared" si="39"/>
        <v>-8.3957419612218261E-3</v>
      </c>
      <c r="T358" s="87">
        <f t="shared" si="38"/>
        <v>0</v>
      </c>
      <c r="U358" s="87">
        <f t="shared" si="38"/>
        <v>-1.1527505171067383E-2</v>
      </c>
      <c r="V358" s="87">
        <f t="shared" si="38"/>
        <v>6.5146810211936723E-3</v>
      </c>
      <c r="W358" s="87">
        <f t="shared" si="38"/>
        <v>1.5686277726264339E-3</v>
      </c>
      <c r="X358" s="87">
        <f t="shared" si="33"/>
        <v>-1.4388737452099556E-2</v>
      </c>
      <c r="Y358" s="87">
        <f t="shared" si="33"/>
        <v>-2.8330506626225996E-2</v>
      </c>
      <c r="Z358" s="87">
        <f t="shared" si="33"/>
        <v>-1.9544596072970283E-2</v>
      </c>
      <c r="AA358" s="87">
        <f t="shared" si="35"/>
        <v>-2.8288562004777137E-3</v>
      </c>
      <c r="AB358" s="87">
        <f t="shared" si="35"/>
        <v>2.2296553272690683E-3</v>
      </c>
      <c r="AC358" s="87">
        <f t="shared" si="35"/>
        <v>-2.1277398447284851E-2</v>
      </c>
      <c r="AD358" s="87">
        <f t="shared" si="35"/>
        <v>-5.3619431413852872E-3</v>
      </c>
      <c r="AE358" s="90">
        <f t="shared" si="37"/>
        <v>-6.5508696303472752E-3</v>
      </c>
      <c r="AF358" s="89"/>
    </row>
    <row r="359" spans="1:32" ht="15.5" x14ac:dyDescent="0.35">
      <c r="A359" s="82">
        <v>40288</v>
      </c>
      <c r="B359" s="83">
        <v>7669.1</v>
      </c>
      <c r="C359" s="84">
        <v>2500.3000000000002</v>
      </c>
      <c r="D359" s="61">
        <v>275.8</v>
      </c>
      <c r="E359" s="61">
        <v>18.2</v>
      </c>
      <c r="F359" s="61">
        <v>34.700000000000003</v>
      </c>
      <c r="G359" s="61">
        <v>31.1</v>
      </c>
      <c r="H359" s="61">
        <v>63.4</v>
      </c>
      <c r="I359" s="61">
        <v>14.2</v>
      </c>
      <c r="J359" s="61">
        <v>36.1</v>
      </c>
      <c r="K359" s="61">
        <v>30.2</v>
      </c>
      <c r="L359" s="61">
        <v>35.9</v>
      </c>
      <c r="M359" s="61">
        <v>46</v>
      </c>
      <c r="N359" s="61">
        <v>47.3</v>
      </c>
      <c r="O359" s="85">
        <v>19</v>
      </c>
      <c r="P359" s="105"/>
      <c r="Q359" s="87">
        <f t="shared" si="36"/>
        <v>9.4984894352974809E-3</v>
      </c>
      <c r="R359" s="87">
        <f t="shared" si="39"/>
        <v>8.1118427301286097E-3</v>
      </c>
      <c r="S359" s="87">
        <f t="shared" si="39"/>
        <v>1.0937039389894394E-2</v>
      </c>
      <c r="T359" s="87">
        <f t="shared" si="38"/>
        <v>1.1049836186584935E-2</v>
      </c>
      <c r="U359" s="87">
        <f t="shared" si="38"/>
        <v>5.7803629154995493E-3</v>
      </c>
      <c r="V359" s="87">
        <f t="shared" si="38"/>
        <v>9.6931292056597514E-3</v>
      </c>
      <c r="W359" s="87">
        <f t="shared" si="38"/>
        <v>-6.2893289075639904E-3</v>
      </c>
      <c r="X359" s="87">
        <f t="shared" si="33"/>
        <v>2.8573372444055948E-2</v>
      </c>
      <c r="Y359" s="87">
        <f t="shared" si="33"/>
        <v>3.6675478558406777E-2</v>
      </c>
      <c r="Z359" s="87">
        <f t="shared" si="33"/>
        <v>-6.6006840313520242E-3</v>
      </c>
      <c r="AA359" s="87">
        <f t="shared" si="35"/>
        <v>1.6854331554982182E-2</v>
      </c>
      <c r="AB359" s="87">
        <f t="shared" si="35"/>
        <v>2.4203601740886399E-2</v>
      </c>
      <c r="AC359" s="87">
        <f t="shared" si="35"/>
        <v>1.7057982904576552E-2</v>
      </c>
      <c r="AD359" s="87">
        <f t="shared" si="35"/>
        <v>2.1277398447284879E-2</v>
      </c>
      <c r="AE359" s="90">
        <f t="shared" si="37"/>
        <v>9.8725489283261244E-3</v>
      </c>
      <c r="AF359" s="89"/>
    </row>
    <row r="360" spans="1:32" ht="15.5" x14ac:dyDescent="0.35">
      <c r="A360" s="82">
        <v>40289</v>
      </c>
      <c r="B360" s="83">
        <v>7644.7</v>
      </c>
      <c r="C360" s="84">
        <v>2504.6</v>
      </c>
      <c r="D360" s="61">
        <v>276.39999999999998</v>
      </c>
      <c r="E360" s="61">
        <v>17.3</v>
      </c>
      <c r="F360" s="61">
        <v>36.5</v>
      </c>
      <c r="G360" s="61">
        <v>31.2</v>
      </c>
      <c r="H360" s="61">
        <v>64.8</v>
      </c>
      <c r="I360" s="61">
        <v>14.3</v>
      </c>
      <c r="J360" s="61">
        <v>36</v>
      </c>
      <c r="K360" s="61">
        <v>29.8</v>
      </c>
      <c r="L360" s="61">
        <v>34.700000000000003</v>
      </c>
      <c r="M360" s="61">
        <v>45.6</v>
      </c>
      <c r="N360" s="61">
        <v>51.2</v>
      </c>
      <c r="O360" s="85">
        <v>19</v>
      </c>
      <c r="P360" s="105"/>
      <c r="Q360" s="87">
        <f t="shared" si="36"/>
        <v>-3.1866709305641001E-3</v>
      </c>
      <c r="R360" s="87">
        <f t="shared" si="39"/>
        <v>1.7183164730638176E-3</v>
      </c>
      <c r="S360" s="87">
        <f t="shared" si="39"/>
        <v>2.1731265343132582E-3</v>
      </c>
      <c r="T360" s="87">
        <f t="shared" si="38"/>
        <v>-5.0715092579016338E-2</v>
      </c>
      <c r="U360" s="87">
        <f t="shared" si="38"/>
        <v>5.0572573635632334E-2</v>
      </c>
      <c r="V360" s="87">
        <f t="shared" si="38"/>
        <v>3.2102756302481894E-3</v>
      </c>
      <c r="W360" s="87">
        <f t="shared" si="38"/>
        <v>2.1841741915048854E-2</v>
      </c>
      <c r="X360" s="87">
        <f t="shared" si="33"/>
        <v>7.0175726586465398E-3</v>
      </c>
      <c r="Y360" s="87">
        <f t="shared" si="33"/>
        <v>-2.7739268827253194E-3</v>
      </c>
      <c r="Z360" s="87">
        <f t="shared" si="33"/>
        <v>-1.3333530869465144E-2</v>
      </c>
      <c r="AA360" s="87">
        <f t="shared" si="35"/>
        <v>-3.3997608541419505E-2</v>
      </c>
      <c r="AB360" s="87">
        <f t="shared" si="35"/>
        <v>-8.7336799687545534E-3</v>
      </c>
      <c r="AC360" s="87">
        <f t="shared" si="35"/>
        <v>7.9229236547574855E-2</v>
      </c>
      <c r="AD360" s="87">
        <f t="shared" si="35"/>
        <v>0</v>
      </c>
      <c r="AE360" s="90">
        <f t="shared" si="37"/>
        <v>1.5611943985097194E-2</v>
      </c>
      <c r="AF360" s="89"/>
    </row>
    <row r="361" spans="1:32" ht="15.5" x14ac:dyDescent="0.35">
      <c r="A361" s="82">
        <v>40290</v>
      </c>
      <c r="B361" s="83">
        <v>7642.8</v>
      </c>
      <c r="C361" s="84">
        <v>2519.1</v>
      </c>
      <c r="D361" s="61">
        <v>272</v>
      </c>
      <c r="E361" s="61">
        <v>17.2</v>
      </c>
      <c r="F361" s="61">
        <v>36.6</v>
      </c>
      <c r="G361" s="61">
        <v>30.9</v>
      </c>
      <c r="H361" s="61">
        <v>64.3</v>
      </c>
      <c r="I361" s="61">
        <v>14.1</v>
      </c>
      <c r="J361" s="61">
        <v>35.6</v>
      </c>
      <c r="K361" s="61">
        <v>30.2</v>
      </c>
      <c r="L361" s="61">
        <v>33.799999999999997</v>
      </c>
      <c r="M361" s="61">
        <v>45.4</v>
      </c>
      <c r="N361" s="61">
        <v>52</v>
      </c>
      <c r="O361" s="85">
        <v>19.100000000000001</v>
      </c>
      <c r="P361" s="105"/>
      <c r="Q361" s="87">
        <f t="shared" si="36"/>
        <v>-2.4856909367552716E-4</v>
      </c>
      <c r="R361" s="87">
        <f t="shared" si="39"/>
        <v>5.7726537276950518E-3</v>
      </c>
      <c r="S361" s="87">
        <f t="shared" si="39"/>
        <v>-1.6047025597517445E-2</v>
      </c>
      <c r="T361" s="87">
        <f t="shared" si="38"/>
        <v>-5.7971176843259579E-3</v>
      </c>
      <c r="U361" s="87">
        <f t="shared" si="38"/>
        <v>2.7359798188748455E-3</v>
      </c>
      <c r="V361" s="87">
        <f t="shared" si="38"/>
        <v>-9.6619109117369716E-3</v>
      </c>
      <c r="W361" s="87">
        <f t="shared" si="38"/>
        <v>-7.7459721146553411E-3</v>
      </c>
      <c r="X361" s="87">
        <f t="shared" si="33"/>
        <v>-1.4084739881739085E-2</v>
      </c>
      <c r="Y361" s="87">
        <f t="shared" si="33"/>
        <v>-1.1173300598125189E-2</v>
      </c>
      <c r="Z361" s="87">
        <f t="shared" si="33"/>
        <v>1.3333530869465168E-2</v>
      </c>
      <c r="AA361" s="87">
        <f t="shared" si="35"/>
        <v>-2.6278884463840534E-2</v>
      </c>
      <c r="AB361" s="87">
        <f t="shared" si="35"/>
        <v>-4.3956114730381093E-3</v>
      </c>
      <c r="AC361" s="87">
        <f t="shared" si="35"/>
        <v>1.5504186535965254E-2</v>
      </c>
      <c r="AD361" s="87">
        <f t="shared" si="35"/>
        <v>5.249355886143745E-3</v>
      </c>
      <c r="AE361" s="90">
        <f t="shared" si="37"/>
        <v>-1.5472792037978132E-3</v>
      </c>
      <c r="AF361" s="89"/>
    </row>
    <row r="362" spans="1:32" ht="15.5" x14ac:dyDescent="0.35">
      <c r="A362" s="82">
        <v>40291</v>
      </c>
      <c r="B362" s="83">
        <v>7701.6</v>
      </c>
      <c r="C362" s="84">
        <v>2530.1</v>
      </c>
      <c r="D362" s="61">
        <v>271.39999999999998</v>
      </c>
      <c r="E362" s="61">
        <v>17.5</v>
      </c>
      <c r="F362" s="61">
        <v>38.1</v>
      </c>
      <c r="G362" s="61">
        <v>30.7</v>
      </c>
      <c r="H362" s="61">
        <v>62.6</v>
      </c>
      <c r="I362" s="61">
        <v>14.4</v>
      </c>
      <c r="J362" s="61">
        <v>36</v>
      </c>
      <c r="K362" s="61">
        <v>31</v>
      </c>
      <c r="L362" s="61">
        <v>33.5</v>
      </c>
      <c r="M362" s="61">
        <v>45.8</v>
      </c>
      <c r="N362" s="61">
        <v>52.7</v>
      </c>
      <c r="O362" s="85">
        <v>19.3</v>
      </c>
      <c r="P362" s="105"/>
      <c r="Q362" s="87">
        <f t="shared" si="36"/>
        <v>7.6640712984364064E-3</v>
      </c>
      <c r="R362" s="87">
        <f t="shared" si="39"/>
        <v>4.3571327745187413E-3</v>
      </c>
      <c r="S362" s="87">
        <f t="shared" si="39"/>
        <v>-2.2083188952286546E-3</v>
      </c>
      <c r="T362" s="87">
        <f t="shared" si="38"/>
        <v>1.7291497110061043E-2</v>
      </c>
      <c r="U362" s="87">
        <f t="shared" si="38"/>
        <v>4.0166041725334653E-2</v>
      </c>
      <c r="V362" s="87">
        <f t="shared" si="38"/>
        <v>-6.4935293105482308E-3</v>
      </c>
      <c r="W362" s="87">
        <f t="shared" si="38"/>
        <v>-2.6794353137520779E-2</v>
      </c>
      <c r="X362" s="87">
        <f t="shared" si="33"/>
        <v>2.1053409197832482E-2</v>
      </c>
      <c r="Y362" s="87">
        <f t="shared" si="33"/>
        <v>1.1173300598125255E-2</v>
      </c>
      <c r="Z362" s="87">
        <f t="shared" si="33"/>
        <v>2.6145280104322207E-2</v>
      </c>
      <c r="AA362" s="87">
        <f t="shared" si="35"/>
        <v>-8.9153636579522803E-3</v>
      </c>
      <c r="AB362" s="87">
        <f t="shared" si="35"/>
        <v>8.7719860728370409E-3</v>
      </c>
      <c r="AC362" s="87">
        <f t="shared" si="35"/>
        <v>1.3371736965889241E-2</v>
      </c>
      <c r="AD362" s="87">
        <f t="shared" si="35"/>
        <v>1.041676085825558E-2</v>
      </c>
      <c r="AE362" s="90">
        <f t="shared" si="37"/>
        <v>1.3410700794051357E-2</v>
      </c>
      <c r="AF362" s="89"/>
    </row>
    <row r="363" spans="1:32" ht="15.5" x14ac:dyDescent="0.35">
      <c r="A363" s="82">
        <v>40294</v>
      </c>
      <c r="B363" s="83">
        <v>7677.6</v>
      </c>
      <c r="C363" s="84">
        <v>2522.9</v>
      </c>
      <c r="D363" s="61">
        <v>264.89999999999998</v>
      </c>
      <c r="E363" s="61">
        <v>17.3</v>
      </c>
      <c r="F363" s="61">
        <v>38.299999999999997</v>
      </c>
      <c r="G363" s="61">
        <v>30.9</v>
      </c>
      <c r="H363" s="61">
        <v>61.7</v>
      </c>
      <c r="I363" s="61">
        <v>14.4</v>
      </c>
      <c r="J363" s="61">
        <v>36.4</v>
      </c>
      <c r="K363" s="61">
        <v>32.1</v>
      </c>
      <c r="L363" s="61">
        <v>34.9</v>
      </c>
      <c r="M363" s="61">
        <v>46.7</v>
      </c>
      <c r="N363" s="61">
        <v>51.7</v>
      </c>
      <c r="O363" s="85">
        <v>19.399999999999999</v>
      </c>
      <c r="P363" s="105"/>
      <c r="Q363" s="87">
        <f t="shared" si="36"/>
        <v>-3.1211011603388228E-3</v>
      </c>
      <c r="R363" s="87">
        <f t="shared" si="39"/>
        <v>-2.8497941313259702E-3</v>
      </c>
      <c r="S363" s="87">
        <f t="shared" si="39"/>
        <v>-2.4241351122744788E-2</v>
      </c>
      <c r="T363" s="87">
        <f t="shared" si="38"/>
        <v>-1.1494379425735021E-2</v>
      </c>
      <c r="U363" s="87">
        <f t="shared" si="38"/>
        <v>5.2356140539449427E-3</v>
      </c>
      <c r="V363" s="87">
        <f t="shared" si="38"/>
        <v>6.4935293105483115E-3</v>
      </c>
      <c r="W363" s="87">
        <f t="shared" si="38"/>
        <v>-1.4481347194710732E-2</v>
      </c>
      <c r="X363" s="87">
        <f t="shared" si="33"/>
        <v>0</v>
      </c>
      <c r="Y363" s="87">
        <f t="shared" si="33"/>
        <v>1.1049836186584935E-2</v>
      </c>
      <c r="Z363" s="87">
        <f t="shared" si="33"/>
        <v>3.4868825650824074E-2</v>
      </c>
      <c r="AA363" s="87">
        <f t="shared" si="35"/>
        <v>4.094139037736072E-2</v>
      </c>
      <c r="AB363" s="87">
        <f t="shared" si="35"/>
        <v>1.9460073554712562E-2</v>
      </c>
      <c r="AC363" s="87">
        <f t="shared" si="35"/>
        <v>-1.9157674032933145E-2</v>
      </c>
      <c r="AD363" s="87">
        <f t="shared" si="35"/>
        <v>5.1679701584423773E-3</v>
      </c>
      <c r="AE363" s="90">
        <f t="shared" si="37"/>
        <v>-5.8260007971467223E-3</v>
      </c>
      <c r="AF363" s="89"/>
    </row>
    <row r="364" spans="1:32" ht="15.5" x14ac:dyDescent="0.35">
      <c r="A364" s="82">
        <v>40295</v>
      </c>
      <c r="B364" s="83">
        <v>7463.1</v>
      </c>
      <c r="C364" s="84">
        <v>2471.5</v>
      </c>
      <c r="D364" s="61">
        <v>263.89999999999998</v>
      </c>
      <c r="E364" s="61">
        <v>16.899999999999999</v>
      </c>
      <c r="F364" s="61">
        <v>37.200000000000003</v>
      </c>
      <c r="G364" s="61">
        <v>30.8</v>
      </c>
      <c r="H364" s="61">
        <v>61.8</v>
      </c>
      <c r="I364" s="61">
        <v>13.9</v>
      </c>
      <c r="J364" s="61">
        <v>35.4</v>
      </c>
      <c r="K364" s="61">
        <v>31</v>
      </c>
      <c r="L364" s="61">
        <v>34.4</v>
      </c>
      <c r="M364" s="61">
        <v>44.1</v>
      </c>
      <c r="N364" s="61">
        <v>51.2</v>
      </c>
      <c r="O364" s="85">
        <v>19.2</v>
      </c>
      <c r="P364" s="105"/>
      <c r="Q364" s="87">
        <f t="shared" si="36"/>
        <v>-2.8336120824578488E-2</v>
      </c>
      <c r="R364" s="87">
        <f t="shared" si="39"/>
        <v>-2.0583779753805913E-2</v>
      </c>
      <c r="S364" s="87">
        <f t="shared" si="39"/>
        <v>-3.7821527687456669E-3</v>
      </c>
      <c r="T364" s="87">
        <f t="shared" si="38"/>
        <v>-2.3392879574705577E-2</v>
      </c>
      <c r="U364" s="87">
        <f t="shared" si="38"/>
        <v>-2.9141134907499238E-2</v>
      </c>
      <c r="V364" s="87">
        <f t="shared" si="38"/>
        <v>-3.2414939241709557E-3</v>
      </c>
      <c r="W364" s="87">
        <f t="shared" si="38"/>
        <v>1.6194335523029759E-3</v>
      </c>
      <c r="X364" s="87">
        <f t="shared" si="33"/>
        <v>-3.5339366445308849E-2</v>
      </c>
      <c r="Y364" s="87">
        <f t="shared" si="33"/>
        <v>-2.7856954502966224E-2</v>
      </c>
      <c r="Z364" s="87">
        <f t="shared" si="33"/>
        <v>-3.4868825650823936E-2</v>
      </c>
      <c r="AA364" s="87">
        <f t="shared" si="35"/>
        <v>-1.4430264829028783E-2</v>
      </c>
      <c r="AB364" s="87">
        <f t="shared" si="35"/>
        <v>-5.7284382222051296E-2</v>
      </c>
      <c r="AC364" s="87">
        <f t="shared" si="35"/>
        <v>-9.7182494689213392E-3</v>
      </c>
      <c r="AD364" s="87">
        <f t="shared" si="35"/>
        <v>-1.0362787035546547E-2</v>
      </c>
      <c r="AE364" s="90">
        <f t="shared" si="37"/>
        <v>-1.6869399907572823E-2</v>
      </c>
      <c r="AF364" s="89"/>
    </row>
    <row r="365" spans="1:32" ht="15.5" x14ac:dyDescent="0.35">
      <c r="A365" s="82">
        <v>40296</v>
      </c>
      <c r="B365" s="83">
        <v>7499.7</v>
      </c>
      <c r="C365" s="84">
        <v>2471.6999999999998</v>
      </c>
      <c r="D365" s="61">
        <v>260.8</v>
      </c>
      <c r="E365" s="61">
        <v>16.600000000000001</v>
      </c>
      <c r="F365" s="61">
        <v>36.6</v>
      </c>
      <c r="G365" s="61">
        <v>30.6</v>
      </c>
      <c r="H365" s="61">
        <v>61.3</v>
      </c>
      <c r="I365" s="61">
        <v>13.8</v>
      </c>
      <c r="J365" s="61">
        <v>35.5</v>
      </c>
      <c r="K365" s="61">
        <v>30</v>
      </c>
      <c r="L365" s="61">
        <v>34.200000000000003</v>
      </c>
      <c r="M365" s="61">
        <v>43.7</v>
      </c>
      <c r="N365" s="61">
        <v>50.8</v>
      </c>
      <c r="O365" s="85">
        <v>19</v>
      </c>
      <c r="P365" s="105"/>
      <c r="Q365" s="87">
        <f t="shared" si="36"/>
        <v>4.8921422455409005E-3</v>
      </c>
      <c r="R365" s="87">
        <f t="shared" si="39"/>
        <v>8.0919242640004093E-5</v>
      </c>
      <c r="S365" s="87">
        <f t="shared" si="39"/>
        <v>-1.1816413456780327E-2</v>
      </c>
      <c r="T365" s="87">
        <f t="shared" si="38"/>
        <v>-1.7910926566530105E-2</v>
      </c>
      <c r="U365" s="87">
        <f t="shared" si="38"/>
        <v>-1.6260520871780291E-2</v>
      </c>
      <c r="V365" s="87">
        <f t="shared" si="38"/>
        <v>-6.5146810211936419E-3</v>
      </c>
      <c r="W365" s="87">
        <f t="shared" si="38"/>
        <v>-8.1235215214793318E-3</v>
      </c>
      <c r="X365" s="87">
        <f t="shared" si="38"/>
        <v>-7.2202479734870201E-3</v>
      </c>
      <c r="Y365" s="87">
        <f t="shared" si="38"/>
        <v>2.8208763416414846E-3</v>
      </c>
      <c r="Z365" s="87">
        <f t="shared" si="38"/>
        <v>-3.2789822822990838E-2</v>
      </c>
      <c r="AA365" s="87">
        <f t="shared" si="35"/>
        <v>-5.8309203107930986E-3</v>
      </c>
      <c r="AB365" s="87">
        <f t="shared" si="35"/>
        <v>-9.1116803512557784E-3</v>
      </c>
      <c r="AC365" s="87">
        <f t="shared" si="35"/>
        <v>-7.8431774610260054E-3</v>
      </c>
      <c r="AD365" s="87">
        <f t="shared" si="35"/>
        <v>-1.0471299867295366E-2</v>
      </c>
      <c r="AE365" s="90">
        <f t="shared" si="37"/>
        <v>-9.3574528948681002E-3</v>
      </c>
      <c r="AF365" s="89"/>
    </row>
    <row r="366" spans="1:32" ht="15.5" x14ac:dyDescent="0.35">
      <c r="A366" s="82">
        <v>40297</v>
      </c>
      <c r="B366" s="83">
        <v>7589.3</v>
      </c>
      <c r="C366" s="84">
        <v>2511.9</v>
      </c>
      <c r="D366" s="61">
        <v>263.60000000000002</v>
      </c>
      <c r="E366" s="61">
        <v>16.8</v>
      </c>
      <c r="F366" s="61">
        <v>37.4</v>
      </c>
      <c r="G366" s="61">
        <v>30.7</v>
      </c>
      <c r="H366" s="61">
        <v>57.4</v>
      </c>
      <c r="I366" s="61">
        <v>13.7</v>
      </c>
      <c r="J366" s="61">
        <v>35.9</v>
      </c>
      <c r="K366" s="61">
        <v>30.5</v>
      </c>
      <c r="L366" s="61">
        <v>35</v>
      </c>
      <c r="M366" s="61">
        <v>44.2</v>
      </c>
      <c r="N366" s="61">
        <v>51.8</v>
      </c>
      <c r="O366" s="85">
        <v>19.2</v>
      </c>
      <c r="P366" s="105"/>
      <c r="Q366" s="87">
        <f t="shared" si="36"/>
        <v>1.187634079819379E-2</v>
      </c>
      <c r="R366" s="87">
        <f t="shared" si="39"/>
        <v>1.6133265888841911E-2</v>
      </c>
      <c r="S366" s="87">
        <f t="shared" si="39"/>
        <v>1.0678972575854314E-2</v>
      </c>
      <c r="T366" s="87">
        <f t="shared" si="38"/>
        <v>1.197619104671562E-2</v>
      </c>
      <c r="U366" s="87">
        <f t="shared" si="38"/>
        <v>2.1622464013165709E-2</v>
      </c>
      <c r="V366" s="87">
        <f t="shared" si="38"/>
        <v>3.2626456348163694E-3</v>
      </c>
      <c r="W366" s="87">
        <f t="shared" si="38"/>
        <v>-6.5735539616644981E-2</v>
      </c>
      <c r="X366" s="87">
        <f t="shared" si="38"/>
        <v>-7.2727593290799206E-3</v>
      </c>
      <c r="Y366" s="87">
        <f t="shared" si="38"/>
        <v>1.1204599012863062E-2</v>
      </c>
      <c r="Z366" s="87">
        <f t="shared" si="38"/>
        <v>1.6529301951210506E-2</v>
      </c>
      <c r="AA366" s="87">
        <f t="shared" si="35"/>
        <v>2.3122417420854212E-2</v>
      </c>
      <c r="AB366" s="87">
        <f t="shared" si="35"/>
        <v>1.1376686982108048E-2</v>
      </c>
      <c r="AC366" s="87">
        <f t="shared" si="35"/>
        <v>1.9493794681001132E-2</v>
      </c>
      <c r="AD366" s="87">
        <f t="shared" si="35"/>
        <v>1.0471299867295437E-2</v>
      </c>
      <c r="AE366" s="90">
        <f t="shared" si="37"/>
        <v>1.5417816733431709E-2</v>
      </c>
      <c r="AF366" s="89"/>
    </row>
    <row r="367" spans="1:32" ht="15.5" x14ac:dyDescent="0.35">
      <c r="A367" s="82">
        <v>40298</v>
      </c>
      <c r="B367" s="83">
        <v>7474.4</v>
      </c>
      <c r="C367" s="84">
        <v>2461.1999999999998</v>
      </c>
      <c r="D367" s="61">
        <v>263</v>
      </c>
      <c r="E367" s="61">
        <v>16.5</v>
      </c>
      <c r="F367" s="61">
        <v>37.299999999999997</v>
      </c>
      <c r="G367" s="61">
        <v>30.5</v>
      </c>
      <c r="H367" s="61">
        <v>57.4</v>
      </c>
      <c r="I367" s="61">
        <v>13.4</v>
      </c>
      <c r="J367" s="61">
        <v>36.799999999999997</v>
      </c>
      <c r="K367" s="61">
        <v>29</v>
      </c>
      <c r="L367" s="61">
        <v>35</v>
      </c>
      <c r="M367" s="61">
        <v>45.5</v>
      </c>
      <c r="N367" s="61">
        <v>51</v>
      </c>
      <c r="O367" s="85">
        <v>19</v>
      </c>
      <c r="P367" s="105"/>
      <c r="Q367" s="87">
        <f t="shared" si="36"/>
        <v>-1.525551204382844E-2</v>
      </c>
      <c r="R367" s="87">
        <f t="shared" si="39"/>
        <v>-2.0390403012160746E-2</v>
      </c>
      <c r="S367" s="87">
        <f t="shared" si="39"/>
        <v>-2.2787704505877115E-3</v>
      </c>
      <c r="T367" s="87">
        <f t="shared" si="38"/>
        <v>-1.8018505502678365E-2</v>
      </c>
      <c r="U367" s="87">
        <f t="shared" si="38"/>
        <v>-2.6773777707164029E-3</v>
      </c>
      <c r="V367" s="87">
        <f t="shared" si="38"/>
        <v>-6.5359709797855334E-3</v>
      </c>
      <c r="W367" s="87">
        <f t="shared" si="38"/>
        <v>0</v>
      </c>
      <c r="X367" s="87">
        <f t="shared" si="38"/>
        <v>-2.2141125877213518E-2</v>
      </c>
      <c r="Y367" s="87">
        <f t="shared" si="38"/>
        <v>2.4760549680652118E-2</v>
      </c>
      <c r="Z367" s="87">
        <f t="shared" si="38"/>
        <v>-5.0430853626891967E-2</v>
      </c>
      <c r="AA367" s="87">
        <f t="shared" si="35"/>
        <v>0</v>
      </c>
      <c r="AB367" s="87">
        <f t="shared" si="35"/>
        <v>2.8987536873252187E-2</v>
      </c>
      <c r="AC367" s="87">
        <f t="shared" si="35"/>
        <v>-1.5564516541111573E-2</v>
      </c>
      <c r="AD367" s="87">
        <f t="shared" si="35"/>
        <v>-1.0471299867295366E-2</v>
      </c>
      <c r="AE367" s="90">
        <f t="shared" si="37"/>
        <v>-8.8174701208148052E-3</v>
      </c>
      <c r="AF367" s="89"/>
    </row>
    <row r="368" spans="1:32" ht="15.5" x14ac:dyDescent="0.35">
      <c r="A368" s="82">
        <v>40301</v>
      </c>
      <c r="B368" s="83">
        <v>7543.1</v>
      </c>
      <c r="C368" s="84">
        <v>2498.6999999999998</v>
      </c>
      <c r="D368" s="61">
        <v>262.8</v>
      </c>
      <c r="E368" s="61">
        <v>16.600000000000001</v>
      </c>
      <c r="F368" s="61">
        <v>37.6</v>
      </c>
      <c r="G368" s="61">
        <v>30.6</v>
      </c>
      <c r="H368" s="61">
        <v>57.1</v>
      </c>
      <c r="I368" s="61">
        <v>13.5</v>
      </c>
      <c r="J368" s="61">
        <v>35.9</v>
      </c>
      <c r="K368" s="61">
        <v>29.2</v>
      </c>
      <c r="L368" s="61">
        <v>35</v>
      </c>
      <c r="M368" s="61">
        <v>45.6</v>
      </c>
      <c r="N368" s="61">
        <v>51.1</v>
      </c>
      <c r="O368" s="85">
        <v>19</v>
      </c>
      <c r="P368" s="105"/>
      <c r="Q368" s="87">
        <f t="shared" si="36"/>
        <v>9.1493896116794145E-3</v>
      </c>
      <c r="R368" s="87">
        <f t="shared" si="39"/>
        <v>1.5121560743069272E-2</v>
      </c>
      <c r="S368" s="87">
        <f t="shared" si="39"/>
        <v>-7.6074556730904421E-4</v>
      </c>
      <c r="T368" s="87">
        <f t="shared" si="38"/>
        <v>6.0423144559626617E-3</v>
      </c>
      <c r="U368" s="87">
        <f t="shared" si="38"/>
        <v>8.010723746078979E-3</v>
      </c>
      <c r="V368" s="87">
        <f t="shared" si="38"/>
        <v>3.2733253449691085E-3</v>
      </c>
      <c r="W368" s="87">
        <f t="shared" si="38"/>
        <v>-5.2401866635561588E-3</v>
      </c>
      <c r="X368" s="87">
        <f t="shared" si="38"/>
        <v>7.4349784875179905E-3</v>
      </c>
      <c r="Y368" s="87">
        <f t="shared" si="38"/>
        <v>-2.4760549680651996E-2</v>
      </c>
      <c r="Z368" s="87">
        <f t="shared" si="38"/>
        <v>6.8728792877620504E-3</v>
      </c>
      <c r="AA368" s="87">
        <f t="shared" si="35"/>
        <v>0</v>
      </c>
      <c r="AB368" s="87">
        <f t="shared" si="35"/>
        <v>2.195390563435656E-3</v>
      </c>
      <c r="AC368" s="87">
        <f t="shared" si="35"/>
        <v>1.9588644853329716E-3</v>
      </c>
      <c r="AD368" s="87">
        <f t="shared" si="35"/>
        <v>0</v>
      </c>
      <c r="AE368" s="90">
        <f t="shared" si="37"/>
        <v>6.6005237399224224E-3</v>
      </c>
      <c r="AF368" s="89"/>
    </row>
    <row r="369" spans="1:32" ht="15.5" x14ac:dyDescent="0.35">
      <c r="A369" s="82">
        <v>40302</v>
      </c>
      <c r="B369" s="83">
        <v>7337.3</v>
      </c>
      <c r="C369" s="84">
        <v>2424.3000000000002</v>
      </c>
      <c r="D369" s="61">
        <v>252.4</v>
      </c>
      <c r="E369" s="61">
        <v>16.3</v>
      </c>
      <c r="F369" s="61">
        <v>36.700000000000003</v>
      </c>
      <c r="G369" s="61">
        <v>29.8</v>
      </c>
      <c r="H369" s="61">
        <v>55.7</v>
      </c>
      <c r="I369" s="61">
        <v>13.4</v>
      </c>
      <c r="J369" s="61">
        <v>34.5</v>
      </c>
      <c r="K369" s="61">
        <v>28.5</v>
      </c>
      <c r="L369" s="61">
        <v>35.6</v>
      </c>
      <c r="M369" s="61">
        <v>44.1</v>
      </c>
      <c r="N369" s="61">
        <v>49.5</v>
      </c>
      <c r="O369" s="85">
        <v>19.3</v>
      </c>
      <c r="P369" s="105"/>
      <c r="Q369" s="87">
        <f t="shared" si="36"/>
        <v>-2.7662310565763043E-2</v>
      </c>
      <c r="R369" s="87">
        <f t="shared" si="39"/>
        <v>-3.0227773701892714E-2</v>
      </c>
      <c r="S369" s="87">
        <f t="shared" si="39"/>
        <v>-4.0378155943397352E-2</v>
      </c>
      <c r="T369" s="87">
        <f t="shared" si="38"/>
        <v>-1.8237587549780901E-2</v>
      </c>
      <c r="U369" s="87">
        <f t="shared" si="38"/>
        <v>-2.4227295335324237E-2</v>
      </c>
      <c r="V369" s="87">
        <f t="shared" si="38"/>
        <v>-2.6491615446976341E-2</v>
      </c>
      <c r="W369" s="87">
        <f t="shared" si="38"/>
        <v>-2.4823969728726122E-2</v>
      </c>
      <c r="X369" s="87">
        <f t="shared" si="38"/>
        <v>-7.4349784875180902E-3</v>
      </c>
      <c r="Y369" s="87">
        <f t="shared" si="38"/>
        <v>-3.9777971456919081E-2</v>
      </c>
      <c r="Z369" s="87">
        <f t="shared" si="38"/>
        <v>-2.4264621999631208E-2</v>
      </c>
      <c r="AA369" s="87">
        <f t="shared" si="35"/>
        <v>1.6997576368571077E-2</v>
      </c>
      <c r="AB369" s="87">
        <f t="shared" si="35"/>
        <v>-3.3447934067540132E-2</v>
      </c>
      <c r="AC369" s="87">
        <f t="shared" si="35"/>
        <v>-3.1811827635014132E-2</v>
      </c>
      <c r="AD369" s="87">
        <f t="shared" si="35"/>
        <v>1.5666116744399456E-2</v>
      </c>
      <c r="AE369" s="90">
        <f t="shared" si="37"/>
        <v>-2.5905351230493139E-2</v>
      </c>
      <c r="AF369" s="89"/>
    </row>
    <row r="370" spans="1:32" ht="15.5" x14ac:dyDescent="0.35">
      <c r="A370" s="82">
        <v>40303</v>
      </c>
      <c r="B370" s="83">
        <v>7258</v>
      </c>
      <c r="C370" s="84">
        <v>2402.3000000000002</v>
      </c>
      <c r="D370" s="61">
        <v>250.5</v>
      </c>
      <c r="E370" s="61">
        <v>16.100000000000001</v>
      </c>
      <c r="F370" s="61">
        <v>35.5</v>
      </c>
      <c r="G370" s="61">
        <v>29.7</v>
      </c>
      <c r="H370" s="61">
        <v>55.8</v>
      </c>
      <c r="I370" s="61">
        <v>12.9</v>
      </c>
      <c r="J370" s="61">
        <v>33.5</v>
      </c>
      <c r="K370" s="61">
        <v>27.7</v>
      </c>
      <c r="L370" s="61">
        <v>34.9</v>
      </c>
      <c r="M370" s="61">
        <v>43.6</v>
      </c>
      <c r="N370" s="61">
        <v>47.3</v>
      </c>
      <c r="O370" s="85">
        <v>18.7</v>
      </c>
      <c r="P370" s="105"/>
      <c r="Q370" s="87">
        <f t="shared" si="36"/>
        <v>-1.0866618751646533E-2</v>
      </c>
      <c r="R370" s="87">
        <f t="shared" si="39"/>
        <v>-9.1162111463622859E-3</v>
      </c>
      <c r="S370" s="87">
        <f t="shared" si="39"/>
        <v>-7.5562101421386106E-3</v>
      </c>
      <c r="T370" s="87">
        <f t="shared" si="38"/>
        <v>-1.2345835822299266E-2</v>
      </c>
      <c r="U370" s="87">
        <f t="shared" si="38"/>
        <v>-3.3244058579154516E-2</v>
      </c>
      <c r="V370" s="87">
        <f t="shared" si="38"/>
        <v>-3.3613477027048832E-3</v>
      </c>
      <c r="W370" s="87">
        <f t="shared" si="38"/>
        <v>1.7937224540269007E-3</v>
      </c>
      <c r="X370" s="87">
        <f t="shared" si="38"/>
        <v>-3.8027395589239253E-2</v>
      </c>
      <c r="Y370" s="87">
        <f t="shared" si="38"/>
        <v>-2.9413885206293341E-2</v>
      </c>
      <c r="Z370" s="87">
        <f t="shared" si="38"/>
        <v>-2.8471674081312001E-2</v>
      </c>
      <c r="AA370" s="87">
        <f t="shared" si="35"/>
        <v>-1.9858808649603401E-2</v>
      </c>
      <c r="AB370" s="87">
        <f t="shared" si="35"/>
        <v>-1.1402632097811649E-2</v>
      </c>
      <c r="AC370" s="87">
        <f t="shared" si="35"/>
        <v>-4.5462374076757399E-2</v>
      </c>
      <c r="AD370" s="87">
        <f t="shared" si="35"/>
        <v>-3.1581572050299045E-2</v>
      </c>
      <c r="AE370" s="90">
        <f t="shared" si="37"/>
        <v>-1.828921448110624E-2</v>
      </c>
      <c r="AF370" s="89"/>
    </row>
    <row r="371" spans="1:32" ht="15.5" x14ac:dyDescent="0.35">
      <c r="A371" s="82">
        <v>40304</v>
      </c>
      <c r="B371" s="83">
        <v>7011.9</v>
      </c>
      <c r="C371" s="84">
        <v>2319.6</v>
      </c>
      <c r="D371" s="61">
        <v>230.2</v>
      </c>
      <c r="E371" s="61">
        <v>15.4</v>
      </c>
      <c r="F371" s="61">
        <v>28.5</v>
      </c>
      <c r="G371" s="61">
        <v>27.9</v>
      </c>
      <c r="H371" s="61">
        <v>54</v>
      </c>
      <c r="I371" s="61">
        <v>11.6</v>
      </c>
      <c r="J371" s="61">
        <v>31.9</v>
      </c>
      <c r="K371" s="61">
        <v>26.8</v>
      </c>
      <c r="L371" s="61">
        <v>30.7</v>
      </c>
      <c r="M371" s="61">
        <v>38.1</v>
      </c>
      <c r="N371" s="61">
        <v>43</v>
      </c>
      <c r="O371" s="85">
        <v>16.8</v>
      </c>
      <c r="P371" s="105"/>
      <c r="Q371" s="87">
        <f t="shared" si="36"/>
        <v>-3.4495603099983854E-2</v>
      </c>
      <c r="R371" s="87">
        <f t="shared" si="39"/>
        <v>-3.5031854758864021E-2</v>
      </c>
      <c r="S371" s="87">
        <f t="shared" si="39"/>
        <v>-8.4510424237137255E-2</v>
      </c>
      <c r="T371" s="87">
        <f t="shared" si="38"/>
        <v>-4.4451762570833921E-2</v>
      </c>
      <c r="U371" s="87">
        <f t="shared" si="38"/>
        <v>-0.21962860920676522</v>
      </c>
      <c r="V371" s="87">
        <f t="shared" si="38"/>
        <v>-6.2520356981334055E-2</v>
      </c>
      <c r="W371" s="87">
        <f t="shared" si="38"/>
        <v>-3.2789822822990838E-2</v>
      </c>
      <c r="X371" s="87">
        <f t="shared" si="38"/>
        <v>-0.10622221325530755</v>
      </c>
      <c r="Y371" s="87">
        <f t="shared" si="38"/>
        <v>-4.8939429040221916E-2</v>
      </c>
      <c r="Z371" s="87">
        <f t="shared" si="38"/>
        <v>-3.3030525676481723E-2</v>
      </c>
      <c r="AA371" s="87">
        <f t="shared" si="35"/>
        <v>-0.12822417461523</v>
      </c>
      <c r="AB371" s="87">
        <f t="shared" si="35"/>
        <v>-0.13484286822233332</v>
      </c>
      <c r="AC371" s="87">
        <f t="shared" si="35"/>
        <v>-9.5310179804324768E-2</v>
      </c>
      <c r="AD371" s="87">
        <f t="shared" si="35"/>
        <v>-0.10714463745132766</v>
      </c>
      <c r="AE371" s="90">
        <f t="shared" si="37"/>
        <v>-0.11106599449024865</v>
      </c>
      <c r="AF371" s="89"/>
    </row>
    <row r="372" spans="1:32" ht="15.5" x14ac:dyDescent="0.35">
      <c r="A372" s="82">
        <v>40305</v>
      </c>
      <c r="B372" s="83">
        <v>6916.2</v>
      </c>
      <c r="C372" s="84">
        <v>2265.6</v>
      </c>
      <c r="D372" s="61">
        <v>240.9</v>
      </c>
      <c r="E372" s="61">
        <v>15.3</v>
      </c>
      <c r="F372" s="61">
        <v>32.200000000000003</v>
      </c>
      <c r="G372" s="61">
        <v>27.3</v>
      </c>
      <c r="H372" s="61">
        <v>54</v>
      </c>
      <c r="I372" s="61">
        <v>11.9</v>
      </c>
      <c r="J372" s="61">
        <v>32.700000000000003</v>
      </c>
      <c r="K372" s="61">
        <v>26.9</v>
      </c>
      <c r="L372" s="61">
        <v>33</v>
      </c>
      <c r="M372" s="61">
        <v>40.1</v>
      </c>
      <c r="N372" s="61">
        <v>43.3</v>
      </c>
      <c r="O372" s="85">
        <v>17.399999999999999</v>
      </c>
      <c r="P372" s="105"/>
      <c r="Q372" s="87">
        <f t="shared" si="36"/>
        <v>-1.3742219838009962E-2</v>
      </c>
      <c r="R372" s="87">
        <f t="shared" si="39"/>
        <v>-2.3555132502884872E-2</v>
      </c>
      <c r="S372" s="87">
        <f t="shared" si="39"/>
        <v>4.5433413333043585E-2</v>
      </c>
      <c r="T372" s="87">
        <f t="shared" si="38"/>
        <v>-6.5146810211936419E-3</v>
      </c>
      <c r="U372" s="87">
        <f t="shared" si="38"/>
        <v>0.12206236527575794</v>
      </c>
      <c r="V372" s="87">
        <f t="shared" si="38"/>
        <v>-2.1739986636405764E-2</v>
      </c>
      <c r="W372" s="87">
        <f t="shared" si="38"/>
        <v>0</v>
      </c>
      <c r="X372" s="87">
        <f t="shared" si="38"/>
        <v>2.5533302005164845E-2</v>
      </c>
      <c r="Y372" s="87">
        <f t="shared" si="38"/>
        <v>2.4769068112408948E-2</v>
      </c>
      <c r="Z372" s="87">
        <f t="shared" si="38"/>
        <v>3.7243990909822727E-3</v>
      </c>
      <c r="AA372" s="87">
        <f t="shared" si="35"/>
        <v>7.2244906873328796E-2</v>
      </c>
      <c r="AB372" s="87">
        <f t="shared" si="35"/>
        <v>5.1162052179868273E-2</v>
      </c>
      <c r="AC372" s="87">
        <f t="shared" si="35"/>
        <v>6.9525193148816632E-3</v>
      </c>
      <c r="AD372" s="87">
        <f t="shared" si="35"/>
        <v>3.5091319811269978E-2</v>
      </c>
      <c r="AE372" s="90">
        <f t="shared" si="37"/>
        <v>4.5408336763877968E-2</v>
      </c>
      <c r="AF372" s="89"/>
    </row>
    <row r="373" spans="1:32" ht="15.5" x14ac:dyDescent="0.35">
      <c r="A373" s="82">
        <v>40308</v>
      </c>
      <c r="B373" s="83">
        <v>7257.6</v>
      </c>
      <c r="C373" s="84">
        <v>2374.6999999999998</v>
      </c>
      <c r="D373" s="61">
        <v>256.60000000000002</v>
      </c>
      <c r="E373" s="61">
        <v>16</v>
      </c>
      <c r="F373" s="61">
        <v>35.5</v>
      </c>
      <c r="G373" s="61">
        <v>28.7</v>
      </c>
      <c r="H373" s="61">
        <v>54.7</v>
      </c>
      <c r="I373" s="61">
        <v>12.6</v>
      </c>
      <c r="J373" s="61">
        <v>34.200000000000003</v>
      </c>
      <c r="K373" s="61">
        <v>28.6</v>
      </c>
      <c r="L373" s="61">
        <v>33.9</v>
      </c>
      <c r="M373" s="61">
        <v>42.7</v>
      </c>
      <c r="N373" s="61">
        <v>44.9</v>
      </c>
      <c r="O373" s="85">
        <v>18.399999999999999</v>
      </c>
      <c r="P373" s="105"/>
      <c r="Q373" s="87">
        <f t="shared" si="36"/>
        <v>4.8182709818301646E-2</v>
      </c>
      <c r="R373" s="87">
        <f t="shared" si="39"/>
        <v>4.7031489201355962E-2</v>
      </c>
      <c r="S373" s="87">
        <f t="shared" si="39"/>
        <v>6.3136542560710482E-2</v>
      </c>
      <c r="T373" s="87">
        <f t="shared" si="38"/>
        <v>4.4735893841391518E-2</v>
      </c>
      <c r="U373" s="87">
        <f t="shared" si="38"/>
        <v>9.7566243931007421E-2</v>
      </c>
      <c r="V373" s="87">
        <f t="shared" si="38"/>
        <v>5.0010420574661416E-2</v>
      </c>
      <c r="W373" s="87">
        <f t="shared" si="38"/>
        <v>1.2879662863661238E-2</v>
      </c>
      <c r="X373" s="87">
        <f t="shared" si="38"/>
        <v>5.7158413839948623E-2</v>
      </c>
      <c r="Y373" s="87">
        <f t="shared" si="38"/>
        <v>4.4850566165351713E-2</v>
      </c>
      <c r="Z373" s="87">
        <f t="shared" si="38"/>
        <v>6.1280431218013569E-2</v>
      </c>
      <c r="AA373" s="87">
        <f t="shared" si="35"/>
        <v>2.6907452919924402E-2</v>
      </c>
      <c r="AB373" s="87">
        <f t="shared" si="35"/>
        <v>6.2822585922055335E-2</v>
      </c>
      <c r="AC373" s="87">
        <f t="shared" si="35"/>
        <v>3.6285159739764587E-2</v>
      </c>
      <c r="AD373" s="87">
        <f t="shared" si="35"/>
        <v>5.5880458394456628E-2</v>
      </c>
      <c r="AE373" s="90">
        <f t="shared" si="37"/>
        <v>6.7271904377884578E-2</v>
      </c>
      <c r="AF373" s="89"/>
    </row>
    <row r="374" spans="1:32" ht="15.5" x14ac:dyDescent="0.35">
      <c r="A374" s="82">
        <v>40309</v>
      </c>
      <c r="B374" s="83">
        <v>7221.7</v>
      </c>
      <c r="C374" s="84">
        <v>2375.3000000000002</v>
      </c>
      <c r="D374" s="61">
        <v>254.4</v>
      </c>
      <c r="E374" s="61">
        <v>15.9</v>
      </c>
      <c r="F374" s="61">
        <v>35.799999999999997</v>
      </c>
      <c r="G374" s="61">
        <v>28.6</v>
      </c>
      <c r="H374" s="61">
        <v>53.6</v>
      </c>
      <c r="I374" s="61">
        <v>12.5</v>
      </c>
      <c r="J374" s="61">
        <v>33.799999999999997</v>
      </c>
      <c r="K374" s="61">
        <v>28.4</v>
      </c>
      <c r="L374" s="61">
        <v>33</v>
      </c>
      <c r="M374" s="61">
        <v>43</v>
      </c>
      <c r="N374" s="61">
        <v>46.5</v>
      </c>
      <c r="O374" s="85">
        <v>18.899999999999999</v>
      </c>
      <c r="P374" s="105"/>
      <c r="Q374" s="87">
        <f t="shared" si="36"/>
        <v>-4.9588134184037078E-3</v>
      </c>
      <c r="R374" s="87">
        <f t="shared" si="39"/>
        <v>2.5263158029115824E-4</v>
      </c>
      <c r="S374" s="87">
        <f t="shared" si="39"/>
        <v>-8.6106207155690548E-3</v>
      </c>
      <c r="T374" s="87">
        <f t="shared" si="38"/>
        <v>-6.2696130135953742E-3</v>
      </c>
      <c r="U374" s="87">
        <f t="shared" si="38"/>
        <v>8.4151969252844981E-3</v>
      </c>
      <c r="V374" s="87">
        <f t="shared" si="38"/>
        <v>-3.4904049397684908E-3</v>
      </c>
      <c r="W374" s="87">
        <f t="shared" si="38"/>
        <v>-2.031464135117925E-2</v>
      </c>
      <c r="X374" s="87">
        <f t="shared" si="38"/>
        <v>-7.9681696491768449E-3</v>
      </c>
      <c r="Y374" s="87">
        <f t="shared" si="38"/>
        <v>-1.1764841579586483E-2</v>
      </c>
      <c r="Z374" s="87">
        <f t="shared" si="38"/>
        <v>-7.0175726586466465E-3</v>
      </c>
      <c r="AA374" s="87">
        <f t="shared" si="35"/>
        <v>-2.6907452919924271E-2</v>
      </c>
      <c r="AB374" s="87">
        <f t="shared" si="35"/>
        <v>7.0011954589835612E-3</v>
      </c>
      <c r="AC374" s="87">
        <f t="shared" si="35"/>
        <v>3.5014517845102053E-2</v>
      </c>
      <c r="AD374" s="87">
        <f t="shared" si="35"/>
        <v>2.681125745065677E-2</v>
      </c>
      <c r="AE374" s="90">
        <f t="shared" si="37"/>
        <v>3.2199370768423987E-3</v>
      </c>
      <c r="AF374" s="89"/>
    </row>
    <row r="375" spans="1:32" ht="15.5" x14ac:dyDescent="0.35">
      <c r="A375" s="82">
        <v>40310</v>
      </c>
      <c r="B375" s="83">
        <v>7316.4</v>
      </c>
      <c r="C375" s="84">
        <v>2425</v>
      </c>
      <c r="D375" s="61">
        <v>251.3</v>
      </c>
      <c r="E375" s="61">
        <v>16.3</v>
      </c>
      <c r="F375" s="61">
        <v>37</v>
      </c>
      <c r="G375" s="61">
        <v>28.9</v>
      </c>
      <c r="H375" s="61">
        <v>54</v>
      </c>
      <c r="I375" s="61">
        <v>12.8</v>
      </c>
      <c r="J375" s="61">
        <v>34.200000000000003</v>
      </c>
      <c r="K375" s="61">
        <v>28.9</v>
      </c>
      <c r="L375" s="61">
        <v>33.4</v>
      </c>
      <c r="M375" s="61">
        <v>43.2</v>
      </c>
      <c r="N375" s="61">
        <v>46.2</v>
      </c>
      <c r="O375" s="85">
        <v>19</v>
      </c>
      <c r="P375" s="105"/>
      <c r="Q375" s="87">
        <f t="shared" si="36"/>
        <v>1.3028021466850906E-2</v>
      </c>
      <c r="R375" s="87">
        <f t="shared" si="39"/>
        <v>2.0707779090535772E-2</v>
      </c>
      <c r="S375" s="87">
        <f t="shared" si="39"/>
        <v>-1.2260386916420596E-2</v>
      </c>
      <c r="T375" s="87">
        <f t="shared" si="38"/>
        <v>2.4845998586530804E-2</v>
      </c>
      <c r="U375" s="87">
        <f t="shared" si="38"/>
        <v>3.2970019237569897E-2</v>
      </c>
      <c r="V375" s="87">
        <f t="shared" si="38"/>
        <v>1.0434877292579494E-2</v>
      </c>
      <c r="W375" s="87">
        <f t="shared" si="38"/>
        <v>7.4349784875179905E-3</v>
      </c>
      <c r="X375" s="87">
        <f t="shared" si="38"/>
        <v>2.3716526617316065E-2</v>
      </c>
      <c r="Y375" s="87">
        <f t="shared" si="38"/>
        <v>1.1764841579586431E-2</v>
      </c>
      <c r="Z375" s="87">
        <f t="shared" si="38"/>
        <v>1.7452449951226207E-2</v>
      </c>
      <c r="AA375" s="87">
        <f t="shared" si="35"/>
        <v>1.2048338516174355E-2</v>
      </c>
      <c r="AB375" s="87">
        <f t="shared" si="35"/>
        <v>4.6403795565023009E-3</v>
      </c>
      <c r="AC375" s="87">
        <f t="shared" si="35"/>
        <v>-6.4725145056173669E-3</v>
      </c>
      <c r="AD375" s="87">
        <f t="shared" si="35"/>
        <v>5.2770571008438193E-3</v>
      </c>
      <c r="AE375" s="90">
        <f t="shared" si="37"/>
        <v>1.2686550694761435E-2</v>
      </c>
      <c r="AF375" s="89"/>
    </row>
    <row r="376" spans="1:32" ht="15.5" x14ac:dyDescent="0.35">
      <c r="A376" s="82">
        <v>40311</v>
      </c>
      <c r="B376" s="83">
        <v>7234.4</v>
      </c>
      <c r="C376" s="84">
        <v>2394.4</v>
      </c>
      <c r="D376" s="61">
        <v>255.4</v>
      </c>
      <c r="E376" s="61">
        <v>16.100000000000001</v>
      </c>
      <c r="F376" s="61">
        <v>36.6</v>
      </c>
      <c r="G376" s="61">
        <v>29.2</v>
      </c>
      <c r="H376" s="61">
        <v>54.5</v>
      </c>
      <c r="I376" s="61">
        <v>13.1</v>
      </c>
      <c r="J376" s="61">
        <v>34</v>
      </c>
      <c r="K376" s="61">
        <v>28.1</v>
      </c>
      <c r="L376" s="61">
        <v>33.1</v>
      </c>
      <c r="M376" s="61">
        <v>43</v>
      </c>
      <c r="N376" s="61">
        <v>46.5</v>
      </c>
      <c r="O376" s="85">
        <v>18.8</v>
      </c>
      <c r="P376" s="105"/>
      <c r="Q376" s="87">
        <f t="shared" si="36"/>
        <v>-1.1270977275500355E-2</v>
      </c>
      <c r="R376" s="87">
        <f t="shared" si="39"/>
        <v>-1.2698846833094312E-2</v>
      </c>
      <c r="S376" s="87">
        <f t="shared" si="39"/>
        <v>1.618349904889246E-2</v>
      </c>
      <c r="T376" s="87">
        <f t="shared" si="38"/>
        <v>-1.2345835822299266E-2</v>
      </c>
      <c r="U376" s="87">
        <f t="shared" si="38"/>
        <v>-1.0869672236903879E-2</v>
      </c>
      <c r="V376" s="87">
        <f t="shared" si="38"/>
        <v>1.0327114155849524E-2</v>
      </c>
      <c r="W376" s="87">
        <f t="shared" si="38"/>
        <v>9.2166551049240476E-3</v>
      </c>
      <c r="X376" s="87">
        <f t="shared" si="38"/>
        <v>2.3167059281534379E-2</v>
      </c>
      <c r="Y376" s="87">
        <f t="shared" si="38"/>
        <v>-5.8651194523981339E-3</v>
      </c>
      <c r="Z376" s="87">
        <f t="shared" si="38"/>
        <v>-2.8072018778686262E-2</v>
      </c>
      <c r="AA376" s="87">
        <f t="shared" si="35"/>
        <v>-9.0226175996374197E-3</v>
      </c>
      <c r="AB376" s="87">
        <f t="shared" si="35"/>
        <v>-4.6403795565022254E-3</v>
      </c>
      <c r="AC376" s="87">
        <f t="shared" si="35"/>
        <v>6.4725145056172984E-3</v>
      </c>
      <c r="AD376" s="87">
        <f t="shared" si="35"/>
        <v>-1.0582109330536859E-2</v>
      </c>
      <c r="AE376" s="90">
        <f t="shared" si="37"/>
        <v>-3.4628083371883709E-3</v>
      </c>
      <c r="AF376" s="89"/>
    </row>
    <row r="377" spans="1:32" ht="15.5" x14ac:dyDescent="0.35">
      <c r="A377" s="82">
        <v>40312</v>
      </c>
      <c r="B377" s="83">
        <v>7077.6</v>
      </c>
      <c r="C377" s="84">
        <v>2346.9</v>
      </c>
      <c r="D377" s="61">
        <v>248.4</v>
      </c>
      <c r="E377" s="61">
        <v>16.100000000000001</v>
      </c>
      <c r="F377" s="61">
        <v>35.6</v>
      </c>
      <c r="G377" s="61">
        <v>28.6</v>
      </c>
      <c r="H377" s="61">
        <v>52.2</v>
      </c>
      <c r="I377" s="61">
        <v>12.9</v>
      </c>
      <c r="J377" s="61">
        <v>33.6</v>
      </c>
      <c r="K377" s="61">
        <v>27.1</v>
      </c>
      <c r="L377" s="61">
        <v>32.700000000000003</v>
      </c>
      <c r="M377" s="61">
        <v>40.700000000000003</v>
      </c>
      <c r="N377" s="61">
        <v>45</v>
      </c>
      <c r="O377" s="85">
        <v>18.3</v>
      </c>
      <c r="P377" s="105"/>
      <c r="Q377" s="87">
        <f t="shared" si="36"/>
        <v>-2.1912559257094094E-2</v>
      </c>
      <c r="R377" s="87">
        <f t="shared" si="39"/>
        <v>-2.0037369179344514E-2</v>
      </c>
      <c r="S377" s="87">
        <f t="shared" si="39"/>
        <v>-2.7790593539115251E-2</v>
      </c>
      <c r="T377" s="87">
        <f t="shared" si="38"/>
        <v>0</v>
      </c>
      <c r="U377" s="87">
        <f t="shared" si="38"/>
        <v>-2.7702602549335823E-2</v>
      </c>
      <c r="V377" s="87">
        <f t="shared" si="38"/>
        <v>-2.0761991448429128E-2</v>
      </c>
      <c r="W377" s="87">
        <f t="shared" si="38"/>
        <v>-4.3118206780605302E-2</v>
      </c>
      <c r="X377" s="87">
        <f t="shared" si="38"/>
        <v>-1.5384918839479343E-2</v>
      </c>
      <c r="Y377" s="87">
        <f t="shared" si="38"/>
        <v>-1.1834457647002796E-2</v>
      </c>
      <c r="Z377" s="87">
        <f t="shared" si="38"/>
        <v>-3.6235848454044858E-2</v>
      </c>
      <c r="AA377" s="87">
        <f t="shared" si="35"/>
        <v>-1.2158204479809519E-2</v>
      </c>
      <c r="AB377" s="87">
        <f t="shared" si="35"/>
        <v>-5.4972023245013012E-2</v>
      </c>
      <c r="AC377" s="87">
        <f t="shared" si="35"/>
        <v>-3.2789822822990838E-2</v>
      </c>
      <c r="AD377" s="87">
        <f t="shared" si="35"/>
        <v>-2.6955809988528218E-2</v>
      </c>
      <c r="AE377" s="90">
        <f t="shared" si="37"/>
        <v>-2.5339949625971425E-2</v>
      </c>
      <c r="AF377" s="89"/>
    </row>
    <row r="378" spans="1:32" ht="15.5" x14ac:dyDescent="0.35">
      <c r="A378" s="82">
        <v>40315</v>
      </c>
      <c r="B378" s="83">
        <v>7063.8</v>
      </c>
      <c r="C378" s="84">
        <v>2354.1999999999998</v>
      </c>
      <c r="D378" s="61">
        <v>249.4</v>
      </c>
      <c r="E378" s="61">
        <v>16</v>
      </c>
      <c r="F378" s="61">
        <v>35.4</v>
      </c>
      <c r="G378" s="61">
        <v>28.5</v>
      </c>
      <c r="H378" s="61">
        <v>52.5</v>
      </c>
      <c r="I378" s="61">
        <v>12.6</v>
      </c>
      <c r="J378" s="61">
        <v>32.700000000000003</v>
      </c>
      <c r="K378" s="61">
        <v>26.7</v>
      </c>
      <c r="L378" s="61">
        <v>32.200000000000003</v>
      </c>
      <c r="M378" s="61">
        <v>40.5</v>
      </c>
      <c r="N378" s="61">
        <v>44.8</v>
      </c>
      <c r="O378" s="85">
        <v>18</v>
      </c>
      <c r="P378" s="105"/>
      <c r="Q378" s="87">
        <f t="shared" si="36"/>
        <v>-1.9517168569700386E-3</v>
      </c>
      <c r="R378" s="87">
        <f t="shared" si="39"/>
        <v>3.1056586192354098E-3</v>
      </c>
      <c r="S378" s="87">
        <f t="shared" si="39"/>
        <v>4.0176831866123941E-3</v>
      </c>
      <c r="T378" s="87">
        <f t="shared" si="38"/>
        <v>-6.2305497506361975E-3</v>
      </c>
      <c r="U378" s="87">
        <f t="shared" si="38"/>
        <v>-5.633817718256131E-3</v>
      </c>
      <c r="V378" s="87">
        <f t="shared" si="38"/>
        <v>-3.5026305512021118E-3</v>
      </c>
      <c r="W378" s="87">
        <f t="shared" si="38"/>
        <v>5.7306747089850745E-3</v>
      </c>
      <c r="X378" s="87">
        <f t="shared" si="38"/>
        <v>-2.3530497410194161E-2</v>
      </c>
      <c r="Y378" s="87">
        <f t="shared" si="38"/>
        <v>-2.7150989065950745E-2</v>
      </c>
      <c r="Z378" s="87">
        <f t="shared" si="38"/>
        <v>-1.4870162479451506E-2</v>
      </c>
      <c r="AA378" s="87">
        <f t="shared" si="35"/>
        <v>-1.5408625352845068E-2</v>
      </c>
      <c r="AB378" s="87">
        <f t="shared" si="35"/>
        <v>-4.926118336055889E-3</v>
      </c>
      <c r="AC378" s="87">
        <f t="shared" si="35"/>
        <v>-4.4543503493803087E-3</v>
      </c>
      <c r="AD378" s="87">
        <f t="shared" si="35"/>
        <v>-1.6529301951210582E-2</v>
      </c>
      <c r="AE378" s="90">
        <f t="shared" si="37"/>
        <v>-1.5128846324313453E-3</v>
      </c>
      <c r="AF378" s="89"/>
    </row>
    <row r="379" spans="1:32" ht="15.5" x14ac:dyDescent="0.35">
      <c r="A379" s="82">
        <v>40316</v>
      </c>
      <c r="B379" s="83">
        <v>6959.2</v>
      </c>
      <c r="C379" s="84">
        <v>2317.3000000000002</v>
      </c>
      <c r="D379" s="61">
        <v>248.8</v>
      </c>
      <c r="E379" s="61">
        <v>16</v>
      </c>
      <c r="F379" s="61">
        <v>35.799999999999997</v>
      </c>
      <c r="G379" s="61">
        <v>28.4</v>
      </c>
      <c r="H379" s="61">
        <v>53.7</v>
      </c>
      <c r="I379" s="61">
        <v>12.3</v>
      </c>
      <c r="J379" s="61">
        <v>33.6</v>
      </c>
      <c r="K379" s="61">
        <v>26.5</v>
      </c>
      <c r="L379" s="61">
        <v>32.299999999999997</v>
      </c>
      <c r="M379" s="61">
        <v>40.700000000000003</v>
      </c>
      <c r="N379" s="61">
        <v>45</v>
      </c>
      <c r="O379" s="85">
        <v>18.2</v>
      </c>
      <c r="P379" s="105"/>
      <c r="Q379" s="87">
        <f t="shared" si="36"/>
        <v>-1.4918625118875161E-2</v>
      </c>
      <c r="R379" s="87">
        <f t="shared" si="39"/>
        <v>-1.5798252154545007E-2</v>
      </c>
      <c r="S379" s="87">
        <f t="shared" si="39"/>
        <v>-2.4086723809116557E-3</v>
      </c>
      <c r="T379" s="87">
        <f t="shared" si="38"/>
        <v>0</v>
      </c>
      <c r="U379" s="87">
        <f t="shared" si="38"/>
        <v>1.1236073266925752E-2</v>
      </c>
      <c r="V379" s="87">
        <f t="shared" si="38"/>
        <v>-3.5149421074444969E-3</v>
      </c>
      <c r="W379" s="87">
        <f t="shared" si="38"/>
        <v>2.2599831917240992E-2</v>
      </c>
      <c r="X379" s="87">
        <f t="shared" si="38"/>
        <v>-2.4097551579060416E-2</v>
      </c>
      <c r="Y379" s="87">
        <f t="shared" si="38"/>
        <v>2.7150989065950898E-2</v>
      </c>
      <c r="Z379" s="87">
        <f t="shared" si="38"/>
        <v>-7.5188324140273398E-3</v>
      </c>
      <c r="AA379" s="87">
        <f t="shared" si="35"/>
        <v>3.1007776782479642E-3</v>
      </c>
      <c r="AB379" s="87">
        <f t="shared" si="35"/>
        <v>4.9261183360560026E-3</v>
      </c>
      <c r="AC379" s="87">
        <f t="shared" si="35"/>
        <v>4.4543503493803746E-3</v>
      </c>
      <c r="AD379" s="87">
        <f t="shared" si="35"/>
        <v>1.1049836186584935E-2</v>
      </c>
      <c r="AE379" s="90">
        <f t="shared" si="37"/>
        <v>-8.8475684039426373E-4</v>
      </c>
      <c r="AF379" s="89"/>
    </row>
    <row r="380" spans="1:32" ht="15.5" x14ac:dyDescent="0.35">
      <c r="A380" s="82">
        <v>40317</v>
      </c>
      <c r="B380" s="83">
        <v>6927.2</v>
      </c>
      <c r="C380" s="84">
        <v>2298.4</v>
      </c>
      <c r="D380" s="61">
        <v>244.1</v>
      </c>
      <c r="E380" s="61">
        <v>15.5</v>
      </c>
      <c r="F380" s="61">
        <v>35</v>
      </c>
      <c r="G380" s="61">
        <v>27.8</v>
      </c>
      <c r="H380" s="61">
        <v>54.1</v>
      </c>
      <c r="I380" s="61">
        <v>11.4</v>
      </c>
      <c r="J380" s="61">
        <v>32.6</v>
      </c>
      <c r="K380" s="61">
        <v>26</v>
      </c>
      <c r="L380" s="61">
        <v>32.1</v>
      </c>
      <c r="M380" s="61">
        <v>39.5</v>
      </c>
      <c r="N380" s="61">
        <v>43.7</v>
      </c>
      <c r="O380" s="85">
        <v>17.8</v>
      </c>
      <c r="P380" s="105"/>
      <c r="Q380" s="87">
        <f t="shared" si="36"/>
        <v>-4.6088340597395978E-3</v>
      </c>
      <c r="R380" s="87">
        <f t="shared" si="39"/>
        <v>-8.189486158755423E-3</v>
      </c>
      <c r="S380" s="87">
        <f t="shared" si="39"/>
        <v>-1.9071383466110054E-2</v>
      </c>
      <c r="T380" s="87">
        <f t="shared" si="38"/>
        <v>-3.1748698314580298E-2</v>
      </c>
      <c r="U380" s="87">
        <f t="shared" si="38"/>
        <v>-2.2599831917240919E-2</v>
      </c>
      <c r="V380" s="87">
        <f t="shared" si="38"/>
        <v>-2.1353124470568946E-2</v>
      </c>
      <c r="W380" s="87">
        <f t="shared" si="38"/>
        <v>7.4211843376168259E-3</v>
      </c>
      <c r="X380" s="87">
        <f t="shared" si="38"/>
        <v>-7.598590697792211E-2</v>
      </c>
      <c r="Y380" s="87">
        <f t="shared" si="38"/>
        <v>-3.0213778596496595E-2</v>
      </c>
      <c r="Z380" s="87">
        <f t="shared" si="38"/>
        <v>-1.9048194970694474E-2</v>
      </c>
      <c r="AA380" s="87">
        <f t="shared" si="35"/>
        <v>-6.2112000926405238E-3</v>
      </c>
      <c r="AB380" s="87">
        <f t="shared" si="35"/>
        <v>-2.9927420541473144E-2</v>
      </c>
      <c r="AC380" s="87">
        <f t="shared" si="35"/>
        <v>-2.9314387668775255E-2</v>
      </c>
      <c r="AD380" s="87">
        <f t="shared" si="35"/>
        <v>-2.2223136784710124E-2</v>
      </c>
      <c r="AE380" s="90">
        <f t="shared" si="37"/>
        <v>-1.7201561896484703E-2</v>
      </c>
      <c r="AF380" s="89"/>
    </row>
    <row r="381" spans="1:32" ht="15.5" x14ac:dyDescent="0.35">
      <c r="A381" s="82">
        <v>40318</v>
      </c>
      <c r="B381" s="83">
        <v>6653</v>
      </c>
      <c r="C381" s="84">
        <v>2204</v>
      </c>
      <c r="D381" s="61">
        <v>237.1</v>
      </c>
      <c r="E381" s="61">
        <v>15.1</v>
      </c>
      <c r="F381" s="61">
        <v>33.700000000000003</v>
      </c>
      <c r="G381" s="61">
        <v>27</v>
      </c>
      <c r="H381" s="61">
        <v>55.4</v>
      </c>
      <c r="I381" s="61">
        <v>11.2</v>
      </c>
      <c r="J381" s="61">
        <v>32.299999999999997</v>
      </c>
      <c r="K381" s="61">
        <v>25.7</v>
      </c>
      <c r="L381" s="61">
        <v>31.8</v>
      </c>
      <c r="M381" s="61">
        <v>37.9</v>
      </c>
      <c r="N381" s="61">
        <v>41.8</v>
      </c>
      <c r="O381" s="85">
        <v>17.399999999999999</v>
      </c>
      <c r="P381" s="105"/>
      <c r="Q381" s="87">
        <f t="shared" si="36"/>
        <v>-4.0387810391703867E-2</v>
      </c>
      <c r="R381" s="87">
        <f t="shared" si="39"/>
        <v>-4.1939337392274727E-2</v>
      </c>
      <c r="S381" s="87">
        <f t="shared" si="39"/>
        <v>-2.9095984327554572E-2</v>
      </c>
      <c r="T381" s="87">
        <f t="shared" si="38"/>
        <v>-2.614528010432236E-2</v>
      </c>
      <c r="U381" s="87">
        <f t="shared" si="38"/>
        <v>-3.7850224131097523E-2</v>
      </c>
      <c r="V381" s="87">
        <f t="shared" si="38"/>
        <v>-2.9199154692262353E-2</v>
      </c>
      <c r="W381" s="87">
        <f t="shared" si="38"/>
        <v>2.3745407900802151E-2</v>
      </c>
      <c r="X381" s="87">
        <f t="shared" si="38"/>
        <v>-1.7699577099400975E-2</v>
      </c>
      <c r="Y381" s="87">
        <f t="shared" si="38"/>
        <v>-9.2450581440512731E-3</v>
      </c>
      <c r="Z381" s="87">
        <f t="shared" si="38"/>
        <v>-1.1605546120308003E-2</v>
      </c>
      <c r="AA381" s="87">
        <f t="shared" si="35"/>
        <v>-9.3897403498390316E-3</v>
      </c>
      <c r="AB381" s="87">
        <f t="shared" si="35"/>
        <v>-4.1349559818695515E-2</v>
      </c>
      <c r="AC381" s="87">
        <f t="shared" si="35"/>
        <v>-4.4451762570833921E-2</v>
      </c>
      <c r="AD381" s="87">
        <f t="shared" si="35"/>
        <v>-2.2728251077556289E-2</v>
      </c>
      <c r="AE381" s="90">
        <f t="shared" si="37"/>
        <v>-3.4674951254901928E-2</v>
      </c>
      <c r="AF381" s="89"/>
    </row>
    <row r="382" spans="1:32" ht="15.5" x14ac:dyDescent="0.35">
      <c r="A382" s="82">
        <v>40319</v>
      </c>
      <c r="B382" s="83">
        <v>6775.5</v>
      </c>
      <c r="C382" s="84">
        <v>2229</v>
      </c>
      <c r="D382" s="61">
        <v>232.4</v>
      </c>
      <c r="E382" s="61">
        <v>14.6</v>
      </c>
      <c r="F382" s="61">
        <v>33.1</v>
      </c>
      <c r="G382" s="61">
        <v>26.4</v>
      </c>
      <c r="H382" s="61">
        <v>54.8</v>
      </c>
      <c r="I382" s="61">
        <v>10.9</v>
      </c>
      <c r="J382" s="61">
        <v>31.7</v>
      </c>
      <c r="K382" s="61">
        <v>25.6</v>
      </c>
      <c r="L382" s="61">
        <v>31</v>
      </c>
      <c r="M382" s="61">
        <v>36.5</v>
      </c>
      <c r="N382" s="61">
        <v>40.700000000000003</v>
      </c>
      <c r="O382" s="85">
        <v>17</v>
      </c>
      <c r="P382" s="105"/>
      <c r="Q382" s="87">
        <f t="shared" si="36"/>
        <v>1.8245284020880978E-2</v>
      </c>
      <c r="R382" s="87">
        <f t="shared" si="39"/>
        <v>1.1279163113063781E-2</v>
      </c>
      <c r="S382" s="87">
        <f t="shared" si="39"/>
        <v>-2.002196809360355E-2</v>
      </c>
      <c r="T382" s="87">
        <f t="shared" si="38"/>
        <v>-3.3673215106587835E-2</v>
      </c>
      <c r="U382" s="87">
        <f t="shared" si="38"/>
        <v>-1.7964554975298884E-2</v>
      </c>
      <c r="V382" s="87">
        <f t="shared" si="38"/>
        <v>-2.2472855852058628E-2</v>
      </c>
      <c r="W382" s="87">
        <f t="shared" si="38"/>
        <v>-1.0889399799268319E-2</v>
      </c>
      <c r="X382" s="87">
        <f t="shared" si="38"/>
        <v>-2.7150989065950745E-2</v>
      </c>
      <c r="Y382" s="87">
        <f t="shared" si="38"/>
        <v>-1.8750549345375806E-2</v>
      </c>
      <c r="Z382" s="87">
        <f t="shared" si="38"/>
        <v>-3.8986404156571976E-3</v>
      </c>
      <c r="AA382" s="87">
        <f t="shared" si="35"/>
        <v>-2.5479085300984899E-2</v>
      </c>
      <c r="AB382" s="87">
        <f t="shared" si="35"/>
        <v>-3.763885149993481E-2</v>
      </c>
      <c r="AC382" s="87">
        <f t="shared" si="35"/>
        <v>-2.666824708216118E-2</v>
      </c>
      <c r="AD382" s="87">
        <f t="shared" si="35"/>
        <v>-2.3256862164267235E-2</v>
      </c>
      <c r="AE382" s="90">
        <f t="shared" si="37"/>
        <v>-1.0444402121794606E-2</v>
      </c>
      <c r="AF382" s="89"/>
    </row>
    <row r="383" spans="1:32" ht="15.5" x14ac:dyDescent="0.35">
      <c r="A383" s="82">
        <v>40322</v>
      </c>
      <c r="B383" s="83">
        <v>6666.7</v>
      </c>
      <c r="C383" s="84">
        <v>2213.6</v>
      </c>
      <c r="D383" s="61">
        <v>238.6</v>
      </c>
      <c r="E383" s="61">
        <v>15.4</v>
      </c>
      <c r="F383" s="61">
        <v>35.200000000000003</v>
      </c>
      <c r="G383" s="61">
        <v>26.3</v>
      </c>
      <c r="H383" s="61">
        <v>54.9</v>
      </c>
      <c r="I383" s="61">
        <v>11.1</v>
      </c>
      <c r="J383" s="61">
        <v>32.1</v>
      </c>
      <c r="K383" s="61">
        <v>26.9</v>
      </c>
      <c r="L383" s="61">
        <v>31.6</v>
      </c>
      <c r="M383" s="61">
        <v>38.5</v>
      </c>
      <c r="N383" s="61">
        <v>40.200000000000003</v>
      </c>
      <c r="O383" s="85">
        <v>17.7</v>
      </c>
      <c r="P383" s="105"/>
      <c r="Q383" s="87">
        <f t="shared" si="36"/>
        <v>-1.6188179907250164E-2</v>
      </c>
      <c r="R383" s="87">
        <f t="shared" si="39"/>
        <v>-6.9329049131527333E-3</v>
      </c>
      <c r="S383" s="87">
        <f t="shared" si="39"/>
        <v>2.6328484686059559E-2</v>
      </c>
      <c r="T383" s="87">
        <f t="shared" si="38"/>
        <v>5.3345980705292714E-2</v>
      </c>
      <c r="U383" s="87">
        <f t="shared" si="38"/>
        <v>6.1512800221034218E-2</v>
      </c>
      <c r="V383" s="87">
        <f t="shared" si="38"/>
        <v>-3.7950709685514979E-3</v>
      </c>
      <c r="W383" s="87">
        <f t="shared" si="38"/>
        <v>1.8231545615151783E-3</v>
      </c>
      <c r="X383" s="87">
        <f t="shared" si="38"/>
        <v>1.8182319083190328E-2</v>
      </c>
      <c r="Y383" s="87">
        <f t="shared" si="38"/>
        <v>1.2539349252735392E-2</v>
      </c>
      <c r="Z383" s="87">
        <f t="shared" si="38"/>
        <v>4.9533935122276419E-2</v>
      </c>
      <c r="AA383" s="87">
        <f t="shared" si="35"/>
        <v>1.9169916107720123E-2</v>
      </c>
      <c r="AB383" s="87">
        <f t="shared" si="35"/>
        <v>5.3345980705292714E-2</v>
      </c>
      <c r="AC383" s="87">
        <f t="shared" si="35"/>
        <v>-1.2361096823573975E-2</v>
      </c>
      <c r="AD383" s="87">
        <f t="shared" si="35"/>
        <v>4.035129552356724E-2</v>
      </c>
      <c r="AE383" s="90">
        <f t="shared" si="37"/>
        <v>2.8123446383120383E-2</v>
      </c>
      <c r="AF383" s="89"/>
    </row>
    <row r="384" spans="1:32" ht="15.5" x14ac:dyDescent="0.35">
      <c r="A384" s="82">
        <v>40323</v>
      </c>
      <c r="B384" s="83">
        <v>6665.8</v>
      </c>
      <c r="C384" s="84">
        <v>2210.9</v>
      </c>
      <c r="D384" s="61">
        <v>232.2</v>
      </c>
      <c r="E384" s="61">
        <v>14.9</v>
      </c>
      <c r="F384" s="61">
        <v>33.9</v>
      </c>
      <c r="G384" s="61">
        <v>25.4</v>
      </c>
      <c r="H384" s="61">
        <v>53.4</v>
      </c>
      <c r="I384" s="61">
        <v>10.6</v>
      </c>
      <c r="J384" s="61">
        <v>31</v>
      </c>
      <c r="K384" s="61">
        <v>26</v>
      </c>
      <c r="L384" s="61">
        <v>31.1</v>
      </c>
      <c r="M384" s="61">
        <v>36.700000000000003</v>
      </c>
      <c r="N384" s="61">
        <v>38.299999999999997</v>
      </c>
      <c r="O384" s="85">
        <v>17.3</v>
      </c>
      <c r="P384" s="105"/>
      <c r="Q384" s="87">
        <f t="shared" si="36"/>
        <v>-1.3500843823234247E-4</v>
      </c>
      <c r="R384" s="87">
        <f t="shared" si="39"/>
        <v>-1.2204770415421644E-3</v>
      </c>
      <c r="S384" s="87">
        <f t="shared" si="39"/>
        <v>-2.7189440400024644E-2</v>
      </c>
      <c r="T384" s="87">
        <f t="shared" si="38"/>
        <v>-3.3006296468169972E-2</v>
      </c>
      <c r="U384" s="87">
        <f t="shared" si="38"/>
        <v>-3.7631068217647001E-2</v>
      </c>
      <c r="V384" s="87">
        <f t="shared" si="38"/>
        <v>-3.4819765159228043E-2</v>
      </c>
      <c r="W384" s="87">
        <f t="shared" si="38"/>
        <v>-2.7702602549335823E-2</v>
      </c>
      <c r="X384" s="87">
        <f t="shared" si="38"/>
        <v>-4.6091107200266976E-2</v>
      </c>
      <c r="Y384" s="87">
        <f t="shared" si="38"/>
        <v>-3.4868825650823936E-2</v>
      </c>
      <c r="Z384" s="87">
        <f t="shared" si="38"/>
        <v>-3.4029748586311373E-2</v>
      </c>
      <c r="AA384" s="87">
        <f t="shared" si="35"/>
        <v>-1.5949301407677953E-2</v>
      </c>
      <c r="AB384" s="87">
        <f t="shared" si="35"/>
        <v>-4.7881486233213852E-2</v>
      </c>
      <c r="AC384" s="87">
        <f t="shared" si="35"/>
        <v>-4.8417099438375251E-2</v>
      </c>
      <c r="AD384" s="87">
        <f t="shared" si="35"/>
        <v>-2.2858138076050097E-2</v>
      </c>
      <c r="AE384" s="90">
        <f t="shared" si="37"/>
        <v>-2.1864488149429335E-2</v>
      </c>
      <c r="AF384" s="89"/>
    </row>
    <row r="385" spans="1:32" ht="15.5" x14ac:dyDescent="0.35">
      <c r="A385" s="82">
        <v>40324</v>
      </c>
      <c r="B385" s="83">
        <v>6631.4</v>
      </c>
      <c r="C385" s="84">
        <v>2195.9</v>
      </c>
      <c r="D385" s="61">
        <v>237.7</v>
      </c>
      <c r="E385" s="61">
        <v>15.4</v>
      </c>
      <c r="F385" s="61">
        <v>34.799999999999997</v>
      </c>
      <c r="G385" s="61">
        <v>24.6</v>
      </c>
      <c r="H385" s="61">
        <v>52.8</v>
      </c>
      <c r="I385" s="61">
        <v>11.3</v>
      </c>
      <c r="J385" s="61">
        <v>31.3</v>
      </c>
      <c r="K385" s="61">
        <v>26.3</v>
      </c>
      <c r="L385" s="61">
        <v>31.8</v>
      </c>
      <c r="M385" s="61">
        <v>39</v>
      </c>
      <c r="N385" s="61">
        <v>41</v>
      </c>
      <c r="O385" s="85">
        <v>18</v>
      </c>
      <c r="P385" s="105"/>
      <c r="Q385" s="87">
        <f t="shared" si="36"/>
        <v>-5.1740331411736437E-3</v>
      </c>
      <c r="R385" s="87">
        <f t="shared" si="39"/>
        <v>-6.8076871792280419E-3</v>
      </c>
      <c r="S385" s="87">
        <f t="shared" si="39"/>
        <v>2.3410305102357132E-2</v>
      </c>
      <c r="T385" s="87">
        <f t="shared" si="38"/>
        <v>3.3006296468170077E-2</v>
      </c>
      <c r="U385" s="87">
        <f t="shared" si="38"/>
        <v>2.6202372394024117E-2</v>
      </c>
      <c r="V385" s="87">
        <f t="shared" si="38"/>
        <v>-3.200273108617372E-2</v>
      </c>
      <c r="W385" s="87">
        <f t="shared" si="38"/>
        <v>-1.1299555253933394E-2</v>
      </c>
      <c r="X385" s="87">
        <f t="shared" si="38"/>
        <v>6.394872460027351E-2</v>
      </c>
      <c r="Y385" s="87">
        <f t="shared" si="38"/>
        <v>9.6308930609613659E-3</v>
      </c>
      <c r="Z385" s="87">
        <f t="shared" si="38"/>
        <v>1.1472401162236781E-2</v>
      </c>
      <c r="AA385" s="87">
        <f t="shared" si="35"/>
        <v>2.2258470600942697E-2</v>
      </c>
      <c r="AB385" s="87">
        <f t="shared" si="35"/>
        <v>6.0784891069121771E-2</v>
      </c>
      <c r="AC385" s="87">
        <f t="shared" si="35"/>
        <v>6.8122170517707512E-2</v>
      </c>
      <c r="AD385" s="87">
        <f t="shared" si="35"/>
        <v>3.9665256392431354E-2</v>
      </c>
      <c r="AE385" s="90">
        <f t="shared" si="37"/>
        <v>1.7126628750582334E-2</v>
      </c>
      <c r="AF385" s="89"/>
    </row>
    <row r="386" spans="1:32" ht="15.5" x14ac:dyDescent="0.35">
      <c r="A386" s="82">
        <v>40325</v>
      </c>
      <c r="B386" s="83">
        <v>6893.3</v>
      </c>
      <c r="C386" s="84">
        <v>2277.6999999999998</v>
      </c>
      <c r="D386" s="61">
        <v>240.8</v>
      </c>
      <c r="E386" s="61">
        <v>15.4</v>
      </c>
      <c r="F386" s="61">
        <v>35.6</v>
      </c>
      <c r="G386" s="61">
        <v>25.7</v>
      </c>
      <c r="H386" s="61">
        <v>52.3</v>
      </c>
      <c r="I386" s="61">
        <v>11.8</v>
      </c>
      <c r="J386" s="61">
        <v>31.8</v>
      </c>
      <c r="K386" s="61">
        <v>26.8</v>
      </c>
      <c r="L386" s="61">
        <v>32.799999999999997</v>
      </c>
      <c r="M386" s="61">
        <v>39.4</v>
      </c>
      <c r="N386" s="61">
        <v>41.6</v>
      </c>
      <c r="O386" s="85">
        <v>18.2</v>
      </c>
      <c r="P386" s="105"/>
      <c r="Q386" s="87">
        <f t="shared" si="36"/>
        <v>3.8733982076509896E-2</v>
      </c>
      <c r="R386" s="87">
        <f t="shared" si="39"/>
        <v>3.6574176613871308E-2</v>
      </c>
      <c r="S386" s="87">
        <f t="shared" si="39"/>
        <v>1.2957339068517815E-2</v>
      </c>
      <c r="T386" s="87">
        <f t="shared" si="39"/>
        <v>0</v>
      </c>
      <c r="U386" s="87">
        <f t="shared" si="39"/>
        <v>2.272825107755631E-2</v>
      </c>
      <c r="V386" s="87">
        <f t="shared" si="39"/>
        <v>4.3744548962856962E-2</v>
      </c>
      <c r="W386" s="87">
        <f t="shared" si="39"/>
        <v>-9.5148196413386201E-3</v>
      </c>
      <c r="X386" s="87">
        <f t="shared" si="39"/>
        <v>4.3296805753324258E-2</v>
      </c>
      <c r="Y386" s="87">
        <f t="shared" si="39"/>
        <v>1.5848192240023713E-2</v>
      </c>
      <c r="Z386" s="87">
        <f t="shared" si="39"/>
        <v>1.8832948333092178E-2</v>
      </c>
      <c r="AA386" s="87">
        <f t="shared" si="35"/>
        <v>3.096222560396689E-2</v>
      </c>
      <c r="AB386" s="87">
        <f t="shared" si="35"/>
        <v>1.0204170174241668E-2</v>
      </c>
      <c r="AC386" s="87">
        <f t="shared" si="35"/>
        <v>1.4528100562909808E-2</v>
      </c>
      <c r="AD386" s="87">
        <f t="shared" si="35"/>
        <v>1.1049836186584935E-2</v>
      </c>
      <c r="AE386" s="90">
        <f t="shared" si="37"/>
        <v>2.2598481170841386E-2</v>
      </c>
      <c r="AF386" s="89"/>
    </row>
    <row r="387" spans="1:32" ht="15.5" x14ac:dyDescent="0.35">
      <c r="A387" s="82">
        <v>40326</v>
      </c>
      <c r="B387" s="83">
        <v>6791.6</v>
      </c>
      <c r="C387" s="84">
        <v>2257</v>
      </c>
      <c r="D387" s="61">
        <v>241.7</v>
      </c>
      <c r="E387" s="61">
        <v>15</v>
      </c>
      <c r="F387" s="61">
        <v>36.200000000000003</v>
      </c>
      <c r="G387" s="61">
        <v>25.7</v>
      </c>
      <c r="H387" s="61">
        <v>52.9</v>
      </c>
      <c r="I387" s="61">
        <v>11.8</v>
      </c>
      <c r="J387" s="61">
        <v>33</v>
      </c>
      <c r="K387" s="61">
        <v>27.3</v>
      </c>
      <c r="L387" s="61">
        <v>33.5</v>
      </c>
      <c r="M387" s="61">
        <v>40.299999999999997</v>
      </c>
      <c r="N387" s="61">
        <v>42.2</v>
      </c>
      <c r="O387" s="85">
        <v>18</v>
      </c>
      <c r="P387" s="105"/>
      <c r="Q387" s="87">
        <f t="shared" si="36"/>
        <v>-1.4863370910765438E-2</v>
      </c>
      <c r="R387" s="87">
        <f t="shared" si="39"/>
        <v>-9.1296640482813832E-3</v>
      </c>
      <c r="S387" s="87">
        <f t="shared" si="39"/>
        <v>3.7305742747711719E-3</v>
      </c>
      <c r="T387" s="87">
        <f t="shared" si="39"/>
        <v>-2.6317308317373417E-2</v>
      </c>
      <c r="U387" s="87">
        <f t="shared" si="39"/>
        <v>1.6713480973740532E-2</v>
      </c>
      <c r="V387" s="87">
        <f t="shared" si="39"/>
        <v>0</v>
      </c>
      <c r="W387" s="87">
        <f t="shared" si="39"/>
        <v>1.1406967793376599E-2</v>
      </c>
      <c r="X387" s="87">
        <f t="shared" si="39"/>
        <v>0</v>
      </c>
      <c r="Y387" s="87">
        <f t="shared" si="39"/>
        <v>3.7041271680349076E-2</v>
      </c>
      <c r="Z387" s="87">
        <f t="shared" si="39"/>
        <v>1.8484814674103161E-2</v>
      </c>
      <c r="AA387" s="87">
        <f t="shared" si="35"/>
        <v>2.1116923440922829E-2</v>
      </c>
      <c r="AB387" s="87">
        <f t="shared" si="35"/>
        <v>2.258565264874907E-2</v>
      </c>
      <c r="AC387" s="87">
        <f t="shared" si="35"/>
        <v>1.4320053774748471E-2</v>
      </c>
      <c r="AD387" s="87">
        <f t="shared" si="35"/>
        <v>-1.1049836186584935E-2</v>
      </c>
      <c r="AE387" s="90">
        <f t="shared" si="37"/>
        <v>1.7915224773918715E-3</v>
      </c>
      <c r="AF387" s="89"/>
    </row>
    <row r="388" spans="1:32" ht="15.5" x14ac:dyDescent="0.35">
      <c r="A388" s="82">
        <v>40330</v>
      </c>
      <c r="B388" s="83">
        <v>6661.1</v>
      </c>
      <c r="C388" s="84">
        <v>2222.3000000000002</v>
      </c>
      <c r="D388" s="61">
        <v>240.3</v>
      </c>
      <c r="E388" s="61">
        <v>15</v>
      </c>
      <c r="F388" s="61">
        <v>37</v>
      </c>
      <c r="G388" s="61">
        <v>25.5</v>
      </c>
      <c r="H388" s="61">
        <v>51.4</v>
      </c>
      <c r="I388" s="61">
        <v>11.4</v>
      </c>
      <c r="J388" s="61">
        <v>32.200000000000003</v>
      </c>
      <c r="K388" s="61">
        <v>26.5</v>
      </c>
      <c r="L388" s="61">
        <v>33.299999999999997</v>
      </c>
      <c r="M388" s="61">
        <v>39.700000000000003</v>
      </c>
      <c r="N388" s="61">
        <v>40.700000000000003</v>
      </c>
      <c r="O388" s="85">
        <v>17.7</v>
      </c>
      <c r="P388" s="105"/>
      <c r="Q388" s="87">
        <f t="shared" si="36"/>
        <v>-1.9401918380520935E-2</v>
      </c>
      <c r="R388" s="87">
        <f t="shared" si="39"/>
        <v>-1.5493802230112642E-2</v>
      </c>
      <c r="S388" s="87">
        <f t="shared" si="39"/>
        <v>-5.8091449670139806E-3</v>
      </c>
      <c r="T388" s="87">
        <f t="shared" si="39"/>
        <v>0</v>
      </c>
      <c r="U388" s="87">
        <f t="shared" si="39"/>
        <v>2.1858793812499017E-2</v>
      </c>
      <c r="V388" s="87">
        <f t="shared" si="39"/>
        <v>-7.8125397367936247E-3</v>
      </c>
      <c r="W388" s="87">
        <f t="shared" si="39"/>
        <v>-2.8765166403134323E-2</v>
      </c>
      <c r="X388" s="87">
        <f t="shared" si="39"/>
        <v>-3.4486176071169321E-2</v>
      </c>
      <c r="Y388" s="87">
        <f t="shared" si="39"/>
        <v>-2.4541108916117545E-2</v>
      </c>
      <c r="Z388" s="87">
        <f t="shared" si="39"/>
        <v>-2.974196919873753E-2</v>
      </c>
      <c r="AA388" s="87">
        <f t="shared" si="35"/>
        <v>-5.9880418446226691E-3</v>
      </c>
      <c r="AB388" s="87">
        <f t="shared" si="35"/>
        <v>-1.5000281259492373E-2</v>
      </c>
      <c r="AC388" s="87">
        <f t="shared" si="35"/>
        <v>-3.6192128593416792E-2</v>
      </c>
      <c r="AD388" s="87">
        <f t="shared" si="35"/>
        <v>-1.6807118316381289E-2</v>
      </c>
      <c r="AE388" s="90">
        <f t="shared" si="37"/>
        <v>-2.1375502293604978E-3</v>
      </c>
      <c r="AF388" s="89"/>
    </row>
    <row r="389" spans="1:32" ht="15.5" x14ac:dyDescent="0.35">
      <c r="A389" s="82">
        <v>40331</v>
      </c>
      <c r="B389" s="83">
        <v>6839.6</v>
      </c>
      <c r="C389" s="84">
        <v>2281.1</v>
      </c>
      <c r="D389" s="61">
        <v>241</v>
      </c>
      <c r="E389" s="61">
        <v>15</v>
      </c>
      <c r="F389" s="61">
        <v>37.200000000000003</v>
      </c>
      <c r="G389" s="61">
        <v>25.7</v>
      </c>
      <c r="H389" s="61">
        <v>51.1</v>
      </c>
      <c r="I389" s="61">
        <v>11.4</v>
      </c>
      <c r="J389" s="61">
        <v>32.299999999999997</v>
      </c>
      <c r="K389" s="61">
        <v>26.4</v>
      </c>
      <c r="L389" s="61">
        <v>33.5</v>
      </c>
      <c r="M389" s="61">
        <v>39.799999999999997</v>
      </c>
      <c r="N389" s="61">
        <v>40</v>
      </c>
      <c r="O389" s="85">
        <v>17.8</v>
      </c>
      <c r="P389" s="105"/>
      <c r="Q389" s="87">
        <f t="shared" si="36"/>
        <v>2.6444614313102025E-2</v>
      </c>
      <c r="R389" s="87">
        <f t="shared" si="39"/>
        <v>2.6115087156869794E-2</v>
      </c>
      <c r="S389" s="87">
        <f t="shared" si="39"/>
        <v>2.9087907482317002E-3</v>
      </c>
      <c r="T389" s="87">
        <f t="shared" si="39"/>
        <v>0</v>
      </c>
      <c r="U389" s="87">
        <f t="shared" si="39"/>
        <v>5.3908486348765933E-3</v>
      </c>
      <c r="V389" s="87">
        <f t="shared" si="39"/>
        <v>7.8125397367936247E-3</v>
      </c>
      <c r="W389" s="87">
        <f t="shared" si="39"/>
        <v>-5.8536752514606527E-3</v>
      </c>
      <c r="X389" s="87">
        <f t="shared" si="39"/>
        <v>0</v>
      </c>
      <c r="Y389" s="87">
        <f t="shared" si="39"/>
        <v>3.1007776782479642E-3</v>
      </c>
      <c r="Z389" s="87">
        <f t="shared" si="39"/>
        <v>-3.7807228399060443E-3</v>
      </c>
      <c r="AA389" s="87">
        <f t="shared" si="35"/>
        <v>5.9880418446226933E-3</v>
      </c>
      <c r="AB389" s="87">
        <f t="shared" si="35"/>
        <v>2.5157245972471489E-3</v>
      </c>
      <c r="AC389" s="87">
        <f t="shared" si="35"/>
        <v>-1.734863833461309E-2</v>
      </c>
      <c r="AD389" s="87">
        <f t="shared" si="35"/>
        <v>5.6338177182560642E-3</v>
      </c>
      <c r="AE389" s="90">
        <f t="shared" si="37"/>
        <v>1.0905782544157782E-2</v>
      </c>
      <c r="AF389" s="89"/>
    </row>
    <row r="390" spans="1:32" ht="15.5" x14ac:dyDescent="0.35">
      <c r="A390" s="82">
        <v>40332</v>
      </c>
      <c r="B390" s="83">
        <v>6860.4</v>
      </c>
      <c r="C390" s="84">
        <v>2303</v>
      </c>
      <c r="D390" s="61">
        <v>247.6</v>
      </c>
      <c r="E390" s="61">
        <v>15.2</v>
      </c>
      <c r="F390" s="61">
        <v>37.200000000000003</v>
      </c>
      <c r="G390" s="61">
        <v>26.4</v>
      </c>
      <c r="H390" s="61">
        <v>51.5</v>
      </c>
      <c r="I390" s="61">
        <v>11.8</v>
      </c>
      <c r="J390" s="61">
        <v>32.1</v>
      </c>
      <c r="K390" s="61">
        <v>26.9</v>
      </c>
      <c r="L390" s="61">
        <v>34</v>
      </c>
      <c r="M390" s="61">
        <v>40.799999999999997</v>
      </c>
      <c r="N390" s="61">
        <v>40.5</v>
      </c>
      <c r="O390" s="85">
        <v>18.2</v>
      </c>
      <c r="P390" s="105"/>
      <c r="Q390" s="87">
        <f t="shared" si="36"/>
        <v>3.0364986834880139E-3</v>
      </c>
      <c r="R390" s="87">
        <f t="shared" si="39"/>
        <v>9.5548380763923885E-3</v>
      </c>
      <c r="S390" s="87">
        <f t="shared" si="39"/>
        <v>2.7017607319785947E-2</v>
      </c>
      <c r="T390" s="87">
        <f t="shared" si="39"/>
        <v>1.3245226750020505E-2</v>
      </c>
      <c r="U390" s="87">
        <f t="shared" si="39"/>
        <v>0</v>
      </c>
      <c r="V390" s="87">
        <f t="shared" si="39"/>
        <v>2.6873018251096271E-2</v>
      </c>
      <c r="W390" s="87">
        <f t="shared" si="39"/>
        <v>7.7973104600317106E-3</v>
      </c>
      <c r="X390" s="87">
        <f t="shared" si="39"/>
        <v>3.4486176071169404E-2</v>
      </c>
      <c r="Y390" s="87">
        <f t="shared" si="39"/>
        <v>-6.2112000926405238E-3</v>
      </c>
      <c r="Z390" s="87">
        <f t="shared" si="39"/>
        <v>1.8762276455523034E-2</v>
      </c>
      <c r="AA390" s="87">
        <f t="shared" si="35"/>
        <v>1.4815085785140682E-2</v>
      </c>
      <c r="AB390" s="87">
        <f t="shared" si="35"/>
        <v>2.4815169119723993E-2</v>
      </c>
      <c r="AC390" s="87">
        <f t="shared" si="35"/>
        <v>1.242251999855711E-2</v>
      </c>
      <c r="AD390" s="87">
        <f t="shared" si="35"/>
        <v>2.2223136784710041E-2</v>
      </c>
      <c r="AE390" s="90">
        <f t="shared" si="37"/>
        <v>1.3475023352459125E-2</v>
      </c>
      <c r="AF390" s="89"/>
    </row>
    <row r="391" spans="1:32" ht="15.5" x14ac:dyDescent="0.35">
      <c r="A391" s="82">
        <v>40333</v>
      </c>
      <c r="B391" s="83">
        <v>6600.3</v>
      </c>
      <c r="C391" s="84">
        <v>2219.1999999999998</v>
      </c>
      <c r="D391" s="61">
        <v>248.6</v>
      </c>
      <c r="E391" s="61">
        <v>15</v>
      </c>
      <c r="F391" s="61">
        <v>36.4</v>
      </c>
      <c r="G391" s="61">
        <v>25.6</v>
      </c>
      <c r="H391" s="61">
        <v>51.4</v>
      </c>
      <c r="I391" s="61">
        <v>11.4</v>
      </c>
      <c r="J391" s="61">
        <v>31.5</v>
      </c>
      <c r="K391" s="61">
        <v>25.1</v>
      </c>
      <c r="L391" s="61">
        <v>33</v>
      </c>
      <c r="M391" s="61">
        <v>38.299999999999997</v>
      </c>
      <c r="N391" s="61">
        <v>38.4</v>
      </c>
      <c r="O391" s="85">
        <v>17.5</v>
      </c>
      <c r="P391" s="105"/>
      <c r="Q391" s="87">
        <f t="shared" si="36"/>
        <v>-3.8650646530980888E-2</v>
      </c>
      <c r="R391" s="87">
        <f t="shared" si="39"/>
        <v>-3.706585026011814E-2</v>
      </c>
      <c r="S391" s="87">
        <f t="shared" si="39"/>
        <v>4.0306382661696389E-3</v>
      </c>
      <c r="T391" s="87">
        <f t="shared" si="39"/>
        <v>-1.3245226750020567E-2</v>
      </c>
      <c r="U391" s="87">
        <f t="shared" si="39"/>
        <v>-2.173998663640599E-2</v>
      </c>
      <c r="V391" s="87">
        <f t="shared" si="39"/>
        <v>-3.0771658666753545E-2</v>
      </c>
      <c r="W391" s="87">
        <f t="shared" si="39"/>
        <v>-1.9436352085710144E-3</v>
      </c>
      <c r="X391" s="87">
        <f t="shared" si="39"/>
        <v>-3.4486176071169321E-2</v>
      </c>
      <c r="Y391" s="87">
        <f t="shared" si="39"/>
        <v>-1.8868484304382805E-2</v>
      </c>
      <c r="Z391" s="87">
        <f t="shared" si="39"/>
        <v>-6.9258440470055097E-2</v>
      </c>
      <c r="AA391" s="87">
        <f t="shared" si="35"/>
        <v>-2.985296314968116E-2</v>
      </c>
      <c r="AB391" s="87">
        <f t="shared" si="35"/>
        <v>-6.3232185223515716E-2</v>
      </c>
      <c r="AC391" s="87">
        <f t="shared" si="35"/>
        <v>-5.3244514518812361E-2</v>
      </c>
      <c r="AD391" s="87">
        <f t="shared" si="35"/>
        <v>-3.9220713153281267E-2</v>
      </c>
      <c r="AE391" s="90">
        <f t="shared" si="37"/>
        <v>-2.0913923327014312E-2</v>
      </c>
      <c r="AF391" s="89"/>
    </row>
    <row r="392" spans="1:32" ht="15.5" x14ac:dyDescent="0.35">
      <c r="A392" s="82">
        <v>40336</v>
      </c>
      <c r="B392" s="83">
        <v>6512.4</v>
      </c>
      <c r="C392" s="84">
        <v>2173.9</v>
      </c>
      <c r="D392" s="61">
        <v>241.8</v>
      </c>
      <c r="E392" s="61">
        <v>14.9</v>
      </c>
      <c r="F392" s="61">
        <v>35.799999999999997</v>
      </c>
      <c r="G392" s="61">
        <v>25.2</v>
      </c>
      <c r="H392" s="61">
        <v>49.8</v>
      </c>
      <c r="I392" s="61">
        <v>11</v>
      </c>
      <c r="J392" s="61">
        <v>31.4</v>
      </c>
      <c r="K392" s="61">
        <v>24.7</v>
      </c>
      <c r="L392" s="61">
        <v>33.1</v>
      </c>
      <c r="M392" s="61">
        <v>37.799999999999997</v>
      </c>
      <c r="N392" s="61">
        <v>37.4</v>
      </c>
      <c r="O392" s="85">
        <v>17.399999999999999</v>
      </c>
      <c r="P392" s="105"/>
      <c r="Q392" s="87">
        <f t="shared" si="36"/>
        <v>-1.3407050669585537E-2</v>
      </c>
      <c r="R392" s="87">
        <f t="shared" si="39"/>
        <v>-2.062398109743362E-2</v>
      </c>
      <c r="S392" s="87">
        <f t="shared" si="39"/>
        <v>-2.7734240895918368E-2</v>
      </c>
      <c r="T392" s="87">
        <f t="shared" si="39"/>
        <v>-6.6889881507965401E-3</v>
      </c>
      <c r="U392" s="87">
        <f t="shared" si="39"/>
        <v>-1.6620881236040407E-2</v>
      </c>
      <c r="V392" s="87">
        <f t="shared" si="39"/>
        <v>-1.5748356968139282E-2</v>
      </c>
      <c r="W392" s="87">
        <f t="shared" si="39"/>
        <v>-3.1623188430512185E-2</v>
      </c>
      <c r="X392" s="87">
        <f t="shared" si="39"/>
        <v>-3.5718082602079232E-2</v>
      </c>
      <c r="Y392" s="87">
        <f t="shared" si="39"/>
        <v>-3.1796529173797957E-3</v>
      </c>
      <c r="Z392" s="87">
        <f t="shared" si="39"/>
        <v>-1.6064602503806789E-2</v>
      </c>
      <c r="AA392" s="87">
        <f t="shared" si="35"/>
        <v>3.0257209165371114E-3</v>
      </c>
      <c r="AB392" s="87">
        <f t="shared" si="35"/>
        <v>-1.3140793561058255E-2</v>
      </c>
      <c r="AC392" s="87">
        <f t="shared" si="35"/>
        <v>-2.6386755173194887E-2</v>
      </c>
      <c r="AD392" s="87">
        <f t="shared" si="35"/>
        <v>-5.7306747089850953E-3</v>
      </c>
      <c r="AE392" s="90">
        <f t="shared" si="37"/>
        <v>-1.9750714159023536E-2</v>
      </c>
      <c r="AF392" s="89"/>
    </row>
    <row r="393" spans="1:32" ht="15.5" x14ac:dyDescent="0.35">
      <c r="A393" s="82">
        <v>40337</v>
      </c>
      <c r="B393" s="83">
        <v>6596.1</v>
      </c>
      <c r="C393" s="84">
        <v>2170.6</v>
      </c>
      <c r="D393" s="61">
        <v>239</v>
      </c>
      <c r="E393" s="61">
        <v>14.6</v>
      </c>
      <c r="F393" s="61">
        <v>35.1</v>
      </c>
      <c r="G393" s="61">
        <v>24.7</v>
      </c>
      <c r="H393" s="61">
        <v>49.7</v>
      </c>
      <c r="I393" s="61">
        <v>10.7</v>
      </c>
      <c r="J393" s="61">
        <v>30.9</v>
      </c>
      <c r="K393" s="61">
        <v>24.5</v>
      </c>
      <c r="L393" s="61">
        <v>33.1</v>
      </c>
      <c r="M393" s="61">
        <v>37.1</v>
      </c>
      <c r="N393" s="61">
        <v>36.200000000000003</v>
      </c>
      <c r="O393" s="85">
        <v>17.2</v>
      </c>
      <c r="P393" s="105"/>
      <c r="Q393" s="87">
        <f t="shared" si="36"/>
        <v>1.2770513410664486E-2</v>
      </c>
      <c r="R393" s="87">
        <f t="shared" si="39"/>
        <v>-1.5191624512188981E-3</v>
      </c>
      <c r="S393" s="87">
        <f t="shared" si="39"/>
        <v>-1.1647386249181629E-2</v>
      </c>
      <c r="T393" s="87">
        <f t="shared" si="39"/>
        <v>-2.0339684237122787E-2</v>
      </c>
      <c r="U393" s="87">
        <f t="shared" si="39"/>
        <v>-1.9746762934834333E-2</v>
      </c>
      <c r="V393" s="87">
        <f t="shared" si="39"/>
        <v>-2.0040750883446153E-2</v>
      </c>
      <c r="W393" s="87">
        <f t="shared" si="39"/>
        <v>-2.0100509280241118E-3</v>
      </c>
      <c r="X393" s="87">
        <f t="shared" si="39"/>
        <v>-2.7651531330510123E-2</v>
      </c>
      <c r="Y393" s="87">
        <f t="shared" si="39"/>
        <v>-1.6051709010507901E-2</v>
      </c>
      <c r="Z393" s="87">
        <f t="shared" si="39"/>
        <v>-8.1301260832501755E-3</v>
      </c>
      <c r="AA393" s="87">
        <f t="shared" si="35"/>
        <v>0</v>
      </c>
      <c r="AB393" s="87">
        <f t="shared" si="35"/>
        <v>-1.8692133012152407E-2</v>
      </c>
      <c r="AC393" s="87">
        <f t="shared" si="35"/>
        <v>-3.2611585588760782E-2</v>
      </c>
      <c r="AD393" s="87">
        <f t="shared" ref="AD393:AD456" si="40">+LN(O393/O392)</f>
        <v>-1.1560822401075971E-2</v>
      </c>
      <c r="AE393" s="90">
        <f t="shared" si="37"/>
        <v>-1.0916871706720808E-2</v>
      </c>
      <c r="AF393" s="89"/>
    </row>
    <row r="394" spans="1:32" ht="15.5" x14ac:dyDescent="0.35">
      <c r="A394" s="82">
        <v>40338</v>
      </c>
      <c r="B394" s="83">
        <v>6559.7</v>
      </c>
      <c r="C394" s="84">
        <v>2158.9</v>
      </c>
      <c r="D394" s="61">
        <v>236.2</v>
      </c>
      <c r="E394" s="61">
        <v>14.7</v>
      </c>
      <c r="F394" s="61">
        <v>34.6</v>
      </c>
      <c r="G394" s="61">
        <v>24.8</v>
      </c>
      <c r="H394" s="61">
        <v>49.9</v>
      </c>
      <c r="I394" s="61">
        <v>10.7</v>
      </c>
      <c r="J394" s="61">
        <v>31.8</v>
      </c>
      <c r="K394" s="61">
        <v>25.2</v>
      </c>
      <c r="L394" s="61">
        <v>33.5</v>
      </c>
      <c r="M394" s="61">
        <v>38.700000000000003</v>
      </c>
      <c r="N394" s="61">
        <v>37.9</v>
      </c>
      <c r="O394" s="85">
        <v>17.399999999999999</v>
      </c>
      <c r="P394" s="105"/>
      <c r="Q394" s="87">
        <f t="shared" si="36"/>
        <v>-5.5336950829327327E-3</v>
      </c>
      <c r="R394" s="87">
        <f t="shared" si="39"/>
        <v>-5.4047943095010343E-3</v>
      </c>
      <c r="S394" s="87">
        <f t="shared" si="39"/>
        <v>-1.1784648168248812E-2</v>
      </c>
      <c r="T394" s="87">
        <f t="shared" si="39"/>
        <v>6.8259650703998906E-3</v>
      </c>
      <c r="U394" s="87">
        <f t="shared" si="39"/>
        <v>-1.434744840814154E-2</v>
      </c>
      <c r="V394" s="87">
        <f t="shared" si="39"/>
        <v>4.040409537005127E-3</v>
      </c>
      <c r="W394" s="87">
        <f t="shared" si="39"/>
        <v>4.0160696548897437E-3</v>
      </c>
      <c r="X394" s="87">
        <f t="shared" si="39"/>
        <v>0</v>
      </c>
      <c r="Y394" s="87">
        <f t="shared" si="39"/>
        <v>2.871010588243136E-2</v>
      </c>
      <c r="Z394" s="87">
        <f t="shared" si="39"/>
        <v>2.8170876966696224E-2</v>
      </c>
      <c r="AA394" s="87">
        <f t="shared" si="39"/>
        <v>1.2012156448003434E-2</v>
      </c>
      <c r="AB394" s="87">
        <f t="shared" si="39"/>
        <v>4.2222630422346752E-2</v>
      </c>
      <c r="AC394" s="87">
        <f t="shared" si="39"/>
        <v>4.5891993256655127E-2</v>
      </c>
      <c r="AD394" s="87">
        <f t="shared" si="40"/>
        <v>1.1560822401076006E-2</v>
      </c>
      <c r="AE394" s="90">
        <f t="shared" si="37"/>
        <v>-7.7674998320728531E-3</v>
      </c>
      <c r="AF394" s="89"/>
    </row>
    <row r="395" spans="1:32" ht="15.5" x14ac:dyDescent="0.35">
      <c r="A395" s="82">
        <v>40339</v>
      </c>
      <c r="B395" s="83">
        <v>6783.5</v>
      </c>
      <c r="C395" s="84">
        <v>2218.6999999999998</v>
      </c>
      <c r="D395" s="61">
        <v>238.2</v>
      </c>
      <c r="E395" s="61">
        <v>14.9</v>
      </c>
      <c r="F395" s="61">
        <v>34.6</v>
      </c>
      <c r="G395" s="61">
        <v>24.8</v>
      </c>
      <c r="H395" s="61">
        <v>49.7</v>
      </c>
      <c r="I395" s="61">
        <v>10.9</v>
      </c>
      <c r="J395" s="61">
        <v>32.6</v>
      </c>
      <c r="K395" s="61">
        <v>25.7</v>
      </c>
      <c r="L395" s="61">
        <v>34</v>
      </c>
      <c r="M395" s="61">
        <v>39.6</v>
      </c>
      <c r="N395" s="61">
        <v>39</v>
      </c>
      <c r="O395" s="85">
        <v>17.8</v>
      </c>
      <c r="P395" s="105"/>
      <c r="Q395" s="87">
        <f t="shared" si="36"/>
        <v>3.3548322740272044E-2</v>
      </c>
      <c r="R395" s="87">
        <f t="shared" si="39"/>
        <v>2.7322606056123088E-2</v>
      </c>
      <c r="S395" s="87">
        <f t="shared" si="39"/>
        <v>8.4317531579378331E-3</v>
      </c>
      <c r="T395" s="87">
        <f t="shared" si="39"/>
        <v>1.3513719166722855E-2</v>
      </c>
      <c r="U395" s="87">
        <f t="shared" si="39"/>
        <v>0</v>
      </c>
      <c r="V395" s="87">
        <f t="shared" si="39"/>
        <v>0</v>
      </c>
      <c r="W395" s="87">
        <f t="shared" si="39"/>
        <v>-4.0160696548898313E-3</v>
      </c>
      <c r="X395" s="87">
        <f t="shared" si="39"/>
        <v>1.8519047767237531E-2</v>
      </c>
      <c r="Y395" s="87">
        <f t="shared" si="39"/>
        <v>2.4845998586530804E-2</v>
      </c>
      <c r="Z395" s="87">
        <f t="shared" si="39"/>
        <v>1.9646997383796421E-2</v>
      </c>
      <c r="AA395" s="87">
        <f t="shared" si="39"/>
        <v>1.4815085785140682E-2</v>
      </c>
      <c r="AB395" s="87">
        <f t="shared" si="39"/>
        <v>2.2989518224698781E-2</v>
      </c>
      <c r="AC395" s="87">
        <f t="shared" si="39"/>
        <v>2.8610534041265838E-2</v>
      </c>
      <c r="AD395" s="87">
        <f t="shared" si="40"/>
        <v>2.272825107755631E-2</v>
      </c>
      <c r="AE395" s="90">
        <f t="shared" si="37"/>
        <v>1.3421005862653903E-2</v>
      </c>
      <c r="AF395" s="89"/>
    </row>
    <row r="396" spans="1:32" ht="15.5" x14ac:dyDescent="0.35">
      <c r="A396" s="82">
        <v>40340</v>
      </c>
      <c r="B396" s="83">
        <v>6814.8</v>
      </c>
      <c r="C396" s="84">
        <v>2243.6</v>
      </c>
      <c r="D396" s="61">
        <v>241.1</v>
      </c>
      <c r="E396" s="61">
        <v>15</v>
      </c>
      <c r="F396" s="61">
        <v>35.299999999999997</v>
      </c>
      <c r="G396" s="61">
        <v>24.8</v>
      </c>
      <c r="H396" s="61">
        <v>50</v>
      </c>
      <c r="I396" s="61">
        <v>11.1</v>
      </c>
      <c r="J396" s="61">
        <v>33.1</v>
      </c>
      <c r="K396" s="61">
        <v>25.7</v>
      </c>
      <c r="L396" s="61">
        <v>34.200000000000003</v>
      </c>
      <c r="M396" s="61">
        <v>40</v>
      </c>
      <c r="N396" s="61">
        <v>39</v>
      </c>
      <c r="O396" s="85">
        <v>17.8</v>
      </c>
      <c r="P396" s="105"/>
      <c r="Q396" s="87">
        <f t="shared" si="36"/>
        <v>4.6035247460239652E-3</v>
      </c>
      <c r="R396" s="87">
        <f t="shared" si="39"/>
        <v>1.1160279875645216E-2</v>
      </c>
      <c r="S396" s="87">
        <f t="shared" si="39"/>
        <v>1.2101128265925611E-2</v>
      </c>
      <c r="T396" s="87">
        <f t="shared" si="39"/>
        <v>6.6889881507964889E-3</v>
      </c>
      <c r="U396" s="87">
        <f t="shared" si="39"/>
        <v>2.0029281875572364E-2</v>
      </c>
      <c r="V396" s="87">
        <f t="shared" si="39"/>
        <v>0</v>
      </c>
      <c r="W396" s="87">
        <f t="shared" si="39"/>
        <v>6.0180723255629448E-3</v>
      </c>
      <c r="X396" s="87">
        <f t="shared" si="39"/>
        <v>1.8182319083190328E-2</v>
      </c>
      <c r="Y396" s="87">
        <f t="shared" ref="Y396:AC446" si="41">+LN(J396/J395)</f>
        <v>1.522099401035517E-2</v>
      </c>
      <c r="Z396" s="87">
        <f t="shared" si="41"/>
        <v>0</v>
      </c>
      <c r="AA396" s="87">
        <f t="shared" si="41"/>
        <v>5.8651194523980576E-3</v>
      </c>
      <c r="AB396" s="87">
        <f t="shared" si="41"/>
        <v>1.0050335853501506E-2</v>
      </c>
      <c r="AC396" s="87">
        <f t="shared" si="41"/>
        <v>0</v>
      </c>
      <c r="AD396" s="87">
        <f t="shared" si="40"/>
        <v>0</v>
      </c>
      <c r="AE396" s="90">
        <f t="shared" si="37"/>
        <v>1.2615207142620748E-2</v>
      </c>
      <c r="AF396" s="89"/>
    </row>
    <row r="397" spans="1:32" ht="15.5" x14ac:dyDescent="0.35">
      <c r="A397" s="82">
        <v>40343</v>
      </c>
      <c r="B397" s="83">
        <v>6818</v>
      </c>
      <c r="C397" s="84">
        <v>2244</v>
      </c>
      <c r="D397" s="61">
        <v>241.8</v>
      </c>
      <c r="E397" s="61">
        <v>15.2</v>
      </c>
      <c r="F397" s="61">
        <v>36.299999999999997</v>
      </c>
      <c r="G397" s="61">
        <v>25.5</v>
      </c>
      <c r="H397" s="61">
        <v>47.5</v>
      </c>
      <c r="I397" s="61">
        <v>11.6</v>
      </c>
      <c r="J397" s="61">
        <v>32.9</v>
      </c>
      <c r="K397" s="61">
        <v>26.2</v>
      </c>
      <c r="L397" s="61">
        <v>35</v>
      </c>
      <c r="M397" s="61">
        <v>41</v>
      </c>
      <c r="N397" s="61">
        <v>40.200000000000003</v>
      </c>
      <c r="O397" s="85">
        <v>18</v>
      </c>
      <c r="P397" s="105"/>
      <c r="Q397" s="87">
        <f t="shared" si="36"/>
        <v>4.6945602646126676E-4</v>
      </c>
      <c r="R397" s="87">
        <f t="shared" ref="R397:X428" si="42">+LN(C397/C396)</f>
        <v>1.7826900840512894E-4</v>
      </c>
      <c r="S397" s="87">
        <f t="shared" si="42"/>
        <v>2.899152993567048E-3</v>
      </c>
      <c r="T397" s="87">
        <f t="shared" si="42"/>
        <v>1.3245226750020505E-2</v>
      </c>
      <c r="U397" s="87">
        <f t="shared" si="42"/>
        <v>2.7934777331554066E-2</v>
      </c>
      <c r="V397" s="87">
        <f t="shared" si="42"/>
        <v>2.7834798993443838E-2</v>
      </c>
      <c r="W397" s="87">
        <f t="shared" si="42"/>
        <v>-5.1293294387550578E-2</v>
      </c>
      <c r="X397" s="87">
        <f t="shared" si="42"/>
        <v>4.4059989794030495E-2</v>
      </c>
      <c r="Y397" s="87">
        <f t="shared" si="41"/>
        <v>-6.0606246116910699E-3</v>
      </c>
      <c r="Z397" s="87">
        <f t="shared" si="41"/>
        <v>1.9268418865876987E-2</v>
      </c>
      <c r="AA397" s="87">
        <f t="shared" si="41"/>
        <v>2.3122417420854212E-2</v>
      </c>
      <c r="AB397" s="87">
        <f t="shared" si="41"/>
        <v>2.4692612590371414E-2</v>
      </c>
      <c r="AC397" s="87">
        <f t="shared" si="41"/>
        <v>3.0305349495329058E-2</v>
      </c>
      <c r="AD397" s="87">
        <f t="shared" si="40"/>
        <v>1.1173300598125255E-2</v>
      </c>
      <c r="AE397" s="90">
        <f t="shared" si="37"/>
        <v>1.024793971403676E-2</v>
      </c>
      <c r="AF397" s="89"/>
    </row>
    <row r="398" spans="1:32" ht="15.5" x14ac:dyDescent="0.35">
      <c r="A398" s="82">
        <v>40344</v>
      </c>
      <c r="B398" s="83">
        <v>6989.9</v>
      </c>
      <c r="C398" s="84">
        <v>2305.9</v>
      </c>
      <c r="D398" s="61">
        <v>241.3</v>
      </c>
      <c r="E398" s="61">
        <v>15.2</v>
      </c>
      <c r="F398" s="61">
        <v>36.5</v>
      </c>
      <c r="G398" s="61">
        <v>25.7</v>
      </c>
      <c r="H398" s="61">
        <v>47.7</v>
      </c>
      <c r="I398" s="61">
        <v>11.9</v>
      </c>
      <c r="J398" s="61">
        <v>32.700000000000003</v>
      </c>
      <c r="K398" s="61">
        <v>27.1</v>
      </c>
      <c r="L398" s="61">
        <v>35</v>
      </c>
      <c r="M398" s="61">
        <v>41</v>
      </c>
      <c r="N398" s="61">
        <v>39.9</v>
      </c>
      <c r="O398" s="85">
        <v>18.100000000000001</v>
      </c>
      <c r="P398" s="105"/>
      <c r="Q398" s="87">
        <f t="shared" ref="Q398:Q461" si="43">+LN(B398/B397)</f>
        <v>2.4900076276028256E-2</v>
      </c>
      <c r="R398" s="87">
        <f t="shared" si="42"/>
        <v>2.7211068111690859E-2</v>
      </c>
      <c r="S398" s="87">
        <f t="shared" si="42"/>
        <v>-2.0699655497062137E-3</v>
      </c>
      <c r="T398" s="87">
        <f t="shared" si="42"/>
        <v>0</v>
      </c>
      <c r="U398" s="87">
        <f t="shared" si="42"/>
        <v>5.4945193176407798E-3</v>
      </c>
      <c r="V398" s="87">
        <f t="shared" si="42"/>
        <v>7.8125397367936247E-3</v>
      </c>
      <c r="W398" s="87">
        <f t="shared" si="42"/>
        <v>4.2016868536999766E-3</v>
      </c>
      <c r="X398" s="87">
        <f t="shared" si="42"/>
        <v>2.5533302005164845E-2</v>
      </c>
      <c r="Y398" s="87">
        <f t="shared" si="41"/>
        <v>-6.0975798681183338E-3</v>
      </c>
      <c r="Z398" s="87">
        <f t="shared" si="41"/>
        <v>3.3774317118604048E-2</v>
      </c>
      <c r="AA398" s="87">
        <f t="shared" si="41"/>
        <v>0</v>
      </c>
      <c r="AB398" s="87">
        <f t="shared" si="41"/>
        <v>0</v>
      </c>
      <c r="AC398" s="87">
        <f t="shared" si="41"/>
        <v>-7.4906717291577376E-3</v>
      </c>
      <c r="AD398" s="87">
        <f t="shared" si="40"/>
        <v>5.5401803756153509E-3</v>
      </c>
      <c r="AE398" s="90">
        <f t="shared" si="37"/>
        <v>9.7949609864641397E-3</v>
      </c>
      <c r="AF398" s="89"/>
    </row>
    <row r="399" spans="1:32" ht="15.5" x14ac:dyDescent="0.35">
      <c r="A399" s="82">
        <v>40345</v>
      </c>
      <c r="B399" s="83">
        <v>6976.1</v>
      </c>
      <c r="C399" s="84">
        <v>2305.9</v>
      </c>
      <c r="D399" s="61">
        <v>248.3</v>
      </c>
      <c r="E399" s="61">
        <v>15.3</v>
      </c>
      <c r="F399" s="61">
        <v>37.200000000000003</v>
      </c>
      <c r="G399" s="61">
        <v>26.2</v>
      </c>
      <c r="H399" s="61">
        <v>48.7</v>
      </c>
      <c r="I399" s="61">
        <v>11.9</v>
      </c>
      <c r="J399" s="61">
        <v>33.4</v>
      </c>
      <c r="K399" s="61">
        <v>26.6</v>
      </c>
      <c r="L399" s="61">
        <v>35.700000000000003</v>
      </c>
      <c r="M399" s="61">
        <v>40.799999999999997</v>
      </c>
      <c r="N399" s="61">
        <v>40</v>
      </c>
      <c r="O399" s="85">
        <v>18.3</v>
      </c>
      <c r="P399" s="105"/>
      <c r="Q399" s="87">
        <f t="shared" si="43"/>
        <v>-1.9762286254189475E-3</v>
      </c>
      <c r="R399" s="87">
        <f t="shared" si="42"/>
        <v>0</v>
      </c>
      <c r="S399" s="87">
        <f t="shared" si="42"/>
        <v>2.859671988313486E-2</v>
      </c>
      <c r="T399" s="87">
        <f t="shared" si="42"/>
        <v>6.5574005461592607E-3</v>
      </c>
      <c r="U399" s="87">
        <f t="shared" si="42"/>
        <v>1.8996500690655085E-2</v>
      </c>
      <c r="V399" s="87">
        <f t="shared" si="42"/>
        <v>1.9268418865876987E-2</v>
      </c>
      <c r="W399" s="87">
        <f t="shared" si="42"/>
        <v>2.0747632194248498E-2</v>
      </c>
      <c r="X399" s="87">
        <f t="shared" si="42"/>
        <v>0</v>
      </c>
      <c r="Y399" s="87">
        <f t="shared" si="41"/>
        <v>2.1180822079446826E-2</v>
      </c>
      <c r="Z399" s="87">
        <f t="shared" si="41"/>
        <v>-1.8622512098001798E-2</v>
      </c>
      <c r="AA399" s="87">
        <f t="shared" si="41"/>
        <v>1.980262729617973E-2</v>
      </c>
      <c r="AB399" s="87">
        <f t="shared" si="41"/>
        <v>-4.8899852941919038E-3</v>
      </c>
      <c r="AC399" s="87">
        <f t="shared" si="41"/>
        <v>2.5031302181184748E-3</v>
      </c>
      <c r="AD399" s="87">
        <f t="shared" si="40"/>
        <v>1.0989121575595165E-2</v>
      </c>
      <c r="AE399" s="90">
        <f t="shared" ref="AE399:AE462" si="44">+SUMPRODUCT(Q399:AD399,$Q$8:$AD$8)</f>
        <v>1.5139646875466449E-2</v>
      </c>
      <c r="AF399" s="89"/>
    </row>
    <row r="400" spans="1:32" ht="15.5" x14ac:dyDescent="0.35">
      <c r="A400" s="82">
        <v>40346</v>
      </c>
      <c r="B400" s="83">
        <v>6982</v>
      </c>
      <c r="C400" s="84">
        <v>2307.1999999999998</v>
      </c>
      <c r="D400" s="61">
        <v>248.6</v>
      </c>
      <c r="E400" s="61">
        <v>15.4</v>
      </c>
      <c r="F400" s="61">
        <v>38.5</v>
      </c>
      <c r="G400" s="61">
        <v>26</v>
      </c>
      <c r="H400" s="61">
        <v>48.3</v>
      </c>
      <c r="I400" s="61">
        <v>11.7</v>
      </c>
      <c r="J400" s="61">
        <v>33.200000000000003</v>
      </c>
      <c r="K400" s="61">
        <v>26.3</v>
      </c>
      <c r="L400" s="61">
        <v>35.299999999999997</v>
      </c>
      <c r="M400" s="61">
        <v>40.6</v>
      </c>
      <c r="N400" s="61">
        <v>39.200000000000003</v>
      </c>
      <c r="O400" s="85">
        <v>18.399999999999999</v>
      </c>
      <c r="P400" s="105"/>
      <c r="Q400" s="87">
        <f t="shared" si="43"/>
        <v>8.4538731652347124E-4</v>
      </c>
      <c r="R400" s="87">
        <f t="shared" si="42"/>
        <v>5.6361233635210124E-4</v>
      </c>
      <c r="S400" s="87">
        <f t="shared" si="42"/>
        <v>1.2074865624897334E-3</v>
      </c>
      <c r="T400" s="87">
        <f t="shared" si="42"/>
        <v>6.5146810211936723E-3</v>
      </c>
      <c r="U400" s="87">
        <f t="shared" si="42"/>
        <v>3.434948001463764E-2</v>
      </c>
      <c r="V400" s="87">
        <f t="shared" si="42"/>
        <v>-7.6628727455691371E-3</v>
      </c>
      <c r="W400" s="87">
        <f t="shared" si="42"/>
        <v>-8.247469430017227E-3</v>
      </c>
      <c r="X400" s="87">
        <f t="shared" si="42"/>
        <v>-1.694955831377332E-2</v>
      </c>
      <c r="Y400" s="87">
        <f t="shared" si="41"/>
        <v>-6.006024060211698E-3</v>
      </c>
      <c r="Z400" s="87">
        <f t="shared" si="41"/>
        <v>-1.1342276603934495E-2</v>
      </c>
      <c r="AA400" s="87">
        <f t="shared" si="41"/>
        <v>-1.1267724846342494E-2</v>
      </c>
      <c r="AB400" s="87">
        <f t="shared" si="41"/>
        <v>-4.9140148024289293E-3</v>
      </c>
      <c r="AC400" s="87">
        <f t="shared" si="41"/>
        <v>-2.0202707317519355E-2</v>
      </c>
      <c r="AD400" s="87">
        <f t="shared" si="40"/>
        <v>5.4496047675644645E-3</v>
      </c>
      <c r="AE400" s="90">
        <f t="shared" si="44"/>
        <v>1.1006694196871425E-2</v>
      </c>
      <c r="AF400" s="89"/>
    </row>
    <row r="401" spans="1:32" ht="15.5" x14ac:dyDescent="0.35">
      <c r="A401" s="82">
        <v>40347</v>
      </c>
      <c r="B401" s="83">
        <v>6988.3</v>
      </c>
      <c r="C401" s="84">
        <v>2309.8000000000002</v>
      </c>
      <c r="D401" s="61">
        <v>249.3</v>
      </c>
      <c r="E401" s="61">
        <v>15.5</v>
      </c>
      <c r="F401" s="61">
        <v>38.799999999999997</v>
      </c>
      <c r="G401" s="61">
        <v>26.2</v>
      </c>
      <c r="H401" s="61">
        <v>48.3</v>
      </c>
      <c r="I401" s="61">
        <v>11.9</v>
      </c>
      <c r="J401" s="61">
        <v>32.9</v>
      </c>
      <c r="K401" s="61">
        <v>26</v>
      </c>
      <c r="L401" s="61">
        <v>35.5</v>
      </c>
      <c r="M401" s="61">
        <v>40.700000000000003</v>
      </c>
      <c r="N401" s="61">
        <v>40.299999999999997</v>
      </c>
      <c r="O401" s="85">
        <v>18.600000000000001</v>
      </c>
      <c r="P401" s="105"/>
      <c r="Q401" s="87">
        <f t="shared" si="43"/>
        <v>9.0191340587681193E-4</v>
      </c>
      <c r="R401" s="87">
        <f t="shared" si="42"/>
        <v>1.1262725903572891E-3</v>
      </c>
      <c r="S401" s="87">
        <f t="shared" si="42"/>
        <v>2.8118114529015756E-3</v>
      </c>
      <c r="T401" s="87">
        <f t="shared" si="42"/>
        <v>6.4725145056175196E-3</v>
      </c>
      <c r="U401" s="87">
        <f t="shared" si="42"/>
        <v>7.7620053354891094E-3</v>
      </c>
      <c r="V401" s="87">
        <f t="shared" si="42"/>
        <v>7.6628727455690972E-3</v>
      </c>
      <c r="W401" s="87">
        <f t="shared" si="42"/>
        <v>0</v>
      </c>
      <c r="X401" s="87">
        <f t="shared" si="42"/>
        <v>1.6949558313773424E-2</v>
      </c>
      <c r="Y401" s="87">
        <f t="shared" si="41"/>
        <v>-9.0772181511167629E-3</v>
      </c>
      <c r="Z401" s="87">
        <f t="shared" si="41"/>
        <v>-1.1472401162236807E-2</v>
      </c>
      <c r="AA401" s="87">
        <f t="shared" si="41"/>
        <v>5.6497325421191276E-3</v>
      </c>
      <c r="AB401" s="87">
        <f t="shared" si="41"/>
        <v>2.460025840862399E-3</v>
      </c>
      <c r="AC401" s="87">
        <f t="shared" si="41"/>
        <v>2.7674722156220286E-2</v>
      </c>
      <c r="AD401" s="87">
        <f t="shared" si="40"/>
        <v>1.0810916104215676E-2</v>
      </c>
      <c r="AE401" s="90">
        <f t="shared" si="44"/>
        <v>4.6943039689439315E-3</v>
      </c>
      <c r="AF401" s="89"/>
    </row>
    <row r="402" spans="1:32" ht="15.5" x14ac:dyDescent="0.35">
      <c r="A402" s="82">
        <v>40350</v>
      </c>
      <c r="B402" s="83">
        <v>6978.9</v>
      </c>
      <c r="C402" s="84">
        <v>2289.1</v>
      </c>
      <c r="D402" s="61">
        <v>242.7</v>
      </c>
      <c r="E402" s="61">
        <v>15.1</v>
      </c>
      <c r="F402" s="61">
        <v>38.4</v>
      </c>
      <c r="G402" s="61">
        <v>25.9</v>
      </c>
      <c r="H402" s="61">
        <v>47.7</v>
      </c>
      <c r="I402" s="61">
        <v>12.2</v>
      </c>
      <c r="J402" s="61">
        <v>32.700000000000003</v>
      </c>
      <c r="K402" s="61">
        <v>25.4</v>
      </c>
      <c r="L402" s="61">
        <v>34.9</v>
      </c>
      <c r="M402" s="61">
        <v>41</v>
      </c>
      <c r="N402" s="61">
        <v>40.1</v>
      </c>
      <c r="O402" s="85">
        <v>18.5</v>
      </c>
      <c r="P402" s="105"/>
      <c r="Q402" s="87">
        <f t="shared" si="43"/>
        <v>-1.3460108567502683E-3</v>
      </c>
      <c r="R402" s="87">
        <f t="shared" si="42"/>
        <v>-9.0022134830279755E-3</v>
      </c>
      <c r="S402" s="87">
        <f t="shared" si="42"/>
        <v>-2.6830877796956622E-2</v>
      </c>
      <c r="T402" s="87">
        <f t="shared" si="42"/>
        <v>-2.614528010432236E-2</v>
      </c>
      <c r="U402" s="87">
        <f t="shared" si="42"/>
        <v>-1.0362787035546547E-2</v>
      </c>
      <c r="V402" s="87">
        <f t="shared" si="42"/>
        <v>-1.151644206155918E-2</v>
      </c>
      <c r="W402" s="87">
        <f t="shared" si="42"/>
        <v>-1.2500162764231382E-2</v>
      </c>
      <c r="X402" s="87">
        <f t="shared" si="42"/>
        <v>2.4897551621727087E-2</v>
      </c>
      <c r="Y402" s="87">
        <f t="shared" si="41"/>
        <v>-6.0975798681183338E-3</v>
      </c>
      <c r="Z402" s="87">
        <f t="shared" si="41"/>
        <v>-2.3347363996991177E-2</v>
      </c>
      <c r="AA402" s="87">
        <f t="shared" si="41"/>
        <v>-1.7045867272988721E-2</v>
      </c>
      <c r="AB402" s="87">
        <f t="shared" si="41"/>
        <v>7.3439742557585052E-3</v>
      </c>
      <c r="AC402" s="87">
        <f t="shared" si="41"/>
        <v>-4.975134640113732E-3</v>
      </c>
      <c r="AD402" s="87">
        <f t="shared" si="40"/>
        <v>-5.3908486348765343E-3</v>
      </c>
      <c r="AE402" s="90">
        <f t="shared" si="44"/>
        <v>-1.4171896254833779E-2</v>
      </c>
      <c r="AF402" s="89"/>
    </row>
    <row r="403" spans="1:32" ht="15.5" x14ac:dyDescent="0.35">
      <c r="A403" s="82">
        <v>40351</v>
      </c>
      <c r="B403" s="83">
        <v>6859</v>
      </c>
      <c r="C403" s="84">
        <v>2261.8000000000002</v>
      </c>
      <c r="D403" s="61">
        <v>243.1</v>
      </c>
      <c r="E403" s="61">
        <v>15.1</v>
      </c>
      <c r="F403" s="61">
        <v>38.799999999999997</v>
      </c>
      <c r="G403" s="61">
        <v>25.8</v>
      </c>
      <c r="H403" s="61">
        <v>46.5</v>
      </c>
      <c r="I403" s="61">
        <v>12</v>
      </c>
      <c r="J403" s="61">
        <v>32.4</v>
      </c>
      <c r="K403" s="61">
        <v>24.6</v>
      </c>
      <c r="L403" s="61">
        <v>35.1</v>
      </c>
      <c r="M403" s="61">
        <v>40.5</v>
      </c>
      <c r="N403" s="61">
        <v>40</v>
      </c>
      <c r="O403" s="85">
        <v>18</v>
      </c>
      <c r="P403" s="105"/>
      <c r="Q403" s="87">
        <f t="shared" si="43"/>
        <v>-1.7329652714786464E-2</v>
      </c>
      <c r="R403" s="87">
        <f t="shared" si="42"/>
        <v>-1.199777076073257E-2</v>
      </c>
      <c r="S403" s="87">
        <f t="shared" si="42"/>
        <v>1.6467685895219695E-3</v>
      </c>
      <c r="T403" s="87">
        <f t="shared" si="42"/>
        <v>0</v>
      </c>
      <c r="U403" s="87">
        <f t="shared" si="42"/>
        <v>1.0362787035546658E-2</v>
      </c>
      <c r="V403" s="87">
        <f t="shared" si="42"/>
        <v>-3.8684767779202061E-3</v>
      </c>
      <c r="W403" s="87">
        <f t="shared" si="42"/>
        <v>-2.5479085300985013E-2</v>
      </c>
      <c r="X403" s="87">
        <f t="shared" si="42"/>
        <v>-1.6529301951210471E-2</v>
      </c>
      <c r="Y403" s="87">
        <f t="shared" si="41"/>
        <v>-9.2166551049241759E-3</v>
      </c>
      <c r="Z403" s="87">
        <f t="shared" si="41"/>
        <v>-3.200273108617372E-2</v>
      </c>
      <c r="AA403" s="87">
        <f t="shared" si="41"/>
        <v>5.7143012634386352E-3</v>
      </c>
      <c r="AB403" s="87">
        <f t="shared" si="41"/>
        <v>-1.2270092591814359E-2</v>
      </c>
      <c r="AC403" s="87">
        <f t="shared" si="41"/>
        <v>-2.4968801985872659E-3</v>
      </c>
      <c r="AD403" s="87">
        <f t="shared" si="40"/>
        <v>-2.7398974188114388E-2</v>
      </c>
      <c r="AE403" s="90">
        <f t="shared" si="44"/>
        <v>-3.4813718474845734E-3</v>
      </c>
      <c r="AF403" s="89"/>
    </row>
    <row r="404" spans="1:32" ht="15.5" x14ac:dyDescent="0.35">
      <c r="A404" s="82">
        <v>40352</v>
      </c>
      <c r="B404" s="83">
        <v>6850</v>
      </c>
      <c r="C404" s="84">
        <v>2254.1999999999998</v>
      </c>
      <c r="D404" s="61">
        <v>239.3</v>
      </c>
      <c r="E404" s="61">
        <v>15</v>
      </c>
      <c r="F404" s="61">
        <v>38.299999999999997</v>
      </c>
      <c r="G404" s="61">
        <v>25.2</v>
      </c>
      <c r="H404" s="61">
        <v>46</v>
      </c>
      <c r="I404" s="61">
        <v>11.7</v>
      </c>
      <c r="J404" s="61">
        <v>32</v>
      </c>
      <c r="K404" s="61">
        <v>24</v>
      </c>
      <c r="L404" s="61">
        <v>34.9</v>
      </c>
      <c r="M404" s="61">
        <v>39.799999999999997</v>
      </c>
      <c r="N404" s="61">
        <v>39.200000000000003</v>
      </c>
      <c r="O404" s="85">
        <v>17.899999999999999</v>
      </c>
      <c r="P404" s="105"/>
      <c r="Q404" s="87">
        <f t="shared" si="43"/>
        <v>-1.3130062430504227E-3</v>
      </c>
      <c r="R404" s="87">
        <f t="shared" si="42"/>
        <v>-3.3658136292485734E-3</v>
      </c>
      <c r="S404" s="87">
        <f t="shared" si="42"/>
        <v>-1.5754886407749972E-2</v>
      </c>
      <c r="T404" s="87">
        <f t="shared" si="42"/>
        <v>-6.6445427186685013E-3</v>
      </c>
      <c r="U404" s="87">
        <f t="shared" si="42"/>
        <v>-1.2970350442627404E-2</v>
      </c>
      <c r="V404" s="87">
        <f t="shared" si="42"/>
        <v>-2.3530497410194161E-2</v>
      </c>
      <c r="W404" s="87">
        <f t="shared" si="42"/>
        <v>-1.0810916104215617E-2</v>
      </c>
      <c r="X404" s="87">
        <f t="shared" si="42"/>
        <v>-2.5317807984289897E-2</v>
      </c>
      <c r="Y404" s="87">
        <f t="shared" si="41"/>
        <v>-1.2422519998557096E-2</v>
      </c>
      <c r="Z404" s="87">
        <f t="shared" si="41"/>
        <v>-2.4692612590371522E-2</v>
      </c>
      <c r="AA404" s="87">
        <f t="shared" si="41"/>
        <v>-5.7143012634387758E-3</v>
      </c>
      <c r="AB404" s="87">
        <f t="shared" si="41"/>
        <v>-1.7435061822101534E-2</v>
      </c>
      <c r="AC404" s="87">
        <f t="shared" si="41"/>
        <v>-2.0202707317519355E-2</v>
      </c>
      <c r="AD404" s="87">
        <f t="shared" si="40"/>
        <v>-5.571045049455472E-3</v>
      </c>
      <c r="AE404" s="90">
        <f t="shared" si="44"/>
        <v>-1.0007245113336536E-2</v>
      </c>
      <c r="AF404" s="89"/>
    </row>
    <row r="405" spans="1:32" ht="15.5" x14ac:dyDescent="0.35">
      <c r="A405" s="82">
        <v>40353</v>
      </c>
      <c r="B405" s="83">
        <v>6730.2</v>
      </c>
      <c r="C405" s="84">
        <v>2217.4</v>
      </c>
      <c r="D405" s="61">
        <v>236.9</v>
      </c>
      <c r="E405" s="61">
        <v>14.7</v>
      </c>
      <c r="F405" s="61">
        <v>38.299999999999997</v>
      </c>
      <c r="G405" s="61">
        <v>24.9</v>
      </c>
      <c r="H405" s="61">
        <v>44.6</v>
      </c>
      <c r="I405" s="61">
        <v>11.6</v>
      </c>
      <c r="J405" s="61">
        <v>31.7</v>
      </c>
      <c r="K405" s="61">
        <v>23.1</v>
      </c>
      <c r="L405" s="61">
        <v>35.200000000000003</v>
      </c>
      <c r="M405" s="61">
        <v>39.200000000000003</v>
      </c>
      <c r="N405" s="61">
        <v>38.299999999999997</v>
      </c>
      <c r="O405" s="85">
        <v>17.3</v>
      </c>
      <c r="P405" s="105"/>
      <c r="Q405" s="87">
        <f t="shared" si="43"/>
        <v>-1.7643791377038254E-2</v>
      </c>
      <c r="R405" s="87">
        <f t="shared" si="42"/>
        <v>-1.645980446972686E-2</v>
      </c>
      <c r="S405" s="87">
        <f t="shared" si="42"/>
        <v>-1.0079883749587929E-2</v>
      </c>
      <c r="T405" s="87">
        <f t="shared" si="42"/>
        <v>-2.0202707317519466E-2</v>
      </c>
      <c r="U405" s="87">
        <f t="shared" si="42"/>
        <v>0</v>
      </c>
      <c r="V405" s="87">
        <f t="shared" si="42"/>
        <v>-1.1976191046715762E-2</v>
      </c>
      <c r="W405" s="87">
        <f t="shared" si="42"/>
        <v>-3.0907537463076548E-2</v>
      </c>
      <c r="X405" s="87">
        <f t="shared" si="42"/>
        <v>-8.5837436913914419E-3</v>
      </c>
      <c r="Y405" s="87">
        <f t="shared" si="41"/>
        <v>-9.4192219164916397E-3</v>
      </c>
      <c r="Z405" s="87">
        <f t="shared" si="41"/>
        <v>-3.8221212820197741E-2</v>
      </c>
      <c r="AA405" s="87">
        <f t="shared" si="41"/>
        <v>8.5592533956701314E-3</v>
      </c>
      <c r="AB405" s="87">
        <f t="shared" si="41"/>
        <v>-1.5190165493975007E-2</v>
      </c>
      <c r="AC405" s="87">
        <f t="shared" si="41"/>
        <v>-2.3226850609816659E-2</v>
      </c>
      <c r="AD405" s="87">
        <f t="shared" si="40"/>
        <v>-3.4094211342975897E-2</v>
      </c>
      <c r="AE405" s="90">
        <f t="shared" si="44"/>
        <v>-1.2028923759178554E-2</v>
      </c>
      <c r="AF405" s="89"/>
    </row>
    <row r="406" spans="1:32" ht="15.5" x14ac:dyDescent="0.35">
      <c r="A406" s="82">
        <v>40354</v>
      </c>
      <c r="B406" s="83">
        <v>6763.9</v>
      </c>
      <c r="C406" s="84">
        <v>2223.5</v>
      </c>
      <c r="D406" s="61">
        <v>235.5</v>
      </c>
      <c r="E406" s="61">
        <v>14.6</v>
      </c>
      <c r="F406" s="61">
        <v>38</v>
      </c>
      <c r="G406" s="61">
        <v>24.3</v>
      </c>
      <c r="H406" s="61">
        <v>43.5</v>
      </c>
      <c r="I406" s="61">
        <v>11.2</v>
      </c>
      <c r="J406" s="61">
        <v>31.4</v>
      </c>
      <c r="K406" s="61">
        <v>22.9</v>
      </c>
      <c r="L406" s="61">
        <v>35.299999999999997</v>
      </c>
      <c r="M406" s="61">
        <v>39.200000000000003</v>
      </c>
      <c r="N406" s="61">
        <v>39.5</v>
      </c>
      <c r="O406" s="85">
        <v>17.2</v>
      </c>
      <c r="P406" s="105"/>
      <c r="Q406" s="87">
        <f t="shared" si="43"/>
        <v>4.9947858785617328E-3</v>
      </c>
      <c r="R406" s="87">
        <f t="shared" si="42"/>
        <v>2.7471926124997595E-3</v>
      </c>
      <c r="S406" s="87">
        <f t="shared" si="42"/>
        <v>-5.9271977082673843E-3</v>
      </c>
      <c r="T406" s="87">
        <f t="shared" si="42"/>
        <v>-6.8259650703998706E-3</v>
      </c>
      <c r="U406" s="87">
        <f t="shared" si="42"/>
        <v>-7.8637364602144634E-3</v>
      </c>
      <c r="V406" s="87">
        <f t="shared" si="42"/>
        <v>-2.4391453124159124E-2</v>
      </c>
      <c r="W406" s="87">
        <f t="shared" si="42"/>
        <v>-2.4972920931380049E-2</v>
      </c>
      <c r="X406" s="87">
        <f t="shared" si="42"/>
        <v>-3.5091319811270172E-2</v>
      </c>
      <c r="Y406" s="87">
        <f t="shared" si="41"/>
        <v>-9.5087879690273006E-3</v>
      </c>
      <c r="Z406" s="87">
        <f t="shared" si="41"/>
        <v>-8.6957069675540448E-3</v>
      </c>
      <c r="AA406" s="87">
        <f t="shared" si="41"/>
        <v>2.8368813351995355E-3</v>
      </c>
      <c r="AB406" s="87">
        <f t="shared" si="41"/>
        <v>0</v>
      </c>
      <c r="AC406" s="87">
        <f t="shared" si="41"/>
        <v>3.085077572047603E-2</v>
      </c>
      <c r="AD406" s="87">
        <f t="shared" si="40"/>
        <v>-5.7971176843259579E-3</v>
      </c>
      <c r="AE406" s="90">
        <f t="shared" si="44"/>
        <v>-3.8649830124267807E-3</v>
      </c>
      <c r="AF406" s="89"/>
    </row>
    <row r="407" spans="1:32" ht="15.5" x14ac:dyDescent="0.35">
      <c r="A407" s="82">
        <v>40357</v>
      </c>
      <c r="B407" s="83">
        <v>6736.6</v>
      </c>
      <c r="C407" s="84">
        <v>2220.6</v>
      </c>
      <c r="D407" s="61">
        <v>234.7</v>
      </c>
      <c r="E407" s="61">
        <v>14.6</v>
      </c>
      <c r="F407" s="61">
        <v>37.799999999999997</v>
      </c>
      <c r="G407" s="61">
        <v>24.1</v>
      </c>
      <c r="H407" s="61">
        <v>43.6</v>
      </c>
      <c r="I407" s="61">
        <v>11.2</v>
      </c>
      <c r="J407" s="61">
        <v>30.5</v>
      </c>
      <c r="K407" s="61">
        <v>22.8</v>
      </c>
      <c r="L407" s="61">
        <v>35.6</v>
      </c>
      <c r="M407" s="61">
        <v>39.9</v>
      </c>
      <c r="N407" s="61">
        <v>39.700000000000003</v>
      </c>
      <c r="O407" s="85">
        <v>17.399999999999999</v>
      </c>
      <c r="P407" s="105"/>
      <c r="Q407" s="87">
        <f t="shared" si="43"/>
        <v>-4.0443001682481548E-3</v>
      </c>
      <c r="R407" s="87">
        <f t="shared" si="42"/>
        <v>-1.3051013305858756E-3</v>
      </c>
      <c r="S407" s="87">
        <f t="shared" si="42"/>
        <v>-3.4028105994946089E-3</v>
      </c>
      <c r="T407" s="87">
        <f t="shared" si="42"/>
        <v>0</v>
      </c>
      <c r="U407" s="87">
        <f t="shared" si="42"/>
        <v>-5.2770571008438931E-3</v>
      </c>
      <c r="V407" s="87">
        <f t="shared" si="42"/>
        <v>-8.2645098498934245E-3</v>
      </c>
      <c r="W407" s="87">
        <f t="shared" si="42"/>
        <v>2.296212260350157E-3</v>
      </c>
      <c r="X407" s="87">
        <f t="shared" si="42"/>
        <v>0</v>
      </c>
      <c r="Y407" s="87">
        <f t="shared" si="41"/>
        <v>-2.9081209300841737E-2</v>
      </c>
      <c r="Z407" s="87">
        <f t="shared" si="41"/>
        <v>-4.3763745997987772E-3</v>
      </c>
      <c r="AA407" s="87">
        <f t="shared" si="41"/>
        <v>8.4626739187337284E-3</v>
      </c>
      <c r="AB407" s="87">
        <f t="shared" si="41"/>
        <v>1.7699577099400857E-2</v>
      </c>
      <c r="AC407" s="87">
        <f t="shared" si="41"/>
        <v>5.0505157860685716E-3</v>
      </c>
      <c r="AD407" s="87">
        <f t="shared" si="40"/>
        <v>1.1560822401076006E-2</v>
      </c>
      <c r="AE407" s="90">
        <f t="shared" si="44"/>
        <v>-1.4911420439022245E-3</v>
      </c>
      <c r="AF407" s="89"/>
    </row>
    <row r="408" spans="1:32" ht="15.5" x14ac:dyDescent="0.35">
      <c r="A408" s="82">
        <v>40358</v>
      </c>
      <c r="B408" s="83">
        <v>6520.1</v>
      </c>
      <c r="C408" s="84">
        <v>2135.1999999999998</v>
      </c>
      <c r="D408" s="61">
        <v>225.8</v>
      </c>
      <c r="E408" s="61">
        <v>13.9</v>
      </c>
      <c r="F408" s="61">
        <v>36.299999999999997</v>
      </c>
      <c r="G408" s="61">
        <v>23.1</v>
      </c>
      <c r="H408" s="61">
        <v>42.9</v>
      </c>
      <c r="I408" s="61">
        <v>10.1</v>
      </c>
      <c r="J408" s="61">
        <v>29.1</v>
      </c>
      <c r="K408" s="61">
        <v>21.6</v>
      </c>
      <c r="L408" s="61">
        <v>35</v>
      </c>
      <c r="M408" s="61">
        <v>37.9</v>
      </c>
      <c r="N408" s="61">
        <v>39.299999999999997</v>
      </c>
      <c r="O408" s="85">
        <v>16.899999999999999</v>
      </c>
      <c r="P408" s="105"/>
      <c r="Q408" s="87">
        <f t="shared" si="43"/>
        <v>-3.2665633363151848E-2</v>
      </c>
      <c r="R408" s="87">
        <f t="shared" si="42"/>
        <v>-3.9217110529850996E-2</v>
      </c>
      <c r="S408" s="87">
        <f t="shared" si="42"/>
        <v>-3.8658451141416077E-2</v>
      </c>
      <c r="T408" s="87">
        <f t="shared" si="42"/>
        <v>-4.9132688577644648E-2</v>
      </c>
      <c r="U408" s="87">
        <f t="shared" si="42"/>
        <v>-4.0491361354736875E-2</v>
      </c>
      <c r="V408" s="87">
        <f t="shared" si="42"/>
        <v>-4.2379222968861416E-2</v>
      </c>
      <c r="W408" s="87">
        <f t="shared" si="42"/>
        <v>-1.618532442101742E-2</v>
      </c>
      <c r="X408" s="87">
        <f t="shared" si="42"/>
        <v>-0.10337835445383507</v>
      </c>
      <c r="Y408" s="87">
        <f t="shared" si="41"/>
        <v>-4.698850943591909E-2</v>
      </c>
      <c r="Z408" s="87">
        <f t="shared" si="41"/>
        <v>-5.4067221270275703E-2</v>
      </c>
      <c r="AA408" s="87">
        <f t="shared" si="41"/>
        <v>-1.6997576368571136E-2</v>
      </c>
      <c r="AB408" s="87">
        <f t="shared" si="41"/>
        <v>-5.1425211807437109E-2</v>
      </c>
      <c r="AC408" s="87">
        <f t="shared" si="41"/>
        <v>-1.0126668817929271E-2</v>
      </c>
      <c r="AD408" s="87">
        <f t="shared" si="40"/>
        <v>-2.9156584291455578E-2</v>
      </c>
      <c r="AE408" s="90">
        <f t="shared" si="44"/>
        <v>-3.8195073563082986E-2</v>
      </c>
      <c r="AF408" s="89"/>
    </row>
    <row r="409" spans="1:32" ht="15.5" x14ac:dyDescent="0.35">
      <c r="A409" s="82">
        <v>40359</v>
      </c>
      <c r="B409" s="83">
        <v>6469.6</v>
      </c>
      <c r="C409" s="84">
        <v>2109.1999999999998</v>
      </c>
      <c r="D409" s="61">
        <v>222.6</v>
      </c>
      <c r="E409" s="61">
        <v>13.8</v>
      </c>
      <c r="F409" s="61">
        <v>35.700000000000003</v>
      </c>
      <c r="G409" s="61">
        <v>23</v>
      </c>
      <c r="H409" s="61">
        <v>42.4</v>
      </c>
      <c r="I409" s="61">
        <v>9.9</v>
      </c>
      <c r="J409" s="61">
        <v>28.6</v>
      </c>
      <c r="K409" s="61">
        <v>21.4</v>
      </c>
      <c r="L409" s="61">
        <v>34.799999999999997</v>
      </c>
      <c r="M409" s="61">
        <v>37.700000000000003</v>
      </c>
      <c r="N409" s="61">
        <v>39.700000000000003</v>
      </c>
      <c r="O409" s="85">
        <v>16.8</v>
      </c>
      <c r="P409" s="105"/>
      <c r="Q409" s="87">
        <f t="shared" si="43"/>
        <v>-7.775430444782106E-3</v>
      </c>
      <c r="R409" s="87">
        <f t="shared" si="42"/>
        <v>-1.2251590433999709E-2</v>
      </c>
      <c r="S409" s="87">
        <f t="shared" si="42"/>
        <v>-1.4273212874117218E-2</v>
      </c>
      <c r="T409" s="87">
        <f t="shared" si="42"/>
        <v>-7.2202479734870201E-3</v>
      </c>
      <c r="U409" s="87">
        <f t="shared" si="42"/>
        <v>-1.6667052485211532E-2</v>
      </c>
      <c r="V409" s="87">
        <f t="shared" si="42"/>
        <v>-4.3384015985982417E-3</v>
      </c>
      <c r="W409" s="87">
        <f t="shared" si="42"/>
        <v>-1.1723463696059259E-2</v>
      </c>
      <c r="X409" s="87">
        <f t="shared" si="42"/>
        <v>-2.0000666706669428E-2</v>
      </c>
      <c r="Y409" s="87">
        <f t="shared" si="41"/>
        <v>-1.7331456351639976E-2</v>
      </c>
      <c r="Z409" s="87">
        <f t="shared" si="41"/>
        <v>-9.302392662313674E-3</v>
      </c>
      <c r="AA409" s="87">
        <f t="shared" si="41"/>
        <v>-5.7306747089850953E-3</v>
      </c>
      <c r="AB409" s="87">
        <f t="shared" si="41"/>
        <v>-5.2910176344154363E-3</v>
      </c>
      <c r="AC409" s="87">
        <f t="shared" si="41"/>
        <v>1.0126668817929268E-2</v>
      </c>
      <c r="AD409" s="87">
        <f t="shared" si="40"/>
        <v>-5.9347355198144658E-3</v>
      </c>
      <c r="AE409" s="90">
        <f t="shared" si="44"/>
        <v>-1.3338199186262771E-2</v>
      </c>
      <c r="AF409" s="89"/>
    </row>
    <row r="410" spans="1:32" ht="15.5" x14ac:dyDescent="0.35">
      <c r="A410" s="82">
        <v>40360</v>
      </c>
      <c r="B410" s="83">
        <v>6462</v>
      </c>
      <c r="C410" s="84">
        <v>2101.4</v>
      </c>
      <c r="D410" s="61">
        <v>217</v>
      </c>
      <c r="E410" s="61">
        <v>13.8</v>
      </c>
      <c r="F410" s="61">
        <v>34.799999999999997</v>
      </c>
      <c r="G410" s="61">
        <v>22.7</v>
      </c>
      <c r="H410" s="61">
        <v>41.5</v>
      </c>
      <c r="I410" s="61">
        <v>9.6999999999999993</v>
      </c>
      <c r="J410" s="61">
        <v>28</v>
      </c>
      <c r="K410" s="61">
        <v>20.9</v>
      </c>
      <c r="L410" s="61">
        <v>33.700000000000003</v>
      </c>
      <c r="M410" s="61">
        <v>36.200000000000003</v>
      </c>
      <c r="N410" s="61">
        <v>38</v>
      </c>
      <c r="O410" s="85">
        <v>16.7</v>
      </c>
      <c r="P410" s="105"/>
      <c r="Q410" s="87">
        <f t="shared" si="43"/>
        <v>-1.1754153971689242E-3</v>
      </c>
      <c r="R410" s="87">
        <f t="shared" si="42"/>
        <v>-3.7049394016397084E-3</v>
      </c>
      <c r="S410" s="87">
        <f t="shared" si="42"/>
        <v>-2.5479085300984899E-2</v>
      </c>
      <c r="T410" s="87">
        <f t="shared" si="42"/>
        <v>0</v>
      </c>
      <c r="U410" s="87">
        <f t="shared" si="42"/>
        <v>-2.5533302005164876E-2</v>
      </c>
      <c r="V410" s="87">
        <f t="shared" si="42"/>
        <v>-1.3129291441792736E-2</v>
      </c>
      <c r="W410" s="87">
        <f t="shared" si="42"/>
        <v>-2.1454935001259376E-2</v>
      </c>
      <c r="X410" s="87">
        <f t="shared" si="42"/>
        <v>-2.0408871631207238E-2</v>
      </c>
      <c r="Y410" s="87">
        <f t="shared" si="41"/>
        <v>-2.1202207650603051E-2</v>
      </c>
      <c r="Z410" s="87">
        <f t="shared" si="41"/>
        <v>-2.3641763057040424E-2</v>
      </c>
      <c r="AA410" s="87">
        <f t="shared" si="41"/>
        <v>-3.2119549422112433E-2</v>
      </c>
      <c r="AB410" s="87">
        <f t="shared" si="41"/>
        <v>-4.0600975622239646E-2</v>
      </c>
      <c r="AC410" s="87">
        <f t="shared" si="41"/>
        <v>-4.3765027966759087E-2</v>
      </c>
      <c r="AD410" s="87">
        <f t="shared" si="40"/>
        <v>-5.9701669865039079E-3</v>
      </c>
      <c r="AE410" s="90">
        <f t="shared" si="44"/>
        <v>-1.6596545516775901E-2</v>
      </c>
      <c r="AF410" s="89"/>
    </row>
    <row r="411" spans="1:32" ht="15.5" x14ac:dyDescent="0.35">
      <c r="A411" s="82">
        <v>40361</v>
      </c>
      <c r="B411" s="83">
        <v>6434.8</v>
      </c>
      <c r="C411" s="84">
        <v>2091.8000000000002</v>
      </c>
      <c r="D411" s="61">
        <v>218.2</v>
      </c>
      <c r="E411" s="61">
        <v>14</v>
      </c>
      <c r="F411" s="61">
        <v>34.700000000000003</v>
      </c>
      <c r="G411" s="61">
        <v>23.1</v>
      </c>
      <c r="H411" s="61">
        <v>41.8</v>
      </c>
      <c r="I411" s="61">
        <v>9.6999999999999993</v>
      </c>
      <c r="J411" s="61">
        <v>28.1</v>
      </c>
      <c r="K411" s="61">
        <v>20.9</v>
      </c>
      <c r="L411" s="61">
        <v>33.700000000000003</v>
      </c>
      <c r="M411" s="61">
        <v>36.799999999999997</v>
      </c>
      <c r="N411" s="61">
        <v>38.5</v>
      </c>
      <c r="O411" s="85">
        <v>16.899999999999999</v>
      </c>
      <c r="P411" s="105"/>
      <c r="Q411" s="87">
        <f t="shared" si="43"/>
        <v>-4.2181068682906513E-3</v>
      </c>
      <c r="R411" s="87">
        <f t="shared" si="42"/>
        <v>-4.5788499345070779E-3</v>
      </c>
      <c r="S411" s="87">
        <f t="shared" si="42"/>
        <v>5.5147198585107811E-3</v>
      </c>
      <c r="T411" s="87">
        <f t="shared" si="42"/>
        <v>1.4388737452099452E-2</v>
      </c>
      <c r="U411" s="87">
        <f t="shared" si="42"/>
        <v>-2.8776998276149467E-3</v>
      </c>
      <c r="V411" s="87">
        <f t="shared" si="42"/>
        <v>1.7467693040390999E-2</v>
      </c>
      <c r="W411" s="87">
        <f t="shared" si="42"/>
        <v>7.2029122940580163E-3</v>
      </c>
      <c r="X411" s="87">
        <f t="shared" si="42"/>
        <v>0</v>
      </c>
      <c r="Y411" s="87">
        <f t="shared" si="41"/>
        <v>3.5650661644961446E-3</v>
      </c>
      <c r="Z411" s="87">
        <f t="shared" si="41"/>
        <v>0</v>
      </c>
      <c r="AA411" s="87">
        <f t="shared" si="41"/>
        <v>0</v>
      </c>
      <c r="AB411" s="87">
        <f t="shared" si="41"/>
        <v>1.643872634315972E-2</v>
      </c>
      <c r="AC411" s="87">
        <f t="shared" si="41"/>
        <v>1.3072081567352701E-2</v>
      </c>
      <c r="AD411" s="87">
        <f t="shared" si="40"/>
        <v>1.1904902506318239E-2</v>
      </c>
      <c r="AE411" s="90">
        <f t="shared" si="44"/>
        <v>8.6618348715889772E-4</v>
      </c>
      <c r="AF411" s="89"/>
    </row>
    <row r="412" spans="1:32" ht="15.5" x14ac:dyDescent="0.35">
      <c r="A412" s="82">
        <v>40365</v>
      </c>
      <c r="B412" s="83">
        <v>6486.1</v>
      </c>
      <c r="C412" s="84">
        <v>2093.9</v>
      </c>
      <c r="D412" s="61">
        <v>217</v>
      </c>
      <c r="E412" s="61">
        <v>14</v>
      </c>
      <c r="F412" s="61">
        <v>35.200000000000003</v>
      </c>
      <c r="G412" s="61">
        <v>23.6</v>
      </c>
      <c r="H412" s="61">
        <v>41.9</v>
      </c>
      <c r="I412" s="61">
        <v>9.8000000000000007</v>
      </c>
      <c r="J412" s="61">
        <v>28</v>
      </c>
      <c r="K412" s="61">
        <v>20.3</v>
      </c>
      <c r="L412" s="61">
        <v>34.1</v>
      </c>
      <c r="M412" s="61">
        <v>36.9</v>
      </c>
      <c r="N412" s="61">
        <v>37.9</v>
      </c>
      <c r="O412" s="85">
        <v>16.600000000000001</v>
      </c>
      <c r="P412" s="105"/>
      <c r="Q412" s="87">
        <f t="shared" si="43"/>
        <v>7.940665055260563E-3</v>
      </c>
      <c r="R412" s="87">
        <f t="shared" si="42"/>
        <v>1.0034164781028317E-3</v>
      </c>
      <c r="S412" s="87">
        <f t="shared" si="42"/>
        <v>-5.5147198585108548E-3</v>
      </c>
      <c r="T412" s="87">
        <f t="shared" si="42"/>
        <v>0</v>
      </c>
      <c r="U412" s="87">
        <f t="shared" si="42"/>
        <v>1.4306395651237929E-2</v>
      </c>
      <c r="V412" s="87">
        <f t="shared" si="42"/>
        <v>2.1414094503816573E-2</v>
      </c>
      <c r="W412" s="87">
        <f t="shared" si="42"/>
        <v>2.3894873973814854E-3</v>
      </c>
      <c r="X412" s="87">
        <f t="shared" si="42"/>
        <v>1.0256500167189282E-2</v>
      </c>
      <c r="Y412" s="87">
        <f t="shared" si="41"/>
        <v>-3.5650661644962569E-3</v>
      </c>
      <c r="Z412" s="87">
        <f t="shared" si="41"/>
        <v>-2.9128272923023599E-2</v>
      </c>
      <c r="AA412" s="87">
        <f t="shared" si="41"/>
        <v>1.1799546931155031E-2</v>
      </c>
      <c r="AB412" s="87">
        <f t="shared" si="41"/>
        <v>2.7137058715963258E-3</v>
      </c>
      <c r="AC412" s="87">
        <f t="shared" si="41"/>
        <v>-1.570712920535788E-2</v>
      </c>
      <c r="AD412" s="87">
        <f t="shared" si="40"/>
        <v>-1.7910926566530105E-2</v>
      </c>
      <c r="AE412" s="90">
        <f t="shared" si="44"/>
        <v>5.9997297213187179E-4</v>
      </c>
      <c r="AF412" s="89"/>
    </row>
    <row r="413" spans="1:32" ht="15.5" x14ac:dyDescent="0.35">
      <c r="A413" s="82">
        <v>40366</v>
      </c>
      <c r="B413" s="83">
        <v>6685.8</v>
      </c>
      <c r="C413" s="84">
        <v>2159.5</v>
      </c>
      <c r="D413" s="61">
        <v>217.9</v>
      </c>
      <c r="E413" s="61">
        <v>14.1</v>
      </c>
      <c r="F413" s="61">
        <v>35.700000000000003</v>
      </c>
      <c r="G413" s="61">
        <v>23.6</v>
      </c>
      <c r="H413" s="61">
        <v>41.7</v>
      </c>
      <c r="I413" s="61">
        <v>10</v>
      </c>
      <c r="J413" s="61">
        <v>28</v>
      </c>
      <c r="K413" s="61">
        <v>20.7</v>
      </c>
      <c r="L413" s="61">
        <v>34.4</v>
      </c>
      <c r="M413" s="61">
        <v>37.1</v>
      </c>
      <c r="N413" s="61">
        <v>38.299999999999997</v>
      </c>
      <c r="O413" s="85">
        <v>16.8</v>
      </c>
      <c r="P413" s="105"/>
      <c r="Q413" s="87">
        <f t="shared" si="43"/>
        <v>3.0324448709649884E-2</v>
      </c>
      <c r="R413" s="87">
        <f t="shared" si="42"/>
        <v>3.0848357602485013E-2</v>
      </c>
      <c r="S413" s="87">
        <f t="shared" si="42"/>
        <v>4.138888410114611E-3</v>
      </c>
      <c r="T413" s="87">
        <f t="shared" si="42"/>
        <v>7.1174677688639549E-3</v>
      </c>
      <c r="U413" s="87">
        <f t="shared" si="42"/>
        <v>1.4104606181541945E-2</v>
      </c>
      <c r="V413" s="87">
        <f t="shared" si="42"/>
        <v>0</v>
      </c>
      <c r="W413" s="87">
        <f t="shared" si="42"/>
        <v>-4.7846981233361585E-3</v>
      </c>
      <c r="X413" s="87">
        <f t="shared" si="42"/>
        <v>2.0202707317519469E-2</v>
      </c>
      <c r="Y413" s="87">
        <f t="shared" si="41"/>
        <v>0</v>
      </c>
      <c r="Z413" s="87">
        <f t="shared" si="41"/>
        <v>1.9512814223581719E-2</v>
      </c>
      <c r="AA413" s="87">
        <f t="shared" si="41"/>
        <v>8.7591800898815537E-3</v>
      </c>
      <c r="AB413" s="87">
        <f t="shared" si="41"/>
        <v>5.4054185669079819E-3</v>
      </c>
      <c r="AC413" s="87">
        <f t="shared" si="41"/>
        <v>1.049878409821957E-2</v>
      </c>
      <c r="AD413" s="87">
        <f t="shared" si="40"/>
        <v>1.197619104671562E-2</v>
      </c>
      <c r="AE413" s="90">
        <f t="shared" si="44"/>
        <v>1.5947208801458453E-2</v>
      </c>
      <c r="AF413" s="89"/>
    </row>
    <row r="414" spans="1:32" ht="15.5" x14ac:dyDescent="0.35">
      <c r="A414" s="82">
        <v>40367</v>
      </c>
      <c r="B414" s="83">
        <v>6755.8</v>
      </c>
      <c r="C414" s="84">
        <v>2175.4</v>
      </c>
      <c r="D414" s="61">
        <v>225.1</v>
      </c>
      <c r="E414" s="61">
        <v>14.4</v>
      </c>
      <c r="F414" s="61">
        <v>36.4</v>
      </c>
      <c r="G414" s="61">
        <v>24</v>
      </c>
      <c r="H414" s="61">
        <v>43.1</v>
      </c>
      <c r="I414" s="61">
        <v>10.4</v>
      </c>
      <c r="J414" s="61">
        <v>29.3</v>
      </c>
      <c r="K414" s="61">
        <v>22.9</v>
      </c>
      <c r="L414" s="61">
        <v>35.299999999999997</v>
      </c>
      <c r="M414" s="61">
        <v>38.799999999999997</v>
      </c>
      <c r="N414" s="61">
        <v>40</v>
      </c>
      <c r="O414" s="85">
        <v>17.3</v>
      </c>
      <c r="P414" s="105"/>
      <c r="Q414" s="87">
        <f t="shared" si="43"/>
        <v>1.0415520892869267E-2</v>
      </c>
      <c r="R414" s="87">
        <f t="shared" si="42"/>
        <v>7.3358422589941746E-3</v>
      </c>
      <c r="S414" s="87">
        <f t="shared" si="42"/>
        <v>3.2508505962112369E-2</v>
      </c>
      <c r="T414" s="87">
        <f t="shared" si="42"/>
        <v>2.1053409197832482E-2</v>
      </c>
      <c r="U414" s="87">
        <f t="shared" si="42"/>
        <v>1.9418085857101516E-2</v>
      </c>
      <c r="V414" s="87">
        <f t="shared" si="42"/>
        <v>1.6807118316381191E-2</v>
      </c>
      <c r="W414" s="87">
        <f t="shared" si="42"/>
        <v>3.3021868304946349E-2</v>
      </c>
      <c r="X414" s="87">
        <f t="shared" si="42"/>
        <v>3.9220713153281329E-2</v>
      </c>
      <c r="Y414" s="87">
        <f t="shared" si="41"/>
        <v>4.5383005847817751E-2</v>
      </c>
      <c r="Z414" s="87">
        <f t="shared" si="41"/>
        <v>0.1010032102888706</v>
      </c>
      <c r="AA414" s="87">
        <f t="shared" si="41"/>
        <v>2.5826399559898461E-2</v>
      </c>
      <c r="AB414" s="87">
        <f t="shared" si="41"/>
        <v>4.4803277015838111E-2</v>
      </c>
      <c r="AC414" s="87">
        <f t="shared" si="41"/>
        <v>4.3429557927336104E-2</v>
      </c>
      <c r="AD414" s="87">
        <f t="shared" si="40"/>
        <v>2.9327615094519921E-2</v>
      </c>
      <c r="AE414" s="90">
        <f t="shared" si="44"/>
        <v>2.0833345383531498E-2</v>
      </c>
      <c r="AF414" s="89"/>
    </row>
    <row r="415" spans="1:32" ht="15.5" x14ac:dyDescent="0.35">
      <c r="A415" s="82">
        <v>40368</v>
      </c>
      <c r="B415" s="83">
        <v>6808.7</v>
      </c>
      <c r="C415" s="84">
        <v>2196.4</v>
      </c>
      <c r="D415" s="61">
        <v>231.6</v>
      </c>
      <c r="E415" s="61">
        <v>14.6</v>
      </c>
      <c r="F415" s="61">
        <v>36.5</v>
      </c>
      <c r="G415" s="61">
        <v>24.2</v>
      </c>
      <c r="H415" s="61">
        <v>43.5</v>
      </c>
      <c r="I415" s="61">
        <v>10.7</v>
      </c>
      <c r="J415" s="61">
        <v>30</v>
      </c>
      <c r="K415" s="61">
        <v>22.7</v>
      </c>
      <c r="L415" s="61">
        <v>35.700000000000003</v>
      </c>
      <c r="M415" s="61">
        <v>39.200000000000003</v>
      </c>
      <c r="N415" s="61">
        <v>41</v>
      </c>
      <c r="O415" s="85">
        <v>17.399999999999999</v>
      </c>
      <c r="P415" s="105"/>
      <c r="Q415" s="87">
        <f t="shared" si="43"/>
        <v>7.7998110051576324E-3</v>
      </c>
      <c r="R415" s="87">
        <f t="shared" si="42"/>
        <v>9.6071007449675897E-3</v>
      </c>
      <c r="S415" s="87">
        <f t="shared" si="42"/>
        <v>2.8466997786153723E-2</v>
      </c>
      <c r="T415" s="87">
        <f t="shared" si="42"/>
        <v>1.3793322132335769E-2</v>
      </c>
      <c r="U415" s="87">
        <f t="shared" si="42"/>
        <v>2.7434859457508339E-3</v>
      </c>
      <c r="V415" s="87">
        <f t="shared" si="42"/>
        <v>8.2988028146950641E-3</v>
      </c>
      <c r="W415" s="87">
        <f t="shared" si="42"/>
        <v>9.2379409849363599E-3</v>
      </c>
      <c r="X415" s="87">
        <f t="shared" si="42"/>
        <v>2.843793532053341E-2</v>
      </c>
      <c r="Y415" s="87">
        <f t="shared" si="41"/>
        <v>2.3609865639133667E-2</v>
      </c>
      <c r="Z415" s="87">
        <f t="shared" si="41"/>
        <v>-8.7719860728369941E-3</v>
      </c>
      <c r="AA415" s="87">
        <f t="shared" si="41"/>
        <v>1.1267724846342506E-2</v>
      </c>
      <c r="AB415" s="87">
        <f t="shared" si="41"/>
        <v>1.0256500167189282E-2</v>
      </c>
      <c r="AC415" s="87">
        <f t="shared" si="41"/>
        <v>2.4692612590371414E-2</v>
      </c>
      <c r="AD415" s="87">
        <f t="shared" si="40"/>
        <v>5.7637047167499126E-3</v>
      </c>
      <c r="AE415" s="90">
        <f t="shared" si="44"/>
        <v>1.269887312357168E-2</v>
      </c>
      <c r="AF415" s="89"/>
    </row>
    <row r="416" spans="1:32" ht="15.5" x14ac:dyDescent="0.35">
      <c r="A416" s="82">
        <v>40371</v>
      </c>
      <c r="B416" s="83">
        <v>6794.5</v>
      </c>
      <c r="C416" s="84">
        <v>2198.4</v>
      </c>
      <c r="D416" s="61">
        <v>235.8</v>
      </c>
      <c r="E416" s="61">
        <v>14.8</v>
      </c>
      <c r="F416" s="61">
        <v>36.4</v>
      </c>
      <c r="G416" s="61">
        <v>24.4</v>
      </c>
      <c r="H416" s="61">
        <v>43.7</v>
      </c>
      <c r="I416" s="61">
        <v>10.8</v>
      </c>
      <c r="J416" s="61">
        <v>30.3</v>
      </c>
      <c r="K416" s="61">
        <v>22.4</v>
      </c>
      <c r="L416" s="61">
        <v>35.799999999999997</v>
      </c>
      <c r="M416" s="61">
        <v>39.4</v>
      </c>
      <c r="N416" s="61">
        <v>41</v>
      </c>
      <c r="O416" s="85">
        <v>17.3</v>
      </c>
      <c r="P416" s="105"/>
      <c r="Q416" s="87">
        <f t="shared" si="43"/>
        <v>-2.0877448185381369E-3</v>
      </c>
      <c r="R416" s="87">
        <f t="shared" si="42"/>
        <v>9.1016662331257984E-4</v>
      </c>
      <c r="S416" s="87">
        <f t="shared" si="42"/>
        <v>1.7972242404430436E-2</v>
      </c>
      <c r="T416" s="87">
        <f t="shared" si="42"/>
        <v>1.3605652055778678E-2</v>
      </c>
      <c r="U416" s="87">
        <f t="shared" si="42"/>
        <v>-2.7434859457508326E-3</v>
      </c>
      <c r="V416" s="87">
        <f t="shared" si="42"/>
        <v>8.2304991365154435E-3</v>
      </c>
      <c r="W416" s="87">
        <f t="shared" si="42"/>
        <v>4.5871640069061401E-3</v>
      </c>
      <c r="X416" s="87">
        <f t="shared" si="42"/>
        <v>9.3023926623136306E-3</v>
      </c>
      <c r="Y416" s="87">
        <f t="shared" si="41"/>
        <v>9.950330853168092E-3</v>
      </c>
      <c r="Z416" s="87">
        <f t="shared" si="41"/>
        <v>-1.3303965626362815E-2</v>
      </c>
      <c r="AA416" s="87">
        <f t="shared" si="41"/>
        <v>2.7972046210609975E-3</v>
      </c>
      <c r="AB416" s="87">
        <f t="shared" si="41"/>
        <v>5.0890695074712281E-3</v>
      </c>
      <c r="AC416" s="87">
        <f t="shared" si="41"/>
        <v>0</v>
      </c>
      <c r="AD416" s="87">
        <f t="shared" si="40"/>
        <v>-5.7637047167499065E-3</v>
      </c>
      <c r="AE416" s="90">
        <f t="shared" si="44"/>
        <v>4.0494149014619289E-3</v>
      </c>
      <c r="AF416" s="89"/>
    </row>
    <row r="417" spans="1:32" ht="15.5" x14ac:dyDescent="0.35">
      <c r="A417" s="82">
        <v>40372</v>
      </c>
      <c r="B417" s="83">
        <v>6907.8</v>
      </c>
      <c r="C417" s="84">
        <v>2242</v>
      </c>
      <c r="D417" s="61">
        <v>240.4</v>
      </c>
      <c r="E417" s="61">
        <v>15</v>
      </c>
      <c r="F417" s="61">
        <v>35.200000000000003</v>
      </c>
      <c r="G417" s="61">
        <v>24.9</v>
      </c>
      <c r="H417" s="61">
        <v>43.6</v>
      </c>
      <c r="I417" s="61">
        <v>11.1</v>
      </c>
      <c r="J417" s="61">
        <v>31.2</v>
      </c>
      <c r="K417" s="61">
        <v>22.8</v>
      </c>
      <c r="L417" s="61">
        <v>36</v>
      </c>
      <c r="M417" s="61">
        <v>40.1</v>
      </c>
      <c r="N417" s="61">
        <v>42.5</v>
      </c>
      <c r="O417" s="85">
        <v>17.5</v>
      </c>
      <c r="P417" s="105"/>
      <c r="Q417" s="87">
        <f t="shared" si="43"/>
        <v>1.6537746547121718E-2</v>
      </c>
      <c r="R417" s="87">
        <f t="shared" si="42"/>
        <v>1.9638501604074932E-2</v>
      </c>
      <c r="S417" s="87">
        <f t="shared" si="42"/>
        <v>1.9320214557781861E-2</v>
      </c>
      <c r="T417" s="87">
        <f t="shared" si="42"/>
        <v>1.342302033214055E-2</v>
      </c>
      <c r="U417" s="87">
        <f t="shared" si="42"/>
        <v>-3.3522692038643449E-2</v>
      </c>
      <c r="V417" s="87">
        <f t="shared" si="42"/>
        <v>2.0284671171505717E-2</v>
      </c>
      <c r="W417" s="87">
        <f t="shared" si="42"/>
        <v>-2.2909517465558244E-3</v>
      </c>
      <c r="X417" s="87">
        <f t="shared" si="42"/>
        <v>2.7398974188114347E-2</v>
      </c>
      <c r="Y417" s="87">
        <f t="shared" si="41"/>
        <v>2.9270382300113237E-2</v>
      </c>
      <c r="Z417" s="87">
        <f t="shared" si="41"/>
        <v>1.7699577099401075E-2</v>
      </c>
      <c r="AA417" s="87">
        <f t="shared" si="41"/>
        <v>5.5710450494554295E-3</v>
      </c>
      <c r="AB417" s="87">
        <f t="shared" si="41"/>
        <v>1.7610518008635369E-2</v>
      </c>
      <c r="AC417" s="87">
        <f t="shared" si="41"/>
        <v>3.593200922606337E-2</v>
      </c>
      <c r="AD417" s="87">
        <f t="shared" si="40"/>
        <v>1.1494379425734991E-2</v>
      </c>
      <c r="AE417" s="90">
        <f t="shared" si="44"/>
        <v>3.3545602421580444E-3</v>
      </c>
      <c r="AF417" s="89"/>
    </row>
    <row r="418" spans="1:32" ht="15.5" x14ac:dyDescent="0.35">
      <c r="A418" s="82">
        <v>40373</v>
      </c>
      <c r="B418" s="83">
        <v>6903.4</v>
      </c>
      <c r="C418" s="84">
        <v>2249.8000000000002</v>
      </c>
      <c r="D418" s="61">
        <v>243.5</v>
      </c>
      <c r="E418" s="61">
        <v>15.2</v>
      </c>
      <c r="F418" s="61">
        <v>35.6</v>
      </c>
      <c r="G418" s="61">
        <v>25.1</v>
      </c>
      <c r="H418" s="61">
        <v>43.6</v>
      </c>
      <c r="I418" s="61">
        <v>11.3</v>
      </c>
      <c r="J418" s="61">
        <v>30.9</v>
      </c>
      <c r="K418" s="61">
        <v>22.6</v>
      </c>
      <c r="L418" s="61">
        <v>35.799999999999997</v>
      </c>
      <c r="M418" s="61">
        <v>39.6</v>
      </c>
      <c r="N418" s="61">
        <v>43.1</v>
      </c>
      <c r="O418" s="85">
        <v>17.399999999999999</v>
      </c>
      <c r="P418" s="105"/>
      <c r="Q418" s="87">
        <f t="shared" si="43"/>
        <v>-6.3716406233479462E-4</v>
      </c>
      <c r="R418" s="87">
        <f t="shared" si="42"/>
        <v>3.4729987266204575E-3</v>
      </c>
      <c r="S418" s="87">
        <f t="shared" si="42"/>
        <v>1.2812739861591956E-2</v>
      </c>
      <c r="T418" s="87">
        <f t="shared" si="42"/>
        <v>1.3245226750020505E-2</v>
      </c>
      <c r="U418" s="87">
        <f t="shared" si="42"/>
        <v>1.1299555253933247E-2</v>
      </c>
      <c r="V418" s="87">
        <f t="shared" si="42"/>
        <v>8.0000426670763704E-3</v>
      </c>
      <c r="W418" s="87">
        <f t="shared" si="42"/>
        <v>0</v>
      </c>
      <c r="X418" s="87">
        <f t="shared" si="42"/>
        <v>1.7857617400006472E-2</v>
      </c>
      <c r="Y418" s="87">
        <f t="shared" si="41"/>
        <v>-9.6619109117369716E-3</v>
      </c>
      <c r="Z418" s="87">
        <f t="shared" si="41"/>
        <v>-8.810629682154807E-3</v>
      </c>
      <c r="AA418" s="87">
        <f t="shared" si="41"/>
        <v>-5.571045049455472E-3</v>
      </c>
      <c r="AB418" s="87">
        <f t="shared" si="41"/>
        <v>-1.2547216052088641E-2</v>
      </c>
      <c r="AC418" s="87">
        <f t="shared" si="41"/>
        <v>1.4018921179330996E-2</v>
      </c>
      <c r="AD418" s="87">
        <f t="shared" si="40"/>
        <v>-5.7306747089850953E-3</v>
      </c>
      <c r="AE418" s="90">
        <f t="shared" si="44"/>
        <v>7.3265685212684749E-3</v>
      </c>
      <c r="AF418" s="89"/>
    </row>
    <row r="419" spans="1:32" ht="15.5" x14ac:dyDescent="0.35">
      <c r="A419" s="82">
        <v>40374</v>
      </c>
      <c r="B419" s="83">
        <v>6916.8</v>
      </c>
      <c r="C419" s="84">
        <v>2249.1</v>
      </c>
      <c r="D419" s="61">
        <v>241.6</v>
      </c>
      <c r="E419" s="61">
        <v>15</v>
      </c>
      <c r="F419" s="61">
        <v>35.299999999999997</v>
      </c>
      <c r="G419" s="61">
        <v>25</v>
      </c>
      <c r="H419" s="61">
        <v>43.9</v>
      </c>
      <c r="I419" s="61">
        <v>11.2</v>
      </c>
      <c r="J419" s="61">
        <v>30.9</v>
      </c>
      <c r="K419" s="61">
        <v>22.5</v>
      </c>
      <c r="L419" s="61">
        <v>35.9</v>
      </c>
      <c r="M419" s="61">
        <v>38.200000000000003</v>
      </c>
      <c r="N419" s="61">
        <v>42.8</v>
      </c>
      <c r="O419" s="85">
        <v>17.3</v>
      </c>
      <c r="P419" s="105"/>
      <c r="Q419" s="87">
        <f t="shared" si="43"/>
        <v>1.9391910680283276E-3</v>
      </c>
      <c r="R419" s="87">
        <f t="shared" si="42"/>
        <v>-3.1118718159953021E-4</v>
      </c>
      <c r="S419" s="87">
        <f t="shared" si="42"/>
        <v>-7.833476461984637E-3</v>
      </c>
      <c r="T419" s="87">
        <f t="shared" si="42"/>
        <v>-1.3245226750020567E-2</v>
      </c>
      <c r="U419" s="87">
        <f t="shared" si="42"/>
        <v>-8.4626739187337666E-3</v>
      </c>
      <c r="V419" s="87">
        <f t="shared" si="42"/>
        <v>-3.9920212695375608E-3</v>
      </c>
      <c r="W419" s="87">
        <f t="shared" si="42"/>
        <v>6.8571697261370452E-3</v>
      </c>
      <c r="X419" s="87">
        <f t="shared" si="42"/>
        <v>-8.888947417246152E-3</v>
      </c>
      <c r="Y419" s="87">
        <f t="shared" si="41"/>
        <v>0</v>
      </c>
      <c r="Z419" s="87">
        <f t="shared" si="41"/>
        <v>-4.4345970678658642E-3</v>
      </c>
      <c r="AA419" s="87">
        <f t="shared" si="41"/>
        <v>2.7894020875785922E-3</v>
      </c>
      <c r="AB419" s="87">
        <f t="shared" si="41"/>
        <v>-3.5993602647905368E-2</v>
      </c>
      <c r="AC419" s="87">
        <f t="shared" si="41"/>
        <v>-6.9848945219510928E-3</v>
      </c>
      <c r="AD419" s="87">
        <f t="shared" si="40"/>
        <v>-5.7637047167499065E-3</v>
      </c>
      <c r="AE419" s="90">
        <f t="shared" si="44"/>
        <v>-5.5070164342158039E-3</v>
      </c>
      <c r="AF419" s="89"/>
    </row>
    <row r="420" spans="1:32" ht="15.5" x14ac:dyDescent="0.35">
      <c r="A420" s="82">
        <v>40375</v>
      </c>
      <c r="B420" s="83">
        <v>6709.5</v>
      </c>
      <c r="C420" s="84">
        <v>2179.1</v>
      </c>
      <c r="D420" s="61">
        <v>230</v>
      </c>
      <c r="E420" s="61">
        <v>13.9</v>
      </c>
      <c r="F420" s="61">
        <v>35.5</v>
      </c>
      <c r="G420" s="61">
        <v>24.9</v>
      </c>
      <c r="H420" s="61">
        <v>44.4</v>
      </c>
      <c r="I420" s="61">
        <v>10.9</v>
      </c>
      <c r="J420" s="61">
        <v>31.9</v>
      </c>
      <c r="K420" s="61">
        <v>21.7</v>
      </c>
      <c r="L420" s="61">
        <v>35.9</v>
      </c>
      <c r="M420" s="61">
        <v>37.700000000000003</v>
      </c>
      <c r="N420" s="61">
        <v>42.4</v>
      </c>
      <c r="O420" s="85">
        <v>17.2</v>
      </c>
      <c r="P420" s="105"/>
      <c r="Q420" s="87">
        <f t="shared" si="43"/>
        <v>-3.0428802372354843E-2</v>
      </c>
      <c r="R420" s="87">
        <f t="shared" si="42"/>
        <v>-3.1618188674250328E-2</v>
      </c>
      <c r="S420" s="87">
        <f t="shared" si="42"/>
        <v>-4.9204157137464476E-2</v>
      </c>
      <c r="T420" s="87">
        <f t="shared" si="42"/>
        <v>-7.6161360965564029E-2</v>
      </c>
      <c r="U420" s="87">
        <f t="shared" si="42"/>
        <v>5.6497325421191276E-3</v>
      </c>
      <c r="V420" s="87">
        <f t="shared" si="42"/>
        <v>-4.0080213975388218E-3</v>
      </c>
      <c r="W420" s="87">
        <f t="shared" si="42"/>
        <v>1.1325149357053503E-2</v>
      </c>
      <c r="X420" s="87">
        <f t="shared" si="42"/>
        <v>-2.7150989065950745E-2</v>
      </c>
      <c r="Y420" s="87">
        <f t="shared" si="41"/>
        <v>3.184982588709917E-2</v>
      </c>
      <c r="Z420" s="87">
        <f t="shared" si="41"/>
        <v>-3.6203048663960589E-2</v>
      </c>
      <c r="AA420" s="87">
        <f t="shared" si="41"/>
        <v>0</v>
      </c>
      <c r="AB420" s="87">
        <f t="shared" si="41"/>
        <v>-1.3175421158564404E-2</v>
      </c>
      <c r="AC420" s="87">
        <f t="shared" si="41"/>
        <v>-9.3897403498390316E-3</v>
      </c>
      <c r="AD420" s="87">
        <f t="shared" si="40"/>
        <v>-5.7971176843259579E-3</v>
      </c>
      <c r="AE420" s="90">
        <f t="shared" si="44"/>
        <v>-2.2971877677653723E-2</v>
      </c>
      <c r="AF420" s="89"/>
    </row>
    <row r="421" spans="1:32" ht="15.5" x14ac:dyDescent="0.35">
      <c r="A421" s="82">
        <v>40378</v>
      </c>
      <c r="B421" s="83">
        <v>6739.6</v>
      </c>
      <c r="C421" s="84">
        <v>2198.1999999999998</v>
      </c>
      <c r="D421" s="61">
        <v>229</v>
      </c>
      <c r="E421" s="61">
        <v>15</v>
      </c>
      <c r="F421" s="61">
        <v>34.200000000000003</v>
      </c>
      <c r="G421" s="61">
        <v>24.9</v>
      </c>
      <c r="H421" s="61">
        <v>46.4</v>
      </c>
      <c r="I421" s="61">
        <v>10.8</v>
      </c>
      <c r="J421" s="61">
        <v>31.4</v>
      </c>
      <c r="K421" s="61">
        <v>21.4</v>
      </c>
      <c r="L421" s="61">
        <v>35.700000000000003</v>
      </c>
      <c r="M421" s="61">
        <v>37.200000000000003</v>
      </c>
      <c r="N421" s="61">
        <v>42.3</v>
      </c>
      <c r="O421" s="85">
        <v>17.100000000000001</v>
      </c>
      <c r="P421" s="105"/>
      <c r="Q421" s="87">
        <f t="shared" si="43"/>
        <v>4.4761434232176607E-3</v>
      </c>
      <c r="R421" s="87">
        <f t="shared" si="42"/>
        <v>8.7268961319242212E-3</v>
      </c>
      <c r="S421" s="87">
        <f t="shared" si="42"/>
        <v>-4.3573053689557007E-3</v>
      </c>
      <c r="T421" s="87">
        <f t="shared" si="42"/>
        <v>7.6161360965563946E-2</v>
      </c>
      <c r="U421" s="87">
        <f t="shared" si="42"/>
        <v>-3.7307052412810592E-2</v>
      </c>
      <c r="V421" s="87">
        <f t="shared" si="42"/>
        <v>0</v>
      </c>
      <c r="W421" s="87">
        <f t="shared" si="42"/>
        <v>4.4059989794030495E-2</v>
      </c>
      <c r="X421" s="87">
        <f t="shared" si="42"/>
        <v>-9.2166551049239522E-3</v>
      </c>
      <c r="Y421" s="87">
        <f t="shared" si="41"/>
        <v>-1.5798116876591176E-2</v>
      </c>
      <c r="Z421" s="87">
        <f t="shared" si="41"/>
        <v>-1.392133851860812E-2</v>
      </c>
      <c r="AA421" s="87">
        <f t="shared" si="41"/>
        <v>-5.5866067086397121E-3</v>
      </c>
      <c r="AB421" s="87">
        <f t="shared" si="41"/>
        <v>-1.3351333174864225E-2</v>
      </c>
      <c r="AC421" s="87">
        <f t="shared" si="41"/>
        <v>-2.3612761856798199E-3</v>
      </c>
      <c r="AD421" s="87">
        <f t="shared" si="40"/>
        <v>-5.8309203107930986E-3</v>
      </c>
      <c r="AE421" s="90">
        <f t="shared" si="44"/>
        <v>-1.0036066088424117E-2</v>
      </c>
      <c r="AF421" s="89"/>
    </row>
    <row r="422" spans="1:32" ht="15.5" x14ac:dyDescent="0.35">
      <c r="A422" s="82">
        <v>40379</v>
      </c>
      <c r="B422" s="83">
        <v>6820</v>
      </c>
      <c r="C422" s="84">
        <v>2222.5</v>
      </c>
      <c r="D422" s="61">
        <v>230.5</v>
      </c>
      <c r="E422" s="61">
        <v>14.8</v>
      </c>
      <c r="F422" s="61">
        <v>34.299999999999997</v>
      </c>
      <c r="G422" s="61">
        <v>24.7</v>
      </c>
      <c r="H422" s="61">
        <v>47.1</v>
      </c>
      <c r="I422" s="61">
        <v>10.8</v>
      </c>
      <c r="J422" s="61">
        <v>31.4</v>
      </c>
      <c r="K422" s="61">
        <v>21.5</v>
      </c>
      <c r="L422" s="61">
        <v>35.200000000000003</v>
      </c>
      <c r="M422" s="61">
        <v>36.6</v>
      </c>
      <c r="N422" s="61">
        <v>36.1</v>
      </c>
      <c r="O422" s="85">
        <v>16.899999999999999</v>
      </c>
      <c r="P422" s="105"/>
      <c r="Q422" s="87">
        <f t="shared" si="43"/>
        <v>1.1858895873277448E-2</v>
      </c>
      <c r="R422" s="87">
        <f t="shared" si="42"/>
        <v>1.0993844753259678E-2</v>
      </c>
      <c r="S422" s="87">
        <f t="shared" si="42"/>
        <v>6.528858882463631E-3</v>
      </c>
      <c r="T422" s="87">
        <f t="shared" si="42"/>
        <v>-1.3423020332140661E-2</v>
      </c>
      <c r="U422" s="87">
        <f t="shared" si="42"/>
        <v>2.9197101033346246E-3</v>
      </c>
      <c r="V422" s="87">
        <f t="shared" si="42"/>
        <v>-8.0645598367304078E-3</v>
      </c>
      <c r="W422" s="87">
        <f t="shared" si="42"/>
        <v>1.4973541790162583E-2</v>
      </c>
      <c r="X422" s="87">
        <f t="shared" si="42"/>
        <v>0</v>
      </c>
      <c r="Y422" s="87">
        <f t="shared" si="41"/>
        <v>0</v>
      </c>
      <c r="Z422" s="87">
        <f t="shared" si="41"/>
        <v>4.6620131058113714E-3</v>
      </c>
      <c r="AA422" s="87">
        <f t="shared" si="41"/>
        <v>-1.4104606181541935E-2</v>
      </c>
      <c r="AB422" s="87">
        <f t="shared" si="41"/>
        <v>-1.6260520871780291E-2</v>
      </c>
      <c r="AC422" s="87">
        <f t="shared" si="41"/>
        <v>-0.15849422071339692</v>
      </c>
      <c r="AD422" s="87">
        <f t="shared" si="40"/>
        <v>-1.1764841579586483E-2</v>
      </c>
      <c r="AE422" s="90">
        <f t="shared" si="44"/>
        <v>4.611668353809854E-3</v>
      </c>
      <c r="AF422" s="89"/>
    </row>
    <row r="423" spans="1:32" ht="15.5" x14ac:dyDescent="0.35">
      <c r="A423" s="82">
        <v>40380</v>
      </c>
      <c r="B423" s="83">
        <v>6731.2</v>
      </c>
      <c r="C423" s="84">
        <v>2187.3000000000002</v>
      </c>
      <c r="D423" s="61">
        <v>238</v>
      </c>
      <c r="E423" s="61">
        <v>13.8</v>
      </c>
      <c r="F423" s="61">
        <v>36.299999999999997</v>
      </c>
      <c r="G423" s="61">
        <v>25</v>
      </c>
      <c r="H423" s="61">
        <v>46.5</v>
      </c>
      <c r="I423" s="61">
        <v>11.3</v>
      </c>
      <c r="J423" s="61">
        <v>31.7</v>
      </c>
      <c r="K423" s="61">
        <v>23.5</v>
      </c>
      <c r="L423" s="61">
        <v>35</v>
      </c>
      <c r="M423" s="61">
        <v>36.799999999999997</v>
      </c>
      <c r="N423" s="61">
        <v>39.1</v>
      </c>
      <c r="O423" s="85">
        <v>17.3</v>
      </c>
      <c r="P423" s="105"/>
      <c r="Q423" s="87">
        <f t="shared" si="43"/>
        <v>-1.3106038001251383E-2</v>
      </c>
      <c r="R423" s="87">
        <f t="shared" si="42"/>
        <v>-1.5964781907565204E-2</v>
      </c>
      <c r="S423" s="87">
        <f t="shared" si="42"/>
        <v>3.2019811234771572E-2</v>
      </c>
      <c r="T423" s="87">
        <f t="shared" si="42"/>
        <v>-6.9958588606910344E-2</v>
      </c>
      <c r="U423" s="87">
        <f t="shared" si="42"/>
        <v>5.6672387098910836E-2</v>
      </c>
      <c r="V423" s="87">
        <f t="shared" si="42"/>
        <v>1.207258123426924E-2</v>
      </c>
      <c r="W423" s="87">
        <f t="shared" si="42"/>
        <v>-1.2820688429061434E-2</v>
      </c>
      <c r="X423" s="87">
        <f t="shared" si="42"/>
        <v>4.5256591588120863E-2</v>
      </c>
      <c r="Y423" s="87">
        <f t="shared" si="41"/>
        <v>9.5087879690273561E-3</v>
      </c>
      <c r="Z423" s="87">
        <f t="shared" si="41"/>
        <v>8.8947486016496116E-2</v>
      </c>
      <c r="AA423" s="87">
        <f t="shared" si="41"/>
        <v>-5.6980211146377786E-3</v>
      </c>
      <c r="AB423" s="87">
        <f t="shared" si="41"/>
        <v>5.4496047675644645E-3</v>
      </c>
      <c r="AC423" s="87">
        <f t="shared" si="41"/>
        <v>7.9829601652484941E-2</v>
      </c>
      <c r="AD423" s="87">
        <f t="shared" si="40"/>
        <v>2.3392879574705594E-2</v>
      </c>
      <c r="AE423" s="90">
        <f t="shared" si="44"/>
        <v>2.3637043908084278E-2</v>
      </c>
      <c r="AF423" s="89"/>
    </row>
    <row r="424" spans="1:32" ht="15.5" x14ac:dyDescent="0.35">
      <c r="A424" s="82">
        <v>40381</v>
      </c>
      <c r="B424" s="83">
        <v>6901.9</v>
      </c>
      <c r="C424" s="84">
        <v>2245.9</v>
      </c>
      <c r="D424" s="61">
        <v>241.5</v>
      </c>
      <c r="E424" s="61">
        <v>13.8</v>
      </c>
      <c r="F424" s="61">
        <v>36.5</v>
      </c>
      <c r="G424" s="61">
        <v>25.5</v>
      </c>
      <c r="H424" s="61">
        <v>45.7</v>
      </c>
      <c r="I424" s="61">
        <v>11.9</v>
      </c>
      <c r="J424" s="61">
        <v>32.299999999999997</v>
      </c>
      <c r="K424" s="61">
        <v>24</v>
      </c>
      <c r="L424" s="61">
        <v>35</v>
      </c>
      <c r="M424" s="61">
        <v>37.4</v>
      </c>
      <c r="N424" s="61">
        <v>39.1</v>
      </c>
      <c r="O424" s="85">
        <v>17.600000000000001</v>
      </c>
      <c r="P424" s="105"/>
      <c r="Q424" s="87">
        <f t="shared" si="43"/>
        <v>2.5043302162689927E-2</v>
      </c>
      <c r="R424" s="87">
        <f t="shared" si="42"/>
        <v>2.6438425229182737E-2</v>
      </c>
      <c r="S424" s="87">
        <f t="shared" si="42"/>
        <v>1.4598799421152631E-2</v>
      </c>
      <c r="T424" s="87">
        <f t="shared" si="42"/>
        <v>0</v>
      </c>
      <c r="U424" s="87">
        <f t="shared" si="42"/>
        <v>5.4945193176407798E-3</v>
      </c>
      <c r="V424" s="87">
        <f t="shared" si="42"/>
        <v>1.980262729617973E-2</v>
      </c>
      <c r="W424" s="87">
        <f t="shared" si="42"/>
        <v>-1.7354014693151506E-2</v>
      </c>
      <c r="X424" s="87">
        <f t="shared" si="42"/>
        <v>5.1735674399188684E-2</v>
      </c>
      <c r="Y424" s="87">
        <f t="shared" si="41"/>
        <v>1.875054934537581E-2</v>
      </c>
      <c r="Z424" s="87">
        <f t="shared" si="41"/>
        <v>2.1053409197832263E-2</v>
      </c>
      <c r="AA424" s="87">
        <f t="shared" si="41"/>
        <v>0</v>
      </c>
      <c r="AB424" s="87">
        <f t="shared" si="41"/>
        <v>1.6172859245600968E-2</v>
      </c>
      <c r="AC424" s="87">
        <f t="shared" si="41"/>
        <v>0</v>
      </c>
      <c r="AD424" s="87">
        <f t="shared" si="40"/>
        <v>1.7192400540372771E-2</v>
      </c>
      <c r="AE424" s="90">
        <f t="shared" si="44"/>
        <v>1.5859689138056746E-2</v>
      </c>
      <c r="AF424" s="89"/>
    </row>
    <row r="425" spans="1:32" ht="15.5" x14ac:dyDescent="0.35">
      <c r="A425" s="82">
        <v>40382</v>
      </c>
      <c r="B425" s="83">
        <v>6965.1</v>
      </c>
      <c r="C425" s="84">
        <v>2269.5</v>
      </c>
      <c r="D425" s="61">
        <v>240.3</v>
      </c>
      <c r="E425" s="61">
        <v>13.5</v>
      </c>
      <c r="F425" s="61">
        <v>36.6</v>
      </c>
      <c r="G425" s="61">
        <v>25.3</v>
      </c>
      <c r="H425" s="61">
        <v>47.6</v>
      </c>
      <c r="I425" s="61">
        <v>12</v>
      </c>
      <c r="J425" s="61">
        <v>32.1</v>
      </c>
      <c r="K425" s="61">
        <v>24.2</v>
      </c>
      <c r="L425" s="61">
        <v>34.4</v>
      </c>
      <c r="M425" s="61">
        <v>38.6</v>
      </c>
      <c r="N425" s="61">
        <v>39</v>
      </c>
      <c r="O425" s="85">
        <v>17.8</v>
      </c>
      <c r="P425" s="105"/>
      <c r="Q425" s="87">
        <f t="shared" si="43"/>
        <v>9.1152286136865646E-3</v>
      </c>
      <c r="R425" s="87">
        <f t="shared" si="42"/>
        <v>1.0453211186843243E-2</v>
      </c>
      <c r="S425" s="87">
        <f t="shared" si="42"/>
        <v>-4.9813303502041365E-3</v>
      </c>
      <c r="T425" s="87">
        <f t="shared" si="42"/>
        <v>-2.1978906718775341E-2</v>
      </c>
      <c r="U425" s="87">
        <f t="shared" si="42"/>
        <v>2.7359798188748455E-3</v>
      </c>
      <c r="V425" s="87">
        <f t="shared" si="42"/>
        <v>-7.874056430905883E-3</v>
      </c>
      <c r="W425" s="87">
        <f t="shared" si="42"/>
        <v>4.0734463337215344E-2</v>
      </c>
      <c r="X425" s="87">
        <f t="shared" si="42"/>
        <v>8.3682496705165792E-3</v>
      </c>
      <c r="Y425" s="87">
        <f t="shared" si="41"/>
        <v>-6.2112000926405238E-3</v>
      </c>
      <c r="Z425" s="87">
        <f t="shared" si="41"/>
        <v>8.2988028146950641E-3</v>
      </c>
      <c r="AA425" s="87">
        <f t="shared" si="41"/>
        <v>-1.7291497110061109E-2</v>
      </c>
      <c r="AB425" s="87">
        <f t="shared" si="41"/>
        <v>3.1581572050299052E-2</v>
      </c>
      <c r="AC425" s="87">
        <f t="shared" si="41"/>
        <v>-2.5608208616737039E-3</v>
      </c>
      <c r="AD425" s="87">
        <f t="shared" si="40"/>
        <v>1.1299555253933247E-2</v>
      </c>
      <c r="AE425" s="90">
        <f t="shared" si="44"/>
        <v>3.8307428332505695E-3</v>
      </c>
      <c r="AF425" s="89"/>
    </row>
    <row r="426" spans="1:32" ht="15.5" x14ac:dyDescent="0.35">
      <c r="A426" s="82">
        <v>40385</v>
      </c>
      <c r="B426" s="83">
        <v>7046</v>
      </c>
      <c r="C426" s="84">
        <v>2296.4</v>
      </c>
      <c r="D426" s="61">
        <v>242.7</v>
      </c>
      <c r="E426" s="61">
        <v>14</v>
      </c>
      <c r="F426" s="61">
        <v>36.799999999999997</v>
      </c>
      <c r="G426" s="61">
        <v>25.8</v>
      </c>
      <c r="H426" s="61">
        <v>47.9</v>
      </c>
      <c r="I426" s="61">
        <v>12.1</v>
      </c>
      <c r="J426" s="61">
        <v>32.4</v>
      </c>
      <c r="K426" s="61">
        <v>24.7</v>
      </c>
      <c r="L426" s="61">
        <v>34.799999999999997</v>
      </c>
      <c r="M426" s="61">
        <v>39.200000000000003</v>
      </c>
      <c r="N426" s="61">
        <v>40.1</v>
      </c>
      <c r="O426" s="85">
        <v>18.100000000000001</v>
      </c>
      <c r="P426" s="105"/>
      <c r="Q426" s="87">
        <f t="shared" si="43"/>
        <v>1.1548115288550083E-2</v>
      </c>
      <c r="R426" s="87">
        <f t="shared" si="42"/>
        <v>1.17831363969615E-2</v>
      </c>
      <c r="S426" s="87">
        <f t="shared" si="42"/>
        <v>9.9379699901322727E-3</v>
      </c>
      <c r="T426" s="87">
        <f t="shared" si="42"/>
        <v>3.6367644170874791E-2</v>
      </c>
      <c r="U426" s="87">
        <f t="shared" si="42"/>
        <v>5.4496047675644645E-3</v>
      </c>
      <c r="V426" s="87">
        <f t="shared" si="42"/>
        <v>1.9570096194097296E-2</v>
      </c>
      <c r="W426" s="87">
        <f t="shared" si="42"/>
        <v>6.282743179495209E-3</v>
      </c>
      <c r="X426" s="87">
        <f t="shared" si="42"/>
        <v>8.2988028146950641E-3</v>
      </c>
      <c r="Y426" s="87">
        <f t="shared" si="41"/>
        <v>9.3023926623134103E-3</v>
      </c>
      <c r="Z426" s="87">
        <f t="shared" si="41"/>
        <v>2.0450610471290841E-2</v>
      </c>
      <c r="AA426" s="87">
        <f t="shared" si="41"/>
        <v>1.1560822401076006E-2</v>
      </c>
      <c r="AB426" s="87">
        <f t="shared" si="41"/>
        <v>1.5424470325631731E-2</v>
      </c>
      <c r="AC426" s="87">
        <f t="shared" si="41"/>
        <v>2.7814688182877193E-2</v>
      </c>
      <c r="AD426" s="87">
        <f t="shared" si="40"/>
        <v>1.6713480973740532E-2</v>
      </c>
      <c r="AE426" s="90">
        <f t="shared" si="44"/>
        <v>1.0031209023788578E-2</v>
      </c>
      <c r="AF426" s="89"/>
    </row>
    <row r="427" spans="1:32" ht="15.5" x14ac:dyDescent="0.35">
      <c r="A427" s="82">
        <v>40386</v>
      </c>
      <c r="B427" s="83">
        <v>7045</v>
      </c>
      <c r="C427" s="84">
        <v>2288.3000000000002</v>
      </c>
      <c r="D427" s="61">
        <v>245.3</v>
      </c>
      <c r="E427" s="61">
        <v>13.9</v>
      </c>
      <c r="F427" s="61">
        <v>37.200000000000003</v>
      </c>
      <c r="G427" s="61">
        <v>26</v>
      </c>
      <c r="H427" s="61">
        <v>47.2</v>
      </c>
      <c r="I427" s="61">
        <v>12.1</v>
      </c>
      <c r="J427" s="61">
        <v>31.8</v>
      </c>
      <c r="K427" s="61">
        <v>25.3</v>
      </c>
      <c r="L427" s="61">
        <v>35</v>
      </c>
      <c r="M427" s="61">
        <v>39.6</v>
      </c>
      <c r="N427" s="61">
        <v>40</v>
      </c>
      <c r="O427" s="85">
        <v>18.2</v>
      </c>
      <c r="P427" s="105"/>
      <c r="Q427" s="87">
        <f t="shared" si="43"/>
        <v>-1.4193456840232645E-4</v>
      </c>
      <c r="R427" s="87">
        <f t="shared" si="42"/>
        <v>-3.5334955080034772E-3</v>
      </c>
      <c r="S427" s="87">
        <f t="shared" si="42"/>
        <v>1.0655838531887967E-2</v>
      </c>
      <c r="T427" s="87">
        <f t="shared" si="42"/>
        <v>-7.168489478612516E-3</v>
      </c>
      <c r="U427" s="87">
        <f t="shared" si="42"/>
        <v>1.0810916104215676E-2</v>
      </c>
      <c r="V427" s="87">
        <f t="shared" si="42"/>
        <v>7.7220460939103185E-3</v>
      </c>
      <c r="W427" s="87">
        <f t="shared" si="42"/>
        <v>-1.4721611825359738E-2</v>
      </c>
      <c r="X427" s="87">
        <f t="shared" si="42"/>
        <v>0</v>
      </c>
      <c r="Y427" s="87">
        <f t="shared" si="41"/>
        <v>-1.8692133012152522E-2</v>
      </c>
      <c r="Z427" s="87">
        <f t="shared" si="41"/>
        <v>2.4001152099543045E-2</v>
      </c>
      <c r="AA427" s="87">
        <f t="shared" si="41"/>
        <v>5.7306747089850745E-3</v>
      </c>
      <c r="AB427" s="87">
        <f t="shared" si="41"/>
        <v>1.0152371464017908E-2</v>
      </c>
      <c r="AC427" s="87">
        <f t="shared" si="41"/>
        <v>-2.4968801985872659E-3</v>
      </c>
      <c r="AD427" s="87">
        <f t="shared" si="40"/>
        <v>5.5096558109694795E-3</v>
      </c>
      <c r="AE427" s="90">
        <f t="shared" si="44"/>
        <v>5.8214401326202505E-3</v>
      </c>
      <c r="AF427" s="89"/>
    </row>
    <row r="428" spans="1:32" ht="15.5" x14ac:dyDescent="0.35">
      <c r="A428" s="82">
        <v>40387</v>
      </c>
      <c r="B428" s="83">
        <v>6999.2</v>
      </c>
      <c r="C428" s="84">
        <v>2264.6</v>
      </c>
      <c r="D428" s="61">
        <v>241.6</v>
      </c>
      <c r="E428" s="61">
        <v>13.9</v>
      </c>
      <c r="F428" s="61">
        <v>37.200000000000003</v>
      </c>
      <c r="G428" s="61">
        <v>25.8</v>
      </c>
      <c r="H428" s="61">
        <v>47.5</v>
      </c>
      <c r="I428" s="61">
        <v>11.6</v>
      </c>
      <c r="J428" s="61">
        <v>32.4</v>
      </c>
      <c r="K428" s="61">
        <v>24.8</v>
      </c>
      <c r="L428" s="61">
        <v>34.6</v>
      </c>
      <c r="M428" s="61">
        <v>39.200000000000003</v>
      </c>
      <c r="N428" s="61">
        <v>39.200000000000003</v>
      </c>
      <c r="O428" s="85">
        <v>18.2</v>
      </c>
      <c r="P428" s="105"/>
      <c r="Q428" s="87">
        <f t="shared" si="43"/>
        <v>-6.5222885407258055E-3</v>
      </c>
      <c r="R428" s="87">
        <f t="shared" si="42"/>
        <v>-1.0411040905539157E-2</v>
      </c>
      <c r="S428" s="87">
        <f t="shared" si="42"/>
        <v>-1.5198485203783842E-2</v>
      </c>
      <c r="T428" s="87">
        <f t="shared" si="42"/>
        <v>0</v>
      </c>
      <c r="U428" s="87">
        <f t="shared" si="42"/>
        <v>0</v>
      </c>
      <c r="V428" s="87">
        <f t="shared" si="42"/>
        <v>-7.7220460939102778E-3</v>
      </c>
      <c r="W428" s="87">
        <f t="shared" si="42"/>
        <v>6.3358184490857035E-3</v>
      </c>
      <c r="X428" s="87">
        <f t="shared" ref="X428:AD482" si="45">+LN(I428/I427)</f>
        <v>-4.2200354490376416E-2</v>
      </c>
      <c r="Y428" s="87">
        <f t="shared" si="41"/>
        <v>1.8692133012152546E-2</v>
      </c>
      <c r="Z428" s="87">
        <f t="shared" si="41"/>
        <v>-1.9960742562538058E-2</v>
      </c>
      <c r="AA428" s="87">
        <f t="shared" si="41"/>
        <v>-1.1494379425735021E-2</v>
      </c>
      <c r="AB428" s="87">
        <f t="shared" si="41"/>
        <v>-1.0152371464017962E-2</v>
      </c>
      <c r="AC428" s="87">
        <f t="shared" si="41"/>
        <v>-2.0202707317519355E-2</v>
      </c>
      <c r="AD428" s="87">
        <f t="shared" si="40"/>
        <v>0</v>
      </c>
      <c r="AE428" s="90">
        <f t="shared" si="44"/>
        <v>-7.5702682020142246E-3</v>
      </c>
      <c r="AF428" s="89"/>
    </row>
    <row r="429" spans="1:32" ht="15.5" x14ac:dyDescent="0.35">
      <c r="A429" s="82">
        <v>40388</v>
      </c>
      <c r="B429" s="83">
        <v>6994.6</v>
      </c>
      <c r="C429" s="84">
        <v>2251.6999999999998</v>
      </c>
      <c r="D429" s="61">
        <v>239.9</v>
      </c>
      <c r="E429" s="61">
        <v>13.8</v>
      </c>
      <c r="F429" s="61">
        <v>36.6</v>
      </c>
      <c r="G429" s="61">
        <v>25.6</v>
      </c>
      <c r="H429" s="61">
        <v>46.4</v>
      </c>
      <c r="I429" s="61">
        <v>10.6</v>
      </c>
      <c r="J429" s="61">
        <v>32.6</v>
      </c>
      <c r="K429" s="61">
        <v>24.2</v>
      </c>
      <c r="L429" s="61">
        <v>34.6</v>
      </c>
      <c r="M429" s="61">
        <v>39</v>
      </c>
      <c r="N429" s="61">
        <v>38.799999999999997</v>
      </c>
      <c r="O429" s="85">
        <v>18.2</v>
      </c>
      <c r="P429" s="105"/>
      <c r="Q429" s="87">
        <f t="shared" si="43"/>
        <v>-6.5743403016812422E-4</v>
      </c>
      <c r="R429" s="87">
        <f t="shared" ref="R429:W465" si="46">+LN(C429/C428)</f>
        <v>-5.7126564143248158E-3</v>
      </c>
      <c r="S429" s="87">
        <f t="shared" si="46"/>
        <v>-7.0612962150109031E-3</v>
      </c>
      <c r="T429" s="87">
        <f t="shared" si="46"/>
        <v>-7.2202479734870201E-3</v>
      </c>
      <c r="U429" s="87">
        <f t="shared" si="46"/>
        <v>-1.6260520871780291E-2</v>
      </c>
      <c r="V429" s="87">
        <f t="shared" si="46"/>
        <v>-7.7821404420549628E-3</v>
      </c>
      <c r="W429" s="87">
        <f t="shared" si="46"/>
        <v>-2.3430251808385996E-2</v>
      </c>
      <c r="X429" s="87">
        <f t="shared" si="45"/>
        <v>-9.015109699429745E-2</v>
      </c>
      <c r="Y429" s="87">
        <f t="shared" si="41"/>
        <v>6.1538655743782859E-3</v>
      </c>
      <c r="Z429" s="87">
        <f t="shared" si="41"/>
        <v>-2.449102000829587E-2</v>
      </c>
      <c r="AA429" s="87">
        <f t="shared" si="41"/>
        <v>0</v>
      </c>
      <c r="AB429" s="87">
        <f t="shared" si="41"/>
        <v>-5.1151006667704887E-3</v>
      </c>
      <c r="AC429" s="87">
        <f t="shared" si="41"/>
        <v>-1.0256500167189221E-2</v>
      </c>
      <c r="AD429" s="87">
        <f t="shared" si="40"/>
        <v>0</v>
      </c>
      <c r="AE429" s="90">
        <f t="shared" si="44"/>
        <v>-8.4291716694729207E-3</v>
      </c>
      <c r="AF429" s="89"/>
    </row>
    <row r="430" spans="1:32" ht="15.5" x14ac:dyDescent="0.35">
      <c r="A430" s="82">
        <v>40389</v>
      </c>
      <c r="B430" s="83">
        <v>6999</v>
      </c>
      <c r="C430" s="84">
        <v>2254.6999999999998</v>
      </c>
      <c r="D430" s="61">
        <v>239.8</v>
      </c>
      <c r="E430" s="61">
        <v>13.7</v>
      </c>
      <c r="F430" s="61">
        <v>36.4</v>
      </c>
      <c r="G430" s="61">
        <v>25.4</v>
      </c>
      <c r="H430" s="61">
        <v>45.3</v>
      </c>
      <c r="I430" s="61">
        <v>10.5</v>
      </c>
      <c r="J430" s="61">
        <v>34.1</v>
      </c>
      <c r="K430" s="61">
        <v>23.9</v>
      </c>
      <c r="L430" s="61">
        <v>33.799999999999997</v>
      </c>
      <c r="M430" s="61">
        <v>40.5</v>
      </c>
      <c r="N430" s="61">
        <v>38.9</v>
      </c>
      <c r="O430" s="85">
        <v>18.2</v>
      </c>
      <c r="P430" s="105"/>
      <c r="Q430" s="87">
        <f t="shared" si="43"/>
        <v>6.2885892765310889E-4</v>
      </c>
      <c r="R430" s="87">
        <f t="shared" si="46"/>
        <v>1.3314399268520426E-3</v>
      </c>
      <c r="S430" s="87">
        <f t="shared" si="46"/>
        <v>-4.1692725223501162E-4</v>
      </c>
      <c r="T430" s="87">
        <f t="shared" si="46"/>
        <v>-7.2727593290799206E-3</v>
      </c>
      <c r="U430" s="87">
        <f t="shared" si="46"/>
        <v>-5.4794657646257076E-3</v>
      </c>
      <c r="V430" s="87">
        <f t="shared" si="46"/>
        <v>-7.8431774610260054E-3</v>
      </c>
      <c r="W430" s="87">
        <f t="shared" si="46"/>
        <v>-2.3992426743221308E-2</v>
      </c>
      <c r="X430" s="87">
        <f t="shared" si="45"/>
        <v>-9.47874395454377E-3</v>
      </c>
      <c r="Y430" s="87">
        <f t="shared" si="41"/>
        <v>4.4985095916809104E-2</v>
      </c>
      <c r="Z430" s="87">
        <f t="shared" si="41"/>
        <v>-1.2474174225175801E-2</v>
      </c>
      <c r="AA430" s="87">
        <f t="shared" si="41"/>
        <v>-2.3392879574705577E-2</v>
      </c>
      <c r="AB430" s="87">
        <f t="shared" si="41"/>
        <v>3.7740327982847113E-2</v>
      </c>
      <c r="AC430" s="87">
        <f t="shared" si="41"/>
        <v>2.5740039951728426E-3</v>
      </c>
      <c r="AD430" s="87">
        <f t="shared" si="40"/>
        <v>0</v>
      </c>
      <c r="AE430" s="90">
        <f t="shared" si="44"/>
        <v>-1.2897568456431878E-3</v>
      </c>
      <c r="AF430" s="89"/>
    </row>
    <row r="431" spans="1:32" ht="15.5" x14ac:dyDescent="0.35">
      <c r="A431" s="82">
        <v>40392</v>
      </c>
      <c r="B431" s="83">
        <v>7174.9</v>
      </c>
      <c r="C431" s="84">
        <v>2295.4</v>
      </c>
      <c r="D431" s="61">
        <v>243.7</v>
      </c>
      <c r="E431" s="61">
        <v>14</v>
      </c>
      <c r="F431" s="61">
        <v>37.1</v>
      </c>
      <c r="G431" s="61">
        <v>25.8</v>
      </c>
      <c r="H431" s="61">
        <v>46</v>
      </c>
      <c r="I431" s="61">
        <v>10.9</v>
      </c>
      <c r="J431" s="61">
        <v>35.4</v>
      </c>
      <c r="K431" s="61">
        <v>24.5</v>
      </c>
      <c r="L431" s="61">
        <v>34.6</v>
      </c>
      <c r="M431" s="61">
        <v>41.7</v>
      </c>
      <c r="N431" s="61">
        <v>39.5</v>
      </c>
      <c r="O431" s="85">
        <v>18.5</v>
      </c>
      <c r="P431" s="105"/>
      <c r="Q431" s="87">
        <f t="shared" si="43"/>
        <v>2.4821542558927327E-2</v>
      </c>
      <c r="R431" s="87">
        <f t="shared" si="46"/>
        <v>1.7890193854101639E-2</v>
      </c>
      <c r="S431" s="87">
        <f t="shared" si="46"/>
        <v>1.6132718037746626E-2</v>
      </c>
      <c r="T431" s="87">
        <f t="shared" si="46"/>
        <v>2.1661496781179467E-2</v>
      </c>
      <c r="U431" s="87">
        <f t="shared" si="46"/>
        <v>1.904819497069463E-2</v>
      </c>
      <c r="V431" s="87">
        <f t="shared" si="46"/>
        <v>1.5625317903081033E-2</v>
      </c>
      <c r="W431" s="87">
        <f t="shared" si="46"/>
        <v>1.5334364000106742E-2</v>
      </c>
      <c r="X431" s="87">
        <f t="shared" si="45"/>
        <v>3.7387532071620412E-2</v>
      </c>
      <c r="Y431" s="87">
        <f t="shared" si="41"/>
        <v>3.7414435850257631E-2</v>
      </c>
      <c r="Z431" s="87">
        <f t="shared" si="41"/>
        <v>2.4794658613216274E-2</v>
      </c>
      <c r="AA431" s="87">
        <f t="shared" si="41"/>
        <v>2.3392879574705594E-2</v>
      </c>
      <c r="AB431" s="87">
        <f t="shared" si="41"/>
        <v>2.919915469226235E-2</v>
      </c>
      <c r="AC431" s="87">
        <f t="shared" si="41"/>
        <v>1.5306421282675507E-2</v>
      </c>
      <c r="AD431" s="87">
        <f t="shared" si="40"/>
        <v>1.6349138001529411E-2</v>
      </c>
      <c r="AE431" s="90">
        <f t="shared" si="44"/>
        <v>1.7519472584165176E-2</v>
      </c>
      <c r="AF431" s="89"/>
    </row>
    <row r="432" spans="1:32" ht="15.5" x14ac:dyDescent="0.35">
      <c r="A432" s="82">
        <v>40393</v>
      </c>
      <c r="B432" s="83">
        <v>7147</v>
      </c>
      <c r="C432" s="84">
        <v>2283.5</v>
      </c>
      <c r="D432" s="61">
        <v>243.6</v>
      </c>
      <c r="E432" s="61">
        <v>13.9</v>
      </c>
      <c r="F432" s="61">
        <v>37.1</v>
      </c>
      <c r="G432" s="61">
        <v>26</v>
      </c>
      <c r="H432" s="61">
        <v>44.6</v>
      </c>
      <c r="I432" s="61">
        <v>11.2</v>
      </c>
      <c r="J432" s="61">
        <v>35.299999999999997</v>
      </c>
      <c r="K432" s="61">
        <v>23.3</v>
      </c>
      <c r="L432" s="61">
        <v>34.5</v>
      </c>
      <c r="M432" s="61">
        <v>41.5</v>
      </c>
      <c r="N432" s="61">
        <v>39.4</v>
      </c>
      <c r="O432" s="85">
        <v>18.2</v>
      </c>
      <c r="P432" s="105"/>
      <c r="Q432" s="87">
        <f t="shared" si="43"/>
        <v>-3.8961360284881677E-3</v>
      </c>
      <c r="R432" s="87">
        <f t="shared" si="46"/>
        <v>-5.1977666215143915E-3</v>
      </c>
      <c r="S432" s="87">
        <f t="shared" si="46"/>
        <v>-4.104247954185876E-4</v>
      </c>
      <c r="T432" s="87">
        <f t="shared" si="46"/>
        <v>-7.168489478612516E-3</v>
      </c>
      <c r="U432" s="87">
        <f t="shared" si="46"/>
        <v>0</v>
      </c>
      <c r="V432" s="87">
        <f t="shared" si="46"/>
        <v>7.7220460939103185E-3</v>
      </c>
      <c r="W432" s="87">
        <f t="shared" si="46"/>
        <v>-3.0907537463076548E-2</v>
      </c>
      <c r="X432" s="87">
        <f t="shared" si="45"/>
        <v>2.7150989065950683E-2</v>
      </c>
      <c r="Y432" s="87">
        <f t="shared" si="41"/>
        <v>-2.8288562004777137E-3</v>
      </c>
      <c r="Z432" s="87">
        <f t="shared" si="41"/>
        <v>-5.0219756979026337E-2</v>
      </c>
      <c r="AA432" s="87">
        <f t="shared" si="41"/>
        <v>-2.8943580263645261E-3</v>
      </c>
      <c r="AB432" s="87">
        <f t="shared" si="41"/>
        <v>-4.8077015681032322E-3</v>
      </c>
      <c r="AC432" s="87">
        <f t="shared" si="41"/>
        <v>-2.5348556031880663E-3</v>
      </c>
      <c r="AD432" s="87">
        <f t="shared" si="40"/>
        <v>-1.6349138001529526E-2</v>
      </c>
      <c r="AE432" s="90">
        <f t="shared" si="44"/>
        <v>-3.6653895739788174E-3</v>
      </c>
      <c r="AF432" s="89"/>
    </row>
    <row r="433" spans="1:32" ht="15.5" x14ac:dyDescent="0.35">
      <c r="A433" s="82">
        <v>40394</v>
      </c>
      <c r="B433" s="83">
        <v>7182.1</v>
      </c>
      <c r="C433" s="84">
        <v>2303.6</v>
      </c>
      <c r="D433" s="61">
        <v>245.8</v>
      </c>
      <c r="E433" s="61">
        <v>13.9</v>
      </c>
      <c r="F433" s="61">
        <v>37.200000000000003</v>
      </c>
      <c r="G433" s="61">
        <v>25.4</v>
      </c>
      <c r="H433" s="61">
        <v>44.1</v>
      </c>
      <c r="I433" s="61">
        <v>11.2</v>
      </c>
      <c r="J433" s="61">
        <v>35.799999999999997</v>
      </c>
      <c r="K433" s="61">
        <v>23.4</v>
      </c>
      <c r="L433" s="61">
        <v>34.6</v>
      </c>
      <c r="M433" s="61">
        <v>41</v>
      </c>
      <c r="N433" s="61">
        <v>39.4</v>
      </c>
      <c r="O433" s="85">
        <v>18.3</v>
      </c>
      <c r="P433" s="105"/>
      <c r="Q433" s="87">
        <f t="shared" si="43"/>
        <v>4.8991311672497645E-3</v>
      </c>
      <c r="R433" s="87">
        <f t="shared" si="46"/>
        <v>8.763763007463508E-3</v>
      </c>
      <c r="S433" s="87">
        <f t="shared" si="46"/>
        <v>8.9906612961925328E-3</v>
      </c>
      <c r="T433" s="87">
        <f t="shared" si="46"/>
        <v>0</v>
      </c>
      <c r="U433" s="87">
        <f t="shared" si="46"/>
        <v>2.691791665711353E-3</v>
      </c>
      <c r="V433" s="87">
        <f t="shared" si="46"/>
        <v>-2.3347363996991177E-2</v>
      </c>
      <c r="W433" s="87">
        <f t="shared" si="46"/>
        <v>-1.1274076573218108E-2</v>
      </c>
      <c r="X433" s="87">
        <f t="shared" si="45"/>
        <v>0</v>
      </c>
      <c r="Y433" s="87">
        <f t="shared" si="41"/>
        <v>1.4064929467403457E-2</v>
      </c>
      <c r="Z433" s="87">
        <f t="shared" si="41"/>
        <v>4.2826617920007281E-3</v>
      </c>
      <c r="AA433" s="87">
        <f t="shared" si="41"/>
        <v>2.8943580263645565E-3</v>
      </c>
      <c r="AB433" s="87">
        <f t="shared" si="41"/>
        <v>-1.212136053234485E-2</v>
      </c>
      <c r="AC433" s="87">
        <f t="shared" si="41"/>
        <v>0</v>
      </c>
      <c r="AD433" s="87">
        <f t="shared" si="40"/>
        <v>5.4794657646255705E-3</v>
      </c>
      <c r="AE433" s="90">
        <f t="shared" si="44"/>
        <v>6.6947772073491724E-3</v>
      </c>
      <c r="AF433" s="89"/>
    </row>
    <row r="434" spans="1:32" ht="15.5" x14ac:dyDescent="0.35">
      <c r="A434" s="82">
        <v>40395</v>
      </c>
      <c r="B434" s="83">
        <v>7174.3</v>
      </c>
      <c r="C434" s="84">
        <v>2293.1</v>
      </c>
      <c r="D434" s="61">
        <v>252</v>
      </c>
      <c r="E434" s="61">
        <v>14</v>
      </c>
      <c r="F434" s="61">
        <v>37.200000000000003</v>
      </c>
      <c r="G434" s="61">
        <v>25.2</v>
      </c>
      <c r="H434" s="61">
        <v>42.5</v>
      </c>
      <c r="I434" s="61">
        <v>11.2</v>
      </c>
      <c r="J434" s="61">
        <v>37.299999999999997</v>
      </c>
      <c r="K434" s="61">
        <v>22</v>
      </c>
      <c r="L434" s="61">
        <v>34.700000000000003</v>
      </c>
      <c r="M434" s="61">
        <v>41.1</v>
      </c>
      <c r="N434" s="61">
        <v>39.9</v>
      </c>
      <c r="O434" s="85">
        <v>18.3</v>
      </c>
      <c r="P434" s="105"/>
      <c r="Q434" s="87">
        <f t="shared" si="43"/>
        <v>-1.0866234943980803E-3</v>
      </c>
      <c r="R434" s="87">
        <f t="shared" si="46"/>
        <v>-4.568502735575011E-3</v>
      </c>
      <c r="S434" s="87">
        <f t="shared" si="46"/>
        <v>2.4910890379488904E-2</v>
      </c>
      <c r="T434" s="87">
        <f t="shared" si="46"/>
        <v>7.168489478612497E-3</v>
      </c>
      <c r="U434" s="87">
        <f t="shared" si="46"/>
        <v>0</v>
      </c>
      <c r="V434" s="87">
        <f t="shared" si="46"/>
        <v>-7.9051795071132611E-3</v>
      </c>
      <c r="W434" s="87">
        <f t="shared" si="46"/>
        <v>-3.6955706522429244E-2</v>
      </c>
      <c r="X434" s="87">
        <f t="shared" si="45"/>
        <v>0</v>
      </c>
      <c r="Y434" s="87">
        <f t="shared" si="41"/>
        <v>4.1045433243115166E-2</v>
      </c>
      <c r="Z434" s="87">
        <f t="shared" si="41"/>
        <v>-6.1693569005339781E-2</v>
      </c>
      <c r="AA434" s="87">
        <f t="shared" si="41"/>
        <v>2.886004889135073E-3</v>
      </c>
      <c r="AB434" s="87">
        <f t="shared" si="41"/>
        <v>2.436054797881121E-3</v>
      </c>
      <c r="AC434" s="87">
        <f t="shared" si="41"/>
        <v>1.2610507591929733E-2</v>
      </c>
      <c r="AD434" s="87">
        <f t="shared" si="40"/>
        <v>0</v>
      </c>
      <c r="AE434" s="90">
        <f t="shared" si="44"/>
        <v>5.9236181992682151E-3</v>
      </c>
      <c r="AF434" s="89"/>
    </row>
    <row r="435" spans="1:32" ht="15.5" x14ac:dyDescent="0.35">
      <c r="A435" s="82">
        <v>40396</v>
      </c>
      <c r="B435" s="83">
        <v>7153.7</v>
      </c>
      <c r="C435" s="84">
        <v>2288.5</v>
      </c>
      <c r="D435" s="61">
        <v>248.3</v>
      </c>
      <c r="E435" s="61">
        <v>14</v>
      </c>
      <c r="F435" s="61">
        <v>36.799999999999997</v>
      </c>
      <c r="G435" s="61">
        <v>25</v>
      </c>
      <c r="H435" s="61">
        <v>41.1</v>
      </c>
      <c r="I435" s="61">
        <v>10.9</v>
      </c>
      <c r="J435" s="61">
        <v>37.200000000000003</v>
      </c>
      <c r="K435" s="61">
        <v>21.3</v>
      </c>
      <c r="L435" s="61">
        <v>34.5</v>
      </c>
      <c r="M435" s="61">
        <v>40.700000000000003</v>
      </c>
      <c r="N435" s="61">
        <v>40</v>
      </c>
      <c r="O435" s="85">
        <v>18.2</v>
      </c>
      <c r="P435" s="105"/>
      <c r="Q435" s="87">
        <f t="shared" si="43"/>
        <v>-2.8754905351987357E-3</v>
      </c>
      <c r="R435" s="87">
        <f t="shared" si="46"/>
        <v>-2.0080328032455234E-3</v>
      </c>
      <c r="S435" s="87">
        <f t="shared" si="46"/>
        <v>-1.4791394997302329E-2</v>
      </c>
      <c r="T435" s="87">
        <f t="shared" si="46"/>
        <v>0</v>
      </c>
      <c r="U435" s="87">
        <f t="shared" si="46"/>
        <v>-1.081091610421573E-2</v>
      </c>
      <c r="V435" s="87">
        <f t="shared" si="46"/>
        <v>-7.9681696491768449E-3</v>
      </c>
      <c r="W435" s="87">
        <f t="shared" si="46"/>
        <v>-3.3495954428182241E-2</v>
      </c>
      <c r="X435" s="87">
        <f t="shared" si="45"/>
        <v>-2.7150989065950745E-2</v>
      </c>
      <c r="Y435" s="87">
        <f t="shared" si="41"/>
        <v>-2.6845653706688757E-3</v>
      </c>
      <c r="Z435" s="87">
        <f t="shared" si="41"/>
        <v>-3.2335380642936347E-2</v>
      </c>
      <c r="AA435" s="87">
        <f t="shared" si="41"/>
        <v>-5.7803629154995371E-3</v>
      </c>
      <c r="AB435" s="87">
        <f t="shared" si="41"/>
        <v>-9.7800290536396058E-3</v>
      </c>
      <c r="AC435" s="87">
        <f t="shared" si="41"/>
        <v>2.5031302181184748E-3</v>
      </c>
      <c r="AD435" s="87">
        <f t="shared" si="40"/>
        <v>-5.4794657646257076E-3</v>
      </c>
      <c r="AE435" s="90">
        <f t="shared" si="44"/>
        <v>-8.6895787988651042E-3</v>
      </c>
      <c r="AF435" s="89"/>
    </row>
    <row r="436" spans="1:32" ht="15.5" x14ac:dyDescent="0.35">
      <c r="A436" s="82">
        <v>40399</v>
      </c>
      <c r="B436" s="83">
        <v>7188.3</v>
      </c>
      <c r="C436" s="84">
        <v>2305.6999999999998</v>
      </c>
      <c r="D436" s="61">
        <v>250.9</v>
      </c>
      <c r="E436" s="61">
        <v>14.3</v>
      </c>
      <c r="F436" s="61">
        <v>37.1</v>
      </c>
      <c r="G436" s="61">
        <v>25.4</v>
      </c>
      <c r="H436" s="61">
        <v>42</v>
      </c>
      <c r="I436" s="61">
        <v>11.1</v>
      </c>
      <c r="J436" s="61">
        <v>37.299999999999997</v>
      </c>
      <c r="K436" s="61">
        <v>21.2</v>
      </c>
      <c r="L436" s="61">
        <v>35.1</v>
      </c>
      <c r="M436" s="61">
        <v>41.6</v>
      </c>
      <c r="N436" s="61">
        <v>40.700000000000003</v>
      </c>
      <c r="O436" s="85">
        <v>18.5</v>
      </c>
      <c r="P436" s="105"/>
      <c r="Q436" s="87">
        <f t="shared" si="43"/>
        <v>4.8249989019308335E-3</v>
      </c>
      <c r="R436" s="87">
        <f t="shared" si="46"/>
        <v>7.4877368688707011E-3</v>
      </c>
      <c r="S436" s="87">
        <f t="shared" si="46"/>
        <v>1.041676085825558E-2</v>
      </c>
      <c r="T436" s="87">
        <f t="shared" si="46"/>
        <v>2.1202207650603124E-2</v>
      </c>
      <c r="U436" s="87">
        <f t="shared" si="46"/>
        <v>8.1191244385044117E-3</v>
      </c>
      <c r="V436" s="87">
        <f t="shared" si="46"/>
        <v>1.5873349156290163E-2</v>
      </c>
      <c r="W436" s="87">
        <f t="shared" si="46"/>
        <v>2.1661496781179249E-2</v>
      </c>
      <c r="X436" s="87">
        <f t="shared" si="45"/>
        <v>1.8182319083190328E-2</v>
      </c>
      <c r="Y436" s="87">
        <f t="shared" si="41"/>
        <v>2.6845653706687612E-3</v>
      </c>
      <c r="Z436" s="87">
        <f t="shared" si="41"/>
        <v>-4.7058910374127277E-3</v>
      </c>
      <c r="AA436" s="87">
        <f t="shared" si="41"/>
        <v>1.7241806434506173E-2</v>
      </c>
      <c r="AB436" s="87">
        <f t="shared" si="41"/>
        <v>2.1872074818668312E-2</v>
      </c>
      <c r="AC436" s="87">
        <f t="shared" si="41"/>
        <v>1.7348638334613073E-2</v>
      </c>
      <c r="AD436" s="87">
        <f t="shared" si="40"/>
        <v>1.6349138001529411E-2</v>
      </c>
      <c r="AE436" s="90">
        <f t="shared" si="44"/>
        <v>9.6028766679413305E-3</v>
      </c>
      <c r="AF436" s="89"/>
    </row>
    <row r="437" spans="1:32" ht="15.5" x14ac:dyDescent="0.35">
      <c r="A437" s="82">
        <v>40400</v>
      </c>
      <c r="B437" s="83">
        <v>7139.8</v>
      </c>
      <c r="C437" s="84">
        <v>2277.1999999999998</v>
      </c>
      <c r="D437" s="61">
        <v>249.5</v>
      </c>
      <c r="E437" s="61">
        <v>14.2</v>
      </c>
      <c r="F437" s="61">
        <v>36.799999999999997</v>
      </c>
      <c r="G437" s="61">
        <v>24.9</v>
      </c>
      <c r="H437" s="61">
        <v>41.5</v>
      </c>
      <c r="I437" s="61">
        <v>10.7</v>
      </c>
      <c r="J437" s="61">
        <v>36.6</v>
      </c>
      <c r="K437" s="61">
        <v>20.9</v>
      </c>
      <c r="L437" s="61">
        <v>34.799999999999997</v>
      </c>
      <c r="M437" s="61">
        <v>41.5</v>
      </c>
      <c r="N437" s="61">
        <v>41.1</v>
      </c>
      <c r="O437" s="85">
        <v>18.2</v>
      </c>
      <c r="P437" s="105"/>
      <c r="Q437" s="87">
        <f t="shared" si="43"/>
        <v>-6.7699395227354651E-3</v>
      </c>
      <c r="R437" s="87">
        <f t="shared" si="46"/>
        <v>-1.2437699885640738E-2</v>
      </c>
      <c r="S437" s="87">
        <f t="shared" si="46"/>
        <v>-5.5955381808033191E-3</v>
      </c>
      <c r="T437" s="87">
        <f t="shared" si="46"/>
        <v>-7.0175726586466465E-3</v>
      </c>
      <c r="U437" s="87">
        <f t="shared" si="46"/>
        <v>-8.1191244385043528E-3</v>
      </c>
      <c r="V437" s="87">
        <f t="shared" si="46"/>
        <v>-1.9881370553828933E-2</v>
      </c>
      <c r="W437" s="87">
        <f t="shared" si="46"/>
        <v>-1.1976191046715649E-2</v>
      </c>
      <c r="X437" s="87">
        <f t="shared" si="45"/>
        <v>-3.670136685042804E-2</v>
      </c>
      <c r="Y437" s="87">
        <f t="shared" si="41"/>
        <v>-1.8945086242449193E-2</v>
      </c>
      <c r="Z437" s="87">
        <f t="shared" si="41"/>
        <v>-1.4252022707201502E-2</v>
      </c>
      <c r="AA437" s="87">
        <f t="shared" si="41"/>
        <v>-8.5837436913915547E-3</v>
      </c>
      <c r="AB437" s="87">
        <f t="shared" si="41"/>
        <v>-2.4067400305649764E-3</v>
      </c>
      <c r="AC437" s="87">
        <f t="shared" si="41"/>
        <v>9.7800290536394791E-3</v>
      </c>
      <c r="AD437" s="87">
        <f t="shared" si="40"/>
        <v>-1.6349138001529526E-2</v>
      </c>
      <c r="AE437" s="90">
        <f t="shared" si="44"/>
        <v>-9.6751386553059083E-3</v>
      </c>
      <c r="AF437" s="89"/>
    </row>
    <row r="438" spans="1:32" ht="15.5" x14ac:dyDescent="0.35">
      <c r="A438" s="82">
        <v>40401</v>
      </c>
      <c r="B438" s="83">
        <v>6902.7</v>
      </c>
      <c r="C438" s="84">
        <v>2208.6</v>
      </c>
      <c r="D438" s="61">
        <v>246</v>
      </c>
      <c r="E438" s="61">
        <v>13.8</v>
      </c>
      <c r="F438" s="61">
        <v>35.700000000000003</v>
      </c>
      <c r="G438" s="61">
        <v>24.6</v>
      </c>
      <c r="H438" s="61">
        <v>41</v>
      </c>
      <c r="I438" s="61">
        <v>10.4</v>
      </c>
      <c r="J438" s="61">
        <v>35.700000000000003</v>
      </c>
      <c r="K438" s="61">
        <v>20.6</v>
      </c>
      <c r="L438" s="61">
        <v>34.799999999999997</v>
      </c>
      <c r="M438" s="61">
        <v>40.6</v>
      </c>
      <c r="N438" s="61">
        <v>39.700000000000003</v>
      </c>
      <c r="O438" s="85">
        <v>17.899999999999999</v>
      </c>
      <c r="P438" s="105"/>
      <c r="Q438" s="87">
        <f t="shared" si="43"/>
        <v>-3.3772125343230514E-2</v>
      </c>
      <c r="R438" s="87">
        <f t="shared" si="46"/>
        <v>-3.0587787463896364E-2</v>
      </c>
      <c r="S438" s="87">
        <f t="shared" si="46"/>
        <v>-1.4127379259210565E-2</v>
      </c>
      <c r="T438" s="87">
        <f t="shared" si="46"/>
        <v>-2.8573372444055885E-2</v>
      </c>
      <c r="U438" s="87">
        <f t="shared" si="46"/>
        <v>-3.0347156389291703E-2</v>
      </c>
      <c r="V438" s="87">
        <f t="shared" si="46"/>
        <v>-1.2121360532344737E-2</v>
      </c>
      <c r="W438" s="87">
        <f t="shared" si="46"/>
        <v>-1.212136053234485E-2</v>
      </c>
      <c r="X438" s="87">
        <f t="shared" si="45"/>
        <v>-2.8437935320533399E-2</v>
      </c>
      <c r="Y438" s="87">
        <f t="shared" si="41"/>
        <v>-2.4897551621727087E-2</v>
      </c>
      <c r="Z438" s="87">
        <f t="shared" si="41"/>
        <v>-1.4458083175229775E-2</v>
      </c>
      <c r="AA438" s="87">
        <f t="shared" si="41"/>
        <v>0</v>
      </c>
      <c r="AB438" s="87">
        <f t="shared" si="41"/>
        <v>-2.1925360628965659E-2</v>
      </c>
      <c r="AC438" s="87">
        <f t="shared" si="41"/>
        <v>-3.4656933809044152E-2</v>
      </c>
      <c r="AD438" s="87">
        <f t="shared" si="40"/>
        <v>-1.6620881236040407E-2</v>
      </c>
      <c r="AE438" s="90">
        <f t="shared" si="44"/>
        <v>-2.4002308368508755E-2</v>
      </c>
      <c r="AF438" s="89"/>
    </row>
    <row r="439" spans="1:32" ht="15.5" x14ac:dyDescent="0.35">
      <c r="A439" s="82">
        <v>40402</v>
      </c>
      <c r="B439" s="83">
        <v>6881.9</v>
      </c>
      <c r="C439" s="84">
        <v>2190.3000000000002</v>
      </c>
      <c r="D439" s="61">
        <v>241.5</v>
      </c>
      <c r="E439" s="61">
        <v>13.8</v>
      </c>
      <c r="F439" s="61">
        <v>35.200000000000003</v>
      </c>
      <c r="G439" s="61">
        <v>24.4</v>
      </c>
      <c r="H439" s="61">
        <v>40.4</v>
      </c>
      <c r="I439" s="61">
        <v>10</v>
      </c>
      <c r="J439" s="61">
        <v>35.5</v>
      </c>
      <c r="K439" s="61">
        <v>20.2</v>
      </c>
      <c r="L439" s="61">
        <v>34.6</v>
      </c>
      <c r="M439" s="61">
        <v>39.700000000000003</v>
      </c>
      <c r="N439" s="61">
        <v>39.799999999999997</v>
      </c>
      <c r="O439" s="85">
        <v>17.7</v>
      </c>
      <c r="P439" s="105"/>
      <c r="Q439" s="87">
        <f t="shared" si="43"/>
        <v>-3.0178628014340559E-3</v>
      </c>
      <c r="R439" s="87">
        <f t="shared" si="46"/>
        <v>-8.3203098828806034E-3</v>
      </c>
      <c r="S439" s="87">
        <f t="shared" si="46"/>
        <v>-1.8462062839735442E-2</v>
      </c>
      <c r="T439" s="87">
        <f t="shared" si="46"/>
        <v>0</v>
      </c>
      <c r="U439" s="87">
        <f t="shared" si="46"/>
        <v>-1.4104606181541935E-2</v>
      </c>
      <c r="V439" s="87">
        <f t="shared" si="46"/>
        <v>-8.1633106391610939E-3</v>
      </c>
      <c r="W439" s="87">
        <f t="shared" si="46"/>
        <v>-1.4742281737203431E-2</v>
      </c>
      <c r="X439" s="87">
        <f t="shared" si="45"/>
        <v>-3.9220713153281385E-2</v>
      </c>
      <c r="Y439" s="87">
        <f t="shared" si="41"/>
        <v>-5.6179923042233727E-3</v>
      </c>
      <c r="Z439" s="87">
        <f t="shared" si="41"/>
        <v>-1.9608471388376424E-2</v>
      </c>
      <c r="AA439" s="87">
        <f t="shared" si="41"/>
        <v>-5.7637047167499065E-3</v>
      </c>
      <c r="AB439" s="87">
        <f t="shared" si="41"/>
        <v>-2.2416878914542145E-2</v>
      </c>
      <c r="AC439" s="87">
        <f t="shared" si="41"/>
        <v>2.5157245972471489E-3</v>
      </c>
      <c r="AD439" s="87">
        <f t="shared" si="40"/>
        <v>-1.1236073266925842E-2</v>
      </c>
      <c r="AE439" s="90">
        <f t="shared" si="44"/>
        <v>-1.3297814746941682E-2</v>
      </c>
      <c r="AF439" s="89"/>
    </row>
    <row r="440" spans="1:32" ht="15.5" x14ac:dyDescent="0.35">
      <c r="A440" s="82">
        <v>40403</v>
      </c>
      <c r="B440" s="83">
        <v>6861</v>
      </c>
      <c r="C440" s="84">
        <v>2173.5</v>
      </c>
      <c r="D440" s="61">
        <v>243.3</v>
      </c>
      <c r="E440" s="61">
        <v>13.8</v>
      </c>
      <c r="F440" s="61">
        <v>35.6</v>
      </c>
      <c r="G440" s="61">
        <v>24.2</v>
      </c>
      <c r="H440" s="61">
        <v>38.4</v>
      </c>
      <c r="I440" s="61">
        <v>10</v>
      </c>
      <c r="J440" s="61">
        <v>36.700000000000003</v>
      </c>
      <c r="K440" s="61">
        <v>19.8</v>
      </c>
      <c r="L440" s="61">
        <v>34.700000000000003</v>
      </c>
      <c r="M440" s="61">
        <v>39.5</v>
      </c>
      <c r="N440" s="61">
        <v>40.1</v>
      </c>
      <c r="O440" s="85">
        <v>17.600000000000001</v>
      </c>
      <c r="P440" s="105"/>
      <c r="Q440" s="87">
        <f t="shared" si="43"/>
        <v>-3.0415729012717974E-3</v>
      </c>
      <c r="R440" s="87">
        <f t="shared" si="46"/>
        <v>-7.6997493013031149E-3</v>
      </c>
      <c r="S440" s="87">
        <f t="shared" si="46"/>
        <v>7.4257766968496971E-3</v>
      </c>
      <c r="T440" s="87">
        <f t="shared" si="46"/>
        <v>0</v>
      </c>
      <c r="U440" s="87">
        <f t="shared" si="46"/>
        <v>1.1299555253933247E-2</v>
      </c>
      <c r="V440" s="87">
        <f t="shared" si="46"/>
        <v>-8.23049913651548E-3</v>
      </c>
      <c r="W440" s="87">
        <f t="shared" si="46"/>
        <v>-5.0772325373423258E-2</v>
      </c>
      <c r="X440" s="87">
        <f t="shared" si="45"/>
        <v>0</v>
      </c>
      <c r="Y440" s="87">
        <f t="shared" si="41"/>
        <v>3.3244058579154648E-2</v>
      </c>
      <c r="Z440" s="87">
        <f t="shared" si="41"/>
        <v>-2.0000666706669428E-2</v>
      </c>
      <c r="AA440" s="87">
        <f t="shared" si="41"/>
        <v>2.886004889135073E-3</v>
      </c>
      <c r="AB440" s="87">
        <f t="shared" si="41"/>
        <v>-5.0505157860685915E-3</v>
      </c>
      <c r="AC440" s="87">
        <f t="shared" si="41"/>
        <v>7.5094220221315683E-3</v>
      </c>
      <c r="AD440" s="87">
        <f t="shared" si="40"/>
        <v>-5.6657375356771959E-3</v>
      </c>
      <c r="AE440" s="90">
        <f t="shared" si="44"/>
        <v>2.4083363939678801E-3</v>
      </c>
      <c r="AF440" s="89"/>
    </row>
    <row r="441" spans="1:32" ht="15.5" x14ac:dyDescent="0.35">
      <c r="A441" s="82">
        <v>40406</v>
      </c>
      <c r="B441" s="83">
        <v>6871.6</v>
      </c>
      <c r="C441" s="84">
        <v>2181.9</v>
      </c>
      <c r="D441" s="61">
        <v>240.5</v>
      </c>
      <c r="E441" s="61">
        <v>13.7</v>
      </c>
      <c r="F441" s="61">
        <v>35.200000000000003</v>
      </c>
      <c r="G441" s="61">
        <v>24.3</v>
      </c>
      <c r="H441" s="61">
        <v>39.299999999999997</v>
      </c>
      <c r="I441" s="61">
        <v>9.8000000000000007</v>
      </c>
      <c r="J441" s="61">
        <v>36.9</v>
      </c>
      <c r="K441" s="61">
        <v>19.399999999999999</v>
      </c>
      <c r="L441" s="61">
        <v>34.6</v>
      </c>
      <c r="M441" s="61">
        <v>37.9</v>
      </c>
      <c r="N441" s="61">
        <v>39.9</v>
      </c>
      <c r="O441" s="85">
        <v>17.399999999999999</v>
      </c>
      <c r="P441" s="105"/>
      <c r="Q441" s="87">
        <f t="shared" si="43"/>
        <v>1.5437720613997179E-3</v>
      </c>
      <c r="R441" s="87">
        <f t="shared" si="46"/>
        <v>3.8572853997580945E-3</v>
      </c>
      <c r="S441" s="87">
        <f t="shared" si="46"/>
        <v>-1.1575160243661063E-2</v>
      </c>
      <c r="T441" s="87">
        <f t="shared" si="46"/>
        <v>-7.2727593290799206E-3</v>
      </c>
      <c r="U441" s="87">
        <f t="shared" si="46"/>
        <v>-1.1299555253933282E-2</v>
      </c>
      <c r="V441" s="87">
        <f t="shared" si="46"/>
        <v>4.1237171838621562E-3</v>
      </c>
      <c r="W441" s="87">
        <f t="shared" si="46"/>
        <v>2.3167059281534379E-2</v>
      </c>
      <c r="X441" s="87">
        <f t="shared" si="45"/>
        <v>-2.0202707317519355E-2</v>
      </c>
      <c r="Y441" s="87">
        <f t="shared" si="41"/>
        <v>5.4347959859567746E-3</v>
      </c>
      <c r="Z441" s="87">
        <f t="shared" si="41"/>
        <v>-2.0408871631207238E-2</v>
      </c>
      <c r="AA441" s="87">
        <f t="shared" si="41"/>
        <v>-2.8860048891349867E-3</v>
      </c>
      <c r="AB441" s="87">
        <f t="shared" si="41"/>
        <v>-4.1349559818695515E-2</v>
      </c>
      <c r="AC441" s="87">
        <f t="shared" si="41"/>
        <v>-5.0000104167057515E-3</v>
      </c>
      <c r="AD441" s="87">
        <f t="shared" si="40"/>
        <v>-1.1428695823622968E-2</v>
      </c>
      <c r="AE441" s="90">
        <f t="shared" si="44"/>
        <v>-6.8526990944064586E-3</v>
      </c>
      <c r="AF441" s="89"/>
    </row>
    <row r="442" spans="1:32" ht="15.5" x14ac:dyDescent="0.35">
      <c r="A442" s="82">
        <v>40407</v>
      </c>
      <c r="B442" s="83">
        <v>6959.8</v>
      </c>
      <c r="C442" s="84">
        <v>2209.4</v>
      </c>
      <c r="D442" s="61">
        <v>243.3</v>
      </c>
      <c r="E442" s="61">
        <v>13.8</v>
      </c>
      <c r="F442" s="61">
        <v>35.6</v>
      </c>
      <c r="G442" s="61">
        <v>24.6</v>
      </c>
      <c r="H442" s="61">
        <v>39.4</v>
      </c>
      <c r="I442" s="61">
        <v>10</v>
      </c>
      <c r="J442" s="61">
        <v>46.4</v>
      </c>
      <c r="K442" s="61">
        <v>19.5</v>
      </c>
      <c r="L442" s="61">
        <v>34.9</v>
      </c>
      <c r="M442" s="61">
        <v>39.1</v>
      </c>
      <c r="N442" s="61">
        <v>40.9</v>
      </c>
      <c r="O442" s="85">
        <v>17.899999999999999</v>
      </c>
      <c r="P442" s="105"/>
      <c r="Q442" s="87">
        <f t="shared" si="43"/>
        <v>1.2753762531114814E-2</v>
      </c>
      <c r="R442" s="87">
        <f t="shared" si="46"/>
        <v>1.2524928609570074E-2</v>
      </c>
      <c r="S442" s="87">
        <f t="shared" si="46"/>
        <v>1.1575160243661058E-2</v>
      </c>
      <c r="T442" s="87">
        <f t="shared" si="46"/>
        <v>7.2727593290798781E-3</v>
      </c>
      <c r="U442" s="87">
        <f t="shared" si="46"/>
        <v>1.1299555253933247E-2</v>
      </c>
      <c r="V442" s="87">
        <f t="shared" si="46"/>
        <v>1.2270092591814401E-2</v>
      </c>
      <c r="W442" s="87">
        <f t="shared" si="46"/>
        <v>2.5412974286725481E-3</v>
      </c>
      <c r="X442" s="87">
        <f t="shared" si="45"/>
        <v>2.0202707317519469E-2</v>
      </c>
      <c r="Y442" s="87">
        <f t="shared" si="41"/>
        <v>0.22908790818572805</v>
      </c>
      <c r="Z442" s="87">
        <f t="shared" si="41"/>
        <v>5.1413995004186523E-3</v>
      </c>
      <c r="AA442" s="87">
        <f t="shared" si="41"/>
        <v>8.6331471447028754E-3</v>
      </c>
      <c r="AB442" s="87">
        <f t="shared" si="41"/>
        <v>3.1171354902939426E-2</v>
      </c>
      <c r="AC442" s="87">
        <f t="shared" si="41"/>
        <v>2.4753739152938395E-2</v>
      </c>
      <c r="AD442" s="87">
        <f t="shared" si="40"/>
        <v>2.833050662622599E-2</v>
      </c>
      <c r="AE442" s="90">
        <f t="shared" si="44"/>
        <v>1.3817628688607178E-2</v>
      </c>
      <c r="AF442" s="89"/>
    </row>
    <row r="443" spans="1:32" ht="15.5" x14ac:dyDescent="0.35">
      <c r="A443" s="82">
        <v>40408</v>
      </c>
      <c r="B443" s="83">
        <v>6968.1</v>
      </c>
      <c r="C443" s="84">
        <v>2215.6999999999998</v>
      </c>
      <c r="D443" s="61">
        <v>241</v>
      </c>
      <c r="E443" s="61">
        <v>13.8</v>
      </c>
      <c r="F443" s="61">
        <v>35.9</v>
      </c>
      <c r="G443" s="61">
        <v>24.4</v>
      </c>
      <c r="H443" s="61">
        <v>40.1</v>
      </c>
      <c r="I443" s="61">
        <v>10.3</v>
      </c>
      <c r="J443" s="61">
        <v>48.4</v>
      </c>
      <c r="K443" s="61">
        <v>20</v>
      </c>
      <c r="L443" s="61">
        <v>35</v>
      </c>
      <c r="M443" s="61">
        <v>38.6</v>
      </c>
      <c r="N443" s="61">
        <v>40.700000000000003</v>
      </c>
      <c r="O443" s="85">
        <v>17.7</v>
      </c>
      <c r="P443" s="105"/>
      <c r="Q443" s="87">
        <f t="shared" si="43"/>
        <v>1.1918524662757701E-3</v>
      </c>
      <c r="R443" s="87">
        <f t="shared" si="46"/>
        <v>2.8473952030554877E-3</v>
      </c>
      <c r="S443" s="87">
        <f t="shared" si="46"/>
        <v>-9.4983162988219304E-3</v>
      </c>
      <c r="T443" s="87">
        <f t="shared" si="46"/>
        <v>0</v>
      </c>
      <c r="U443" s="87">
        <f t="shared" si="46"/>
        <v>8.3916576362483807E-3</v>
      </c>
      <c r="V443" s="87">
        <f t="shared" si="46"/>
        <v>-8.1633106391610939E-3</v>
      </c>
      <c r="W443" s="87">
        <f t="shared" si="46"/>
        <v>1.7610518008635369E-2</v>
      </c>
      <c r="X443" s="87">
        <f t="shared" si="45"/>
        <v>2.9558802241544429E-2</v>
      </c>
      <c r="Y443" s="87">
        <f t="shared" si="41"/>
        <v>4.2200354490376471E-2</v>
      </c>
      <c r="Z443" s="87">
        <f t="shared" si="41"/>
        <v>2.5317807984289786E-2</v>
      </c>
      <c r="AA443" s="87">
        <f t="shared" si="41"/>
        <v>2.8612322810321949E-3</v>
      </c>
      <c r="AB443" s="87">
        <f t="shared" si="41"/>
        <v>-1.2870190520534907E-2</v>
      </c>
      <c r="AC443" s="87">
        <f t="shared" si="41"/>
        <v>-4.9019706002066685E-3</v>
      </c>
      <c r="AD443" s="87">
        <f t="shared" si="40"/>
        <v>-1.1236073266925842E-2</v>
      </c>
      <c r="AE443" s="90">
        <f t="shared" si="44"/>
        <v>-8.9348919590989651E-4</v>
      </c>
      <c r="AF443" s="89"/>
    </row>
    <row r="444" spans="1:32" ht="15.5" x14ac:dyDescent="0.35">
      <c r="A444" s="82">
        <v>40409</v>
      </c>
      <c r="B444" s="83">
        <v>6850.5</v>
      </c>
      <c r="C444" s="84">
        <v>2178.9</v>
      </c>
      <c r="D444" s="61">
        <v>233.9</v>
      </c>
      <c r="E444" s="61">
        <v>13.8</v>
      </c>
      <c r="F444" s="61">
        <v>35.5</v>
      </c>
      <c r="G444" s="61">
        <v>24.2</v>
      </c>
      <c r="H444" s="61">
        <v>39.799999999999997</v>
      </c>
      <c r="I444" s="61">
        <v>10</v>
      </c>
      <c r="J444" s="61">
        <v>48.7</v>
      </c>
      <c r="K444" s="61">
        <v>20.399999999999999</v>
      </c>
      <c r="L444" s="61">
        <v>34.5</v>
      </c>
      <c r="M444" s="61">
        <v>37.799999999999997</v>
      </c>
      <c r="N444" s="61">
        <v>40.700000000000003</v>
      </c>
      <c r="O444" s="85">
        <v>17.600000000000001</v>
      </c>
      <c r="P444" s="105"/>
      <c r="Q444" s="87">
        <f t="shared" si="43"/>
        <v>-1.7020948456517641E-2</v>
      </c>
      <c r="R444" s="87">
        <f t="shared" si="46"/>
        <v>-1.6748218360998046E-2</v>
      </c>
      <c r="S444" s="87">
        <f t="shared" si="46"/>
        <v>-2.9903259900521659E-2</v>
      </c>
      <c r="T444" s="87">
        <f t="shared" si="46"/>
        <v>0</v>
      </c>
      <c r="U444" s="87">
        <f t="shared" si="46"/>
        <v>-1.1204599012863019E-2</v>
      </c>
      <c r="V444" s="87">
        <f t="shared" si="46"/>
        <v>-8.23049913651548E-3</v>
      </c>
      <c r="W444" s="87">
        <f t="shared" si="46"/>
        <v>-7.5094220221315709E-3</v>
      </c>
      <c r="X444" s="87">
        <f t="shared" si="45"/>
        <v>-2.9558802241544505E-2</v>
      </c>
      <c r="Y444" s="87">
        <f t="shared" si="41"/>
        <v>6.1792163659581184E-3</v>
      </c>
      <c r="Z444" s="87">
        <f t="shared" si="41"/>
        <v>1.980262729617973E-2</v>
      </c>
      <c r="AA444" s="87">
        <f t="shared" si="41"/>
        <v>-1.4388737452099556E-2</v>
      </c>
      <c r="AB444" s="87">
        <f t="shared" si="41"/>
        <v>-2.0943173845243249E-2</v>
      </c>
      <c r="AC444" s="87">
        <f t="shared" si="41"/>
        <v>0</v>
      </c>
      <c r="AD444" s="87">
        <f t="shared" si="40"/>
        <v>-5.6657375356771959E-3</v>
      </c>
      <c r="AE444" s="90">
        <f t="shared" si="44"/>
        <v>-1.7667352565238239E-2</v>
      </c>
      <c r="AF444" s="89"/>
    </row>
    <row r="445" spans="1:32" ht="15.5" x14ac:dyDescent="0.35">
      <c r="A445" s="82">
        <v>40410</v>
      </c>
      <c r="B445" s="83">
        <v>6813.1</v>
      </c>
      <c r="C445" s="84">
        <v>2179.8000000000002</v>
      </c>
      <c r="D445" s="61">
        <v>230.7</v>
      </c>
      <c r="E445" s="61">
        <v>13.7</v>
      </c>
      <c r="F445" s="61">
        <v>35.6</v>
      </c>
      <c r="G445" s="61">
        <v>24.2</v>
      </c>
      <c r="H445" s="61">
        <v>39.4</v>
      </c>
      <c r="I445" s="61">
        <v>9.8000000000000007</v>
      </c>
      <c r="J445" s="61">
        <v>49</v>
      </c>
      <c r="K445" s="61">
        <v>20.399999999999999</v>
      </c>
      <c r="L445" s="61">
        <v>34.299999999999997</v>
      </c>
      <c r="M445" s="61">
        <v>36.9</v>
      </c>
      <c r="N445" s="61">
        <v>40.1</v>
      </c>
      <c r="O445" s="85">
        <v>17.600000000000001</v>
      </c>
      <c r="P445" s="105"/>
      <c r="Q445" s="87">
        <f t="shared" si="43"/>
        <v>-5.4744128054020945E-3</v>
      </c>
      <c r="R445" s="87">
        <f t="shared" si="46"/>
        <v>4.129671749791601E-4</v>
      </c>
      <c r="S445" s="87">
        <f t="shared" si="46"/>
        <v>-1.3775508410425468E-2</v>
      </c>
      <c r="T445" s="87">
        <f t="shared" si="46"/>
        <v>-7.2727593290799206E-3</v>
      </c>
      <c r="U445" s="87">
        <f t="shared" si="46"/>
        <v>2.8129413766146577E-3</v>
      </c>
      <c r="V445" s="87">
        <f t="shared" si="46"/>
        <v>0</v>
      </c>
      <c r="W445" s="87">
        <f t="shared" si="46"/>
        <v>-1.0101095986503821E-2</v>
      </c>
      <c r="X445" s="87">
        <f t="shared" si="45"/>
        <v>-2.0202707317519355E-2</v>
      </c>
      <c r="Y445" s="87">
        <f t="shared" si="41"/>
        <v>6.1412680220824288E-3</v>
      </c>
      <c r="Z445" s="87">
        <f t="shared" si="41"/>
        <v>0</v>
      </c>
      <c r="AA445" s="87">
        <f t="shared" si="41"/>
        <v>-5.8139698654199566E-3</v>
      </c>
      <c r="AB445" s="87">
        <f t="shared" si="41"/>
        <v>-2.4097551579060416E-2</v>
      </c>
      <c r="AC445" s="87">
        <f t="shared" si="41"/>
        <v>-1.4851758136025814E-2</v>
      </c>
      <c r="AD445" s="87">
        <f t="shared" si="40"/>
        <v>0</v>
      </c>
      <c r="AE445" s="90">
        <f t="shared" si="44"/>
        <v>-3.1048617235733197E-3</v>
      </c>
      <c r="AF445" s="89"/>
    </row>
    <row r="446" spans="1:32" ht="15.5" x14ac:dyDescent="0.35">
      <c r="A446" s="82">
        <v>40413</v>
      </c>
      <c r="B446" s="83">
        <v>6785</v>
      </c>
      <c r="C446" s="84">
        <v>2159.6</v>
      </c>
      <c r="D446" s="61">
        <v>229.1</v>
      </c>
      <c r="E446" s="61">
        <v>13.5</v>
      </c>
      <c r="F446" s="61">
        <v>35</v>
      </c>
      <c r="G446" s="61">
        <v>24.2</v>
      </c>
      <c r="H446" s="61">
        <v>40.799999999999997</v>
      </c>
      <c r="I446" s="61">
        <v>9.6</v>
      </c>
      <c r="J446" s="61">
        <v>50</v>
      </c>
      <c r="K446" s="61">
        <v>20.9</v>
      </c>
      <c r="L446" s="61">
        <v>34.6</v>
      </c>
      <c r="M446" s="61">
        <v>36.700000000000003</v>
      </c>
      <c r="N446" s="61">
        <v>40.200000000000003</v>
      </c>
      <c r="O446" s="85">
        <v>17.7</v>
      </c>
      <c r="P446" s="105"/>
      <c r="Q446" s="87">
        <f t="shared" si="43"/>
        <v>-4.1329362187918026E-3</v>
      </c>
      <c r="R446" s="87">
        <f t="shared" si="46"/>
        <v>-9.3101101110794355E-3</v>
      </c>
      <c r="S446" s="87">
        <f t="shared" si="46"/>
        <v>-6.9595757202581751E-3</v>
      </c>
      <c r="T446" s="87">
        <f t="shared" si="46"/>
        <v>-1.4706147389695449E-2</v>
      </c>
      <c r="U446" s="87">
        <f t="shared" si="46"/>
        <v>-1.6997576368571136E-2</v>
      </c>
      <c r="V446" s="87">
        <f t="shared" si="46"/>
        <v>0</v>
      </c>
      <c r="W446" s="87">
        <f t="shared" si="46"/>
        <v>3.4916265106227883E-2</v>
      </c>
      <c r="X446" s="87">
        <f t="shared" si="45"/>
        <v>-2.0619287202735818E-2</v>
      </c>
      <c r="Y446" s="87">
        <f t="shared" si="41"/>
        <v>2.0202707317519469E-2</v>
      </c>
      <c r="Z446" s="87">
        <f t="shared" si="41"/>
        <v>2.421425812059453E-2</v>
      </c>
      <c r="AA446" s="87">
        <f t="shared" si="41"/>
        <v>8.7083278917844138E-3</v>
      </c>
      <c r="AB446" s="87">
        <f t="shared" si="41"/>
        <v>-5.4347959859568327E-3</v>
      </c>
      <c r="AC446" s="87">
        <f t="shared" si="41"/>
        <v>2.4906613124518304E-3</v>
      </c>
      <c r="AD446" s="87">
        <f t="shared" si="40"/>
        <v>5.6657375356772999E-3</v>
      </c>
      <c r="AE446" s="90">
        <f t="shared" si="44"/>
        <v>-8.999815278777119E-3</v>
      </c>
      <c r="AF446" s="89"/>
    </row>
    <row r="447" spans="1:32" ht="15.5" x14ac:dyDescent="0.35">
      <c r="A447" s="82">
        <v>40414</v>
      </c>
      <c r="B447" s="83">
        <v>6681</v>
      </c>
      <c r="C447" s="84">
        <v>2123.8000000000002</v>
      </c>
      <c r="D447" s="61">
        <v>225.7</v>
      </c>
      <c r="E447" s="61">
        <v>13.4</v>
      </c>
      <c r="F447" s="61">
        <v>34.1</v>
      </c>
      <c r="G447" s="61">
        <v>24</v>
      </c>
      <c r="H447" s="61">
        <v>41.1</v>
      </c>
      <c r="I447" s="61">
        <v>9.3000000000000007</v>
      </c>
      <c r="J447" s="61">
        <v>49.3</v>
      </c>
      <c r="K447" s="61">
        <v>20.2</v>
      </c>
      <c r="L447" s="61">
        <v>34.200000000000003</v>
      </c>
      <c r="M447" s="61">
        <v>36.200000000000003</v>
      </c>
      <c r="N447" s="61">
        <v>39.299999999999997</v>
      </c>
      <c r="O447" s="85">
        <v>17.399999999999999</v>
      </c>
      <c r="P447" s="105"/>
      <c r="Q447" s="87">
        <f t="shared" si="43"/>
        <v>-1.544661634349221E-2</v>
      </c>
      <c r="R447" s="87">
        <f t="shared" si="46"/>
        <v>-1.6716082374386591E-2</v>
      </c>
      <c r="S447" s="87">
        <f t="shared" si="46"/>
        <v>-1.4951905635959897E-2</v>
      </c>
      <c r="T447" s="87">
        <f t="shared" si="46"/>
        <v>-7.4349784875180902E-3</v>
      </c>
      <c r="U447" s="87">
        <f t="shared" si="46"/>
        <v>-2.605067719994255E-2</v>
      </c>
      <c r="V447" s="87">
        <f t="shared" si="46"/>
        <v>-8.2988028146950658E-3</v>
      </c>
      <c r="W447" s="87">
        <f t="shared" si="46"/>
        <v>7.3260400920731016E-3</v>
      </c>
      <c r="X447" s="87">
        <f t="shared" si="45"/>
        <v>-3.1748698314580187E-2</v>
      </c>
      <c r="Y447" s="87">
        <f t="shared" si="45"/>
        <v>-1.4098924379501648E-2</v>
      </c>
      <c r="Z447" s="87">
        <f t="shared" si="45"/>
        <v>-3.4066554563606195E-2</v>
      </c>
      <c r="AA447" s="87">
        <f t="shared" si="45"/>
        <v>-1.1628037995119099E-2</v>
      </c>
      <c r="AB447" s="87">
        <f t="shared" si="45"/>
        <v>-1.3717636228799195E-2</v>
      </c>
      <c r="AC447" s="87">
        <f t="shared" si="45"/>
        <v>-2.2642476749760006E-2</v>
      </c>
      <c r="AD447" s="87">
        <f t="shared" si="40"/>
        <v>-1.7094433359300183E-2</v>
      </c>
      <c r="AE447" s="90">
        <f t="shared" si="44"/>
        <v>-1.8914706255434763E-2</v>
      </c>
      <c r="AF447" s="89"/>
    </row>
    <row r="448" spans="1:32" ht="15.5" x14ac:dyDescent="0.35">
      <c r="A448" s="82">
        <v>40415</v>
      </c>
      <c r="B448" s="83">
        <v>6696.1</v>
      </c>
      <c r="C448" s="84">
        <v>2141.5</v>
      </c>
      <c r="D448" s="61">
        <v>225.2</v>
      </c>
      <c r="E448" s="61">
        <v>13.1</v>
      </c>
      <c r="F448" s="61">
        <v>33.9</v>
      </c>
      <c r="G448" s="61">
        <v>23.9</v>
      </c>
      <c r="H448" s="61">
        <v>41</v>
      </c>
      <c r="I448" s="61">
        <v>9.1</v>
      </c>
      <c r="J448" s="61">
        <v>48.2</v>
      </c>
      <c r="K448" s="61">
        <v>20.3</v>
      </c>
      <c r="L448" s="61">
        <v>34</v>
      </c>
      <c r="M448" s="61">
        <v>35.4</v>
      </c>
      <c r="N448" s="61">
        <v>38.9</v>
      </c>
      <c r="O448" s="85">
        <v>17.100000000000001</v>
      </c>
      <c r="P448" s="105"/>
      <c r="Q448" s="87">
        <f t="shared" si="43"/>
        <v>2.2575904214464778E-3</v>
      </c>
      <c r="R448" s="87">
        <f t="shared" si="46"/>
        <v>8.2995810856805081E-3</v>
      </c>
      <c r="S448" s="87">
        <f t="shared" si="46"/>
        <v>-2.2177875579546587E-3</v>
      </c>
      <c r="T448" s="87">
        <f t="shared" si="46"/>
        <v>-2.2642476749759891E-2</v>
      </c>
      <c r="U448" s="87">
        <f t="shared" si="46"/>
        <v>-5.8823699030666364E-3</v>
      </c>
      <c r="V448" s="87">
        <f t="shared" si="46"/>
        <v>-4.1753714104807334E-3</v>
      </c>
      <c r="W448" s="87">
        <f t="shared" si="46"/>
        <v>-2.4360547978811158E-3</v>
      </c>
      <c r="X448" s="87">
        <f t="shared" si="45"/>
        <v>-2.173998663640599E-2</v>
      </c>
      <c r="Y448" s="87">
        <f t="shared" si="45"/>
        <v>-2.2565059992089676E-2</v>
      </c>
      <c r="Z448" s="87">
        <f t="shared" si="45"/>
        <v>4.9382816405825767E-3</v>
      </c>
      <c r="AA448" s="87">
        <f t="shared" si="45"/>
        <v>-5.8651194523981339E-3</v>
      </c>
      <c r="AB448" s="87">
        <f t="shared" si="45"/>
        <v>-2.2347298691996774E-2</v>
      </c>
      <c r="AC448" s="87">
        <f t="shared" si="45"/>
        <v>-1.0230268250814922E-2</v>
      </c>
      <c r="AD448" s="87">
        <f t="shared" si="40"/>
        <v>-1.7391742711868996E-2</v>
      </c>
      <c r="AE448" s="90">
        <f t="shared" si="44"/>
        <v>-1.9574364561848511E-3</v>
      </c>
      <c r="AF448" s="89"/>
    </row>
    <row r="449" spans="1:32" ht="15.5" x14ac:dyDescent="0.35">
      <c r="A449" s="82">
        <v>40416</v>
      </c>
      <c r="B449" s="83">
        <v>6665.3</v>
      </c>
      <c r="C449" s="84">
        <v>2118.6999999999998</v>
      </c>
      <c r="D449" s="61">
        <v>225.5</v>
      </c>
      <c r="E449" s="61">
        <v>13.2</v>
      </c>
      <c r="F449" s="61">
        <v>34.299999999999997</v>
      </c>
      <c r="G449" s="61">
        <v>23.8</v>
      </c>
      <c r="H449" s="61">
        <v>42</v>
      </c>
      <c r="I449" s="61">
        <v>9.6</v>
      </c>
      <c r="J449" s="61">
        <v>48.2</v>
      </c>
      <c r="K449" s="61">
        <v>20.3</v>
      </c>
      <c r="L449" s="61">
        <v>34.299999999999997</v>
      </c>
      <c r="M449" s="61">
        <v>36.299999999999997</v>
      </c>
      <c r="N449" s="61">
        <v>39.299999999999997</v>
      </c>
      <c r="O449" s="85">
        <v>17.600000000000001</v>
      </c>
      <c r="P449" s="105"/>
      <c r="Q449" s="87">
        <f t="shared" si="43"/>
        <v>-4.6103034942775465E-3</v>
      </c>
      <c r="R449" s="87">
        <f t="shared" si="46"/>
        <v>-1.0703825025180842E-2</v>
      </c>
      <c r="S449" s="87">
        <f t="shared" si="46"/>
        <v>1.331262677197806E-3</v>
      </c>
      <c r="T449" s="87">
        <f t="shared" si="46"/>
        <v>7.6045993852192125E-3</v>
      </c>
      <c r="U449" s="87">
        <f t="shared" si="46"/>
        <v>1.17303397854896E-2</v>
      </c>
      <c r="V449" s="87">
        <f t="shared" si="46"/>
        <v>-4.1928782600359274E-3</v>
      </c>
      <c r="W449" s="87">
        <f t="shared" si="46"/>
        <v>2.4097551579060524E-2</v>
      </c>
      <c r="X449" s="87">
        <f t="shared" si="45"/>
        <v>5.3488684950986222E-2</v>
      </c>
      <c r="Y449" s="87">
        <f t="shared" si="45"/>
        <v>0</v>
      </c>
      <c r="Z449" s="87">
        <f t="shared" si="45"/>
        <v>0</v>
      </c>
      <c r="AA449" s="87">
        <f t="shared" si="45"/>
        <v>8.7848295557328114E-3</v>
      </c>
      <c r="AB449" s="87">
        <f t="shared" si="45"/>
        <v>2.5105921131076261E-2</v>
      </c>
      <c r="AC449" s="87">
        <f t="shared" si="45"/>
        <v>1.0230268250814823E-2</v>
      </c>
      <c r="AD449" s="87">
        <f t="shared" si="40"/>
        <v>2.8820438535491884E-2</v>
      </c>
      <c r="AE449" s="90">
        <f t="shared" si="44"/>
        <v>4.0385252430437816E-3</v>
      </c>
      <c r="AF449" s="89"/>
    </row>
    <row r="450" spans="1:32" ht="15.5" x14ac:dyDescent="0.35">
      <c r="A450" s="82">
        <v>40417</v>
      </c>
      <c r="B450" s="83">
        <v>6794.9</v>
      </c>
      <c r="C450" s="84">
        <v>2153.6</v>
      </c>
      <c r="D450" s="61">
        <v>224.1</v>
      </c>
      <c r="E450" s="61">
        <v>13</v>
      </c>
      <c r="F450" s="61">
        <v>33.700000000000003</v>
      </c>
      <c r="G450" s="61">
        <v>23.5</v>
      </c>
      <c r="H450" s="61">
        <v>41.6</v>
      </c>
      <c r="I450" s="61">
        <v>9.4</v>
      </c>
      <c r="J450" s="61">
        <v>48.4</v>
      </c>
      <c r="K450" s="61">
        <v>19.899999999999999</v>
      </c>
      <c r="L450" s="61">
        <v>34.299999999999997</v>
      </c>
      <c r="M450" s="61">
        <v>36.1</v>
      </c>
      <c r="N450" s="61">
        <v>39</v>
      </c>
      <c r="O450" s="85">
        <v>17.399999999999999</v>
      </c>
      <c r="P450" s="105"/>
      <c r="Q450" s="87">
        <f t="shared" si="43"/>
        <v>1.925736692084758E-2</v>
      </c>
      <c r="R450" s="87">
        <f t="shared" si="46"/>
        <v>1.6338167420163859E-2</v>
      </c>
      <c r="S450" s="87">
        <f t="shared" si="46"/>
        <v>-6.2277781358517402E-3</v>
      </c>
      <c r="T450" s="87">
        <f t="shared" si="46"/>
        <v>-1.5267472130788421E-2</v>
      </c>
      <c r="U450" s="87">
        <f t="shared" si="46"/>
        <v>-1.7647516813578002E-2</v>
      </c>
      <c r="V450" s="87">
        <f t="shared" si="46"/>
        <v>-1.26851595273158E-2</v>
      </c>
      <c r="W450" s="87">
        <f t="shared" si="46"/>
        <v>-9.5694510161506725E-3</v>
      </c>
      <c r="X450" s="87">
        <f t="shared" si="45"/>
        <v>-2.1053409197832267E-2</v>
      </c>
      <c r="Y450" s="87">
        <f t="shared" si="45"/>
        <v>4.1407926660313871E-3</v>
      </c>
      <c r="Z450" s="87">
        <f t="shared" si="45"/>
        <v>-1.9901154317295024E-2</v>
      </c>
      <c r="AA450" s="87">
        <f t="shared" si="45"/>
        <v>0</v>
      </c>
      <c r="AB450" s="87">
        <f t="shared" si="45"/>
        <v>-5.5248759319696918E-3</v>
      </c>
      <c r="AC450" s="87">
        <f t="shared" si="45"/>
        <v>-7.6628727455690252E-3</v>
      </c>
      <c r="AD450" s="87">
        <f t="shared" si="40"/>
        <v>-1.1428695823622968E-2</v>
      </c>
      <c r="AE450" s="90">
        <f t="shared" si="44"/>
        <v>-3.3611799800123371E-3</v>
      </c>
      <c r="AF450" s="89"/>
    </row>
    <row r="451" spans="1:32" ht="15.5" x14ac:dyDescent="0.35">
      <c r="A451" s="82">
        <v>40420</v>
      </c>
      <c r="B451" s="83">
        <v>6695.3</v>
      </c>
      <c r="C451" s="84">
        <v>2120</v>
      </c>
      <c r="D451" s="61">
        <v>226.4</v>
      </c>
      <c r="E451" s="61">
        <v>13.2</v>
      </c>
      <c r="F451" s="61">
        <v>34.4</v>
      </c>
      <c r="G451" s="61">
        <v>23.6</v>
      </c>
      <c r="H451" s="61">
        <v>42.6</v>
      </c>
      <c r="I451" s="61">
        <v>9.3000000000000007</v>
      </c>
      <c r="J451" s="61">
        <v>48.7</v>
      </c>
      <c r="K451" s="61">
        <v>19.5</v>
      </c>
      <c r="L451" s="61">
        <v>34.700000000000003</v>
      </c>
      <c r="M451" s="61">
        <v>37</v>
      </c>
      <c r="N451" s="61">
        <v>39.6</v>
      </c>
      <c r="O451" s="85">
        <v>17.5</v>
      </c>
      <c r="P451" s="105"/>
      <c r="Q451" s="87">
        <f t="shared" si="43"/>
        <v>-1.4766543092766661E-2</v>
      </c>
      <c r="R451" s="87">
        <f t="shared" si="46"/>
        <v>-1.5724771784350475E-2</v>
      </c>
      <c r="S451" s="87">
        <f t="shared" si="46"/>
        <v>1.0210965522146608E-2</v>
      </c>
      <c r="T451" s="87">
        <f t="shared" si="46"/>
        <v>1.5267472130788381E-2</v>
      </c>
      <c r="U451" s="87">
        <f t="shared" si="46"/>
        <v>2.0558727021036567E-2</v>
      </c>
      <c r="V451" s="87">
        <f t="shared" si="46"/>
        <v>4.2462908814512243E-3</v>
      </c>
      <c r="W451" s="87">
        <f t="shared" si="46"/>
        <v>2.3754086008107057E-2</v>
      </c>
      <c r="X451" s="87">
        <f t="shared" si="45"/>
        <v>-1.0695289116747919E-2</v>
      </c>
      <c r="Y451" s="87">
        <f t="shared" si="45"/>
        <v>6.1792163659581184E-3</v>
      </c>
      <c r="Z451" s="87">
        <f t="shared" si="45"/>
        <v>-2.0305266160745569E-2</v>
      </c>
      <c r="AA451" s="87">
        <f t="shared" si="45"/>
        <v>1.1594332780919446E-2</v>
      </c>
      <c r="AB451" s="87">
        <f t="shared" si="45"/>
        <v>2.4625047305389194E-2</v>
      </c>
      <c r="AC451" s="87">
        <f t="shared" si="45"/>
        <v>1.5267472130788381E-2</v>
      </c>
      <c r="AD451" s="87">
        <f t="shared" si="40"/>
        <v>5.7306747089850745E-3</v>
      </c>
      <c r="AE451" s="90">
        <f t="shared" si="44"/>
        <v>4.8510234069095211E-3</v>
      </c>
      <c r="AF451" s="89"/>
    </row>
    <row r="452" spans="1:32" ht="15.5" x14ac:dyDescent="0.35">
      <c r="A452" s="82">
        <v>40421</v>
      </c>
      <c r="B452" s="83">
        <v>6704.1</v>
      </c>
      <c r="C452" s="84">
        <v>2114</v>
      </c>
      <c r="D452" s="61">
        <v>224.2</v>
      </c>
      <c r="E452" s="61">
        <v>12.9</v>
      </c>
      <c r="F452" s="61">
        <v>34.299999999999997</v>
      </c>
      <c r="G452" s="61">
        <v>23.3</v>
      </c>
      <c r="H452" s="61">
        <v>41.7</v>
      </c>
      <c r="I452" s="61">
        <v>9.1</v>
      </c>
      <c r="J452" s="61">
        <v>48.6</v>
      </c>
      <c r="K452" s="61">
        <v>19.399999999999999</v>
      </c>
      <c r="L452" s="61">
        <v>34.5</v>
      </c>
      <c r="M452" s="61">
        <v>36.700000000000003</v>
      </c>
      <c r="N452" s="61">
        <v>39.1</v>
      </c>
      <c r="O452" s="85">
        <v>17.399999999999999</v>
      </c>
      <c r="P452" s="105"/>
      <c r="Q452" s="87">
        <f t="shared" si="43"/>
        <v>1.3134918377227368E-3</v>
      </c>
      <c r="R452" s="87">
        <f t="shared" si="46"/>
        <v>-2.8342012358752488E-3</v>
      </c>
      <c r="S452" s="87">
        <f t="shared" si="46"/>
        <v>-9.7648356909684018E-3</v>
      </c>
      <c r="T452" s="87">
        <f t="shared" si="46"/>
        <v>-2.2989518224698604E-2</v>
      </c>
      <c r="U452" s="87">
        <f t="shared" si="46"/>
        <v>-2.9112102074584415E-3</v>
      </c>
      <c r="V452" s="87">
        <f t="shared" si="46"/>
        <v>-1.2793351459909582E-2</v>
      </c>
      <c r="W452" s="87">
        <f t="shared" si="46"/>
        <v>-2.1353124470568946E-2</v>
      </c>
      <c r="X452" s="87">
        <f t="shared" si="45"/>
        <v>-2.173998663640599E-2</v>
      </c>
      <c r="Y452" s="87">
        <f t="shared" si="45"/>
        <v>-2.055499182095999E-3</v>
      </c>
      <c r="Z452" s="87">
        <f t="shared" si="45"/>
        <v>-5.1413995004187642E-3</v>
      </c>
      <c r="AA452" s="87">
        <f t="shared" si="45"/>
        <v>-5.7803629154995371E-3</v>
      </c>
      <c r="AB452" s="87">
        <f t="shared" si="45"/>
        <v>-8.1411575836997738E-3</v>
      </c>
      <c r="AC452" s="87">
        <f t="shared" si="45"/>
        <v>-1.2706651269114801E-2</v>
      </c>
      <c r="AD452" s="87">
        <f t="shared" si="40"/>
        <v>-5.7306747089850953E-3</v>
      </c>
      <c r="AE452" s="90">
        <f t="shared" si="44"/>
        <v>-5.2373249037980423E-3</v>
      </c>
      <c r="AF452" s="89"/>
    </row>
    <row r="453" spans="1:32" ht="15.5" x14ac:dyDescent="0.35">
      <c r="A453" s="82">
        <v>40422</v>
      </c>
      <c r="B453" s="83">
        <v>6911</v>
      </c>
      <c r="C453" s="84">
        <v>2176.8000000000002</v>
      </c>
      <c r="D453" s="61">
        <v>226.5</v>
      </c>
      <c r="E453" s="61">
        <v>13.1</v>
      </c>
      <c r="F453" s="61">
        <v>35.200000000000003</v>
      </c>
      <c r="G453" s="61">
        <v>23.5</v>
      </c>
      <c r="H453" s="61">
        <v>42.6</v>
      </c>
      <c r="I453" s="61">
        <v>9.4</v>
      </c>
      <c r="J453" s="61">
        <v>48.6</v>
      </c>
      <c r="K453" s="61">
        <v>20.2</v>
      </c>
      <c r="L453" s="61">
        <v>35.299999999999997</v>
      </c>
      <c r="M453" s="61">
        <v>38.1</v>
      </c>
      <c r="N453" s="61">
        <v>39.9</v>
      </c>
      <c r="O453" s="85">
        <v>17.7</v>
      </c>
      <c r="P453" s="105"/>
      <c r="Q453" s="87">
        <f t="shared" si="43"/>
        <v>3.0395065572944219E-2</v>
      </c>
      <c r="R453" s="87">
        <f t="shared" si="46"/>
        <v>2.9274021038853723E-2</v>
      </c>
      <c r="S453" s="87">
        <f t="shared" si="46"/>
        <v>1.0206434285029228E-2</v>
      </c>
      <c r="T453" s="87">
        <f t="shared" si="46"/>
        <v>1.5384918839479456E-2</v>
      </c>
      <c r="U453" s="87">
        <f t="shared" si="46"/>
        <v>2.5900728432157391E-2</v>
      </c>
      <c r="V453" s="87">
        <f t="shared" si="46"/>
        <v>8.5470605784583476E-3</v>
      </c>
      <c r="W453" s="87">
        <f t="shared" si="46"/>
        <v>2.1353124470568842E-2</v>
      </c>
      <c r="X453" s="87">
        <f t="shared" si="45"/>
        <v>3.2435275753153955E-2</v>
      </c>
      <c r="Y453" s="87">
        <f t="shared" si="45"/>
        <v>0</v>
      </c>
      <c r="Z453" s="87">
        <f t="shared" si="45"/>
        <v>4.0409538337876701E-2</v>
      </c>
      <c r="AA453" s="87">
        <f t="shared" si="45"/>
        <v>2.2923639901937024E-2</v>
      </c>
      <c r="AB453" s="87">
        <f t="shared" si="45"/>
        <v>3.7437527072130591E-2</v>
      </c>
      <c r="AC453" s="87">
        <f t="shared" si="45"/>
        <v>2.0253856904497596E-2</v>
      </c>
      <c r="AD453" s="87">
        <f t="shared" si="40"/>
        <v>1.7094433359300255E-2</v>
      </c>
      <c r="AE453" s="90">
        <f t="shared" si="44"/>
        <v>2.1246748642171687E-2</v>
      </c>
      <c r="AF453" s="89"/>
    </row>
    <row r="454" spans="1:32" ht="15.5" x14ac:dyDescent="0.35">
      <c r="A454" s="82">
        <v>40423</v>
      </c>
      <c r="B454" s="83">
        <v>6966.3</v>
      </c>
      <c r="C454" s="84">
        <v>2200</v>
      </c>
      <c r="D454" s="61">
        <v>230.4</v>
      </c>
      <c r="E454" s="61">
        <v>13.3</v>
      </c>
      <c r="F454" s="61">
        <v>35.5</v>
      </c>
      <c r="G454" s="61">
        <v>23.7</v>
      </c>
      <c r="H454" s="61">
        <v>43.1</v>
      </c>
      <c r="I454" s="61">
        <v>9.6</v>
      </c>
      <c r="J454" s="61">
        <v>48.7</v>
      </c>
      <c r="K454" s="61">
        <v>21</v>
      </c>
      <c r="L454" s="61">
        <v>34.5</v>
      </c>
      <c r="M454" s="61">
        <v>39.5</v>
      </c>
      <c r="N454" s="61">
        <v>40.9</v>
      </c>
      <c r="O454" s="85">
        <v>17.899999999999999</v>
      </c>
      <c r="P454" s="105"/>
      <c r="Q454" s="87">
        <f t="shared" si="43"/>
        <v>7.969892229360934E-3</v>
      </c>
      <c r="R454" s="87">
        <f t="shared" si="46"/>
        <v>1.0601451877370664E-2</v>
      </c>
      <c r="S454" s="87">
        <f t="shared" si="46"/>
        <v>1.7071983898647461E-2</v>
      </c>
      <c r="T454" s="87">
        <f t="shared" si="46"/>
        <v>1.5151805020602246E-2</v>
      </c>
      <c r="U454" s="87">
        <f t="shared" si="46"/>
        <v>8.4866138773187251E-3</v>
      </c>
      <c r="V454" s="87">
        <f t="shared" si="46"/>
        <v>8.4746269909722356E-3</v>
      </c>
      <c r="W454" s="87">
        <f t="shared" si="46"/>
        <v>1.1668743834377424E-2</v>
      </c>
      <c r="X454" s="87">
        <f t="shared" si="45"/>
        <v>2.1053409197832263E-2</v>
      </c>
      <c r="Y454" s="87">
        <f t="shared" si="45"/>
        <v>2.0554991820959595E-3</v>
      </c>
      <c r="Z454" s="87">
        <f t="shared" si="45"/>
        <v>3.8839833316263957E-2</v>
      </c>
      <c r="AA454" s="87">
        <f t="shared" si="45"/>
        <v>-2.2923639901936965E-2</v>
      </c>
      <c r="AB454" s="87">
        <f t="shared" si="45"/>
        <v>3.6086389774420767E-2</v>
      </c>
      <c r="AC454" s="87">
        <f t="shared" si="45"/>
        <v>2.4753739152938395E-2</v>
      </c>
      <c r="AD454" s="87">
        <f t="shared" si="40"/>
        <v>1.1236073266925752E-2</v>
      </c>
      <c r="AE454" s="90">
        <f t="shared" si="44"/>
        <v>1.1968215444669708E-2</v>
      </c>
      <c r="AF454" s="89"/>
    </row>
    <row r="455" spans="1:32" ht="15.5" x14ac:dyDescent="0.35">
      <c r="A455" s="82">
        <v>40424</v>
      </c>
      <c r="B455" s="83">
        <v>7055</v>
      </c>
      <c r="C455" s="84">
        <v>2233.8000000000002</v>
      </c>
      <c r="D455" s="61">
        <v>234</v>
      </c>
      <c r="E455" s="61">
        <v>13.6</v>
      </c>
      <c r="F455" s="61">
        <v>36.4</v>
      </c>
      <c r="G455" s="61">
        <v>24.2</v>
      </c>
      <c r="H455" s="61">
        <v>45</v>
      </c>
      <c r="I455" s="61">
        <v>9.6</v>
      </c>
      <c r="J455" s="61">
        <v>49.1</v>
      </c>
      <c r="K455" s="61">
        <v>21.5</v>
      </c>
      <c r="L455" s="61">
        <v>35.299999999999997</v>
      </c>
      <c r="M455" s="61">
        <v>40.4</v>
      </c>
      <c r="N455" s="61">
        <v>41.9</v>
      </c>
      <c r="O455" s="85">
        <v>18.3</v>
      </c>
      <c r="P455" s="105"/>
      <c r="Q455" s="87">
        <f t="shared" si="43"/>
        <v>1.2652347966159182E-2</v>
      </c>
      <c r="R455" s="87">
        <f t="shared" si="46"/>
        <v>1.5246810760319099E-2</v>
      </c>
      <c r="S455" s="87">
        <f t="shared" si="46"/>
        <v>1.5504186535965254E-2</v>
      </c>
      <c r="T455" s="87">
        <f t="shared" si="46"/>
        <v>2.2305757514298186E-2</v>
      </c>
      <c r="U455" s="87">
        <f t="shared" si="46"/>
        <v>2.5036078161324832E-2</v>
      </c>
      <c r="V455" s="87">
        <f t="shared" si="46"/>
        <v>2.0877585021555178E-2</v>
      </c>
      <c r="W455" s="87">
        <f t="shared" si="46"/>
        <v>4.3139492660617534E-2</v>
      </c>
      <c r="X455" s="87">
        <f t="shared" si="45"/>
        <v>0</v>
      </c>
      <c r="Y455" s="87">
        <f t="shared" si="45"/>
        <v>8.1800047119306891E-3</v>
      </c>
      <c r="Z455" s="87">
        <f t="shared" si="45"/>
        <v>2.3530497410194036E-2</v>
      </c>
      <c r="AA455" s="87">
        <f t="shared" si="45"/>
        <v>2.2923639901937024E-2</v>
      </c>
      <c r="AB455" s="87">
        <f t="shared" si="45"/>
        <v>2.2529113060028104E-2</v>
      </c>
      <c r="AC455" s="87">
        <f t="shared" si="45"/>
        <v>2.4155763879335986E-2</v>
      </c>
      <c r="AD455" s="87">
        <f t="shared" si="40"/>
        <v>2.2100347000666137E-2</v>
      </c>
      <c r="AE455" s="90">
        <f t="shared" si="44"/>
        <v>1.8954329110950945E-2</v>
      </c>
      <c r="AF455" s="89"/>
    </row>
    <row r="456" spans="1:32" ht="15.5" x14ac:dyDescent="0.35">
      <c r="A456" s="82">
        <v>40428</v>
      </c>
      <c r="B456" s="83">
        <v>6959.9</v>
      </c>
      <c r="C456" s="84">
        <v>2208.9</v>
      </c>
      <c r="D456" s="61">
        <v>231.7</v>
      </c>
      <c r="E456" s="61">
        <v>13.5</v>
      </c>
      <c r="F456" s="61">
        <v>36.6</v>
      </c>
      <c r="G456" s="61">
        <v>23.9</v>
      </c>
      <c r="H456" s="61">
        <v>44.9</v>
      </c>
      <c r="I456" s="61">
        <v>9.6999999999999993</v>
      </c>
      <c r="J456" s="61">
        <v>49.4</v>
      </c>
      <c r="K456" s="61">
        <v>20.8</v>
      </c>
      <c r="L456" s="61">
        <v>35.4</v>
      </c>
      <c r="M456" s="61">
        <v>40.1</v>
      </c>
      <c r="N456" s="61">
        <v>41.9</v>
      </c>
      <c r="O456" s="85">
        <v>18.399999999999999</v>
      </c>
      <c r="P456" s="105"/>
      <c r="Q456" s="87">
        <f t="shared" si="43"/>
        <v>-1.3571478877759112E-2</v>
      </c>
      <c r="R456" s="87">
        <f t="shared" si="46"/>
        <v>-1.1209517063945377E-2</v>
      </c>
      <c r="S456" s="87">
        <f t="shared" si="46"/>
        <v>-9.8776839193709838E-3</v>
      </c>
      <c r="T456" s="87">
        <f t="shared" si="46"/>
        <v>-7.3801072976225337E-3</v>
      </c>
      <c r="U456" s="87">
        <f t="shared" si="46"/>
        <v>5.4794657646255705E-3</v>
      </c>
      <c r="V456" s="87">
        <f t="shared" si="46"/>
        <v>-1.2474174225175801E-2</v>
      </c>
      <c r="W456" s="87">
        <f t="shared" si="46"/>
        <v>-2.2246950221111624E-3</v>
      </c>
      <c r="X456" s="87">
        <f t="shared" si="45"/>
        <v>1.0362787035546658E-2</v>
      </c>
      <c r="Y456" s="87">
        <f t="shared" si="45"/>
        <v>6.0913893934019126E-3</v>
      </c>
      <c r="Z456" s="87">
        <f t="shared" si="45"/>
        <v>-3.3099948426344838E-2</v>
      </c>
      <c r="AA456" s="87">
        <f t="shared" si="45"/>
        <v>2.828856200477623E-3</v>
      </c>
      <c r="AB456" s="87">
        <f t="shared" si="45"/>
        <v>-7.4534506545807788E-3</v>
      </c>
      <c r="AC456" s="87">
        <f t="shared" si="45"/>
        <v>0</v>
      </c>
      <c r="AD456" s="87">
        <f t="shared" si="40"/>
        <v>5.4496047675644645E-3</v>
      </c>
      <c r="AE456" s="90">
        <f t="shared" si="44"/>
        <v>-4.0226869751254744E-3</v>
      </c>
      <c r="AF456" s="89"/>
    </row>
    <row r="457" spans="1:32" ht="15.5" x14ac:dyDescent="0.35">
      <c r="A457" s="82">
        <v>40429</v>
      </c>
      <c r="B457" s="83">
        <v>6999.9</v>
      </c>
      <c r="C457" s="84">
        <v>2228.9</v>
      </c>
      <c r="D457" s="61">
        <v>232.5</v>
      </c>
      <c r="E457" s="61">
        <v>13.6</v>
      </c>
      <c r="F457" s="61">
        <v>37</v>
      </c>
      <c r="G457" s="61">
        <v>23.7</v>
      </c>
      <c r="H457" s="61">
        <v>45.3</v>
      </c>
      <c r="I457" s="61">
        <v>9.6999999999999993</v>
      </c>
      <c r="J457" s="61">
        <v>49.8</v>
      </c>
      <c r="K457" s="61">
        <v>20.8</v>
      </c>
      <c r="L457" s="61">
        <v>35.299999999999997</v>
      </c>
      <c r="M457" s="61">
        <v>40.200000000000003</v>
      </c>
      <c r="N457" s="61">
        <v>41.5</v>
      </c>
      <c r="O457" s="85">
        <v>18.5</v>
      </c>
      <c r="P457" s="105"/>
      <c r="Q457" s="87">
        <f t="shared" si="43"/>
        <v>5.7307568119675393E-3</v>
      </c>
      <c r="R457" s="87">
        <f t="shared" si="46"/>
        <v>9.0135361693663377E-3</v>
      </c>
      <c r="S457" s="87">
        <f t="shared" si="46"/>
        <v>3.4467935890805153E-3</v>
      </c>
      <c r="T457" s="87">
        <f t="shared" si="46"/>
        <v>7.38010729762246E-3</v>
      </c>
      <c r="U457" s="87">
        <f t="shared" si="46"/>
        <v>1.0869672236903891E-2</v>
      </c>
      <c r="V457" s="87">
        <f t="shared" si="46"/>
        <v>-8.4034107963795041E-3</v>
      </c>
      <c r="W457" s="87">
        <f t="shared" si="46"/>
        <v>8.8692377407797902E-3</v>
      </c>
      <c r="X457" s="87">
        <f t="shared" si="45"/>
        <v>0</v>
      </c>
      <c r="Y457" s="87">
        <f t="shared" si="45"/>
        <v>8.0645598367304946E-3</v>
      </c>
      <c r="Z457" s="87">
        <f t="shared" si="45"/>
        <v>0</v>
      </c>
      <c r="AA457" s="87">
        <f t="shared" si="45"/>
        <v>-2.8288562004777137E-3</v>
      </c>
      <c r="AB457" s="87">
        <f t="shared" si="45"/>
        <v>2.4906613124518304E-3</v>
      </c>
      <c r="AC457" s="87">
        <f t="shared" si="45"/>
        <v>-9.5923996914394089E-3</v>
      </c>
      <c r="AD457" s="87">
        <f t="shared" si="45"/>
        <v>5.4200674693393345E-3</v>
      </c>
      <c r="AE457" s="90">
        <f t="shared" si="44"/>
        <v>7.4777542510078574E-3</v>
      </c>
      <c r="AF457" s="89"/>
    </row>
    <row r="458" spans="1:32" ht="15.5" x14ac:dyDescent="0.35">
      <c r="A458" s="82">
        <v>40430</v>
      </c>
      <c r="B458" s="83">
        <v>7034.4</v>
      </c>
      <c r="C458" s="84">
        <v>2236.1999999999998</v>
      </c>
      <c r="D458" s="61">
        <v>235.5</v>
      </c>
      <c r="E458" s="61">
        <v>13.6</v>
      </c>
      <c r="F458" s="61">
        <v>37.6</v>
      </c>
      <c r="G458" s="61">
        <v>24</v>
      </c>
      <c r="H458" s="61">
        <v>45.5</v>
      </c>
      <c r="I458" s="61">
        <v>10</v>
      </c>
      <c r="J458" s="61">
        <v>49.5</v>
      </c>
      <c r="K458" s="61">
        <v>20.6</v>
      </c>
      <c r="L458" s="61">
        <v>35.799999999999997</v>
      </c>
      <c r="M458" s="61">
        <v>40.5</v>
      </c>
      <c r="N458" s="61">
        <v>42</v>
      </c>
      <c r="O458" s="85">
        <v>18.399999999999999</v>
      </c>
      <c r="P458" s="105"/>
      <c r="Q458" s="87">
        <f t="shared" si="43"/>
        <v>4.916535843669528E-3</v>
      </c>
      <c r="R458" s="87">
        <f t="shared" si="46"/>
        <v>3.269806501120381E-3</v>
      </c>
      <c r="S458" s="87">
        <f t="shared" si="46"/>
        <v>1.2820688429061469E-2</v>
      </c>
      <c r="T458" s="87">
        <f t="shared" si="46"/>
        <v>0</v>
      </c>
      <c r="U458" s="87">
        <f t="shared" si="46"/>
        <v>1.6086137751624444E-2</v>
      </c>
      <c r="V458" s="87">
        <f t="shared" si="46"/>
        <v>1.2578782206860185E-2</v>
      </c>
      <c r="W458" s="87">
        <f t="shared" si="46"/>
        <v>4.4052934679164176E-3</v>
      </c>
      <c r="X458" s="87">
        <f t="shared" si="45"/>
        <v>3.0459207484708654E-2</v>
      </c>
      <c r="Y458" s="87">
        <f t="shared" si="45"/>
        <v>-6.0423144559625863E-3</v>
      </c>
      <c r="Z458" s="87">
        <f t="shared" si="45"/>
        <v>-9.6619109117368589E-3</v>
      </c>
      <c r="AA458" s="87">
        <f t="shared" si="45"/>
        <v>1.4064929467403457E-2</v>
      </c>
      <c r="AB458" s="87">
        <f t="shared" si="45"/>
        <v>7.4349784875179905E-3</v>
      </c>
      <c r="AC458" s="87">
        <f t="shared" si="45"/>
        <v>1.197619104671562E-2</v>
      </c>
      <c r="AD458" s="87">
        <f t="shared" si="45"/>
        <v>-5.4200674693392556E-3</v>
      </c>
      <c r="AE458" s="90">
        <f t="shared" si="44"/>
        <v>8.674413026018464E-3</v>
      </c>
      <c r="AF458" s="89"/>
    </row>
    <row r="459" spans="1:32" ht="15.5" x14ac:dyDescent="0.35">
      <c r="A459" s="82">
        <v>40431</v>
      </c>
      <c r="B459" s="83">
        <v>7067.5</v>
      </c>
      <c r="C459" s="84">
        <v>2242.5</v>
      </c>
      <c r="D459" s="61">
        <v>237.8</v>
      </c>
      <c r="E459" s="61">
        <v>13.5</v>
      </c>
      <c r="F459" s="61">
        <v>37.299999999999997</v>
      </c>
      <c r="G459" s="61">
        <v>23.8</v>
      </c>
      <c r="H459" s="61">
        <v>46.9</v>
      </c>
      <c r="I459" s="61">
        <v>10.1</v>
      </c>
      <c r="J459" s="61">
        <v>49.4</v>
      </c>
      <c r="K459" s="61">
        <v>20.6</v>
      </c>
      <c r="L459" s="61">
        <v>36.1</v>
      </c>
      <c r="M459" s="61">
        <v>40</v>
      </c>
      <c r="N459" s="61">
        <v>42.3</v>
      </c>
      <c r="O459" s="85">
        <v>18.399999999999999</v>
      </c>
      <c r="P459" s="105"/>
      <c r="Q459" s="87">
        <f t="shared" si="43"/>
        <v>4.6944115029531963E-3</v>
      </c>
      <c r="R459" s="87">
        <f t="shared" si="46"/>
        <v>2.8133182196834602E-3</v>
      </c>
      <c r="S459" s="87">
        <f t="shared" si="46"/>
        <v>9.7190708002090152E-3</v>
      </c>
      <c r="T459" s="87">
        <f t="shared" si="46"/>
        <v>-7.3801072976225337E-3</v>
      </c>
      <c r="U459" s="87">
        <f t="shared" si="46"/>
        <v>-8.010723746079083E-3</v>
      </c>
      <c r="V459" s="87">
        <f t="shared" si="46"/>
        <v>-8.3682496705165792E-3</v>
      </c>
      <c r="W459" s="87">
        <f t="shared" si="46"/>
        <v>3.0305349495328843E-2</v>
      </c>
      <c r="X459" s="87">
        <f t="shared" si="45"/>
        <v>9.950330853168092E-3</v>
      </c>
      <c r="Y459" s="87">
        <f t="shared" si="45"/>
        <v>-2.022245380767809E-3</v>
      </c>
      <c r="Z459" s="87">
        <f t="shared" si="45"/>
        <v>0</v>
      </c>
      <c r="AA459" s="87">
        <f t="shared" si="45"/>
        <v>8.3449719321806882E-3</v>
      </c>
      <c r="AB459" s="87">
        <f t="shared" si="45"/>
        <v>-1.2422519998557209E-2</v>
      </c>
      <c r="AC459" s="87">
        <f t="shared" si="45"/>
        <v>7.1174677688639549E-3</v>
      </c>
      <c r="AD459" s="87">
        <f t="shared" si="45"/>
        <v>0</v>
      </c>
      <c r="AE459" s="90">
        <f t="shared" si="44"/>
        <v>1.3981074154130351E-3</v>
      </c>
      <c r="AF459" s="89"/>
    </row>
    <row r="460" spans="1:32" ht="15.5" x14ac:dyDescent="0.35">
      <c r="A460" s="82">
        <v>40434</v>
      </c>
      <c r="B460" s="83">
        <v>7156.2</v>
      </c>
      <c r="C460" s="84">
        <v>2285.6999999999998</v>
      </c>
      <c r="D460" s="61">
        <v>240</v>
      </c>
      <c r="E460" s="61">
        <v>13.6</v>
      </c>
      <c r="F460" s="61">
        <v>38</v>
      </c>
      <c r="G460" s="61">
        <v>24.1</v>
      </c>
      <c r="H460" s="61">
        <v>47.3</v>
      </c>
      <c r="I460" s="61">
        <v>10.4</v>
      </c>
      <c r="J460" s="61">
        <v>49</v>
      </c>
      <c r="K460" s="61">
        <v>21.3</v>
      </c>
      <c r="L460" s="61">
        <v>36</v>
      </c>
      <c r="M460" s="61">
        <v>40.9</v>
      </c>
      <c r="N460" s="61">
        <v>42.9</v>
      </c>
      <c r="O460" s="85">
        <v>18.600000000000001</v>
      </c>
      <c r="P460" s="105"/>
      <c r="Q460" s="87">
        <f t="shared" si="43"/>
        <v>1.2472303244932982E-2</v>
      </c>
      <c r="R460" s="87">
        <f t="shared" si="46"/>
        <v>1.9081008214122386E-2</v>
      </c>
      <c r="S460" s="87">
        <f t="shared" si="46"/>
        <v>9.2089390853099078E-3</v>
      </c>
      <c r="T460" s="87">
        <f t="shared" si="46"/>
        <v>7.38010729762246E-3</v>
      </c>
      <c r="U460" s="87">
        <f t="shared" si="46"/>
        <v>1.8592833076615925E-2</v>
      </c>
      <c r="V460" s="87">
        <f t="shared" si="46"/>
        <v>1.2526259819180256E-2</v>
      </c>
      <c r="W460" s="87">
        <f t="shared" si="46"/>
        <v>8.4926200456535966E-3</v>
      </c>
      <c r="X460" s="87">
        <f t="shared" si="45"/>
        <v>2.9270382300113237E-2</v>
      </c>
      <c r="Y460" s="87">
        <f t="shared" si="45"/>
        <v>-8.1301260832501755E-3</v>
      </c>
      <c r="Z460" s="87">
        <f t="shared" si="45"/>
        <v>3.3415996919844017E-2</v>
      </c>
      <c r="AA460" s="87">
        <f t="shared" si="45"/>
        <v>-2.7739268827253194E-3</v>
      </c>
      <c r="AB460" s="87">
        <f t="shared" si="45"/>
        <v>2.2250608934819723E-2</v>
      </c>
      <c r="AC460" s="87">
        <f t="shared" si="45"/>
        <v>1.4084739881739023E-2</v>
      </c>
      <c r="AD460" s="87">
        <f t="shared" si="45"/>
        <v>1.0810916104215676E-2</v>
      </c>
      <c r="AE460" s="90">
        <f t="shared" si="44"/>
        <v>1.5046015063737301E-2</v>
      </c>
      <c r="AF460" s="89"/>
    </row>
    <row r="461" spans="1:32" ht="15.5" x14ac:dyDescent="0.35">
      <c r="A461" s="82">
        <v>40435</v>
      </c>
      <c r="B461" s="83">
        <v>7162.1</v>
      </c>
      <c r="C461" s="84">
        <v>2289.8000000000002</v>
      </c>
      <c r="D461" s="61">
        <v>240.3</v>
      </c>
      <c r="E461" s="61">
        <v>13.6</v>
      </c>
      <c r="F461" s="61">
        <v>37.9</v>
      </c>
      <c r="G461" s="61">
        <v>24.9</v>
      </c>
      <c r="H461" s="61">
        <v>46.9</v>
      </c>
      <c r="I461" s="61">
        <v>10.5</v>
      </c>
      <c r="J461" s="61">
        <v>48.8</v>
      </c>
      <c r="K461" s="61">
        <v>23</v>
      </c>
      <c r="L461" s="61">
        <v>36.1</v>
      </c>
      <c r="M461" s="61">
        <v>40.5</v>
      </c>
      <c r="N461" s="61">
        <v>42.3</v>
      </c>
      <c r="O461" s="85">
        <v>18.600000000000001</v>
      </c>
      <c r="P461" s="105"/>
      <c r="Q461" s="87">
        <f t="shared" si="43"/>
        <v>8.2412022850863944E-4</v>
      </c>
      <c r="R461" s="87">
        <f t="shared" si="46"/>
        <v>1.7921543426384658E-3</v>
      </c>
      <c r="S461" s="87">
        <f t="shared" si="46"/>
        <v>1.2492194004318981E-3</v>
      </c>
      <c r="T461" s="87">
        <f t="shared" si="46"/>
        <v>0</v>
      </c>
      <c r="U461" s="87">
        <f t="shared" si="46"/>
        <v>-2.6350476380051138E-3</v>
      </c>
      <c r="V461" s="87">
        <f t="shared" si="46"/>
        <v>3.2655962974052502E-2</v>
      </c>
      <c r="W461" s="87">
        <f t="shared" si="46"/>
        <v>-8.4926200456535879E-3</v>
      </c>
      <c r="X461" s="87">
        <f t="shared" si="45"/>
        <v>9.5694510161506725E-3</v>
      </c>
      <c r="Y461" s="87">
        <f t="shared" si="45"/>
        <v>-4.0899852515251661E-3</v>
      </c>
      <c r="Z461" s="87">
        <f t="shared" si="45"/>
        <v>7.6787143213770295E-2</v>
      </c>
      <c r="AA461" s="87">
        <f t="shared" si="45"/>
        <v>2.7739268827252244E-3</v>
      </c>
      <c r="AB461" s="87">
        <f t="shared" si="45"/>
        <v>-9.8280889362625384E-3</v>
      </c>
      <c r="AC461" s="87">
        <f t="shared" si="45"/>
        <v>-1.4084739881739085E-2</v>
      </c>
      <c r="AD461" s="87">
        <f t="shared" si="45"/>
        <v>0</v>
      </c>
      <c r="AE461" s="90">
        <f t="shared" si="44"/>
        <v>1.4945977069760784E-4</v>
      </c>
      <c r="AF461" s="89"/>
    </row>
    <row r="462" spans="1:32" ht="15.5" x14ac:dyDescent="0.35">
      <c r="A462" s="82">
        <v>40436</v>
      </c>
      <c r="B462" s="83">
        <v>7179.8</v>
      </c>
      <c r="C462" s="84">
        <v>2301.3000000000002</v>
      </c>
      <c r="D462" s="61">
        <v>239.5</v>
      </c>
      <c r="E462" s="61">
        <v>13.8</v>
      </c>
      <c r="F462" s="61">
        <v>38.299999999999997</v>
      </c>
      <c r="G462" s="61">
        <v>24.9</v>
      </c>
      <c r="H462" s="61">
        <v>46.7</v>
      </c>
      <c r="I462" s="61">
        <v>10.5</v>
      </c>
      <c r="J462" s="61">
        <v>48.7</v>
      </c>
      <c r="K462" s="61">
        <v>23.6</v>
      </c>
      <c r="L462" s="61">
        <v>36.200000000000003</v>
      </c>
      <c r="M462" s="61">
        <v>40.200000000000003</v>
      </c>
      <c r="N462" s="61">
        <v>42.3</v>
      </c>
      <c r="O462" s="85">
        <v>18.7</v>
      </c>
      <c r="P462" s="105"/>
      <c r="Q462" s="87">
        <f t="shared" ref="Q462:Q525" si="47">+LN(B462/B461)</f>
        <v>2.4682934599175167E-3</v>
      </c>
      <c r="R462" s="87">
        <f t="shared" si="46"/>
        <v>5.009703143648429E-3</v>
      </c>
      <c r="S462" s="87">
        <f t="shared" si="46"/>
        <v>-3.3347258914533853E-3</v>
      </c>
      <c r="T462" s="87">
        <f t="shared" si="46"/>
        <v>1.4598799421152851E-2</v>
      </c>
      <c r="U462" s="87">
        <f t="shared" si="46"/>
        <v>1.049878409821957E-2</v>
      </c>
      <c r="V462" s="87">
        <f t="shared" si="46"/>
        <v>0</v>
      </c>
      <c r="W462" s="87">
        <f t="shared" si="46"/>
        <v>-4.2735107773819378E-3</v>
      </c>
      <c r="X462" s="87">
        <f t="shared" si="45"/>
        <v>0</v>
      </c>
      <c r="Y462" s="87">
        <f t="shared" si="45"/>
        <v>-2.0512827705572493E-3</v>
      </c>
      <c r="Z462" s="87">
        <f t="shared" si="45"/>
        <v>2.5752496102414764E-2</v>
      </c>
      <c r="AA462" s="87">
        <f t="shared" si="45"/>
        <v>2.76625349289011E-3</v>
      </c>
      <c r="AB462" s="87">
        <f t="shared" si="45"/>
        <v>-7.4349784875179783E-3</v>
      </c>
      <c r="AC462" s="87">
        <f t="shared" si="45"/>
        <v>0</v>
      </c>
      <c r="AD462" s="87">
        <f t="shared" si="45"/>
        <v>5.3619431413853731E-3</v>
      </c>
      <c r="AE462" s="90">
        <f t="shared" si="44"/>
        <v>4.1791080496465507E-3</v>
      </c>
      <c r="AF462" s="89"/>
    </row>
    <row r="463" spans="1:32" ht="15.5" x14ac:dyDescent="0.35">
      <c r="A463" s="82">
        <v>40437</v>
      </c>
      <c r="B463" s="83">
        <v>7169.5</v>
      </c>
      <c r="C463" s="84">
        <v>2303.3000000000002</v>
      </c>
      <c r="D463" s="61">
        <v>239.9</v>
      </c>
      <c r="E463" s="61">
        <v>14</v>
      </c>
      <c r="F463" s="61">
        <v>38.5</v>
      </c>
      <c r="G463" s="61">
        <v>25.1</v>
      </c>
      <c r="H463" s="61">
        <v>48.3</v>
      </c>
      <c r="I463" s="61">
        <v>10.6</v>
      </c>
      <c r="J463" s="61">
        <v>49.1</v>
      </c>
      <c r="K463" s="61">
        <v>23.8</v>
      </c>
      <c r="L463" s="61">
        <v>36.200000000000003</v>
      </c>
      <c r="M463" s="61">
        <v>40.1</v>
      </c>
      <c r="N463" s="61">
        <v>43.4</v>
      </c>
      <c r="O463" s="85">
        <v>19</v>
      </c>
      <c r="P463" s="105"/>
      <c r="Q463" s="87">
        <f t="shared" si="47"/>
        <v>-1.4356103460107037E-3</v>
      </c>
      <c r="R463" s="87">
        <f t="shared" si="46"/>
        <v>8.6869657549942792E-4</v>
      </c>
      <c r="S463" s="87">
        <f t="shared" si="46"/>
        <v>1.6687529946789504E-3</v>
      </c>
      <c r="T463" s="87">
        <f t="shared" si="46"/>
        <v>1.4388737452099452E-2</v>
      </c>
      <c r="U463" s="87">
        <f t="shared" si="46"/>
        <v>5.2083451071382597E-3</v>
      </c>
      <c r="V463" s="87">
        <f t="shared" si="46"/>
        <v>8.0000426670763704E-3</v>
      </c>
      <c r="W463" s="87">
        <f t="shared" si="46"/>
        <v>3.3687395983675199E-2</v>
      </c>
      <c r="X463" s="87">
        <f t="shared" si="45"/>
        <v>9.4787439545437387E-3</v>
      </c>
      <c r="Y463" s="87">
        <f t="shared" si="45"/>
        <v>8.1800047119306891E-3</v>
      </c>
      <c r="Z463" s="87">
        <f t="shared" si="45"/>
        <v>8.4388686458646035E-3</v>
      </c>
      <c r="AA463" s="87">
        <f t="shared" si="45"/>
        <v>0</v>
      </c>
      <c r="AB463" s="87">
        <f t="shared" si="45"/>
        <v>-2.4906613124519189E-3</v>
      </c>
      <c r="AC463" s="87">
        <f t="shared" si="45"/>
        <v>2.5672355054126818E-2</v>
      </c>
      <c r="AD463" s="87">
        <f t="shared" si="45"/>
        <v>1.5915455305899582E-2</v>
      </c>
      <c r="AE463" s="90">
        <f t="shared" ref="AE463:AE526" si="48">+SUMPRODUCT(Q463:AD463,$Q$8:$AD$8)</f>
        <v>4.1727061433228223E-3</v>
      </c>
      <c r="AF463" s="89"/>
    </row>
    <row r="464" spans="1:32" ht="15.5" x14ac:dyDescent="0.35">
      <c r="A464" s="82">
        <v>40438</v>
      </c>
      <c r="B464" s="83">
        <v>7154.6</v>
      </c>
      <c r="C464" s="84">
        <v>2315.6</v>
      </c>
      <c r="D464" s="61">
        <v>240.8</v>
      </c>
      <c r="E464" s="61">
        <v>13.9</v>
      </c>
      <c r="F464" s="61">
        <v>39.1</v>
      </c>
      <c r="G464" s="61">
        <v>25.1</v>
      </c>
      <c r="H464" s="61">
        <v>48.3</v>
      </c>
      <c r="I464" s="61">
        <v>10.8</v>
      </c>
      <c r="J464" s="61">
        <v>48.9</v>
      </c>
      <c r="K464" s="61">
        <v>24</v>
      </c>
      <c r="L464" s="61">
        <v>36.200000000000003</v>
      </c>
      <c r="M464" s="61">
        <v>40</v>
      </c>
      <c r="N464" s="61">
        <v>43.3</v>
      </c>
      <c r="O464" s="85">
        <v>19.100000000000001</v>
      </c>
      <c r="P464" s="105"/>
      <c r="Q464" s="87">
        <f t="shared" si="47"/>
        <v>-2.0804106888485398E-3</v>
      </c>
      <c r="R464" s="87">
        <f t="shared" si="46"/>
        <v>5.3259559959897918E-3</v>
      </c>
      <c r="S464" s="87">
        <f t="shared" si="46"/>
        <v>3.7445435890170122E-3</v>
      </c>
      <c r="T464" s="87">
        <f t="shared" si="46"/>
        <v>-7.168489478612516E-3</v>
      </c>
      <c r="U464" s="87">
        <f t="shared" si="46"/>
        <v>1.5464225697581553E-2</v>
      </c>
      <c r="V464" s="87">
        <f t="shared" si="46"/>
        <v>0</v>
      </c>
      <c r="W464" s="87">
        <f t="shared" si="46"/>
        <v>0</v>
      </c>
      <c r="X464" s="87">
        <f t="shared" si="45"/>
        <v>1.8692133012152546E-2</v>
      </c>
      <c r="Y464" s="87">
        <f t="shared" si="45"/>
        <v>-4.0816383196486186E-3</v>
      </c>
      <c r="Z464" s="87">
        <f t="shared" si="45"/>
        <v>8.3682496705165792E-3</v>
      </c>
      <c r="AA464" s="87">
        <f t="shared" si="45"/>
        <v>0</v>
      </c>
      <c r="AB464" s="87">
        <f t="shared" si="45"/>
        <v>-2.4968801985872659E-3</v>
      </c>
      <c r="AC464" s="87">
        <f t="shared" si="45"/>
        <v>-2.3068060979150595E-3</v>
      </c>
      <c r="AD464" s="87">
        <f t="shared" si="45"/>
        <v>5.249355886143745E-3</v>
      </c>
      <c r="AE464" s="90">
        <f t="shared" si="48"/>
        <v>7.7525901740683042E-3</v>
      </c>
      <c r="AF464" s="89"/>
    </row>
    <row r="465" spans="1:32" ht="15.5" x14ac:dyDescent="0.35">
      <c r="A465" s="82">
        <v>40441</v>
      </c>
      <c r="B465" s="83">
        <v>7266</v>
      </c>
      <c r="C465" s="84">
        <v>2355.8000000000002</v>
      </c>
      <c r="D465" s="61">
        <v>246.3</v>
      </c>
      <c r="E465" s="61">
        <v>13.8</v>
      </c>
      <c r="F465" s="61">
        <v>39.4</v>
      </c>
      <c r="G465" s="61">
        <v>25.1</v>
      </c>
      <c r="H465" s="61">
        <v>49.6</v>
      </c>
      <c r="I465" s="61">
        <v>11</v>
      </c>
      <c r="J465" s="61">
        <v>49.4</v>
      </c>
      <c r="K465" s="61">
        <v>24.3</v>
      </c>
      <c r="L465" s="61">
        <v>36.200000000000003</v>
      </c>
      <c r="M465" s="61">
        <v>40.200000000000003</v>
      </c>
      <c r="N465" s="61">
        <v>43.2</v>
      </c>
      <c r="O465" s="85">
        <v>19.3</v>
      </c>
      <c r="P465" s="105"/>
      <c r="Q465" s="87">
        <f t="shared" si="47"/>
        <v>1.5450427314901864E-2</v>
      </c>
      <c r="R465" s="87">
        <f t="shared" si="46"/>
        <v>1.7211539319834747E-2</v>
      </c>
      <c r="S465" s="87">
        <f t="shared" si="46"/>
        <v>2.2583591691826173E-2</v>
      </c>
      <c r="T465" s="87">
        <f t="shared" ref="T465:X519" si="49">+LN(E465/E464)</f>
        <v>-7.2202479734870201E-3</v>
      </c>
      <c r="U465" s="87">
        <f t="shared" si="49"/>
        <v>7.6433493125680659E-3</v>
      </c>
      <c r="V465" s="87">
        <f t="shared" si="49"/>
        <v>0</v>
      </c>
      <c r="W465" s="87">
        <f t="shared" si="49"/>
        <v>2.655927307235488E-2</v>
      </c>
      <c r="X465" s="87">
        <f t="shared" si="45"/>
        <v>1.8349138668196398E-2</v>
      </c>
      <c r="Y465" s="87">
        <f t="shared" si="45"/>
        <v>1.0173027713050568E-2</v>
      </c>
      <c r="Z465" s="87">
        <f t="shared" si="45"/>
        <v>1.242251999855711E-2</v>
      </c>
      <c r="AA465" s="87">
        <f t="shared" si="45"/>
        <v>0</v>
      </c>
      <c r="AB465" s="87">
        <f t="shared" si="45"/>
        <v>4.9875415110391882E-3</v>
      </c>
      <c r="AC465" s="87">
        <f t="shared" si="45"/>
        <v>-2.3121397583793909E-3</v>
      </c>
      <c r="AD465" s="87">
        <f t="shared" si="45"/>
        <v>1.041676085825558E-2</v>
      </c>
      <c r="AE465" s="90">
        <f t="shared" si="48"/>
        <v>1.5222473247724548E-2</v>
      </c>
      <c r="AF465" s="89"/>
    </row>
    <row r="466" spans="1:32" ht="15.5" x14ac:dyDescent="0.35">
      <c r="A466" s="82">
        <v>40442</v>
      </c>
      <c r="B466" s="83">
        <v>7246</v>
      </c>
      <c r="C466" s="84">
        <v>2349.4</v>
      </c>
      <c r="D466" s="61">
        <v>254.7</v>
      </c>
      <c r="E466" s="61">
        <v>13.9</v>
      </c>
      <c r="F466" s="61">
        <v>40.4</v>
      </c>
      <c r="G466" s="61">
        <v>25.1</v>
      </c>
      <c r="H466" s="61">
        <v>50</v>
      </c>
      <c r="I466" s="61">
        <v>11</v>
      </c>
      <c r="J466" s="61">
        <v>49</v>
      </c>
      <c r="K466" s="61">
        <v>24.2</v>
      </c>
      <c r="L466" s="61">
        <v>36.4</v>
      </c>
      <c r="M466" s="61">
        <v>41</v>
      </c>
      <c r="N466" s="61">
        <v>43.2</v>
      </c>
      <c r="O466" s="85">
        <v>19.3</v>
      </c>
      <c r="P466" s="105"/>
      <c r="Q466" s="87">
        <f t="shared" si="47"/>
        <v>-2.7563413261247525E-3</v>
      </c>
      <c r="R466" s="87">
        <f t="shared" ref="R466:V529" si="50">+LN(C466/C465)</f>
        <v>-2.7203961348985857E-3</v>
      </c>
      <c r="S466" s="87">
        <f t="shared" si="50"/>
        <v>3.3536076858919059E-2</v>
      </c>
      <c r="T466" s="87">
        <f t="shared" si="49"/>
        <v>7.2202479734870973E-3</v>
      </c>
      <c r="U466" s="87">
        <f t="shared" si="49"/>
        <v>2.506396866321622E-2</v>
      </c>
      <c r="V466" s="87">
        <f t="shared" si="49"/>
        <v>0</v>
      </c>
      <c r="W466" s="87">
        <f t="shared" si="49"/>
        <v>8.0321716972642527E-3</v>
      </c>
      <c r="X466" s="87">
        <f t="shared" si="45"/>
        <v>0</v>
      </c>
      <c r="Y466" s="87">
        <f t="shared" si="45"/>
        <v>-8.1301260832501755E-3</v>
      </c>
      <c r="Z466" s="87">
        <f t="shared" si="45"/>
        <v>-4.1237171838621519E-3</v>
      </c>
      <c r="AA466" s="87">
        <f t="shared" si="45"/>
        <v>5.5096558109694795E-3</v>
      </c>
      <c r="AB466" s="87">
        <f t="shared" si="45"/>
        <v>1.9705071079332337E-2</v>
      </c>
      <c r="AC466" s="87">
        <f t="shared" si="45"/>
        <v>0</v>
      </c>
      <c r="AD466" s="87">
        <f t="shared" si="45"/>
        <v>0</v>
      </c>
      <c r="AE466" s="90">
        <f t="shared" si="48"/>
        <v>1.6169496517693328E-2</v>
      </c>
      <c r="AF466" s="89"/>
    </row>
    <row r="467" spans="1:32" ht="15.5" x14ac:dyDescent="0.35">
      <c r="A467" s="82">
        <v>40443</v>
      </c>
      <c r="B467" s="83">
        <v>7210.9</v>
      </c>
      <c r="C467" s="84">
        <v>2334.6</v>
      </c>
      <c r="D467" s="61">
        <v>256.10000000000002</v>
      </c>
      <c r="E467" s="61">
        <v>14</v>
      </c>
      <c r="F467" s="61">
        <v>40.299999999999997</v>
      </c>
      <c r="G467" s="61">
        <v>24.4</v>
      </c>
      <c r="H467" s="61">
        <v>49.3</v>
      </c>
      <c r="I467" s="61">
        <v>10.6</v>
      </c>
      <c r="J467" s="61">
        <v>48.8</v>
      </c>
      <c r="K467" s="61">
        <v>24.2</v>
      </c>
      <c r="L467" s="61">
        <v>36.6</v>
      </c>
      <c r="M467" s="61">
        <v>39.1</v>
      </c>
      <c r="N467" s="61">
        <v>42.8</v>
      </c>
      <c r="O467" s="85">
        <v>19.2</v>
      </c>
      <c r="P467" s="105"/>
      <c r="Q467" s="87">
        <f t="shared" si="47"/>
        <v>-4.8558223365422941E-3</v>
      </c>
      <c r="R467" s="87">
        <f t="shared" si="50"/>
        <v>-6.3194061712228081E-3</v>
      </c>
      <c r="S467" s="87">
        <f t="shared" si="50"/>
        <v>5.481611220068348E-3</v>
      </c>
      <c r="T467" s="87">
        <f t="shared" si="49"/>
        <v>7.168489478612497E-3</v>
      </c>
      <c r="U467" s="87">
        <f t="shared" si="49"/>
        <v>-2.4783160144670898E-3</v>
      </c>
      <c r="V467" s="87">
        <f t="shared" si="49"/>
        <v>-2.8284713838582106E-2</v>
      </c>
      <c r="W467" s="87">
        <f t="shared" si="49"/>
        <v>-1.4098924379501648E-2</v>
      </c>
      <c r="X467" s="87">
        <f t="shared" si="45"/>
        <v>-3.7041271680349097E-2</v>
      </c>
      <c r="Y467" s="87">
        <f t="shared" si="45"/>
        <v>-4.0899852515251661E-3</v>
      </c>
      <c r="Z467" s="87">
        <f t="shared" si="45"/>
        <v>0</v>
      </c>
      <c r="AA467" s="87">
        <f t="shared" si="45"/>
        <v>5.4794657646255705E-3</v>
      </c>
      <c r="AB467" s="87">
        <f t="shared" si="45"/>
        <v>-4.7449599712987643E-2</v>
      </c>
      <c r="AC467" s="87">
        <f t="shared" si="45"/>
        <v>-9.302392662313674E-3</v>
      </c>
      <c r="AD467" s="87">
        <f t="shared" si="45"/>
        <v>-5.1948168771040228E-3</v>
      </c>
      <c r="AE467" s="90">
        <f t="shared" si="48"/>
        <v>-1.6294802168987732E-3</v>
      </c>
      <c r="AF467" s="89"/>
    </row>
    <row r="468" spans="1:32" ht="15.5" x14ac:dyDescent="0.35">
      <c r="A468" s="82">
        <v>40444</v>
      </c>
      <c r="B468" s="83">
        <v>7141.5</v>
      </c>
      <c r="C468" s="84">
        <v>2327.1</v>
      </c>
      <c r="D468" s="61">
        <v>255.9</v>
      </c>
      <c r="E468" s="61">
        <v>13.9</v>
      </c>
      <c r="F468" s="61">
        <v>40.9</v>
      </c>
      <c r="G468" s="61">
        <v>24.4</v>
      </c>
      <c r="H468" s="61">
        <v>49.8</v>
      </c>
      <c r="I468" s="61">
        <v>10.3</v>
      </c>
      <c r="J468" s="61">
        <v>48.3</v>
      </c>
      <c r="K468" s="61">
        <v>23.9</v>
      </c>
      <c r="L468" s="61">
        <v>36.5</v>
      </c>
      <c r="M468" s="61">
        <v>37.799999999999997</v>
      </c>
      <c r="N468" s="61">
        <v>42.8</v>
      </c>
      <c r="O468" s="85">
        <v>19.2</v>
      </c>
      <c r="P468" s="105"/>
      <c r="Q468" s="87">
        <f t="shared" si="47"/>
        <v>-9.670931815797118E-3</v>
      </c>
      <c r="R468" s="87">
        <f t="shared" si="50"/>
        <v>-3.2177130536272451E-3</v>
      </c>
      <c r="S468" s="87">
        <f t="shared" si="50"/>
        <v>-7.8125003973648715E-4</v>
      </c>
      <c r="T468" s="87">
        <f t="shared" si="49"/>
        <v>-7.168489478612516E-3</v>
      </c>
      <c r="U468" s="87">
        <f t="shared" si="49"/>
        <v>1.4778594096118902E-2</v>
      </c>
      <c r="V468" s="87">
        <f t="shared" si="49"/>
        <v>0</v>
      </c>
      <c r="W468" s="87">
        <f t="shared" si="49"/>
        <v>1.009090298196272E-2</v>
      </c>
      <c r="X468" s="87">
        <f t="shared" si="45"/>
        <v>-2.8710105882431253E-2</v>
      </c>
      <c r="Y468" s="87">
        <f t="shared" si="45"/>
        <v>-1.0298752200574473E-2</v>
      </c>
      <c r="Z468" s="87">
        <f t="shared" si="45"/>
        <v>-1.2474174225175801E-2</v>
      </c>
      <c r="AA468" s="87">
        <f t="shared" si="45"/>
        <v>-2.7359798188747488E-3</v>
      </c>
      <c r="AB468" s="87">
        <f t="shared" si="45"/>
        <v>-3.3813364365778212E-2</v>
      </c>
      <c r="AC468" s="87">
        <f t="shared" si="45"/>
        <v>0</v>
      </c>
      <c r="AD468" s="87">
        <f t="shared" si="45"/>
        <v>0</v>
      </c>
      <c r="AE468" s="90">
        <f t="shared" si="48"/>
        <v>3.0325484793121433E-3</v>
      </c>
      <c r="AF468" s="89"/>
    </row>
    <row r="469" spans="1:32" ht="15.5" x14ac:dyDescent="0.35">
      <c r="A469" s="82">
        <v>40445</v>
      </c>
      <c r="B469" s="83">
        <v>7301</v>
      </c>
      <c r="C469" s="84">
        <v>2381.1999999999998</v>
      </c>
      <c r="D469" s="61">
        <v>259.39999999999998</v>
      </c>
      <c r="E469" s="61">
        <v>14.2</v>
      </c>
      <c r="F469" s="61">
        <v>41.5</v>
      </c>
      <c r="G469" s="61">
        <v>24.6</v>
      </c>
      <c r="H469" s="61">
        <v>49.4</v>
      </c>
      <c r="I469" s="61">
        <v>10.6</v>
      </c>
      <c r="J469" s="61">
        <v>48.4</v>
      </c>
      <c r="K469" s="61">
        <v>24.9</v>
      </c>
      <c r="L469" s="61">
        <v>36.700000000000003</v>
      </c>
      <c r="M469" s="61">
        <v>38.4</v>
      </c>
      <c r="N469" s="61">
        <v>43.2</v>
      </c>
      <c r="O469" s="85">
        <v>19.899999999999999</v>
      </c>
      <c r="P469" s="105"/>
      <c r="Q469" s="87">
        <f t="shared" si="47"/>
        <v>2.2088486753402532E-2</v>
      </c>
      <c r="R469" s="87">
        <f t="shared" si="50"/>
        <v>2.2981705114299381E-2</v>
      </c>
      <c r="S469" s="87">
        <f t="shared" si="50"/>
        <v>1.358452871660038E-2</v>
      </c>
      <c r="T469" s="87">
        <f t="shared" si="49"/>
        <v>2.1353124470568842E-2</v>
      </c>
      <c r="U469" s="87">
        <f t="shared" si="49"/>
        <v>1.456336418789651E-2</v>
      </c>
      <c r="V469" s="87">
        <f t="shared" si="49"/>
        <v>8.1633106391610557E-3</v>
      </c>
      <c r="W469" s="87">
        <f t="shared" si="49"/>
        <v>-8.0645598367304078E-3</v>
      </c>
      <c r="X469" s="87">
        <f t="shared" si="45"/>
        <v>2.871010588243136E-2</v>
      </c>
      <c r="Y469" s="87">
        <f t="shared" si="45"/>
        <v>2.0682530640590605E-3</v>
      </c>
      <c r="Z469" s="87">
        <f t="shared" si="45"/>
        <v>4.0989344533196949E-2</v>
      </c>
      <c r="AA469" s="87">
        <f t="shared" si="45"/>
        <v>5.4644944720787453E-3</v>
      </c>
      <c r="AB469" s="87">
        <f t="shared" si="45"/>
        <v>1.5748356968139112E-2</v>
      </c>
      <c r="AC469" s="87">
        <f t="shared" si="45"/>
        <v>9.3023926623136306E-3</v>
      </c>
      <c r="AD469" s="87">
        <f t="shared" si="45"/>
        <v>3.5809452696710778E-2</v>
      </c>
      <c r="AE469" s="90">
        <f t="shared" si="48"/>
        <v>1.938260599202089E-2</v>
      </c>
      <c r="AF469" s="89"/>
    </row>
    <row r="470" spans="1:32" ht="15.5" x14ac:dyDescent="0.35">
      <c r="A470" s="82">
        <v>40448</v>
      </c>
      <c r="B470" s="83">
        <v>7263.4</v>
      </c>
      <c r="C470" s="84">
        <v>2369.8000000000002</v>
      </c>
      <c r="D470" s="61">
        <v>264.7</v>
      </c>
      <c r="E470" s="61">
        <v>14.3</v>
      </c>
      <c r="F470" s="61">
        <v>41.6</v>
      </c>
      <c r="G470" s="61">
        <v>24.6</v>
      </c>
      <c r="H470" s="61">
        <v>48.7</v>
      </c>
      <c r="I470" s="61">
        <v>10.7</v>
      </c>
      <c r="J470" s="61">
        <v>48.6</v>
      </c>
      <c r="K470" s="61">
        <v>25.1</v>
      </c>
      <c r="L470" s="61">
        <v>37.1</v>
      </c>
      <c r="M470" s="61">
        <v>38.6</v>
      </c>
      <c r="N470" s="61">
        <v>43.3</v>
      </c>
      <c r="O470" s="85">
        <v>19.5</v>
      </c>
      <c r="P470" s="105"/>
      <c r="Q470" s="87">
        <f t="shared" si="47"/>
        <v>-5.1632863053944289E-3</v>
      </c>
      <c r="R470" s="87">
        <f t="shared" si="50"/>
        <v>-4.7989988965953419E-3</v>
      </c>
      <c r="S470" s="87">
        <f t="shared" si="50"/>
        <v>2.022583735071223E-2</v>
      </c>
      <c r="T470" s="87">
        <f t="shared" si="49"/>
        <v>7.0175726586465398E-3</v>
      </c>
      <c r="U470" s="87">
        <f t="shared" si="49"/>
        <v>2.4067400305650593E-3</v>
      </c>
      <c r="V470" s="87">
        <f t="shared" si="49"/>
        <v>0</v>
      </c>
      <c r="W470" s="87">
        <f t="shared" si="49"/>
        <v>-1.4271394105332682E-2</v>
      </c>
      <c r="X470" s="87">
        <f t="shared" si="45"/>
        <v>9.3897403498389171E-3</v>
      </c>
      <c r="Y470" s="87">
        <f t="shared" si="45"/>
        <v>4.1237171838621562E-3</v>
      </c>
      <c r="Z470" s="87">
        <f t="shared" si="45"/>
        <v>8.0000426670763704E-3</v>
      </c>
      <c r="AA470" s="87">
        <f t="shared" si="45"/>
        <v>1.0840214552864807E-2</v>
      </c>
      <c r="AB470" s="87">
        <f t="shared" si="45"/>
        <v>5.1948168771041511E-3</v>
      </c>
      <c r="AC470" s="87">
        <f t="shared" si="45"/>
        <v>2.3121397583793788E-3</v>
      </c>
      <c r="AD470" s="87">
        <f t="shared" si="45"/>
        <v>-2.0305266160745569E-2</v>
      </c>
      <c r="AE470" s="90">
        <f t="shared" si="48"/>
        <v>2.7030220552923989E-3</v>
      </c>
      <c r="AF470" s="89"/>
    </row>
    <row r="471" spans="1:32" ht="15.5" x14ac:dyDescent="0.35">
      <c r="A471" s="82">
        <v>40449</v>
      </c>
      <c r="B471" s="83">
        <v>7310.3</v>
      </c>
      <c r="C471" s="84">
        <v>2379.6</v>
      </c>
      <c r="D471" s="61">
        <v>259.5</v>
      </c>
      <c r="E471" s="61">
        <v>14.1</v>
      </c>
      <c r="F471" s="61">
        <v>39.299999999999997</v>
      </c>
      <c r="G471" s="61">
        <v>24.4</v>
      </c>
      <c r="H471" s="61">
        <v>49.3</v>
      </c>
      <c r="I471" s="61">
        <v>10.5</v>
      </c>
      <c r="J471" s="61">
        <v>48.5</v>
      </c>
      <c r="K471" s="61">
        <v>25.3</v>
      </c>
      <c r="L471" s="61">
        <v>37</v>
      </c>
      <c r="M471" s="61">
        <v>38.200000000000003</v>
      </c>
      <c r="N471" s="61">
        <v>43.5</v>
      </c>
      <c r="O471" s="85">
        <v>19.600000000000001</v>
      </c>
      <c r="P471" s="105"/>
      <c r="Q471" s="87">
        <f t="shared" si="47"/>
        <v>6.4362738227112803E-3</v>
      </c>
      <c r="R471" s="87">
        <f t="shared" si="50"/>
        <v>4.1268429311110012E-3</v>
      </c>
      <c r="S471" s="87">
        <f t="shared" si="50"/>
        <v>-1.9840406627112266E-2</v>
      </c>
      <c r="T471" s="87">
        <f t="shared" si="49"/>
        <v>-1.4084739881739085E-2</v>
      </c>
      <c r="U471" s="87">
        <f t="shared" si="49"/>
        <v>-5.6875648392002195E-2</v>
      </c>
      <c r="V471" s="87">
        <f t="shared" si="49"/>
        <v>-8.1633106391610939E-3</v>
      </c>
      <c r="W471" s="87">
        <f t="shared" si="49"/>
        <v>1.2245050960100168E-2</v>
      </c>
      <c r="X471" s="87">
        <f t="shared" si="45"/>
        <v>-1.8868484304382691E-2</v>
      </c>
      <c r="Y471" s="87">
        <f t="shared" si="45"/>
        <v>-2.059732963010616E-3</v>
      </c>
      <c r="Z471" s="87">
        <f t="shared" si="45"/>
        <v>7.9365495957363415E-3</v>
      </c>
      <c r="AA471" s="87">
        <f t="shared" si="45"/>
        <v>-2.6990569691650581E-3</v>
      </c>
      <c r="AB471" s="87">
        <f t="shared" si="45"/>
        <v>-1.0416760858255604E-2</v>
      </c>
      <c r="AC471" s="87">
        <f t="shared" si="45"/>
        <v>4.6083030861944025E-3</v>
      </c>
      <c r="AD471" s="87">
        <f t="shared" si="45"/>
        <v>5.1151006667704089E-3</v>
      </c>
      <c r="AE471" s="90">
        <f t="shared" si="48"/>
        <v>-2.021277845985275E-2</v>
      </c>
      <c r="AF471" s="89"/>
    </row>
    <row r="472" spans="1:32" ht="15.5" x14ac:dyDescent="0.35">
      <c r="A472" s="82">
        <v>40450</v>
      </c>
      <c r="B472" s="83">
        <v>7299.3</v>
      </c>
      <c r="C472" s="84">
        <v>2376.6</v>
      </c>
      <c r="D472" s="61">
        <v>262.60000000000002</v>
      </c>
      <c r="E472" s="61">
        <v>14.1</v>
      </c>
      <c r="F472" s="61">
        <v>40.9</v>
      </c>
      <c r="G472" s="61">
        <v>24.4</v>
      </c>
      <c r="H472" s="61">
        <v>49.5</v>
      </c>
      <c r="I472" s="61">
        <v>10.7</v>
      </c>
      <c r="J472" s="61">
        <v>48.2</v>
      </c>
      <c r="K472" s="61">
        <v>26</v>
      </c>
      <c r="L472" s="61">
        <v>36.9</v>
      </c>
      <c r="M472" s="61">
        <v>38.299999999999997</v>
      </c>
      <c r="N472" s="61">
        <v>45.4</v>
      </c>
      <c r="O472" s="85">
        <v>19.8</v>
      </c>
      <c r="P472" s="105"/>
      <c r="Q472" s="87">
        <f t="shared" si="47"/>
        <v>-1.5058594456582931E-3</v>
      </c>
      <c r="R472" s="87">
        <f t="shared" si="50"/>
        <v>-1.2615114578246535E-3</v>
      </c>
      <c r="S472" s="87">
        <f t="shared" si="50"/>
        <v>1.1875259262752678E-2</v>
      </c>
      <c r="T472" s="87">
        <f t="shared" si="49"/>
        <v>0</v>
      </c>
      <c r="U472" s="87">
        <f t="shared" si="49"/>
        <v>3.9905544173540648E-2</v>
      </c>
      <c r="V472" s="87">
        <f t="shared" si="49"/>
        <v>0</v>
      </c>
      <c r="W472" s="87">
        <f t="shared" si="49"/>
        <v>4.0485885260003324E-3</v>
      </c>
      <c r="X472" s="87">
        <f t="shared" si="45"/>
        <v>1.8868484304382736E-2</v>
      </c>
      <c r="Y472" s="87">
        <f t="shared" si="45"/>
        <v>-6.2047768868828696E-3</v>
      </c>
      <c r="Z472" s="87">
        <f t="shared" si="45"/>
        <v>2.7292142288007554E-2</v>
      </c>
      <c r="AA472" s="87">
        <f t="shared" si="45"/>
        <v>-2.7063615977430252E-3</v>
      </c>
      <c r="AB472" s="87">
        <f t="shared" si="45"/>
        <v>2.614380574070672E-3</v>
      </c>
      <c r="AC472" s="87">
        <f t="shared" si="45"/>
        <v>4.2751166952663906E-2</v>
      </c>
      <c r="AD472" s="87">
        <f t="shared" si="45"/>
        <v>1.0152371464017908E-2</v>
      </c>
      <c r="AE472" s="90">
        <f t="shared" si="48"/>
        <v>1.5743067423032567E-2</v>
      </c>
      <c r="AF472" s="89"/>
    </row>
    <row r="473" spans="1:32" ht="15.5" x14ac:dyDescent="0.35">
      <c r="A473" s="82">
        <v>40451</v>
      </c>
      <c r="B473" s="83">
        <v>7281.1</v>
      </c>
      <c r="C473" s="84">
        <v>2368.6</v>
      </c>
      <c r="D473" s="61">
        <v>259.7</v>
      </c>
      <c r="E473" s="61">
        <v>14</v>
      </c>
      <c r="F473" s="61">
        <v>40.200000000000003</v>
      </c>
      <c r="G473" s="61">
        <v>24.4</v>
      </c>
      <c r="H473" s="61">
        <v>49.8</v>
      </c>
      <c r="I473" s="61">
        <v>10.6</v>
      </c>
      <c r="J473" s="61">
        <v>47.7</v>
      </c>
      <c r="K473" s="61">
        <v>26.6</v>
      </c>
      <c r="L473" s="61">
        <v>36.6</v>
      </c>
      <c r="M473" s="61">
        <v>38.200000000000003</v>
      </c>
      <c r="N473" s="61">
        <v>45.1</v>
      </c>
      <c r="O473" s="85">
        <v>19.899999999999999</v>
      </c>
      <c r="P473" s="105"/>
      <c r="Q473" s="87">
        <f t="shared" si="47"/>
        <v>-2.4965034502028188E-3</v>
      </c>
      <c r="R473" s="87">
        <f t="shared" si="50"/>
        <v>-3.3718315685312261E-3</v>
      </c>
      <c r="S473" s="87">
        <f t="shared" si="50"/>
        <v>-1.1104843199993235E-2</v>
      </c>
      <c r="T473" s="87">
        <f t="shared" si="49"/>
        <v>-7.1174677688639896E-3</v>
      </c>
      <c r="U473" s="87">
        <f t="shared" si="49"/>
        <v>-1.7263067423780597E-2</v>
      </c>
      <c r="V473" s="87">
        <f t="shared" si="49"/>
        <v>0</v>
      </c>
      <c r="W473" s="87">
        <f t="shared" si="49"/>
        <v>6.0423144559626617E-3</v>
      </c>
      <c r="X473" s="87">
        <f t="shared" si="45"/>
        <v>-9.3897403498390316E-3</v>
      </c>
      <c r="Y473" s="87">
        <f t="shared" si="45"/>
        <v>-1.042762316225905E-2</v>
      </c>
      <c r="Z473" s="87">
        <f t="shared" si="45"/>
        <v>2.2814677766171482E-2</v>
      </c>
      <c r="AA473" s="87">
        <f t="shared" si="45"/>
        <v>-8.1633106391608701E-3</v>
      </c>
      <c r="AB473" s="87">
        <f t="shared" si="45"/>
        <v>-2.6143805740707093E-3</v>
      </c>
      <c r="AC473" s="87">
        <f t="shared" si="45"/>
        <v>-6.6298585386695766E-3</v>
      </c>
      <c r="AD473" s="87">
        <f t="shared" si="45"/>
        <v>5.037794029957081E-3</v>
      </c>
      <c r="AE473" s="90">
        <f t="shared" si="48"/>
        <v>-8.5856512842514346E-3</v>
      </c>
      <c r="AF473" s="89"/>
    </row>
    <row r="474" spans="1:32" ht="15.5" x14ac:dyDescent="0.35">
      <c r="A474" s="82">
        <v>40452</v>
      </c>
      <c r="B474" s="83">
        <v>7335.9</v>
      </c>
      <c r="C474" s="84">
        <v>2370.8000000000002</v>
      </c>
      <c r="D474" s="61">
        <v>261.8</v>
      </c>
      <c r="E474" s="61">
        <v>14.1</v>
      </c>
      <c r="F474" s="61">
        <v>40.200000000000003</v>
      </c>
      <c r="G474" s="61">
        <v>24.3</v>
      </c>
      <c r="H474" s="61">
        <v>51.2</v>
      </c>
      <c r="I474" s="61">
        <v>10.9</v>
      </c>
      <c r="J474" s="61">
        <v>47.5</v>
      </c>
      <c r="K474" s="61">
        <v>27.2</v>
      </c>
      <c r="L474" s="61">
        <v>36.4</v>
      </c>
      <c r="M474" s="61">
        <v>38.5</v>
      </c>
      <c r="N474" s="61">
        <v>45.6</v>
      </c>
      <c r="O474" s="85">
        <v>20</v>
      </c>
      <c r="P474" s="105"/>
      <c r="Q474" s="87">
        <f t="shared" si="47"/>
        <v>7.4981537590896223E-3</v>
      </c>
      <c r="R474" s="87">
        <f t="shared" si="50"/>
        <v>9.2838762628860195E-4</v>
      </c>
      <c r="S474" s="87">
        <f t="shared" si="50"/>
        <v>8.053734807096825E-3</v>
      </c>
      <c r="T474" s="87">
        <f t="shared" si="49"/>
        <v>7.1174677688639549E-3</v>
      </c>
      <c r="U474" s="87">
        <f t="shared" si="49"/>
        <v>0</v>
      </c>
      <c r="V474" s="87">
        <f t="shared" si="49"/>
        <v>-4.1067819526533593E-3</v>
      </c>
      <c r="W474" s="87">
        <f t="shared" si="49"/>
        <v>2.7724548014854983E-2</v>
      </c>
      <c r="X474" s="87">
        <f t="shared" si="45"/>
        <v>2.7908788117076658E-2</v>
      </c>
      <c r="Y474" s="87">
        <f t="shared" si="45"/>
        <v>-4.2016868537000807E-3</v>
      </c>
      <c r="Z474" s="87">
        <f t="shared" si="45"/>
        <v>2.2305757514298186E-2</v>
      </c>
      <c r="AA474" s="87">
        <f t="shared" si="45"/>
        <v>-5.4794657646257076E-3</v>
      </c>
      <c r="AB474" s="87">
        <f t="shared" si="45"/>
        <v>7.8227256812088575E-3</v>
      </c>
      <c r="AC474" s="87">
        <f t="shared" si="45"/>
        <v>1.1025470011707641E-2</v>
      </c>
      <c r="AD474" s="87">
        <f t="shared" si="45"/>
        <v>5.0125418235444138E-3</v>
      </c>
      <c r="AE474" s="90">
        <f t="shared" si="48"/>
        <v>3.2453947242347693E-3</v>
      </c>
      <c r="AF474" s="89"/>
    </row>
    <row r="475" spans="1:32" ht="15.5" x14ac:dyDescent="0.35">
      <c r="A475" s="82">
        <v>40455</v>
      </c>
      <c r="B475" s="83">
        <v>7272.5</v>
      </c>
      <c r="C475" s="84">
        <v>2344.5</v>
      </c>
      <c r="D475" s="61">
        <v>259.7</v>
      </c>
      <c r="E475" s="61">
        <v>14.1</v>
      </c>
      <c r="F475" s="61">
        <v>39.700000000000003</v>
      </c>
      <c r="G475" s="61">
        <v>23.8</v>
      </c>
      <c r="H475" s="61">
        <v>50.2</v>
      </c>
      <c r="I475" s="61">
        <v>10.5</v>
      </c>
      <c r="J475" s="61">
        <v>47.2</v>
      </c>
      <c r="K475" s="61">
        <v>26.8</v>
      </c>
      <c r="L475" s="61">
        <v>36.299999999999997</v>
      </c>
      <c r="M475" s="61">
        <v>38.5</v>
      </c>
      <c r="N475" s="61">
        <v>45.1</v>
      </c>
      <c r="O475" s="85">
        <v>19.8</v>
      </c>
      <c r="P475" s="105"/>
      <c r="Q475" s="87">
        <f t="shared" si="47"/>
        <v>-8.6799920672743971E-3</v>
      </c>
      <c r="R475" s="87">
        <f t="shared" si="50"/>
        <v>-1.1155291384042212E-2</v>
      </c>
      <c r="S475" s="87">
        <f t="shared" si="50"/>
        <v>-8.0537348070968268E-3</v>
      </c>
      <c r="T475" s="87">
        <f t="shared" si="49"/>
        <v>0</v>
      </c>
      <c r="U475" s="87">
        <f t="shared" si="49"/>
        <v>-1.2515807931830646E-2</v>
      </c>
      <c r="V475" s="87">
        <f t="shared" si="49"/>
        <v>-2.079076966907378E-2</v>
      </c>
      <c r="W475" s="87">
        <f t="shared" si="49"/>
        <v>-1.972450534777859E-2</v>
      </c>
      <c r="X475" s="87">
        <f t="shared" si="45"/>
        <v>-3.7387532071620329E-2</v>
      </c>
      <c r="Y475" s="87">
        <f t="shared" si="45"/>
        <v>-6.3358184490857833E-3</v>
      </c>
      <c r="Z475" s="87">
        <f t="shared" si="45"/>
        <v>-1.4815085785140587E-2</v>
      </c>
      <c r="AA475" s="87">
        <f t="shared" si="45"/>
        <v>-2.7510333718898708E-3</v>
      </c>
      <c r="AB475" s="87">
        <f t="shared" si="45"/>
        <v>0</v>
      </c>
      <c r="AC475" s="87">
        <f t="shared" si="45"/>
        <v>-1.102547001170771E-2</v>
      </c>
      <c r="AD475" s="87">
        <f t="shared" si="45"/>
        <v>-1.0050335853501451E-2</v>
      </c>
      <c r="AE475" s="90">
        <f t="shared" si="48"/>
        <v>-1.0501985489597757E-2</v>
      </c>
      <c r="AF475" s="89"/>
    </row>
    <row r="476" spans="1:32" ht="15.5" x14ac:dyDescent="0.35">
      <c r="A476" s="82">
        <v>40456</v>
      </c>
      <c r="B476" s="83">
        <v>7434.2</v>
      </c>
      <c r="C476" s="84">
        <v>2399.8000000000002</v>
      </c>
      <c r="D476" s="61">
        <v>263.5</v>
      </c>
      <c r="E476" s="61">
        <v>14.4</v>
      </c>
      <c r="F476" s="61">
        <v>40.299999999999997</v>
      </c>
      <c r="G476" s="61">
        <v>23.9</v>
      </c>
      <c r="H476" s="61">
        <v>50.3</v>
      </c>
      <c r="I476" s="61">
        <v>10.7</v>
      </c>
      <c r="J476" s="61">
        <v>47.5</v>
      </c>
      <c r="K476" s="61">
        <v>27.8</v>
      </c>
      <c r="L476" s="61">
        <v>36.700000000000003</v>
      </c>
      <c r="M476" s="61">
        <v>38.799999999999997</v>
      </c>
      <c r="N476" s="61">
        <v>46</v>
      </c>
      <c r="O476" s="85">
        <v>20.100000000000001</v>
      </c>
      <c r="P476" s="105"/>
      <c r="Q476" s="87">
        <f t="shared" si="47"/>
        <v>2.1990863542684119E-2</v>
      </c>
      <c r="R476" s="87">
        <f t="shared" si="50"/>
        <v>2.3313241000647501E-2</v>
      </c>
      <c r="S476" s="87">
        <f t="shared" si="50"/>
        <v>1.4526249312714288E-2</v>
      </c>
      <c r="T476" s="87">
        <f t="shared" si="49"/>
        <v>2.1053409197832482E-2</v>
      </c>
      <c r="U476" s="87">
        <f t="shared" si="49"/>
        <v>1.5000281259492378E-2</v>
      </c>
      <c r="V476" s="87">
        <f t="shared" si="49"/>
        <v>4.1928782600359578E-3</v>
      </c>
      <c r="W476" s="87">
        <f t="shared" si="49"/>
        <v>1.9900504080097876E-3</v>
      </c>
      <c r="X476" s="87">
        <f t="shared" si="45"/>
        <v>1.8868484304382736E-2</v>
      </c>
      <c r="Y476" s="87">
        <f t="shared" si="45"/>
        <v>6.3358184490857035E-3</v>
      </c>
      <c r="Z476" s="87">
        <f t="shared" si="45"/>
        <v>3.6634133179780384E-2</v>
      </c>
      <c r="AA476" s="87">
        <f t="shared" si="45"/>
        <v>1.0959013789719602E-2</v>
      </c>
      <c r="AB476" s="87">
        <f t="shared" si="45"/>
        <v>7.7620053354891094E-3</v>
      </c>
      <c r="AC476" s="87">
        <f t="shared" si="45"/>
        <v>1.9759149980462392E-2</v>
      </c>
      <c r="AD476" s="87">
        <f t="shared" si="45"/>
        <v>1.5037877364540502E-2</v>
      </c>
      <c r="AE476" s="90">
        <f t="shared" si="48"/>
        <v>1.7357868584809567E-2</v>
      </c>
      <c r="AF476" s="89"/>
    </row>
    <row r="477" spans="1:32" ht="15.5" x14ac:dyDescent="0.35">
      <c r="A477" s="82">
        <v>40457</v>
      </c>
      <c r="B477" s="83">
        <v>7448.3</v>
      </c>
      <c r="C477" s="84">
        <v>2380.6999999999998</v>
      </c>
      <c r="D477" s="61">
        <v>265.2</v>
      </c>
      <c r="E477" s="61">
        <v>14.3</v>
      </c>
      <c r="F477" s="61">
        <v>40.799999999999997</v>
      </c>
      <c r="G477" s="61">
        <v>24.1</v>
      </c>
      <c r="H477" s="61">
        <v>50</v>
      </c>
      <c r="I477" s="61">
        <v>10.7</v>
      </c>
      <c r="J477" s="61">
        <v>46.9</v>
      </c>
      <c r="K477" s="61">
        <v>28.4</v>
      </c>
      <c r="L477" s="61">
        <v>36.799999999999997</v>
      </c>
      <c r="M477" s="61">
        <v>39.1</v>
      </c>
      <c r="N477" s="61">
        <v>45.8</v>
      </c>
      <c r="O477" s="85">
        <v>20.2</v>
      </c>
      <c r="P477" s="105"/>
      <c r="Q477" s="87">
        <f t="shared" si="47"/>
        <v>1.8948435032765767E-3</v>
      </c>
      <c r="R477" s="87">
        <f t="shared" si="50"/>
        <v>-7.9908384618256282E-3</v>
      </c>
      <c r="S477" s="87">
        <f t="shared" si="50"/>
        <v>6.4308903302903314E-3</v>
      </c>
      <c r="T477" s="87">
        <f t="shared" si="49"/>
        <v>-6.9686693160933158E-3</v>
      </c>
      <c r="U477" s="87">
        <f t="shared" si="49"/>
        <v>1.2330612457478725E-2</v>
      </c>
      <c r="V477" s="87">
        <f t="shared" si="49"/>
        <v>8.3333815591444607E-3</v>
      </c>
      <c r="W477" s="87">
        <f t="shared" si="49"/>
        <v>-5.982071677547429E-3</v>
      </c>
      <c r="X477" s="87">
        <f t="shared" si="45"/>
        <v>0</v>
      </c>
      <c r="Y477" s="87">
        <f t="shared" si="45"/>
        <v>-1.2712035588361861E-2</v>
      </c>
      <c r="Z477" s="87">
        <f t="shared" si="45"/>
        <v>2.1353124470568842E-2</v>
      </c>
      <c r="AA477" s="87">
        <f t="shared" si="45"/>
        <v>2.7210901143605863E-3</v>
      </c>
      <c r="AB477" s="87">
        <f t="shared" si="45"/>
        <v>7.7022203620925236E-3</v>
      </c>
      <c r="AC477" s="87">
        <f t="shared" si="45"/>
        <v>-4.3573053689558126E-3</v>
      </c>
      <c r="AD477" s="87">
        <f t="shared" si="45"/>
        <v>4.962789342128876E-3</v>
      </c>
      <c r="AE477" s="90">
        <f t="shared" si="48"/>
        <v>3.6165138227033673E-3</v>
      </c>
      <c r="AF477" s="89"/>
    </row>
    <row r="478" spans="1:32" ht="15.5" x14ac:dyDescent="0.35">
      <c r="A478" s="82">
        <v>40458</v>
      </c>
      <c r="B478" s="83">
        <v>7425</v>
      </c>
      <c r="C478" s="84">
        <v>2383.6999999999998</v>
      </c>
      <c r="D478" s="61">
        <v>264.8</v>
      </c>
      <c r="E478" s="61">
        <v>14.1</v>
      </c>
      <c r="F478" s="61">
        <v>41</v>
      </c>
      <c r="G478" s="61">
        <v>24.3</v>
      </c>
      <c r="H478" s="61">
        <v>49.8</v>
      </c>
      <c r="I478" s="61">
        <v>10.8</v>
      </c>
      <c r="J478" s="61">
        <v>46.5</v>
      </c>
      <c r="K478" s="61">
        <v>27.5</v>
      </c>
      <c r="L478" s="61">
        <v>36.6</v>
      </c>
      <c r="M478" s="61">
        <v>39.1</v>
      </c>
      <c r="N478" s="61">
        <v>45.6</v>
      </c>
      <c r="O478" s="85">
        <v>20.100000000000001</v>
      </c>
      <c r="P478" s="105"/>
      <c r="Q478" s="87">
        <f t="shared" si="47"/>
        <v>-3.1331337444172489E-3</v>
      </c>
      <c r="R478" s="87">
        <f t="shared" si="50"/>
        <v>1.2593402722208564E-3</v>
      </c>
      <c r="S478" s="87">
        <f t="shared" si="50"/>
        <v>-1.509434248854181E-3</v>
      </c>
      <c r="T478" s="87">
        <f t="shared" si="49"/>
        <v>-1.4084739881739085E-2</v>
      </c>
      <c r="U478" s="87">
        <f t="shared" si="49"/>
        <v>4.8899852941917702E-3</v>
      </c>
      <c r="V478" s="87">
        <f t="shared" si="49"/>
        <v>8.2645098498934314E-3</v>
      </c>
      <c r="W478" s="87">
        <f t="shared" si="49"/>
        <v>-4.0080213975388218E-3</v>
      </c>
      <c r="X478" s="87">
        <f t="shared" si="45"/>
        <v>9.3023926623136306E-3</v>
      </c>
      <c r="Y478" s="87">
        <f t="shared" si="45"/>
        <v>-8.5653628589230455E-3</v>
      </c>
      <c r="Z478" s="87">
        <f t="shared" si="45"/>
        <v>-3.2203140494634706E-2</v>
      </c>
      <c r="AA478" s="87">
        <f t="shared" si="45"/>
        <v>-5.4496047675645911E-3</v>
      </c>
      <c r="AB478" s="87">
        <f t="shared" si="45"/>
        <v>0</v>
      </c>
      <c r="AC478" s="87">
        <f t="shared" si="45"/>
        <v>-4.3763745997987772E-3</v>
      </c>
      <c r="AD478" s="87">
        <f t="shared" si="45"/>
        <v>-4.962789342128902E-3</v>
      </c>
      <c r="AE478" s="90">
        <f t="shared" si="48"/>
        <v>7.3059564105695265E-4</v>
      </c>
      <c r="AF478" s="89"/>
    </row>
    <row r="479" spans="1:32" ht="15.5" x14ac:dyDescent="0.35">
      <c r="A479" s="82">
        <v>40459</v>
      </c>
      <c r="B479" s="83">
        <v>7478.4</v>
      </c>
      <c r="C479" s="84">
        <v>2401.9</v>
      </c>
      <c r="D479" s="61">
        <v>264.10000000000002</v>
      </c>
      <c r="E479" s="61">
        <v>14.2</v>
      </c>
      <c r="F479" s="61">
        <v>41.4</v>
      </c>
      <c r="G479" s="61">
        <v>24.4</v>
      </c>
      <c r="H479" s="61">
        <v>49.4</v>
      </c>
      <c r="I479" s="61">
        <v>11</v>
      </c>
      <c r="J479" s="61">
        <v>47.4</v>
      </c>
      <c r="K479" s="61">
        <v>32.1</v>
      </c>
      <c r="L479" s="61">
        <v>36.6</v>
      </c>
      <c r="M479" s="61">
        <v>38.9</v>
      </c>
      <c r="N479" s="61">
        <v>46.6</v>
      </c>
      <c r="O479" s="85">
        <v>20.2</v>
      </c>
      <c r="P479" s="105"/>
      <c r="Q479" s="87">
        <f t="shared" si="47"/>
        <v>7.1661806736384526E-3</v>
      </c>
      <c r="R479" s="87">
        <f t="shared" si="50"/>
        <v>7.6061884592549204E-3</v>
      </c>
      <c r="S479" s="87">
        <f t="shared" si="50"/>
        <v>-2.6470047597665757E-3</v>
      </c>
      <c r="T479" s="87">
        <f t="shared" si="49"/>
        <v>7.0671672230923528E-3</v>
      </c>
      <c r="U479" s="87">
        <f t="shared" si="49"/>
        <v>9.7088141269609032E-3</v>
      </c>
      <c r="V479" s="87">
        <f t="shared" si="49"/>
        <v>4.1067819526532812E-3</v>
      </c>
      <c r="W479" s="87">
        <f t="shared" si="49"/>
        <v>-8.0645598367304078E-3</v>
      </c>
      <c r="X479" s="87">
        <f t="shared" si="45"/>
        <v>1.8349138668196398E-2</v>
      </c>
      <c r="Y479" s="87">
        <f t="shared" si="45"/>
        <v>1.9169916107720123E-2</v>
      </c>
      <c r="Z479" s="87">
        <f t="shared" si="45"/>
        <v>0.15467002546344455</v>
      </c>
      <c r="AA479" s="87">
        <f t="shared" si="45"/>
        <v>0</v>
      </c>
      <c r="AB479" s="87">
        <f t="shared" si="45"/>
        <v>-5.1282163669195665E-3</v>
      </c>
      <c r="AC479" s="87">
        <f t="shared" si="45"/>
        <v>2.1692824611259754E-2</v>
      </c>
      <c r="AD479" s="87">
        <f t="shared" si="45"/>
        <v>4.962789342128876E-3</v>
      </c>
      <c r="AE479" s="90">
        <f t="shared" si="48"/>
        <v>4.8843412389922127E-3</v>
      </c>
      <c r="AF479" s="89"/>
    </row>
    <row r="480" spans="1:32" ht="15.5" x14ac:dyDescent="0.35">
      <c r="A480" s="82">
        <v>40462</v>
      </c>
      <c r="B480" s="83">
        <v>7479</v>
      </c>
      <c r="C480" s="84">
        <v>2402.3000000000002</v>
      </c>
      <c r="D480" s="61">
        <v>268.89999999999998</v>
      </c>
      <c r="E480" s="61">
        <v>14.4</v>
      </c>
      <c r="F480" s="61">
        <v>42.1</v>
      </c>
      <c r="G480" s="61">
        <v>24.5</v>
      </c>
      <c r="H480" s="61">
        <v>49.7</v>
      </c>
      <c r="I480" s="61">
        <v>11.6</v>
      </c>
      <c r="J480" s="61">
        <v>48.9</v>
      </c>
      <c r="K480" s="61">
        <v>32.6</v>
      </c>
      <c r="L480" s="61">
        <v>36.700000000000003</v>
      </c>
      <c r="M480" s="61">
        <v>38.700000000000003</v>
      </c>
      <c r="N480" s="61">
        <v>48.1</v>
      </c>
      <c r="O480" s="85">
        <v>20.399999999999999</v>
      </c>
      <c r="P480" s="105"/>
      <c r="Q480" s="87">
        <f t="shared" si="47"/>
        <v>8.0227847128822984E-5</v>
      </c>
      <c r="R480" s="87">
        <f t="shared" si="50"/>
        <v>1.6652096121068941E-4</v>
      </c>
      <c r="S480" s="87">
        <f t="shared" si="50"/>
        <v>1.8011743971732271E-2</v>
      </c>
      <c r="T480" s="87">
        <f t="shared" si="49"/>
        <v>1.398624197473987E-2</v>
      </c>
      <c r="U480" s="87">
        <f t="shared" si="49"/>
        <v>1.6766859857067107E-2</v>
      </c>
      <c r="V480" s="87">
        <f t="shared" si="49"/>
        <v>4.0899852515250664E-3</v>
      </c>
      <c r="W480" s="87">
        <f t="shared" si="49"/>
        <v>6.0545089087062224E-3</v>
      </c>
      <c r="X480" s="87">
        <f t="shared" si="45"/>
        <v>5.3109825313948332E-2</v>
      </c>
      <c r="Y480" s="87">
        <f t="shared" si="45"/>
        <v>3.1155167779795479E-2</v>
      </c>
      <c r="Z480" s="87">
        <f t="shared" si="45"/>
        <v>1.5456258236691672E-2</v>
      </c>
      <c r="AA480" s="87">
        <f t="shared" si="45"/>
        <v>2.7285146532041358E-3</v>
      </c>
      <c r="AB480" s="87">
        <f t="shared" si="45"/>
        <v>-5.1546505886644264E-3</v>
      </c>
      <c r="AC480" s="87">
        <f t="shared" si="45"/>
        <v>3.1681635980115398E-2</v>
      </c>
      <c r="AD480" s="87">
        <f t="shared" si="45"/>
        <v>9.8522964430116395E-3</v>
      </c>
      <c r="AE480" s="90">
        <f t="shared" si="48"/>
        <v>1.1314937735119561E-2</v>
      </c>
      <c r="AF480" s="89"/>
    </row>
    <row r="481" spans="1:32" ht="15.5" x14ac:dyDescent="0.35">
      <c r="A481" s="82">
        <v>40463</v>
      </c>
      <c r="B481" s="83">
        <v>7489.6</v>
      </c>
      <c r="C481" s="84">
        <v>2417.9</v>
      </c>
      <c r="D481" s="61">
        <v>269.2</v>
      </c>
      <c r="E481" s="61">
        <v>14.3</v>
      </c>
      <c r="F481" s="61">
        <v>41.8</v>
      </c>
      <c r="G481" s="61">
        <v>24.4</v>
      </c>
      <c r="H481" s="61">
        <v>49.2</v>
      </c>
      <c r="I481" s="61">
        <v>11.6</v>
      </c>
      <c r="J481" s="61">
        <v>48.8</v>
      </c>
      <c r="K481" s="61">
        <v>32.799999999999997</v>
      </c>
      <c r="L481" s="61">
        <v>36.299999999999997</v>
      </c>
      <c r="M481" s="61">
        <v>38.200000000000003</v>
      </c>
      <c r="N481" s="61">
        <v>48.2</v>
      </c>
      <c r="O481" s="85">
        <v>20.5</v>
      </c>
      <c r="P481" s="105"/>
      <c r="Q481" s="87">
        <f t="shared" si="47"/>
        <v>1.4162983541385087E-3</v>
      </c>
      <c r="R481" s="87">
        <f t="shared" si="50"/>
        <v>6.4727830654158283E-3</v>
      </c>
      <c r="S481" s="87">
        <f t="shared" si="50"/>
        <v>1.115034495753744E-3</v>
      </c>
      <c r="T481" s="87">
        <f t="shared" si="49"/>
        <v>-6.9686693160933158E-3</v>
      </c>
      <c r="U481" s="87">
        <f t="shared" si="49"/>
        <v>-7.1514011576252401E-3</v>
      </c>
      <c r="V481" s="87">
        <f t="shared" si="49"/>
        <v>-4.0899852515251661E-3</v>
      </c>
      <c r="W481" s="87">
        <f t="shared" si="49"/>
        <v>-1.0111309604320566E-2</v>
      </c>
      <c r="X481" s="87">
        <f t="shared" si="45"/>
        <v>0</v>
      </c>
      <c r="Y481" s="87">
        <f t="shared" si="45"/>
        <v>-2.0470836217249106E-3</v>
      </c>
      <c r="Z481" s="87">
        <f t="shared" si="45"/>
        <v>6.1162270174360536E-3</v>
      </c>
      <c r="AA481" s="87">
        <f t="shared" si="45"/>
        <v>-1.0959013789719654E-2</v>
      </c>
      <c r="AB481" s="87">
        <f t="shared" si="45"/>
        <v>-1.3004084423206573E-2</v>
      </c>
      <c r="AC481" s="87">
        <f t="shared" si="45"/>
        <v>2.0768439448390691E-3</v>
      </c>
      <c r="AD481" s="87">
        <f t="shared" si="45"/>
        <v>4.8899852941917702E-3</v>
      </c>
      <c r="AE481" s="90">
        <f t="shared" si="48"/>
        <v>8.1615454505886906E-4</v>
      </c>
      <c r="AF481" s="89"/>
    </row>
    <row r="482" spans="1:32" ht="15.5" x14ac:dyDescent="0.35">
      <c r="A482" s="82">
        <v>40464</v>
      </c>
      <c r="B482" s="83">
        <v>7561.5</v>
      </c>
      <c r="C482" s="84">
        <v>2441.1999999999998</v>
      </c>
      <c r="D482" s="61">
        <v>271.39999999999998</v>
      </c>
      <c r="E482" s="61">
        <v>14.5</v>
      </c>
      <c r="F482" s="61">
        <v>42.8</v>
      </c>
      <c r="G482" s="61">
        <v>24.9</v>
      </c>
      <c r="H482" s="61">
        <v>49.4</v>
      </c>
      <c r="I482" s="61">
        <v>11.7</v>
      </c>
      <c r="J482" s="61">
        <v>48.9</v>
      </c>
      <c r="K482" s="61">
        <v>32.799999999999997</v>
      </c>
      <c r="L482" s="61">
        <v>36.799999999999997</v>
      </c>
      <c r="M482" s="61">
        <v>39.4</v>
      </c>
      <c r="N482" s="61">
        <v>48.9</v>
      </c>
      <c r="O482" s="85">
        <v>20.399999999999999</v>
      </c>
      <c r="P482" s="105"/>
      <c r="Q482" s="87">
        <f t="shared" si="47"/>
        <v>9.5541916449890466E-3</v>
      </c>
      <c r="R482" s="87">
        <f t="shared" si="50"/>
        <v>9.5903268437744459E-3</v>
      </c>
      <c r="S482" s="87">
        <f t="shared" si="50"/>
        <v>8.1391496301959979E-3</v>
      </c>
      <c r="T482" s="87">
        <f t="shared" si="49"/>
        <v>1.3889112160667093E-2</v>
      </c>
      <c r="U482" s="87">
        <f t="shared" si="49"/>
        <v>2.3641763057040494E-2</v>
      </c>
      <c r="V482" s="87">
        <f t="shared" si="49"/>
        <v>2.0284671171505717E-2</v>
      </c>
      <c r="W482" s="87">
        <f t="shared" si="49"/>
        <v>4.0568006956142478E-3</v>
      </c>
      <c r="X482" s="87">
        <f t="shared" si="45"/>
        <v>8.583743691391435E-3</v>
      </c>
      <c r="Y482" s="87">
        <f t="shared" ref="Y482:AD524" si="51">+LN(J482/J481)</f>
        <v>2.047083621724823E-3</v>
      </c>
      <c r="Z482" s="87">
        <f t="shared" si="51"/>
        <v>0</v>
      </c>
      <c r="AA482" s="87">
        <f t="shared" si="51"/>
        <v>1.3680103904080176E-2</v>
      </c>
      <c r="AB482" s="87">
        <f t="shared" si="51"/>
        <v>3.0930300691358558E-2</v>
      </c>
      <c r="AC482" s="87">
        <f t="shared" si="51"/>
        <v>1.4418375424271671E-2</v>
      </c>
      <c r="AD482" s="87">
        <f t="shared" si="51"/>
        <v>-4.8899852941919038E-3</v>
      </c>
      <c r="AE482" s="90">
        <f t="shared" si="48"/>
        <v>1.1423269901852775E-2</v>
      </c>
      <c r="AF482" s="89"/>
    </row>
    <row r="483" spans="1:32" ht="15.5" x14ac:dyDescent="0.35">
      <c r="A483" s="82">
        <v>40465</v>
      </c>
      <c r="B483" s="83">
        <v>7546.6</v>
      </c>
      <c r="C483" s="84">
        <v>2435.4</v>
      </c>
      <c r="D483" s="61">
        <v>268.8</v>
      </c>
      <c r="E483" s="61">
        <v>15.8</v>
      </c>
      <c r="F483" s="61">
        <v>42.9</v>
      </c>
      <c r="G483" s="61">
        <v>25</v>
      </c>
      <c r="H483" s="61">
        <v>36.4</v>
      </c>
      <c r="I483" s="61">
        <v>11.6</v>
      </c>
      <c r="J483" s="61">
        <v>48.9</v>
      </c>
      <c r="K483" s="61">
        <v>32.9</v>
      </c>
      <c r="L483" s="61">
        <v>36.799999999999997</v>
      </c>
      <c r="M483" s="61">
        <v>39.200000000000003</v>
      </c>
      <c r="N483" s="61">
        <v>49.1</v>
      </c>
      <c r="O483" s="85">
        <v>20.3</v>
      </c>
      <c r="P483" s="105"/>
      <c r="Q483" s="87">
        <f t="shared" si="47"/>
        <v>-1.9724525030664656E-3</v>
      </c>
      <c r="R483" s="87">
        <f t="shared" si="50"/>
        <v>-2.3787075974327325E-3</v>
      </c>
      <c r="S483" s="87">
        <f t="shared" si="50"/>
        <v>-9.6261387517741267E-3</v>
      </c>
      <c r="T483" s="87">
        <f t="shared" si="49"/>
        <v>8.586129060639236E-2</v>
      </c>
      <c r="U483" s="87">
        <f t="shared" si="49"/>
        <v>2.3337233462203183E-3</v>
      </c>
      <c r="V483" s="87">
        <f t="shared" si="49"/>
        <v>4.0080213975388678E-3</v>
      </c>
      <c r="W483" s="87">
        <f t="shared" si="49"/>
        <v>-0.30538164955118191</v>
      </c>
      <c r="X483" s="87">
        <f t="shared" si="49"/>
        <v>-8.5837436913914419E-3</v>
      </c>
      <c r="Y483" s="87">
        <f t="shared" si="51"/>
        <v>0</v>
      </c>
      <c r="Z483" s="87">
        <f t="shared" si="51"/>
        <v>3.044142381228273E-3</v>
      </c>
      <c r="AA483" s="87">
        <f t="shared" si="51"/>
        <v>0</v>
      </c>
      <c r="AB483" s="87">
        <f t="shared" si="51"/>
        <v>-5.0890695074711813E-3</v>
      </c>
      <c r="AC483" s="87">
        <f t="shared" si="51"/>
        <v>4.0816383196486776E-3</v>
      </c>
      <c r="AD483" s="87">
        <f t="shared" si="51"/>
        <v>-4.9140148024289293E-3</v>
      </c>
      <c r="AE483" s="90">
        <f t="shared" si="48"/>
        <v>-3.4611916165718402E-3</v>
      </c>
      <c r="AF483" s="89"/>
    </row>
    <row r="484" spans="1:32" ht="15.5" x14ac:dyDescent="0.35">
      <c r="A484" s="82">
        <v>40466</v>
      </c>
      <c r="B484" s="83">
        <v>7520.6</v>
      </c>
      <c r="C484" s="84">
        <v>2468.8000000000002</v>
      </c>
      <c r="D484" s="61">
        <v>296.10000000000002</v>
      </c>
      <c r="E484" s="61">
        <v>15.9</v>
      </c>
      <c r="F484" s="61">
        <v>43.6</v>
      </c>
      <c r="G484" s="61">
        <v>25.2</v>
      </c>
      <c r="H484" s="61">
        <v>35.799999999999997</v>
      </c>
      <c r="I484" s="61">
        <v>11.6</v>
      </c>
      <c r="J484" s="61">
        <v>48.2</v>
      </c>
      <c r="K484" s="61">
        <v>32.6</v>
      </c>
      <c r="L484" s="61">
        <v>36.799999999999997</v>
      </c>
      <c r="M484" s="61">
        <v>38.299999999999997</v>
      </c>
      <c r="N484" s="61">
        <v>48.8</v>
      </c>
      <c r="O484" s="85">
        <v>20.399999999999999</v>
      </c>
      <c r="P484" s="105"/>
      <c r="Q484" s="87">
        <f t="shared" si="47"/>
        <v>-3.451208692632754E-3</v>
      </c>
      <c r="R484" s="87">
        <f t="shared" si="50"/>
        <v>1.3621188535989356E-2</v>
      </c>
      <c r="S484" s="87">
        <f t="shared" si="50"/>
        <v>9.6729626458551113E-2</v>
      </c>
      <c r="T484" s="87">
        <f t="shared" si="49"/>
        <v>6.3091691932647556E-3</v>
      </c>
      <c r="U484" s="87">
        <f t="shared" si="49"/>
        <v>1.618532442101735E-2</v>
      </c>
      <c r="V484" s="87">
        <f t="shared" si="49"/>
        <v>7.9681696491768813E-3</v>
      </c>
      <c r="W484" s="87">
        <f t="shared" si="49"/>
        <v>-1.6620881236040407E-2</v>
      </c>
      <c r="X484" s="87">
        <f t="shared" si="49"/>
        <v>0</v>
      </c>
      <c r="Y484" s="87">
        <f t="shared" si="51"/>
        <v>-1.4418375424271599E-2</v>
      </c>
      <c r="Z484" s="87">
        <f t="shared" si="51"/>
        <v>-9.1603693986641657E-3</v>
      </c>
      <c r="AA484" s="87">
        <f t="shared" si="51"/>
        <v>0</v>
      </c>
      <c r="AB484" s="87">
        <f t="shared" si="51"/>
        <v>-2.3226850609816659E-2</v>
      </c>
      <c r="AC484" s="87">
        <f t="shared" si="51"/>
        <v>-6.1287219413734993E-3</v>
      </c>
      <c r="AD484" s="87">
        <f t="shared" si="51"/>
        <v>4.9140148024289414E-3</v>
      </c>
      <c r="AE484" s="90">
        <f t="shared" si="48"/>
        <v>3.7627218953466567E-2</v>
      </c>
      <c r="AF484" s="89"/>
    </row>
    <row r="485" spans="1:32" ht="15.5" x14ac:dyDescent="0.35">
      <c r="A485" s="82">
        <v>40469</v>
      </c>
      <c r="B485" s="83">
        <v>7571.1</v>
      </c>
      <c r="C485" s="84">
        <v>2480.6999999999998</v>
      </c>
      <c r="D485" s="61">
        <v>300.60000000000002</v>
      </c>
      <c r="E485" s="61">
        <v>15.8</v>
      </c>
      <c r="F485" s="61">
        <v>44.9</v>
      </c>
      <c r="G485" s="61">
        <v>25.5</v>
      </c>
      <c r="H485" s="61">
        <v>36</v>
      </c>
      <c r="I485" s="61">
        <v>11.8</v>
      </c>
      <c r="J485" s="61">
        <v>47.7</v>
      </c>
      <c r="K485" s="61">
        <v>32.5</v>
      </c>
      <c r="L485" s="61">
        <v>36.9</v>
      </c>
      <c r="M485" s="61">
        <v>39.299999999999997</v>
      </c>
      <c r="N485" s="61">
        <v>48.7</v>
      </c>
      <c r="O485" s="85">
        <v>20.399999999999999</v>
      </c>
      <c r="P485" s="105"/>
      <c r="Q485" s="87">
        <f t="shared" si="47"/>
        <v>6.6924453157910704E-3</v>
      </c>
      <c r="R485" s="87">
        <f t="shared" si="50"/>
        <v>4.8085757873342749E-3</v>
      </c>
      <c r="S485" s="87">
        <f t="shared" si="50"/>
        <v>1.50832422113285E-2</v>
      </c>
      <c r="T485" s="87">
        <f t="shared" si="49"/>
        <v>-6.309169193264721E-3</v>
      </c>
      <c r="U485" s="87">
        <f t="shared" si="49"/>
        <v>2.9380644393219961E-2</v>
      </c>
      <c r="V485" s="87">
        <f t="shared" si="49"/>
        <v>1.1834457647002798E-2</v>
      </c>
      <c r="W485" s="87">
        <f t="shared" si="49"/>
        <v>5.5710450494554295E-3</v>
      </c>
      <c r="X485" s="87">
        <f t="shared" si="49"/>
        <v>1.7094433359300255E-2</v>
      </c>
      <c r="Y485" s="87">
        <f t="shared" si="51"/>
        <v>-1.042762316225905E-2</v>
      </c>
      <c r="Z485" s="87">
        <f t="shared" si="51"/>
        <v>-3.0721990369702518E-3</v>
      </c>
      <c r="AA485" s="87">
        <f t="shared" si="51"/>
        <v>2.7137058715963258E-3</v>
      </c>
      <c r="AB485" s="87">
        <f t="shared" si="51"/>
        <v>2.5774622688615155E-2</v>
      </c>
      <c r="AC485" s="87">
        <f t="shared" si="51"/>
        <v>-2.0512827705572493E-3</v>
      </c>
      <c r="AD485" s="87">
        <f t="shared" si="51"/>
        <v>0</v>
      </c>
      <c r="AE485" s="90">
        <f t="shared" si="48"/>
        <v>1.4258268472017313E-2</v>
      </c>
      <c r="AF485" s="89"/>
    </row>
    <row r="486" spans="1:32" ht="15.5" x14ac:dyDescent="0.35">
      <c r="A486" s="82">
        <v>40470</v>
      </c>
      <c r="B486" s="83">
        <v>7423.6</v>
      </c>
      <c r="C486" s="84">
        <v>2436.9</v>
      </c>
      <c r="D486" s="61">
        <v>301.7</v>
      </c>
      <c r="E486" s="61">
        <v>15.4</v>
      </c>
      <c r="F486" s="61">
        <v>42.9</v>
      </c>
      <c r="G486" s="61">
        <v>25</v>
      </c>
      <c r="H486" s="61">
        <v>36.799999999999997</v>
      </c>
      <c r="I486" s="61">
        <v>11.6</v>
      </c>
      <c r="J486" s="61">
        <v>47.3</v>
      </c>
      <c r="K486" s="61">
        <v>32.200000000000003</v>
      </c>
      <c r="L486" s="61">
        <v>36.299999999999997</v>
      </c>
      <c r="M486" s="61">
        <v>39.6</v>
      </c>
      <c r="N486" s="61">
        <v>47.8</v>
      </c>
      <c r="O486" s="85">
        <v>20</v>
      </c>
      <c r="P486" s="105"/>
      <c r="Q486" s="87">
        <f t="shared" si="47"/>
        <v>-1.9674252606737559E-2</v>
      </c>
      <c r="R486" s="87">
        <f t="shared" si="50"/>
        <v>-1.781403867121276E-2</v>
      </c>
      <c r="S486" s="87">
        <f t="shared" si="50"/>
        <v>3.652668846141279E-3</v>
      </c>
      <c r="T486" s="87">
        <f t="shared" si="49"/>
        <v>-2.564243061333767E-2</v>
      </c>
      <c r="U486" s="87">
        <f t="shared" si="49"/>
        <v>-4.5565968814237308E-2</v>
      </c>
      <c r="V486" s="87">
        <f t="shared" si="49"/>
        <v>-1.9802627296179754E-2</v>
      </c>
      <c r="W486" s="87">
        <f t="shared" si="49"/>
        <v>2.1978906718775167E-2</v>
      </c>
      <c r="X486" s="87">
        <f t="shared" si="49"/>
        <v>-1.7094433359300183E-2</v>
      </c>
      <c r="Y486" s="87">
        <f t="shared" si="51"/>
        <v>-8.4211023964083972E-3</v>
      </c>
      <c r="Z486" s="87">
        <f t="shared" si="51"/>
        <v>-9.2736367853291021E-3</v>
      </c>
      <c r="AA486" s="87">
        <f t="shared" si="51"/>
        <v>-1.6393809775676497E-2</v>
      </c>
      <c r="AB486" s="87">
        <f t="shared" si="51"/>
        <v>7.6045993852194328E-3</v>
      </c>
      <c r="AC486" s="87">
        <f t="shared" si="51"/>
        <v>-1.8653390591133925E-2</v>
      </c>
      <c r="AD486" s="87">
        <f t="shared" si="51"/>
        <v>-1.9802627296179643E-2</v>
      </c>
      <c r="AE486" s="90">
        <f t="shared" si="48"/>
        <v>-1.9706418994344894E-2</v>
      </c>
      <c r="AF486" s="89"/>
    </row>
    <row r="487" spans="1:32" ht="15.5" x14ac:dyDescent="0.35">
      <c r="A487" s="82">
        <v>40471</v>
      </c>
      <c r="B487" s="83">
        <v>7523.8</v>
      </c>
      <c r="C487" s="84">
        <v>2457.4</v>
      </c>
      <c r="D487" s="61">
        <v>304.10000000000002</v>
      </c>
      <c r="E487" s="61">
        <v>15.8</v>
      </c>
      <c r="F487" s="61">
        <v>43.8</v>
      </c>
      <c r="G487" s="61">
        <v>25.1</v>
      </c>
      <c r="H487" s="61">
        <v>36.700000000000003</v>
      </c>
      <c r="I487" s="61">
        <v>11.7</v>
      </c>
      <c r="J487" s="61">
        <v>47.3</v>
      </c>
      <c r="K487" s="61">
        <v>32.700000000000003</v>
      </c>
      <c r="L487" s="61">
        <v>36.6</v>
      </c>
      <c r="M487" s="61">
        <v>39.700000000000003</v>
      </c>
      <c r="N487" s="61">
        <v>45.3</v>
      </c>
      <c r="O487" s="85">
        <v>20.2</v>
      </c>
      <c r="P487" s="105"/>
      <c r="Q487" s="87">
        <f t="shared" si="47"/>
        <v>1.340721475794544E-2</v>
      </c>
      <c r="R487" s="87">
        <f t="shared" si="50"/>
        <v>8.3771407084530375E-3</v>
      </c>
      <c r="S487" s="87">
        <f t="shared" si="50"/>
        <v>7.9234485183035681E-3</v>
      </c>
      <c r="T487" s="87">
        <f t="shared" si="49"/>
        <v>2.5642430613337652E-2</v>
      </c>
      <c r="U487" s="87">
        <f t="shared" si="49"/>
        <v>2.0761991448429225E-2</v>
      </c>
      <c r="V487" s="87">
        <f t="shared" si="49"/>
        <v>3.9920212695374567E-3</v>
      </c>
      <c r="W487" s="87">
        <f t="shared" si="49"/>
        <v>-2.7210901143605018E-3</v>
      </c>
      <c r="X487" s="87">
        <f t="shared" si="49"/>
        <v>8.583743691391435E-3</v>
      </c>
      <c r="Y487" s="87">
        <f t="shared" si="51"/>
        <v>0</v>
      </c>
      <c r="Z487" s="87">
        <f t="shared" si="51"/>
        <v>1.5408625352845061E-2</v>
      </c>
      <c r="AA487" s="87">
        <f t="shared" si="51"/>
        <v>8.2304991365156621E-3</v>
      </c>
      <c r="AB487" s="87">
        <f t="shared" si="51"/>
        <v>2.5220694327099391E-3</v>
      </c>
      <c r="AC487" s="87">
        <f t="shared" si="51"/>
        <v>-5.3718607008421952E-2</v>
      </c>
      <c r="AD487" s="87">
        <f t="shared" si="51"/>
        <v>9.950330853168092E-3</v>
      </c>
      <c r="AE487" s="90">
        <f t="shared" si="48"/>
        <v>1.1976845215169436E-2</v>
      </c>
      <c r="AF487" s="89"/>
    </row>
    <row r="488" spans="1:32" ht="15.5" x14ac:dyDescent="0.35">
      <c r="A488" s="82">
        <v>40472</v>
      </c>
      <c r="B488" s="83">
        <v>7515.7</v>
      </c>
      <c r="C488" s="84">
        <v>2459.6999999999998</v>
      </c>
      <c r="D488" s="61">
        <v>303.3</v>
      </c>
      <c r="E488" s="61">
        <v>15.7</v>
      </c>
      <c r="F488" s="61">
        <v>43.8</v>
      </c>
      <c r="G488" s="61">
        <v>25.1</v>
      </c>
      <c r="H488" s="61">
        <v>36.200000000000003</v>
      </c>
      <c r="I488" s="61">
        <v>11.6</v>
      </c>
      <c r="J488" s="61">
        <v>47.2</v>
      </c>
      <c r="K488" s="61">
        <v>32.200000000000003</v>
      </c>
      <c r="L488" s="61">
        <v>36.6</v>
      </c>
      <c r="M488" s="61">
        <v>40</v>
      </c>
      <c r="N488" s="61">
        <v>45</v>
      </c>
      <c r="O488" s="85">
        <v>20.399999999999999</v>
      </c>
      <c r="P488" s="105"/>
      <c r="Q488" s="87">
        <f t="shared" si="47"/>
        <v>-1.0771635736813658E-3</v>
      </c>
      <c r="R488" s="87">
        <f t="shared" si="50"/>
        <v>9.3551083677071529E-4</v>
      </c>
      <c r="S488" s="87">
        <f t="shared" si="50"/>
        <v>-2.6341799887836066E-3</v>
      </c>
      <c r="T488" s="87">
        <f t="shared" si="49"/>
        <v>-6.3492276786588919E-3</v>
      </c>
      <c r="U488" s="87">
        <f t="shared" si="49"/>
        <v>0</v>
      </c>
      <c r="V488" s="87">
        <f t="shared" si="49"/>
        <v>0</v>
      </c>
      <c r="W488" s="87">
        <f t="shared" si="49"/>
        <v>-1.3717636228799195E-2</v>
      </c>
      <c r="X488" s="87">
        <f t="shared" si="49"/>
        <v>-8.5837436913914419E-3</v>
      </c>
      <c r="Y488" s="87">
        <f t="shared" si="51"/>
        <v>-2.1164029063775016E-3</v>
      </c>
      <c r="Z488" s="87">
        <f t="shared" si="51"/>
        <v>-1.5408625352845068E-2</v>
      </c>
      <c r="AA488" s="87">
        <f t="shared" si="51"/>
        <v>0</v>
      </c>
      <c r="AB488" s="87">
        <f t="shared" si="51"/>
        <v>7.5282664207915878E-3</v>
      </c>
      <c r="AC488" s="87">
        <f t="shared" si="51"/>
        <v>-6.6445427186685013E-3</v>
      </c>
      <c r="AD488" s="87">
        <f t="shared" si="51"/>
        <v>9.8522964430116395E-3</v>
      </c>
      <c r="AE488" s="90">
        <f t="shared" si="48"/>
        <v>7.0675341047214874E-4</v>
      </c>
      <c r="AF488" s="89"/>
    </row>
    <row r="489" spans="1:32" ht="15.5" x14ac:dyDescent="0.35">
      <c r="A489" s="82">
        <v>40473</v>
      </c>
      <c r="B489" s="83">
        <v>7522.9</v>
      </c>
      <c r="C489" s="84">
        <v>2479.4</v>
      </c>
      <c r="D489" s="61">
        <v>305.3</v>
      </c>
      <c r="E489" s="61">
        <v>15.9</v>
      </c>
      <c r="F489" s="61">
        <v>43.8</v>
      </c>
      <c r="G489" s="61">
        <v>25.3</v>
      </c>
      <c r="H489" s="61">
        <v>35.5</v>
      </c>
      <c r="I489" s="61">
        <v>11.7</v>
      </c>
      <c r="J489" s="61">
        <v>46.9</v>
      </c>
      <c r="K489" s="61">
        <v>32.4</v>
      </c>
      <c r="L489" s="61">
        <v>37</v>
      </c>
      <c r="M489" s="61">
        <v>40.1</v>
      </c>
      <c r="N489" s="61">
        <v>45.8</v>
      </c>
      <c r="O489" s="85">
        <v>20.399999999999999</v>
      </c>
      <c r="P489" s="105"/>
      <c r="Q489" s="87">
        <f t="shared" si="47"/>
        <v>9.5753601400736313E-4</v>
      </c>
      <c r="R489" s="87">
        <f t="shared" si="50"/>
        <v>7.977204133804856E-3</v>
      </c>
      <c r="S489" s="87">
        <f t="shared" si="50"/>
        <v>6.5724850462967922E-3</v>
      </c>
      <c r="T489" s="87">
        <f t="shared" si="49"/>
        <v>1.2658396871923465E-2</v>
      </c>
      <c r="U489" s="87">
        <f t="shared" si="49"/>
        <v>0</v>
      </c>
      <c r="V489" s="87">
        <f t="shared" si="49"/>
        <v>7.9365495957363415E-3</v>
      </c>
      <c r="W489" s="87">
        <f t="shared" si="49"/>
        <v>-1.9526422350355378E-2</v>
      </c>
      <c r="X489" s="87">
        <f t="shared" si="49"/>
        <v>8.583743691391435E-3</v>
      </c>
      <c r="Y489" s="87">
        <f t="shared" si="51"/>
        <v>-6.3762171392761089E-3</v>
      </c>
      <c r="Z489" s="87">
        <f t="shared" si="51"/>
        <v>6.1919702479209804E-3</v>
      </c>
      <c r="AA489" s="87">
        <f t="shared" si="51"/>
        <v>1.0869672236903891E-2</v>
      </c>
      <c r="AB489" s="87">
        <f t="shared" si="51"/>
        <v>2.4968801985871458E-3</v>
      </c>
      <c r="AC489" s="87">
        <f t="shared" si="51"/>
        <v>1.762160134981941E-2</v>
      </c>
      <c r="AD489" s="87">
        <f t="shared" si="51"/>
        <v>0</v>
      </c>
      <c r="AE489" s="90">
        <f t="shared" si="48"/>
        <v>4.3153441475357176E-3</v>
      </c>
      <c r="AF489" s="89"/>
    </row>
    <row r="490" spans="1:32" ht="15.5" x14ac:dyDescent="0.35">
      <c r="A490" s="82">
        <v>40476</v>
      </c>
      <c r="B490" s="83">
        <v>7546.4</v>
      </c>
      <c r="C490" s="84">
        <v>2490.9</v>
      </c>
      <c r="D490" s="61">
        <v>307.8</v>
      </c>
      <c r="E490" s="61">
        <v>16.2</v>
      </c>
      <c r="F490" s="61">
        <v>44.1</v>
      </c>
      <c r="G490" s="61">
        <v>25.2</v>
      </c>
      <c r="H490" s="61">
        <v>36.1</v>
      </c>
      <c r="I490" s="61">
        <v>11.7</v>
      </c>
      <c r="J490" s="61">
        <v>47.4</v>
      </c>
      <c r="K490" s="61">
        <v>32.6</v>
      </c>
      <c r="L490" s="61">
        <v>37.299999999999997</v>
      </c>
      <c r="M490" s="61">
        <v>39.9</v>
      </c>
      <c r="N490" s="61">
        <v>46.5</v>
      </c>
      <c r="O490" s="85">
        <v>20.5</v>
      </c>
      <c r="P490" s="105"/>
      <c r="Q490" s="87">
        <f t="shared" si="47"/>
        <v>3.1189264332226237E-3</v>
      </c>
      <c r="R490" s="87">
        <f t="shared" si="50"/>
        <v>4.6274955320480624E-3</v>
      </c>
      <c r="S490" s="87">
        <f t="shared" si="50"/>
        <v>8.1553216639466339E-3</v>
      </c>
      <c r="T490" s="87">
        <f t="shared" si="49"/>
        <v>1.8692133012152546E-2</v>
      </c>
      <c r="U490" s="87">
        <f t="shared" si="49"/>
        <v>6.8259650703998906E-3</v>
      </c>
      <c r="V490" s="87">
        <f t="shared" si="49"/>
        <v>-3.9604012160970167E-3</v>
      </c>
      <c r="W490" s="87">
        <f t="shared" si="49"/>
        <v>1.6760168857465101E-2</v>
      </c>
      <c r="X490" s="87">
        <f t="shared" si="49"/>
        <v>0</v>
      </c>
      <c r="Y490" s="87">
        <f t="shared" si="51"/>
        <v>1.0604553248797067E-2</v>
      </c>
      <c r="Z490" s="87">
        <f t="shared" si="51"/>
        <v>6.1538655743782859E-3</v>
      </c>
      <c r="AA490" s="87">
        <f t="shared" si="51"/>
        <v>8.0754140055453311E-3</v>
      </c>
      <c r="AB490" s="87">
        <f t="shared" si="51"/>
        <v>-5.0000104167057515E-3</v>
      </c>
      <c r="AC490" s="87">
        <f t="shared" si="51"/>
        <v>1.5168221473171444E-2</v>
      </c>
      <c r="AD490" s="87">
        <f t="shared" si="51"/>
        <v>4.8899852941917702E-3</v>
      </c>
      <c r="AE490" s="90">
        <f t="shared" si="48"/>
        <v>6.3208503583978681E-3</v>
      </c>
      <c r="AF490" s="89"/>
    </row>
    <row r="491" spans="1:32" ht="15.5" x14ac:dyDescent="0.35">
      <c r="A491" s="82">
        <v>40477</v>
      </c>
      <c r="B491" s="83">
        <v>7530.8</v>
      </c>
      <c r="C491" s="84">
        <v>2497.3000000000002</v>
      </c>
      <c r="D491" s="61">
        <v>305.8</v>
      </c>
      <c r="E491" s="61">
        <v>16.2</v>
      </c>
      <c r="F491" s="61">
        <v>43.7</v>
      </c>
      <c r="G491" s="61">
        <v>25.1</v>
      </c>
      <c r="H491" s="61">
        <v>35.5</v>
      </c>
      <c r="I491" s="61">
        <v>11.3</v>
      </c>
      <c r="J491" s="61">
        <v>47.9</v>
      </c>
      <c r="K491" s="61">
        <v>32.1</v>
      </c>
      <c r="L491" s="61">
        <v>36.9</v>
      </c>
      <c r="M491" s="61">
        <v>40</v>
      </c>
      <c r="N491" s="61">
        <v>46</v>
      </c>
      <c r="O491" s="85">
        <v>20.3</v>
      </c>
      <c r="P491" s="105"/>
      <c r="Q491" s="87">
        <f t="shared" si="47"/>
        <v>-2.0693504850866269E-3</v>
      </c>
      <c r="R491" s="87">
        <f t="shared" si="50"/>
        <v>2.5660572999532025E-3</v>
      </c>
      <c r="S491" s="87">
        <f t="shared" si="50"/>
        <v>-6.5189279098169239E-3</v>
      </c>
      <c r="T491" s="87">
        <f t="shared" si="49"/>
        <v>0</v>
      </c>
      <c r="U491" s="87">
        <f t="shared" si="49"/>
        <v>-9.1116803512557784E-3</v>
      </c>
      <c r="V491" s="87">
        <f t="shared" si="49"/>
        <v>-3.9761483796392945E-3</v>
      </c>
      <c r="W491" s="87">
        <f t="shared" si="49"/>
        <v>-1.6760168857465188E-2</v>
      </c>
      <c r="X491" s="87">
        <f t="shared" si="49"/>
        <v>-3.4786116085415424E-2</v>
      </c>
      <c r="Y491" s="87">
        <f t="shared" si="51"/>
        <v>1.0493275715838723E-2</v>
      </c>
      <c r="Z491" s="87">
        <f t="shared" si="51"/>
        <v>-1.5456258236691802E-2</v>
      </c>
      <c r="AA491" s="87">
        <f t="shared" si="51"/>
        <v>-1.0781775603288362E-2</v>
      </c>
      <c r="AB491" s="87">
        <f t="shared" si="51"/>
        <v>2.5031302181184748E-3</v>
      </c>
      <c r="AC491" s="87">
        <f t="shared" si="51"/>
        <v>-1.0810916104215617E-2</v>
      </c>
      <c r="AD491" s="87">
        <f t="shared" si="51"/>
        <v>-9.8040000966208556E-3</v>
      </c>
      <c r="AE491" s="90">
        <f t="shared" si="48"/>
        <v>-4.9363808143888009E-3</v>
      </c>
      <c r="AF491" s="89"/>
    </row>
    <row r="492" spans="1:32" ht="15.5" x14ac:dyDescent="0.35">
      <c r="A492" s="82">
        <v>40478</v>
      </c>
      <c r="B492" s="83">
        <v>7480.9</v>
      </c>
      <c r="C492" s="84">
        <v>2503.3000000000002</v>
      </c>
      <c r="D492" s="61">
        <v>306.5</v>
      </c>
      <c r="E492" s="61">
        <v>16.2</v>
      </c>
      <c r="F492" s="61">
        <v>43.7</v>
      </c>
      <c r="G492" s="61">
        <v>25.6</v>
      </c>
      <c r="H492" s="61">
        <v>36.6</v>
      </c>
      <c r="I492" s="61">
        <v>11.4</v>
      </c>
      <c r="J492" s="61">
        <v>48.1</v>
      </c>
      <c r="K492" s="61">
        <v>31.5</v>
      </c>
      <c r="L492" s="61">
        <v>36.1</v>
      </c>
      <c r="M492" s="61">
        <v>39.9</v>
      </c>
      <c r="N492" s="61">
        <v>45.5</v>
      </c>
      <c r="O492" s="85">
        <v>20.100000000000001</v>
      </c>
      <c r="P492" s="105"/>
      <c r="Q492" s="87">
        <f t="shared" si="47"/>
        <v>-6.6481722643924731E-3</v>
      </c>
      <c r="R492" s="87">
        <f t="shared" si="50"/>
        <v>2.3997131861421212E-3</v>
      </c>
      <c r="S492" s="87">
        <f t="shared" si="50"/>
        <v>2.2864618813041694E-3</v>
      </c>
      <c r="T492" s="87">
        <f t="shared" si="49"/>
        <v>0</v>
      </c>
      <c r="U492" s="87">
        <f t="shared" si="49"/>
        <v>0</v>
      </c>
      <c r="V492" s="87">
        <f t="shared" si="49"/>
        <v>1.9724505347778573E-2</v>
      </c>
      <c r="W492" s="87">
        <f t="shared" si="49"/>
        <v>3.0515543925950413E-2</v>
      </c>
      <c r="X492" s="87">
        <f t="shared" si="49"/>
        <v>8.8106296821549059E-3</v>
      </c>
      <c r="Y492" s="87">
        <f t="shared" si="51"/>
        <v>4.1666726948459123E-3</v>
      </c>
      <c r="Z492" s="87">
        <f t="shared" si="51"/>
        <v>-1.8868484304382805E-2</v>
      </c>
      <c r="AA492" s="87">
        <f t="shared" si="51"/>
        <v>-2.1918685707646161E-2</v>
      </c>
      <c r="AB492" s="87">
        <f t="shared" si="51"/>
        <v>-2.5031302181185884E-3</v>
      </c>
      <c r="AC492" s="87">
        <f t="shared" si="51"/>
        <v>-1.0929070532190317E-2</v>
      </c>
      <c r="AD492" s="87">
        <f t="shared" si="51"/>
        <v>-9.9010709827115698E-3</v>
      </c>
      <c r="AE492" s="90">
        <f t="shared" si="48"/>
        <v>1.8524707627343151E-4</v>
      </c>
      <c r="AF492" s="89"/>
    </row>
    <row r="493" spans="1:32" ht="15.5" x14ac:dyDescent="0.35">
      <c r="A493" s="82">
        <v>40479</v>
      </c>
      <c r="B493" s="83">
        <v>7504.9</v>
      </c>
      <c r="C493" s="84">
        <v>2507.4</v>
      </c>
      <c r="D493" s="61">
        <v>307</v>
      </c>
      <c r="E493" s="61">
        <v>16.3</v>
      </c>
      <c r="F493" s="61">
        <v>43</v>
      </c>
      <c r="G493" s="61">
        <v>25.9</v>
      </c>
      <c r="H493" s="61">
        <v>37.5</v>
      </c>
      <c r="I493" s="61">
        <v>10.5</v>
      </c>
      <c r="J493" s="61">
        <v>47.4</v>
      </c>
      <c r="K493" s="61">
        <v>31.4</v>
      </c>
      <c r="L493" s="61">
        <v>36.700000000000003</v>
      </c>
      <c r="M493" s="61">
        <v>39.9</v>
      </c>
      <c r="N493" s="61">
        <v>45.3</v>
      </c>
      <c r="O493" s="85">
        <v>20.100000000000001</v>
      </c>
      <c r="P493" s="105"/>
      <c r="Q493" s="87">
        <f t="shared" si="47"/>
        <v>3.2030349422603193E-3</v>
      </c>
      <c r="R493" s="87">
        <f t="shared" si="50"/>
        <v>1.6364982597346918E-3</v>
      </c>
      <c r="S493" s="87">
        <f t="shared" si="50"/>
        <v>1.62999221093097E-3</v>
      </c>
      <c r="T493" s="87">
        <f t="shared" si="49"/>
        <v>6.1538655743782859E-3</v>
      </c>
      <c r="U493" s="87">
        <f t="shared" si="49"/>
        <v>-1.6147986407982103E-2</v>
      </c>
      <c r="V493" s="87">
        <f t="shared" si="49"/>
        <v>1.1650617219975054E-2</v>
      </c>
      <c r="W493" s="87">
        <f t="shared" si="49"/>
        <v>2.4292692569044483E-2</v>
      </c>
      <c r="X493" s="87">
        <f t="shared" si="49"/>
        <v>-8.2238098236972118E-2</v>
      </c>
      <c r="Y493" s="87">
        <f t="shared" si="51"/>
        <v>-1.4659948410684742E-2</v>
      </c>
      <c r="Z493" s="87">
        <f t="shared" si="51"/>
        <v>-3.1796529173797957E-3</v>
      </c>
      <c r="AA493" s="87">
        <f t="shared" si="51"/>
        <v>1.6483889721689415E-2</v>
      </c>
      <c r="AB493" s="87">
        <f t="shared" si="51"/>
        <v>0</v>
      </c>
      <c r="AC493" s="87">
        <f t="shared" si="51"/>
        <v>-4.4052934679164914E-3</v>
      </c>
      <c r="AD493" s="87">
        <f t="shared" si="51"/>
        <v>0</v>
      </c>
      <c r="AE493" s="90">
        <f t="shared" si="48"/>
        <v>-3.6495963782413113E-3</v>
      </c>
      <c r="AF493" s="89"/>
    </row>
    <row r="494" spans="1:32" ht="15.5" x14ac:dyDescent="0.35">
      <c r="A494" s="82">
        <v>40480</v>
      </c>
      <c r="B494" s="83">
        <v>7513.4</v>
      </c>
      <c r="C494" s="84">
        <v>2507.4</v>
      </c>
      <c r="D494" s="61">
        <v>306.8</v>
      </c>
      <c r="E494" s="61">
        <v>16.3</v>
      </c>
      <c r="F494" s="61">
        <v>43</v>
      </c>
      <c r="G494" s="61">
        <v>26.5</v>
      </c>
      <c r="H494" s="61">
        <v>37.4</v>
      </c>
      <c r="I494" s="61">
        <v>10.1</v>
      </c>
      <c r="J494" s="61">
        <v>47.5</v>
      </c>
      <c r="K494" s="61">
        <v>31.2</v>
      </c>
      <c r="L494" s="61">
        <v>36</v>
      </c>
      <c r="M494" s="61">
        <v>39.200000000000003</v>
      </c>
      <c r="N494" s="61">
        <v>44.8</v>
      </c>
      <c r="O494" s="85">
        <v>20.2</v>
      </c>
      <c r="P494" s="105"/>
      <c r="Q494" s="87">
        <f t="shared" si="47"/>
        <v>1.1319524723302963E-3</v>
      </c>
      <c r="R494" s="87">
        <f t="shared" si="50"/>
        <v>0</v>
      </c>
      <c r="S494" s="87">
        <f t="shared" si="50"/>
        <v>-6.5167809409596576E-4</v>
      </c>
      <c r="T494" s="87">
        <f t="shared" si="49"/>
        <v>0</v>
      </c>
      <c r="U494" s="87">
        <f t="shared" si="49"/>
        <v>0</v>
      </c>
      <c r="V494" s="87">
        <f t="shared" si="49"/>
        <v>2.2901764286684414E-2</v>
      </c>
      <c r="W494" s="87">
        <f t="shared" si="49"/>
        <v>-2.6702285558789208E-3</v>
      </c>
      <c r="X494" s="87">
        <f t="shared" si="49"/>
        <v>-3.8839833316264012E-2</v>
      </c>
      <c r="Y494" s="87">
        <f t="shared" si="51"/>
        <v>2.1074823395647994E-3</v>
      </c>
      <c r="Z494" s="87">
        <f t="shared" si="51"/>
        <v>-6.38979809877101E-3</v>
      </c>
      <c r="AA494" s="87">
        <f t="shared" si="51"/>
        <v>-1.9257816604414647E-2</v>
      </c>
      <c r="AB494" s="87">
        <f t="shared" si="51"/>
        <v>-1.769957709940086E-2</v>
      </c>
      <c r="AC494" s="87">
        <f t="shared" si="51"/>
        <v>-1.1098893068048803E-2</v>
      </c>
      <c r="AD494" s="87">
        <f t="shared" si="51"/>
        <v>4.962789342128876E-3</v>
      </c>
      <c r="AE494" s="90">
        <f t="shared" si="48"/>
        <v>4.1243025033352619E-4</v>
      </c>
      <c r="AF494" s="89"/>
    </row>
    <row r="495" spans="1:32" ht="15.5" x14ac:dyDescent="0.35">
      <c r="A495" s="82">
        <v>40483</v>
      </c>
      <c r="B495" s="83">
        <v>7509.2</v>
      </c>
      <c r="C495" s="84">
        <v>2504.8000000000002</v>
      </c>
      <c r="D495" s="61">
        <v>305.89999999999998</v>
      </c>
      <c r="E495" s="61">
        <v>16.100000000000001</v>
      </c>
      <c r="F495" s="61">
        <v>43.2</v>
      </c>
      <c r="G495" s="61">
        <v>26.7</v>
      </c>
      <c r="H495" s="61">
        <v>37.5</v>
      </c>
      <c r="I495" s="61">
        <v>10.1</v>
      </c>
      <c r="J495" s="61">
        <v>47.9</v>
      </c>
      <c r="K495" s="61">
        <v>30.8</v>
      </c>
      <c r="L495" s="61">
        <v>36</v>
      </c>
      <c r="M495" s="61">
        <v>39.6</v>
      </c>
      <c r="N495" s="61">
        <v>44.8</v>
      </c>
      <c r="O495" s="85">
        <v>20.2</v>
      </c>
      <c r="P495" s="105"/>
      <c r="Q495" s="87">
        <f t="shared" si="47"/>
        <v>-5.5915755054778327E-4</v>
      </c>
      <c r="R495" s="87">
        <f t="shared" si="50"/>
        <v>-1.0374686697287316E-3</v>
      </c>
      <c r="S495" s="87">
        <f t="shared" si="50"/>
        <v>-2.9378183362434788E-3</v>
      </c>
      <c r="T495" s="87">
        <f t="shared" si="49"/>
        <v>-1.2345835822299266E-2</v>
      </c>
      <c r="U495" s="87">
        <f t="shared" si="49"/>
        <v>4.6403795565023009E-3</v>
      </c>
      <c r="V495" s="87">
        <f t="shared" si="49"/>
        <v>7.518832414027319E-3</v>
      </c>
      <c r="W495" s="87">
        <f t="shared" si="49"/>
        <v>2.6702285558788921E-3</v>
      </c>
      <c r="X495" s="87">
        <f t="shared" si="49"/>
        <v>0</v>
      </c>
      <c r="Y495" s="87">
        <f t="shared" si="51"/>
        <v>8.3857933762739641E-3</v>
      </c>
      <c r="Z495" s="87">
        <f t="shared" si="51"/>
        <v>-1.2903404835907841E-2</v>
      </c>
      <c r="AA495" s="87">
        <f t="shared" si="51"/>
        <v>0</v>
      </c>
      <c r="AB495" s="87">
        <f t="shared" si="51"/>
        <v>1.0152371464017908E-2</v>
      </c>
      <c r="AC495" s="87">
        <f t="shared" si="51"/>
        <v>0</v>
      </c>
      <c r="AD495" s="87">
        <f t="shared" si="51"/>
        <v>0</v>
      </c>
      <c r="AE495" s="90">
        <f t="shared" si="48"/>
        <v>1.5579704885110963E-4</v>
      </c>
      <c r="AF495" s="89"/>
    </row>
    <row r="496" spans="1:32" ht="15.5" x14ac:dyDescent="0.35">
      <c r="A496" s="82">
        <v>40484</v>
      </c>
      <c r="B496" s="83">
        <v>7582.1</v>
      </c>
      <c r="C496" s="84">
        <v>2533.5</v>
      </c>
      <c r="D496" s="61">
        <v>307.60000000000002</v>
      </c>
      <c r="E496" s="61">
        <v>16.2</v>
      </c>
      <c r="F496" s="61">
        <v>43.9</v>
      </c>
      <c r="G496" s="61">
        <v>27</v>
      </c>
      <c r="H496" s="61">
        <v>37.799999999999997</v>
      </c>
      <c r="I496" s="61">
        <v>10</v>
      </c>
      <c r="J496" s="61">
        <v>47.9</v>
      </c>
      <c r="K496" s="61">
        <v>30.5</v>
      </c>
      <c r="L496" s="61">
        <v>36.5</v>
      </c>
      <c r="M496" s="61">
        <v>40</v>
      </c>
      <c r="N496" s="61">
        <v>45.5</v>
      </c>
      <c r="O496" s="85">
        <v>20.399999999999999</v>
      </c>
      <c r="P496" s="105"/>
      <c r="Q496" s="87">
        <f t="shared" si="47"/>
        <v>9.6612706712524126E-3</v>
      </c>
      <c r="R496" s="87">
        <f t="shared" si="50"/>
        <v>1.1392854903768408E-2</v>
      </c>
      <c r="S496" s="87">
        <f t="shared" si="50"/>
        <v>5.5419864746312931E-3</v>
      </c>
      <c r="T496" s="87">
        <f t="shared" si="49"/>
        <v>6.1919702479209804E-3</v>
      </c>
      <c r="U496" s="87">
        <f t="shared" si="49"/>
        <v>1.6073824831060835E-2</v>
      </c>
      <c r="V496" s="87">
        <f t="shared" si="49"/>
        <v>1.1173300598125255E-2</v>
      </c>
      <c r="W496" s="87">
        <f t="shared" si="49"/>
        <v>7.9681696491768813E-3</v>
      </c>
      <c r="X496" s="87">
        <f t="shared" si="49"/>
        <v>-9.950330853168092E-3</v>
      </c>
      <c r="Y496" s="87">
        <f t="shared" si="51"/>
        <v>0</v>
      </c>
      <c r="Z496" s="87">
        <f t="shared" si="51"/>
        <v>-9.7880063661628207E-3</v>
      </c>
      <c r="AA496" s="87">
        <f t="shared" si="51"/>
        <v>1.3793322132335769E-2</v>
      </c>
      <c r="AB496" s="87">
        <f t="shared" si="51"/>
        <v>1.0050335853501506E-2</v>
      </c>
      <c r="AC496" s="87">
        <f t="shared" si="51"/>
        <v>1.5504186535965254E-2</v>
      </c>
      <c r="AD496" s="87">
        <f t="shared" si="51"/>
        <v>9.8522964430116395E-3</v>
      </c>
      <c r="AE496" s="90">
        <f t="shared" si="48"/>
        <v>1.0831148668317209E-2</v>
      </c>
      <c r="AF496" s="89"/>
    </row>
    <row r="497" spans="1:32" ht="15.5" x14ac:dyDescent="0.35">
      <c r="A497" s="82">
        <v>40485</v>
      </c>
      <c r="B497" s="83">
        <v>7608.4</v>
      </c>
      <c r="C497" s="84">
        <v>2540.3000000000002</v>
      </c>
      <c r="D497" s="61">
        <v>307.10000000000002</v>
      </c>
      <c r="E497" s="61">
        <v>16</v>
      </c>
      <c r="F497" s="61">
        <v>44.1</v>
      </c>
      <c r="G497" s="61">
        <v>27</v>
      </c>
      <c r="H497" s="61">
        <v>37.799999999999997</v>
      </c>
      <c r="I497" s="61">
        <v>10</v>
      </c>
      <c r="J497" s="61">
        <v>47.8</v>
      </c>
      <c r="K497" s="61">
        <v>30.7</v>
      </c>
      <c r="L497" s="61">
        <v>36</v>
      </c>
      <c r="M497" s="61">
        <v>40.1</v>
      </c>
      <c r="N497" s="61">
        <v>46.4</v>
      </c>
      <c r="O497" s="85">
        <v>20.2</v>
      </c>
      <c r="P497" s="105"/>
      <c r="Q497" s="87">
        <f t="shared" si="47"/>
        <v>3.4626939572263409E-3</v>
      </c>
      <c r="R497" s="87">
        <f t="shared" si="50"/>
        <v>2.6804383583735876E-3</v>
      </c>
      <c r="S497" s="87">
        <f t="shared" si="50"/>
        <v>-1.6268101847122256E-3</v>
      </c>
      <c r="T497" s="87">
        <f t="shared" si="49"/>
        <v>-1.2422519998557096E-2</v>
      </c>
      <c r="U497" s="87">
        <f t="shared" si="49"/>
        <v>4.5454623716746382E-3</v>
      </c>
      <c r="V497" s="87">
        <f t="shared" si="49"/>
        <v>0</v>
      </c>
      <c r="W497" s="87">
        <f t="shared" si="49"/>
        <v>0</v>
      </c>
      <c r="X497" s="87">
        <f t="shared" si="49"/>
        <v>0</v>
      </c>
      <c r="Y497" s="87">
        <f t="shared" si="51"/>
        <v>-2.0898649194592421E-3</v>
      </c>
      <c r="Z497" s="87">
        <f t="shared" si="51"/>
        <v>6.5359709797854493E-3</v>
      </c>
      <c r="AA497" s="87">
        <f t="shared" si="51"/>
        <v>-1.3793322132335873E-2</v>
      </c>
      <c r="AB497" s="87">
        <f t="shared" si="51"/>
        <v>2.4968801985871458E-3</v>
      </c>
      <c r="AC497" s="87">
        <f t="shared" si="51"/>
        <v>1.9587133275304779E-2</v>
      </c>
      <c r="AD497" s="87">
        <f t="shared" si="51"/>
        <v>-9.8522964430115944E-3</v>
      </c>
      <c r="AE497" s="90">
        <f t="shared" si="48"/>
        <v>4.2938064213440103E-4</v>
      </c>
      <c r="AF497" s="89"/>
    </row>
    <row r="498" spans="1:32" ht="15.5" x14ac:dyDescent="0.35">
      <c r="A498" s="82">
        <v>40486</v>
      </c>
      <c r="B498" s="83">
        <v>7782.4</v>
      </c>
      <c r="C498" s="84">
        <v>2577.3000000000002</v>
      </c>
      <c r="D498" s="61">
        <v>311.39999999999998</v>
      </c>
      <c r="E498" s="61">
        <v>16</v>
      </c>
      <c r="F498" s="61">
        <v>45</v>
      </c>
      <c r="G498" s="61">
        <v>27</v>
      </c>
      <c r="H498" s="61">
        <v>34.799999999999997</v>
      </c>
      <c r="I498" s="61">
        <v>10.3</v>
      </c>
      <c r="J498" s="61">
        <v>46.5</v>
      </c>
      <c r="K498" s="61">
        <v>31.4</v>
      </c>
      <c r="L498" s="61">
        <v>36.4</v>
      </c>
      <c r="M498" s="61">
        <v>41.8</v>
      </c>
      <c r="N498" s="61">
        <v>47</v>
      </c>
      <c r="O498" s="85">
        <v>20.6</v>
      </c>
      <c r="P498" s="105"/>
      <c r="Q498" s="87">
        <f t="shared" si="47"/>
        <v>2.2611873813052529E-2</v>
      </c>
      <c r="R498" s="87">
        <f t="shared" si="50"/>
        <v>1.4460155037782581E-2</v>
      </c>
      <c r="S498" s="87">
        <f t="shared" si="50"/>
        <v>1.390483195312104E-2</v>
      </c>
      <c r="T498" s="87">
        <f t="shared" si="49"/>
        <v>0</v>
      </c>
      <c r="U498" s="87">
        <f t="shared" si="49"/>
        <v>2.0202707317519469E-2</v>
      </c>
      <c r="V498" s="87">
        <f t="shared" si="49"/>
        <v>0</v>
      </c>
      <c r="W498" s="87">
        <f t="shared" si="49"/>
        <v>-8.2691715845113409E-2</v>
      </c>
      <c r="X498" s="87">
        <f t="shared" si="49"/>
        <v>2.9558802241544429E-2</v>
      </c>
      <c r="Y498" s="87">
        <f t="shared" si="51"/>
        <v>-2.7573326904099596E-2</v>
      </c>
      <c r="Z498" s="87">
        <f t="shared" si="51"/>
        <v>2.2545238321056222E-2</v>
      </c>
      <c r="AA498" s="87">
        <f t="shared" si="51"/>
        <v>1.1049836186584935E-2</v>
      </c>
      <c r="AB498" s="87">
        <f t="shared" si="51"/>
        <v>4.1520005218187044E-2</v>
      </c>
      <c r="AC498" s="87">
        <f t="shared" si="51"/>
        <v>1.2848142477849059E-2</v>
      </c>
      <c r="AD498" s="87">
        <f t="shared" si="51"/>
        <v>1.9608471388376337E-2</v>
      </c>
      <c r="AE498" s="90">
        <f t="shared" si="48"/>
        <v>1.6565364298059607E-2</v>
      </c>
      <c r="AF498" s="89"/>
    </row>
    <row r="499" spans="1:32" ht="15.5" x14ac:dyDescent="0.35">
      <c r="A499" s="82">
        <v>40487</v>
      </c>
      <c r="B499" s="83">
        <v>7800.7</v>
      </c>
      <c r="C499" s="84">
        <v>2579</v>
      </c>
      <c r="D499" s="61">
        <v>310.89999999999998</v>
      </c>
      <c r="E499" s="61">
        <v>16.2</v>
      </c>
      <c r="F499" s="61">
        <v>45.3</v>
      </c>
      <c r="G499" s="61">
        <v>26.5</v>
      </c>
      <c r="H499" s="61">
        <v>35.299999999999997</v>
      </c>
      <c r="I499" s="61">
        <v>10.4</v>
      </c>
      <c r="J499" s="61">
        <v>46.6</v>
      </c>
      <c r="K499" s="61">
        <v>32.4</v>
      </c>
      <c r="L499" s="61">
        <v>35.4</v>
      </c>
      <c r="M499" s="61">
        <v>41.4</v>
      </c>
      <c r="N499" s="61">
        <v>46.6</v>
      </c>
      <c r="O499" s="85">
        <v>20.8</v>
      </c>
      <c r="P499" s="105"/>
      <c r="Q499" s="87">
        <f t="shared" si="47"/>
        <v>2.3486993489731452E-3</v>
      </c>
      <c r="R499" s="87">
        <f t="shared" si="50"/>
        <v>6.593875692242722E-4</v>
      </c>
      <c r="S499" s="87">
        <f t="shared" si="50"/>
        <v>-1.6069423351898053E-3</v>
      </c>
      <c r="T499" s="87">
        <f t="shared" si="49"/>
        <v>1.242251999855711E-2</v>
      </c>
      <c r="U499" s="87">
        <f t="shared" si="49"/>
        <v>6.6445427186685108E-3</v>
      </c>
      <c r="V499" s="87">
        <f t="shared" si="49"/>
        <v>-1.8692133012152522E-2</v>
      </c>
      <c r="W499" s="87">
        <f t="shared" si="49"/>
        <v>1.4265577158822439E-2</v>
      </c>
      <c r="X499" s="87">
        <f t="shared" si="49"/>
        <v>9.6619109117368901E-3</v>
      </c>
      <c r="Y499" s="87">
        <f t="shared" si="51"/>
        <v>2.148228538289605E-3</v>
      </c>
      <c r="Z499" s="87">
        <f t="shared" si="51"/>
        <v>3.1350529884076009E-2</v>
      </c>
      <c r="AA499" s="87">
        <f t="shared" si="51"/>
        <v>-2.7856954502966224E-2</v>
      </c>
      <c r="AB499" s="87">
        <f t="shared" si="51"/>
        <v>-9.6154586994418693E-3</v>
      </c>
      <c r="AC499" s="87">
        <f t="shared" si="51"/>
        <v>-8.5470605784584083E-3</v>
      </c>
      <c r="AD499" s="87">
        <f t="shared" si="51"/>
        <v>9.6619109117368901E-3</v>
      </c>
      <c r="AE499" s="90">
        <f t="shared" si="48"/>
        <v>2.8015167799004684E-3</v>
      </c>
      <c r="AF499" s="89"/>
    </row>
    <row r="500" spans="1:32" ht="15.5" x14ac:dyDescent="0.35">
      <c r="A500" s="82">
        <v>40490</v>
      </c>
      <c r="B500" s="83">
        <v>7782.2</v>
      </c>
      <c r="C500" s="84">
        <v>2580.1</v>
      </c>
      <c r="D500" s="61">
        <v>311.89999999999998</v>
      </c>
      <c r="E500" s="61">
        <v>16.3</v>
      </c>
      <c r="F500" s="61">
        <v>45.3</v>
      </c>
      <c r="G500" s="61">
        <v>26.6</v>
      </c>
      <c r="H500" s="61">
        <v>35.9</v>
      </c>
      <c r="I500" s="61">
        <v>10.4</v>
      </c>
      <c r="J500" s="61">
        <v>46.8</v>
      </c>
      <c r="K500" s="61">
        <v>32.5</v>
      </c>
      <c r="L500" s="61">
        <v>35.6</v>
      </c>
      <c r="M500" s="61">
        <v>41.3</v>
      </c>
      <c r="N500" s="61">
        <v>46.7</v>
      </c>
      <c r="O500" s="85">
        <v>20.7</v>
      </c>
      <c r="P500" s="105"/>
      <c r="Q500" s="87">
        <f t="shared" si="47"/>
        <v>-2.3743986923563283E-3</v>
      </c>
      <c r="R500" s="87">
        <f t="shared" si="50"/>
        <v>4.2643097310346293E-4</v>
      </c>
      <c r="S500" s="87">
        <f t="shared" si="50"/>
        <v>3.2113065490494809E-3</v>
      </c>
      <c r="T500" s="87">
        <f t="shared" si="49"/>
        <v>6.1538655743782859E-3</v>
      </c>
      <c r="U500" s="87">
        <f t="shared" si="49"/>
        <v>0</v>
      </c>
      <c r="V500" s="87">
        <f t="shared" si="49"/>
        <v>3.7664827954768648E-3</v>
      </c>
      <c r="W500" s="87">
        <f t="shared" si="49"/>
        <v>1.6854331554982182E-2</v>
      </c>
      <c r="X500" s="87">
        <f t="shared" si="49"/>
        <v>0</v>
      </c>
      <c r="Y500" s="87">
        <f t="shared" si="51"/>
        <v>4.2826617920007281E-3</v>
      </c>
      <c r="Z500" s="87">
        <f t="shared" si="51"/>
        <v>3.0816665374081144E-3</v>
      </c>
      <c r="AA500" s="87">
        <f t="shared" si="51"/>
        <v>5.6338177182560642E-3</v>
      </c>
      <c r="AB500" s="87">
        <f t="shared" si="51"/>
        <v>-2.4183808642816379E-3</v>
      </c>
      <c r="AC500" s="87">
        <f t="shared" si="51"/>
        <v>2.1436235432513691E-3</v>
      </c>
      <c r="AD500" s="87">
        <f t="shared" si="51"/>
        <v>-4.8192864359489947E-3</v>
      </c>
      <c r="AE500" s="90">
        <f t="shared" si="48"/>
        <v>4.8220222306893901E-4</v>
      </c>
      <c r="AF500" s="89"/>
    </row>
    <row r="501" spans="1:32" ht="15.5" x14ac:dyDescent="0.35">
      <c r="A501" s="82">
        <v>40491</v>
      </c>
      <c r="B501" s="83">
        <v>7702.3</v>
      </c>
      <c r="C501" s="84">
        <v>2563</v>
      </c>
      <c r="D501" s="61">
        <v>310.60000000000002</v>
      </c>
      <c r="E501" s="61">
        <v>16.899999999999999</v>
      </c>
      <c r="F501" s="61">
        <v>44.9</v>
      </c>
      <c r="G501" s="61">
        <v>26.7</v>
      </c>
      <c r="H501" s="61">
        <v>36.6</v>
      </c>
      <c r="I501" s="61">
        <v>10.199999999999999</v>
      </c>
      <c r="J501" s="61">
        <v>46.9</v>
      </c>
      <c r="K501" s="61">
        <v>32</v>
      </c>
      <c r="L501" s="61">
        <v>35</v>
      </c>
      <c r="M501" s="61">
        <v>40.4</v>
      </c>
      <c r="N501" s="61">
        <v>47.2</v>
      </c>
      <c r="O501" s="85">
        <v>20.7</v>
      </c>
      <c r="P501" s="105"/>
      <c r="Q501" s="87">
        <f t="shared" si="47"/>
        <v>-1.0320089010230007E-2</v>
      </c>
      <c r="R501" s="87">
        <f t="shared" si="50"/>
        <v>-6.6497104903770485E-3</v>
      </c>
      <c r="S501" s="87">
        <f t="shared" si="50"/>
        <v>-4.1767128991707812E-3</v>
      </c>
      <c r="T501" s="87">
        <f t="shared" si="49"/>
        <v>3.6148514116310933E-2</v>
      </c>
      <c r="U501" s="87">
        <f t="shared" si="49"/>
        <v>-8.8692377407796601E-3</v>
      </c>
      <c r="V501" s="87">
        <f t="shared" si="49"/>
        <v>3.7523496185503718E-3</v>
      </c>
      <c r="W501" s="87">
        <f t="shared" si="49"/>
        <v>1.9310944913087522E-2</v>
      </c>
      <c r="X501" s="87">
        <f t="shared" si="49"/>
        <v>-1.9418085857101738E-2</v>
      </c>
      <c r="Y501" s="87">
        <f t="shared" si="51"/>
        <v>2.1344725286326196E-3</v>
      </c>
      <c r="Z501" s="87">
        <f t="shared" si="51"/>
        <v>-1.5504186535965199E-2</v>
      </c>
      <c r="AA501" s="87">
        <f t="shared" si="51"/>
        <v>-1.6997576368571136E-2</v>
      </c>
      <c r="AB501" s="87">
        <f t="shared" si="51"/>
        <v>-2.2032714999882692E-2</v>
      </c>
      <c r="AC501" s="87">
        <f t="shared" si="51"/>
        <v>1.0649727916658148E-2</v>
      </c>
      <c r="AD501" s="87">
        <f t="shared" si="51"/>
        <v>0</v>
      </c>
      <c r="AE501" s="90">
        <f t="shared" si="48"/>
        <v>-5.7520935899686969E-3</v>
      </c>
      <c r="AF501" s="89"/>
    </row>
    <row r="502" spans="1:32" ht="15.5" x14ac:dyDescent="0.35">
      <c r="A502" s="82">
        <v>40492</v>
      </c>
      <c r="B502" s="83">
        <v>7747.5</v>
      </c>
      <c r="C502" s="84">
        <v>2578.8000000000002</v>
      </c>
      <c r="D502" s="61">
        <v>309.10000000000002</v>
      </c>
      <c r="E502" s="61">
        <v>16.8</v>
      </c>
      <c r="F502" s="61">
        <v>44.8</v>
      </c>
      <c r="G502" s="61">
        <v>26.8</v>
      </c>
      <c r="H502" s="61">
        <v>36.5</v>
      </c>
      <c r="I502" s="61">
        <v>10.1</v>
      </c>
      <c r="J502" s="61">
        <v>46.9</v>
      </c>
      <c r="K502" s="61">
        <v>31.9</v>
      </c>
      <c r="L502" s="61">
        <v>34.799999999999997</v>
      </c>
      <c r="M502" s="61">
        <v>40.1</v>
      </c>
      <c r="N502" s="61">
        <v>46.9</v>
      </c>
      <c r="O502" s="85">
        <v>20.7</v>
      </c>
      <c r="P502" s="105"/>
      <c r="Q502" s="87">
        <f t="shared" si="47"/>
        <v>5.8512251237781187E-3</v>
      </c>
      <c r="R502" s="87">
        <f t="shared" si="50"/>
        <v>6.1457270723941151E-3</v>
      </c>
      <c r="S502" s="87">
        <f t="shared" si="50"/>
        <v>-4.8410615765160422E-3</v>
      </c>
      <c r="T502" s="87">
        <f t="shared" si="49"/>
        <v>-5.9347355198144658E-3</v>
      </c>
      <c r="U502" s="87">
        <f t="shared" si="49"/>
        <v>-2.2296553272692031E-3</v>
      </c>
      <c r="V502" s="87">
        <f t="shared" si="49"/>
        <v>3.7383221106071581E-3</v>
      </c>
      <c r="W502" s="87">
        <f t="shared" si="49"/>
        <v>-2.7359798188747488E-3</v>
      </c>
      <c r="X502" s="87">
        <f t="shared" si="49"/>
        <v>-9.8522964430115944E-3</v>
      </c>
      <c r="Y502" s="87">
        <f t="shared" si="51"/>
        <v>0</v>
      </c>
      <c r="Z502" s="87">
        <f t="shared" si="51"/>
        <v>-3.1298930089277044E-3</v>
      </c>
      <c r="AA502" s="87">
        <f t="shared" si="51"/>
        <v>-5.7306747089850953E-3</v>
      </c>
      <c r="AB502" s="87">
        <f t="shared" si="51"/>
        <v>-7.4534506545807788E-3</v>
      </c>
      <c r="AC502" s="87">
        <f t="shared" si="51"/>
        <v>-6.3762171392761089E-3</v>
      </c>
      <c r="AD502" s="87">
        <f t="shared" si="51"/>
        <v>0</v>
      </c>
      <c r="AE502" s="90">
        <f t="shared" si="48"/>
        <v>-2.1266289463628114E-4</v>
      </c>
      <c r="AF502" s="89"/>
    </row>
    <row r="503" spans="1:32" ht="15.5" x14ac:dyDescent="0.35">
      <c r="A503" s="82">
        <v>40493</v>
      </c>
      <c r="B503" s="83">
        <v>7723.2</v>
      </c>
      <c r="C503" s="84">
        <v>2555.5</v>
      </c>
      <c r="D503" s="61">
        <v>307.39999999999998</v>
      </c>
      <c r="E503" s="61">
        <v>16.5</v>
      </c>
      <c r="F503" s="61">
        <v>44.9</v>
      </c>
      <c r="G503" s="61">
        <v>26.3</v>
      </c>
      <c r="H503" s="61">
        <v>36.1</v>
      </c>
      <c r="I503" s="61">
        <v>10.1</v>
      </c>
      <c r="J503" s="61">
        <v>47</v>
      </c>
      <c r="K503" s="61">
        <v>31.5</v>
      </c>
      <c r="L503" s="61">
        <v>34.9</v>
      </c>
      <c r="M503" s="61">
        <v>39.700000000000003</v>
      </c>
      <c r="N503" s="61">
        <v>47.1</v>
      </c>
      <c r="O503" s="85">
        <v>20.8</v>
      </c>
      <c r="P503" s="105"/>
      <c r="Q503" s="87">
        <f t="shared" si="47"/>
        <v>-3.1414247556748637E-3</v>
      </c>
      <c r="R503" s="87">
        <f t="shared" si="50"/>
        <v>-9.076275228130929E-3</v>
      </c>
      <c r="S503" s="87">
        <f t="shared" si="50"/>
        <v>-5.5150180335753335E-3</v>
      </c>
      <c r="T503" s="87">
        <f t="shared" si="49"/>
        <v>-1.8018505502678365E-2</v>
      </c>
      <c r="U503" s="87">
        <f t="shared" si="49"/>
        <v>2.2296553272690683E-3</v>
      </c>
      <c r="V503" s="87">
        <f t="shared" si="49"/>
        <v>-1.8832948333092125E-2</v>
      </c>
      <c r="W503" s="87">
        <f t="shared" si="49"/>
        <v>-1.1019395249610538E-2</v>
      </c>
      <c r="X503" s="87">
        <f t="shared" si="49"/>
        <v>0</v>
      </c>
      <c r="Y503" s="87">
        <f t="shared" si="51"/>
        <v>2.129926257824849E-3</v>
      </c>
      <c r="Z503" s="87">
        <f t="shared" si="51"/>
        <v>-1.2618463959211462E-2</v>
      </c>
      <c r="AA503" s="87">
        <f t="shared" si="51"/>
        <v>2.8694424279529607E-3</v>
      </c>
      <c r="AB503" s="87">
        <f t="shared" si="51"/>
        <v>-1.0025146619378707E-2</v>
      </c>
      <c r="AC503" s="87">
        <f t="shared" si="51"/>
        <v>4.255325570138491E-3</v>
      </c>
      <c r="AD503" s="87">
        <f t="shared" si="51"/>
        <v>4.8192864359489218E-3</v>
      </c>
      <c r="AE503" s="90">
        <f t="shared" si="48"/>
        <v>-3.1118793771765748E-3</v>
      </c>
      <c r="AF503" s="89"/>
    </row>
    <row r="504" spans="1:32" ht="15.5" x14ac:dyDescent="0.35">
      <c r="A504" s="82">
        <v>40494</v>
      </c>
      <c r="B504" s="83">
        <v>7623.2</v>
      </c>
      <c r="C504" s="84">
        <v>2518.1999999999998</v>
      </c>
      <c r="D504" s="61">
        <v>300.89999999999998</v>
      </c>
      <c r="E504" s="61">
        <v>16.399999999999999</v>
      </c>
      <c r="F504" s="61">
        <v>43.4</v>
      </c>
      <c r="G504" s="61">
        <v>26.1</v>
      </c>
      <c r="H504" s="61">
        <v>35.6</v>
      </c>
      <c r="I504" s="61">
        <v>10</v>
      </c>
      <c r="J504" s="61">
        <v>46</v>
      </c>
      <c r="K504" s="61">
        <v>31.1</v>
      </c>
      <c r="L504" s="61">
        <v>34.4</v>
      </c>
      <c r="M504" s="61">
        <v>39.5</v>
      </c>
      <c r="N504" s="61">
        <v>46.8</v>
      </c>
      <c r="O504" s="85">
        <v>20.5</v>
      </c>
      <c r="P504" s="105"/>
      <c r="Q504" s="87">
        <f t="shared" si="47"/>
        <v>-1.3032556872250019E-2</v>
      </c>
      <c r="R504" s="87">
        <f t="shared" si="50"/>
        <v>-1.4703538640734183E-2</v>
      </c>
      <c r="S504" s="87">
        <f t="shared" si="50"/>
        <v>-2.1371847468496002E-2</v>
      </c>
      <c r="T504" s="87">
        <f t="shared" si="49"/>
        <v>-6.0790460763822263E-3</v>
      </c>
      <c r="U504" s="87">
        <f t="shared" si="49"/>
        <v>-3.3978353641849396E-2</v>
      </c>
      <c r="V504" s="87">
        <f t="shared" si="49"/>
        <v>-7.633624855071095E-3</v>
      </c>
      <c r="W504" s="87">
        <f t="shared" si="49"/>
        <v>-1.3947227480850441E-2</v>
      </c>
      <c r="X504" s="87">
        <f t="shared" si="49"/>
        <v>-9.950330853168092E-3</v>
      </c>
      <c r="Y504" s="87">
        <f t="shared" si="51"/>
        <v>-2.1506205220963619E-2</v>
      </c>
      <c r="Z504" s="87">
        <f t="shared" si="51"/>
        <v>-1.2779726646398882E-2</v>
      </c>
      <c r="AA504" s="87">
        <f t="shared" si="51"/>
        <v>-1.4430264829028783E-2</v>
      </c>
      <c r="AB504" s="87">
        <f t="shared" si="51"/>
        <v>-5.0505157860685915E-3</v>
      </c>
      <c r="AC504" s="87">
        <f t="shared" si="51"/>
        <v>-6.3897980987711218E-3</v>
      </c>
      <c r="AD504" s="87">
        <f t="shared" si="51"/>
        <v>-1.4528100562909856E-2</v>
      </c>
      <c r="AE504" s="90">
        <f t="shared" si="48"/>
        <v>-2.214587724842762E-2</v>
      </c>
      <c r="AF504" s="89"/>
    </row>
    <row r="505" spans="1:32" ht="15.5" x14ac:dyDescent="0.35">
      <c r="A505" s="82">
        <v>40497</v>
      </c>
      <c r="B505" s="83">
        <v>7617.5</v>
      </c>
      <c r="C505" s="84">
        <v>2513.8000000000002</v>
      </c>
      <c r="D505" s="61">
        <v>297.3</v>
      </c>
      <c r="E505" s="61">
        <v>16.3</v>
      </c>
      <c r="F505" s="61">
        <v>43.8</v>
      </c>
      <c r="G505" s="61">
        <v>26.2</v>
      </c>
      <c r="H505" s="61">
        <v>35.4</v>
      </c>
      <c r="I505" s="61">
        <v>10.1</v>
      </c>
      <c r="J505" s="61">
        <v>45.6</v>
      </c>
      <c r="K505" s="61">
        <v>31.1</v>
      </c>
      <c r="L505" s="61">
        <v>34.5</v>
      </c>
      <c r="M505" s="61">
        <v>39.6</v>
      </c>
      <c r="N505" s="61">
        <v>47.2</v>
      </c>
      <c r="O505" s="85">
        <v>20.399999999999999</v>
      </c>
      <c r="P505" s="105"/>
      <c r="Q505" s="87">
        <f t="shared" si="47"/>
        <v>-7.4799717411431306E-4</v>
      </c>
      <c r="R505" s="87">
        <f t="shared" si="50"/>
        <v>-1.748808076862958E-3</v>
      </c>
      <c r="S505" s="87">
        <f t="shared" si="50"/>
        <v>-1.2036253631947429E-2</v>
      </c>
      <c r="T505" s="87">
        <f t="shared" si="49"/>
        <v>-6.1162270174359825E-3</v>
      </c>
      <c r="U505" s="87">
        <f t="shared" si="49"/>
        <v>9.1743762760412295E-3</v>
      </c>
      <c r="V505" s="87">
        <f t="shared" si="49"/>
        <v>3.8240964384032546E-3</v>
      </c>
      <c r="W505" s="87">
        <f t="shared" si="49"/>
        <v>-5.633817718256131E-3</v>
      </c>
      <c r="X505" s="87">
        <f t="shared" si="49"/>
        <v>9.950330853168092E-3</v>
      </c>
      <c r="Y505" s="87">
        <f t="shared" si="51"/>
        <v>-8.7336799687545534E-3</v>
      </c>
      <c r="Z505" s="87">
        <f t="shared" si="51"/>
        <v>0</v>
      </c>
      <c r="AA505" s="87">
        <f t="shared" si="51"/>
        <v>2.9027596579614102E-3</v>
      </c>
      <c r="AB505" s="87">
        <f t="shared" si="51"/>
        <v>2.5284463533586906E-3</v>
      </c>
      <c r="AC505" s="87">
        <f t="shared" si="51"/>
        <v>8.5106896679088308E-3</v>
      </c>
      <c r="AD505" s="87">
        <f t="shared" si="51"/>
        <v>-4.8899852941919038E-3</v>
      </c>
      <c r="AE505" s="90">
        <f t="shared" si="48"/>
        <v>-2.0190461589677765E-3</v>
      </c>
      <c r="AF505" s="89"/>
    </row>
    <row r="506" spans="1:32" ht="15.5" x14ac:dyDescent="0.35">
      <c r="A506" s="82">
        <v>40498</v>
      </c>
      <c r="B506" s="83">
        <v>7472.6</v>
      </c>
      <c r="C506" s="84">
        <v>2469.8000000000002</v>
      </c>
      <c r="D506" s="61">
        <v>292</v>
      </c>
      <c r="E506" s="61">
        <v>16.100000000000001</v>
      </c>
      <c r="F506" s="61">
        <v>42.8</v>
      </c>
      <c r="G506" s="61">
        <v>25.7</v>
      </c>
      <c r="H506" s="61">
        <v>35.5</v>
      </c>
      <c r="I506" s="61">
        <v>9.8000000000000007</v>
      </c>
      <c r="J506" s="61">
        <v>44.2</v>
      </c>
      <c r="K506" s="61">
        <v>30.3</v>
      </c>
      <c r="L506" s="61">
        <v>33.9</v>
      </c>
      <c r="M506" s="61">
        <v>38.6</v>
      </c>
      <c r="N506" s="61">
        <v>45.9</v>
      </c>
      <c r="O506" s="85">
        <v>20.100000000000001</v>
      </c>
      <c r="P506" s="105"/>
      <c r="Q506" s="87">
        <f t="shared" si="47"/>
        <v>-1.9205234389173546E-2</v>
      </c>
      <c r="R506" s="87">
        <f t="shared" si="50"/>
        <v>-1.7658376807015052E-2</v>
      </c>
      <c r="S506" s="87">
        <f t="shared" si="50"/>
        <v>-1.7987927735770341E-2</v>
      </c>
      <c r="T506" s="87">
        <f t="shared" si="49"/>
        <v>-1.2345835822299266E-2</v>
      </c>
      <c r="U506" s="87">
        <f t="shared" si="49"/>
        <v>-2.3095714794649395E-2</v>
      </c>
      <c r="V506" s="87">
        <f t="shared" si="49"/>
        <v>-1.9268418865877032E-2</v>
      </c>
      <c r="W506" s="87">
        <f t="shared" si="49"/>
        <v>2.8208763416414846E-3</v>
      </c>
      <c r="X506" s="87">
        <f t="shared" si="49"/>
        <v>-3.0153038170687443E-2</v>
      </c>
      <c r="Y506" s="87">
        <f t="shared" si="51"/>
        <v>-3.1182927436687938E-2</v>
      </c>
      <c r="Z506" s="87">
        <f t="shared" si="51"/>
        <v>-2.6060106669865069E-2</v>
      </c>
      <c r="AA506" s="87">
        <f t="shared" si="51"/>
        <v>-1.7544309650909508E-2</v>
      </c>
      <c r="AB506" s="87">
        <f t="shared" si="51"/>
        <v>-2.5576841789649737E-2</v>
      </c>
      <c r="AC506" s="87">
        <f t="shared" si="51"/>
        <v>-2.7928775525010264E-2</v>
      </c>
      <c r="AD506" s="87">
        <f t="shared" si="51"/>
        <v>-1.4815085785140474E-2</v>
      </c>
      <c r="AE506" s="90">
        <f t="shared" si="48"/>
        <v>-1.8964007092590662E-2</v>
      </c>
      <c r="AF506" s="89"/>
    </row>
    <row r="507" spans="1:32" ht="15.5" x14ac:dyDescent="0.35">
      <c r="A507" s="82">
        <v>40499</v>
      </c>
      <c r="B507" s="83">
        <v>7488.8</v>
      </c>
      <c r="C507" s="84">
        <v>2476</v>
      </c>
      <c r="D507" s="61">
        <v>291</v>
      </c>
      <c r="E507" s="61">
        <v>16.100000000000001</v>
      </c>
      <c r="F507" s="61">
        <v>42.5</v>
      </c>
      <c r="G507" s="61">
        <v>25.6</v>
      </c>
      <c r="H507" s="61">
        <v>35.6</v>
      </c>
      <c r="I507" s="61">
        <v>9.6</v>
      </c>
      <c r="J507" s="61">
        <v>45</v>
      </c>
      <c r="K507" s="61">
        <v>30.8</v>
      </c>
      <c r="L507" s="61">
        <v>34.5</v>
      </c>
      <c r="M507" s="61">
        <v>38.5</v>
      </c>
      <c r="N507" s="61">
        <v>46.5</v>
      </c>
      <c r="O507" s="85">
        <v>20.100000000000001</v>
      </c>
      <c r="P507" s="105"/>
      <c r="Q507" s="87">
        <f t="shared" si="47"/>
        <v>2.165573586844305E-3</v>
      </c>
      <c r="R507" s="87">
        <f t="shared" si="50"/>
        <v>2.5071791207645377E-3</v>
      </c>
      <c r="S507" s="87">
        <f t="shared" si="50"/>
        <v>-3.4305350967892482E-3</v>
      </c>
      <c r="T507" s="87">
        <f t="shared" si="49"/>
        <v>0</v>
      </c>
      <c r="U507" s="87">
        <f t="shared" si="49"/>
        <v>-7.0340266573799357E-3</v>
      </c>
      <c r="V507" s="87">
        <f t="shared" si="49"/>
        <v>-3.8986404156571976E-3</v>
      </c>
      <c r="W507" s="87">
        <f t="shared" si="49"/>
        <v>2.8129413766146577E-3</v>
      </c>
      <c r="X507" s="87">
        <f t="shared" si="49"/>
        <v>-2.0619287202735818E-2</v>
      </c>
      <c r="Y507" s="87">
        <f t="shared" si="51"/>
        <v>1.7937700686667252E-2</v>
      </c>
      <c r="Z507" s="87">
        <f t="shared" si="51"/>
        <v>1.6366977464205412E-2</v>
      </c>
      <c r="AA507" s="87">
        <f t="shared" si="51"/>
        <v>1.7544309650909525E-2</v>
      </c>
      <c r="AB507" s="87">
        <f t="shared" si="51"/>
        <v>-2.5940351770466466E-3</v>
      </c>
      <c r="AC507" s="87">
        <f t="shared" si="51"/>
        <v>1.2987195526811112E-2</v>
      </c>
      <c r="AD507" s="87">
        <f t="shared" si="51"/>
        <v>0</v>
      </c>
      <c r="AE507" s="90">
        <f t="shared" si="48"/>
        <v>-2.2641171236808854E-3</v>
      </c>
      <c r="AF507" s="89"/>
    </row>
    <row r="508" spans="1:32" ht="15.5" x14ac:dyDescent="0.35">
      <c r="A508" s="82">
        <v>40500</v>
      </c>
      <c r="B508" s="83">
        <v>7619.9</v>
      </c>
      <c r="C508" s="84">
        <v>2514.4</v>
      </c>
      <c r="D508" s="61">
        <v>294.60000000000002</v>
      </c>
      <c r="E508" s="61">
        <v>16.3</v>
      </c>
      <c r="F508" s="61">
        <v>43.5</v>
      </c>
      <c r="G508" s="61">
        <v>25.6</v>
      </c>
      <c r="H508" s="61">
        <v>35.4</v>
      </c>
      <c r="I508" s="61">
        <v>9.8000000000000007</v>
      </c>
      <c r="J508" s="61">
        <v>45.8</v>
      </c>
      <c r="K508" s="61">
        <v>31</v>
      </c>
      <c r="L508" s="61">
        <v>34.9</v>
      </c>
      <c r="M508" s="61">
        <v>39.1</v>
      </c>
      <c r="N508" s="61">
        <v>47.4</v>
      </c>
      <c r="O508" s="85">
        <v>20.5</v>
      </c>
      <c r="P508" s="105"/>
      <c r="Q508" s="87">
        <f t="shared" si="47"/>
        <v>1.7354675177464904E-2</v>
      </c>
      <c r="R508" s="87">
        <f t="shared" si="50"/>
        <v>1.5389851678871157E-2</v>
      </c>
      <c r="S508" s="87">
        <f t="shared" si="50"/>
        <v>1.2295236857037558E-2</v>
      </c>
      <c r="T508" s="87">
        <f t="shared" si="49"/>
        <v>1.2345835822299362E-2</v>
      </c>
      <c r="U508" s="87">
        <f t="shared" si="49"/>
        <v>2.3256862164267183E-2</v>
      </c>
      <c r="V508" s="87">
        <f t="shared" si="49"/>
        <v>0</v>
      </c>
      <c r="W508" s="87">
        <f t="shared" si="49"/>
        <v>-5.633817718256131E-3</v>
      </c>
      <c r="X508" s="87">
        <f t="shared" si="49"/>
        <v>2.0619287202735825E-2</v>
      </c>
      <c r="Y508" s="87">
        <f t="shared" si="51"/>
        <v>1.762160134981941E-2</v>
      </c>
      <c r="Z508" s="87">
        <f t="shared" si="51"/>
        <v>6.4725145056175196E-3</v>
      </c>
      <c r="AA508" s="87">
        <f t="shared" si="51"/>
        <v>1.1527505171067414E-2</v>
      </c>
      <c r="AB508" s="87">
        <f t="shared" si="51"/>
        <v>1.5464225697581553E-2</v>
      </c>
      <c r="AC508" s="87">
        <f t="shared" si="51"/>
        <v>1.9169916107720123E-2</v>
      </c>
      <c r="AD508" s="87">
        <f t="shared" si="51"/>
        <v>1.9705071079332337E-2</v>
      </c>
      <c r="AE508" s="90">
        <f t="shared" si="48"/>
        <v>1.7257850721417025E-2</v>
      </c>
      <c r="AF508" s="89"/>
    </row>
    <row r="509" spans="1:32" ht="15.5" x14ac:dyDescent="0.35">
      <c r="A509" s="82">
        <v>40501</v>
      </c>
      <c r="B509" s="83">
        <v>7641.1</v>
      </c>
      <c r="C509" s="84">
        <v>2518.1</v>
      </c>
      <c r="D509" s="61">
        <v>295.5</v>
      </c>
      <c r="E509" s="61">
        <v>16.5</v>
      </c>
      <c r="F509" s="61">
        <v>43.6</v>
      </c>
      <c r="G509" s="61">
        <v>25.6</v>
      </c>
      <c r="H509" s="61">
        <v>35</v>
      </c>
      <c r="I509" s="61">
        <v>10.1</v>
      </c>
      <c r="J509" s="61">
        <v>46.5</v>
      </c>
      <c r="K509" s="61">
        <v>31</v>
      </c>
      <c r="L509" s="61">
        <v>34.9</v>
      </c>
      <c r="M509" s="61">
        <v>38.700000000000003</v>
      </c>
      <c r="N509" s="61">
        <v>47.1</v>
      </c>
      <c r="O509" s="85">
        <v>20.7</v>
      </c>
      <c r="P509" s="105"/>
      <c r="Q509" s="87">
        <f t="shared" si="47"/>
        <v>2.7783256191682587E-3</v>
      </c>
      <c r="R509" s="87">
        <f t="shared" si="50"/>
        <v>1.4704423911291236E-3</v>
      </c>
      <c r="S509" s="87">
        <f t="shared" si="50"/>
        <v>3.0503328176228754E-3</v>
      </c>
      <c r="T509" s="87">
        <f t="shared" si="49"/>
        <v>1.2195273093818206E-2</v>
      </c>
      <c r="U509" s="87">
        <f t="shared" si="49"/>
        <v>2.296212260350157E-3</v>
      </c>
      <c r="V509" s="87">
        <f t="shared" si="49"/>
        <v>0</v>
      </c>
      <c r="W509" s="87">
        <f t="shared" si="49"/>
        <v>-1.1363758650315095E-2</v>
      </c>
      <c r="X509" s="87">
        <f t="shared" si="49"/>
        <v>3.0153038170687457E-2</v>
      </c>
      <c r="Y509" s="87">
        <f t="shared" si="51"/>
        <v>1.5168221473171444E-2</v>
      </c>
      <c r="Z509" s="87">
        <f t="shared" si="51"/>
        <v>0</v>
      </c>
      <c r="AA509" s="87">
        <f t="shared" si="51"/>
        <v>0</v>
      </c>
      <c r="AB509" s="87">
        <f t="shared" si="51"/>
        <v>-1.0282866955583919E-2</v>
      </c>
      <c r="AC509" s="87">
        <f t="shared" si="51"/>
        <v>-6.3492276786586681E-3</v>
      </c>
      <c r="AD509" s="87">
        <f t="shared" si="51"/>
        <v>9.7088141269609032E-3</v>
      </c>
      <c r="AE509" s="90">
        <f t="shared" si="48"/>
        <v>3.1704573449988318E-3</v>
      </c>
      <c r="AF509" s="89"/>
    </row>
    <row r="510" spans="1:32" ht="15.5" x14ac:dyDescent="0.35">
      <c r="A510" s="82">
        <v>40504</v>
      </c>
      <c r="B510" s="83">
        <v>7610.3</v>
      </c>
      <c r="C510" s="84">
        <v>2532</v>
      </c>
      <c r="D510" s="61">
        <v>291.7</v>
      </c>
      <c r="E510" s="61">
        <v>16.3</v>
      </c>
      <c r="F510" s="61">
        <v>43.7</v>
      </c>
      <c r="G510" s="61">
        <v>25.4</v>
      </c>
      <c r="H510" s="61">
        <v>34.799999999999997</v>
      </c>
      <c r="I510" s="61">
        <v>10.1</v>
      </c>
      <c r="J510" s="61">
        <v>46.4</v>
      </c>
      <c r="K510" s="61">
        <v>31.6</v>
      </c>
      <c r="L510" s="61">
        <v>35.200000000000003</v>
      </c>
      <c r="M510" s="61">
        <v>38.299999999999997</v>
      </c>
      <c r="N510" s="61">
        <v>47.3</v>
      </c>
      <c r="O510" s="85">
        <v>21.3</v>
      </c>
      <c r="P510" s="105"/>
      <c r="Q510" s="87">
        <f t="shared" si="47"/>
        <v>-4.0389789620524346E-3</v>
      </c>
      <c r="R510" s="87">
        <f t="shared" si="50"/>
        <v>5.5048553895799823E-3</v>
      </c>
      <c r="S510" s="87">
        <f t="shared" si="50"/>
        <v>-1.2942959972477222E-2</v>
      </c>
      <c r="T510" s="87">
        <f t="shared" si="49"/>
        <v>-1.2195273093818243E-2</v>
      </c>
      <c r="U510" s="87">
        <f t="shared" si="49"/>
        <v>2.2909517465557624E-3</v>
      </c>
      <c r="V510" s="87">
        <f t="shared" si="49"/>
        <v>-7.8431774610260054E-3</v>
      </c>
      <c r="W510" s="87">
        <f t="shared" si="49"/>
        <v>-5.7306747089850953E-3</v>
      </c>
      <c r="X510" s="87">
        <f t="shared" si="49"/>
        <v>0</v>
      </c>
      <c r="Y510" s="87">
        <f t="shared" si="51"/>
        <v>-2.1528533611010897E-3</v>
      </c>
      <c r="Z510" s="87">
        <f t="shared" si="51"/>
        <v>1.9169916107720123E-2</v>
      </c>
      <c r="AA510" s="87">
        <f t="shared" si="51"/>
        <v>8.5592533956701314E-3</v>
      </c>
      <c r="AB510" s="87">
        <f t="shared" si="51"/>
        <v>-1.0389703849135909E-2</v>
      </c>
      <c r="AC510" s="87">
        <f t="shared" si="51"/>
        <v>4.2372944755152174E-3</v>
      </c>
      <c r="AD510" s="87">
        <f t="shared" si="51"/>
        <v>2.8573372444056163E-2</v>
      </c>
      <c r="AE510" s="90">
        <f t="shared" si="48"/>
        <v>1.9889508249128895E-3</v>
      </c>
      <c r="AF510" s="89"/>
    </row>
    <row r="511" spans="1:32" ht="15.5" x14ac:dyDescent="0.35">
      <c r="A511" s="82">
        <v>40505</v>
      </c>
      <c r="B511" s="83">
        <v>7470.8</v>
      </c>
      <c r="C511" s="84">
        <v>2494.9</v>
      </c>
      <c r="D511" s="61">
        <v>289.39999999999998</v>
      </c>
      <c r="E511" s="61">
        <v>16</v>
      </c>
      <c r="F511" s="61">
        <v>43.8</v>
      </c>
      <c r="G511" s="61">
        <v>25.1</v>
      </c>
      <c r="H511" s="61">
        <v>34.200000000000003</v>
      </c>
      <c r="I511" s="61">
        <v>9.8000000000000007</v>
      </c>
      <c r="J511" s="61">
        <v>46.2</v>
      </c>
      <c r="K511" s="61">
        <v>31.6</v>
      </c>
      <c r="L511" s="61">
        <v>34.700000000000003</v>
      </c>
      <c r="M511" s="61">
        <v>37.799999999999997</v>
      </c>
      <c r="N511" s="61">
        <v>46.9</v>
      </c>
      <c r="O511" s="85">
        <v>21.2</v>
      </c>
      <c r="P511" s="105"/>
      <c r="Q511" s="87">
        <f t="shared" si="47"/>
        <v>-1.8500504452663758E-2</v>
      </c>
      <c r="R511" s="87">
        <f t="shared" si="50"/>
        <v>-1.4760856041999457E-2</v>
      </c>
      <c r="S511" s="87">
        <f t="shared" si="50"/>
        <v>-7.9160626762923032E-3</v>
      </c>
      <c r="T511" s="87">
        <f t="shared" si="49"/>
        <v>-1.8576385572935419E-2</v>
      </c>
      <c r="U511" s="87">
        <f t="shared" si="49"/>
        <v>2.2857152808558609E-3</v>
      </c>
      <c r="V511" s="87">
        <f t="shared" si="49"/>
        <v>-1.1881327886752563E-2</v>
      </c>
      <c r="W511" s="87">
        <f t="shared" si="49"/>
        <v>-1.7391742711868996E-2</v>
      </c>
      <c r="X511" s="87">
        <f t="shared" si="49"/>
        <v>-3.0153038170687443E-2</v>
      </c>
      <c r="Y511" s="87">
        <f t="shared" si="51"/>
        <v>-4.3196611445162842E-3</v>
      </c>
      <c r="Z511" s="87">
        <f t="shared" si="51"/>
        <v>0</v>
      </c>
      <c r="AA511" s="87">
        <f t="shared" si="51"/>
        <v>-1.4306395651237858E-2</v>
      </c>
      <c r="AB511" s="87">
        <f t="shared" si="51"/>
        <v>-1.3140793561058255E-2</v>
      </c>
      <c r="AC511" s="87">
        <f t="shared" si="51"/>
        <v>-8.4926200456535879E-3</v>
      </c>
      <c r="AD511" s="87">
        <f t="shared" si="51"/>
        <v>-4.7058910374127277E-3</v>
      </c>
      <c r="AE511" s="90">
        <f t="shared" si="48"/>
        <v>-6.6605030872290763E-3</v>
      </c>
      <c r="AF511" s="89"/>
    </row>
    <row r="512" spans="1:32" ht="15.5" x14ac:dyDescent="0.35">
      <c r="A512" s="82">
        <v>40506</v>
      </c>
      <c r="B512" s="83">
        <v>7579.3</v>
      </c>
      <c r="C512" s="84">
        <v>2543.1</v>
      </c>
      <c r="D512" s="61">
        <v>293.8</v>
      </c>
      <c r="E512" s="61">
        <v>16.2</v>
      </c>
      <c r="F512" s="61">
        <v>44.5</v>
      </c>
      <c r="G512" s="61">
        <v>25.2</v>
      </c>
      <c r="H512" s="61">
        <v>34.4</v>
      </c>
      <c r="I512" s="61">
        <v>9.8000000000000007</v>
      </c>
      <c r="J512" s="61">
        <v>47</v>
      </c>
      <c r="K512" s="61">
        <v>32.4</v>
      </c>
      <c r="L512" s="61">
        <v>34.799999999999997</v>
      </c>
      <c r="M512" s="61">
        <v>38</v>
      </c>
      <c r="N512" s="61">
        <v>47.5</v>
      </c>
      <c r="O512" s="85">
        <v>21.4</v>
      </c>
      <c r="P512" s="105"/>
      <c r="Q512" s="87">
        <f t="shared" si="47"/>
        <v>1.441875864763963E-2</v>
      </c>
      <c r="R512" s="87">
        <f t="shared" si="50"/>
        <v>1.9135161060402268E-2</v>
      </c>
      <c r="S512" s="87">
        <f t="shared" si="50"/>
        <v>1.5089449542393623E-2</v>
      </c>
      <c r="T512" s="87">
        <f t="shared" si="49"/>
        <v>1.242251999855711E-2</v>
      </c>
      <c r="U512" s="87">
        <f t="shared" si="49"/>
        <v>1.585537178979422E-2</v>
      </c>
      <c r="V512" s="87">
        <f t="shared" si="49"/>
        <v>3.9761483796394168E-3</v>
      </c>
      <c r="W512" s="87">
        <f t="shared" si="49"/>
        <v>5.8309203107931437E-3</v>
      </c>
      <c r="X512" s="87">
        <f t="shared" si="49"/>
        <v>0</v>
      </c>
      <c r="Y512" s="87">
        <f t="shared" si="51"/>
        <v>1.716780362236528E-2</v>
      </c>
      <c r="Z512" s="87">
        <f t="shared" si="51"/>
        <v>2.5001302205417186E-2</v>
      </c>
      <c r="AA512" s="87">
        <f t="shared" si="51"/>
        <v>2.877699827614974E-3</v>
      </c>
      <c r="AB512" s="87">
        <f t="shared" si="51"/>
        <v>5.2770571008438193E-3</v>
      </c>
      <c r="AC512" s="87">
        <f t="shared" si="51"/>
        <v>1.2712035588361944E-2</v>
      </c>
      <c r="AD512" s="87">
        <f t="shared" si="51"/>
        <v>9.3897403498389171E-3</v>
      </c>
      <c r="AE512" s="90">
        <f t="shared" si="48"/>
        <v>1.582836282645108E-2</v>
      </c>
      <c r="AF512" s="89"/>
    </row>
    <row r="513" spans="1:32" ht="15.5" x14ac:dyDescent="0.35">
      <c r="A513" s="82">
        <v>40508</v>
      </c>
      <c r="B513" s="83">
        <v>7500.5</v>
      </c>
      <c r="C513" s="84">
        <v>2534.6</v>
      </c>
      <c r="D513" s="61">
        <v>293.8</v>
      </c>
      <c r="E513" s="61">
        <v>16.2</v>
      </c>
      <c r="F513" s="61">
        <v>44.7</v>
      </c>
      <c r="G513" s="61">
        <v>25.2</v>
      </c>
      <c r="H513" s="61">
        <v>34.1</v>
      </c>
      <c r="I513" s="61">
        <v>10</v>
      </c>
      <c r="J513" s="61">
        <v>47.5</v>
      </c>
      <c r="K513" s="61">
        <v>32.299999999999997</v>
      </c>
      <c r="L513" s="61">
        <v>34.5</v>
      </c>
      <c r="M513" s="61">
        <v>37.6</v>
      </c>
      <c r="N513" s="61">
        <v>47</v>
      </c>
      <c r="O513" s="85">
        <v>21.5</v>
      </c>
      <c r="P513" s="105"/>
      <c r="Q513" s="87">
        <f t="shared" si="47"/>
        <v>-1.0451162118146501E-2</v>
      </c>
      <c r="R513" s="87">
        <f t="shared" si="50"/>
        <v>-3.3479756345057075E-3</v>
      </c>
      <c r="S513" s="87">
        <f t="shared" si="50"/>
        <v>0</v>
      </c>
      <c r="T513" s="87">
        <f t="shared" si="49"/>
        <v>0</v>
      </c>
      <c r="U513" s="87">
        <f t="shared" si="49"/>
        <v>4.4843124473285863E-3</v>
      </c>
      <c r="V513" s="87">
        <f t="shared" si="49"/>
        <v>0</v>
      </c>
      <c r="W513" s="87">
        <f t="shared" si="49"/>
        <v>-8.7591800898814652E-3</v>
      </c>
      <c r="X513" s="87">
        <f t="shared" si="49"/>
        <v>2.0202707317519469E-2</v>
      </c>
      <c r="Y513" s="87">
        <f t="shared" si="51"/>
        <v>1.0582109330537008E-2</v>
      </c>
      <c r="Z513" s="87">
        <f t="shared" si="51"/>
        <v>-3.0911925696728579E-3</v>
      </c>
      <c r="AA513" s="87">
        <f t="shared" si="51"/>
        <v>-8.6580627431145415E-3</v>
      </c>
      <c r="AB513" s="87">
        <f t="shared" si="51"/>
        <v>-1.0582109330536859E-2</v>
      </c>
      <c r="AC513" s="87">
        <f t="shared" si="51"/>
        <v>-1.0582109330536972E-2</v>
      </c>
      <c r="AD513" s="87">
        <f t="shared" si="51"/>
        <v>4.6620131058113714E-3</v>
      </c>
      <c r="AE513" s="90">
        <f t="shared" si="48"/>
        <v>8.4534831795221783E-4</v>
      </c>
      <c r="AF513" s="89"/>
    </row>
    <row r="514" spans="1:32" ht="15.5" x14ac:dyDescent="0.35">
      <c r="A514" s="82">
        <v>40511</v>
      </c>
      <c r="B514" s="83">
        <v>7483.3</v>
      </c>
      <c r="C514" s="84">
        <v>2525.1999999999998</v>
      </c>
      <c r="D514" s="61">
        <v>290.3</v>
      </c>
      <c r="E514" s="61">
        <v>16</v>
      </c>
      <c r="F514" s="61">
        <v>44.5</v>
      </c>
      <c r="G514" s="61">
        <v>24.9</v>
      </c>
      <c r="H514" s="61">
        <v>33.799999999999997</v>
      </c>
      <c r="I514" s="61">
        <v>9.5</v>
      </c>
      <c r="J514" s="61">
        <v>46.9</v>
      </c>
      <c r="K514" s="61">
        <v>31.9</v>
      </c>
      <c r="L514" s="61">
        <v>34.299999999999997</v>
      </c>
      <c r="M514" s="61">
        <v>37.299999999999997</v>
      </c>
      <c r="N514" s="61">
        <v>46.1</v>
      </c>
      <c r="O514" s="85">
        <v>21</v>
      </c>
      <c r="P514" s="105"/>
      <c r="Q514" s="87">
        <f t="shared" si="47"/>
        <v>-2.2958138195593547E-3</v>
      </c>
      <c r="R514" s="87">
        <f t="shared" si="50"/>
        <v>-3.7155661544932979E-3</v>
      </c>
      <c r="S514" s="87">
        <f t="shared" si="50"/>
        <v>-1.1984392709192767E-2</v>
      </c>
      <c r="T514" s="87">
        <f t="shared" si="49"/>
        <v>-1.2422519998557096E-2</v>
      </c>
      <c r="U514" s="87">
        <f t="shared" si="49"/>
        <v>-4.484312447328687E-3</v>
      </c>
      <c r="V514" s="87">
        <f t="shared" si="49"/>
        <v>-1.1976191046715762E-2</v>
      </c>
      <c r="W514" s="87">
        <f t="shared" si="49"/>
        <v>-8.8365818004981118E-3</v>
      </c>
      <c r="X514" s="87">
        <f t="shared" si="49"/>
        <v>-5.1293294387550578E-2</v>
      </c>
      <c r="Y514" s="87">
        <f t="shared" si="51"/>
        <v>-1.2712035588361861E-2</v>
      </c>
      <c r="Z514" s="87">
        <f t="shared" si="51"/>
        <v>-1.2461220437811889E-2</v>
      </c>
      <c r="AA514" s="87">
        <f t="shared" si="51"/>
        <v>-5.8139698654199566E-3</v>
      </c>
      <c r="AB514" s="87">
        <f t="shared" si="51"/>
        <v>-8.010723746079083E-3</v>
      </c>
      <c r="AC514" s="87">
        <f t="shared" si="51"/>
        <v>-1.9334651707455724E-2</v>
      </c>
      <c r="AD514" s="87">
        <f t="shared" si="51"/>
        <v>-2.3530497410194161E-2</v>
      </c>
      <c r="AE514" s="90">
        <f t="shared" si="48"/>
        <v>-8.7646682556803048E-3</v>
      </c>
      <c r="AF514" s="89"/>
    </row>
    <row r="515" spans="1:32" ht="15.5" x14ac:dyDescent="0.35">
      <c r="A515" s="82">
        <v>40512</v>
      </c>
      <c r="B515" s="83">
        <v>7430.9</v>
      </c>
      <c r="C515" s="84">
        <v>2498.1999999999998</v>
      </c>
      <c r="D515" s="61">
        <v>276.89999999999998</v>
      </c>
      <c r="E515" s="61">
        <v>15.8</v>
      </c>
      <c r="F515" s="61">
        <v>44.4</v>
      </c>
      <c r="G515" s="61">
        <v>25</v>
      </c>
      <c r="H515" s="61">
        <v>33.799999999999997</v>
      </c>
      <c r="I515" s="61">
        <v>9.5</v>
      </c>
      <c r="J515" s="61">
        <v>47.3</v>
      </c>
      <c r="K515" s="61">
        <v>32.1</v>
      </c>
      <c r="L515" s="61">
        <v>34.299999999999997</v>
      </c>
      <c r="M515" s="61">
        <v>37.6</v>
      </c>
      <c r="N515" s="61">
        <v>46.2</v>
      </c>
      <c r="O515" s="85">
        <v>21.1</v>
      </c>
      <c r="P515" s="105"/>
      <c r="Q515" s="87">
        <f t="shared" si="47"/>
        <v>-7.0268892214767993E-3</v>
      </c>
      <c r="R515" s="87">
        <f t="shared" si="50"/>
        <v>-1.0749794961661651E-2</v>
      </c>
      <c r="S515" s="87">
        <f t="shared" si="50"/>
        <v>-4.7258440853668114E-2</v>
      </c>
      <c r="T515" s="87">
        <f t="shared" si="49"/>
        <v>-1.2578782206860073E-2</v>
      </c>
      <c r="U515" s="87">
        <f t="shared" si="49"/>
        <v>-2.2497197340154416E-3</v>
      </c>
      <c r="V515" s="87">
        <f t="shared" si="49"/>
        <v>4.0080213975388678E-3</v>
      </c>
      <c r="W515" s="87">
        <f t="shared" si="49"/>
        <v>0</v>
      </c>
      <c r="X515" s="87">
        <f t="shared" si="49"/>
        <v>0</v>
      </c>
      <c r="Y515" s="87">
        <f t="shared" si="51"/>
        <v>8.4926200456535966E-3</v>
      </c>
      <c r="Z515" s="87">
        <f t="shared" si="51"/>
        <v>6.2500203451713258E-3</v>
      </c>
      <c r="AA515" s="87">
        <f t="shared" si="51"/>
        <v>0</v>
      </c>
      <c r="AB515" s="87">
        <f t="shared" si="51"/>
        <v>8.010723746078979E-3</v>
      </c>
      <c r="AC515" s="87">
        <f t="shared" si="51"/>
        <v>2.1668480850902932E-3</v>
      </c>
      <c r="AD515" s="87">
        <f t="shared" si="51"/>
        <v>4.7506027585977988E-3</v>
      </c>
      <c r="AE515" s="90">
        <f t="shared" si="48"/>
        <v>-1.7123675551196173E-2</v>
      </c>
      <c r="AF515" s="89"/>
    </row>
    <row r="516" spans="1:32" ht="15.5" x14ac:dyDescent="0.35">
      <c r="A516" s="82">
        <v>40513</v>
      </c>
      <c r="B516" s="83">
        <v>7603.7</v>
      </c>
      <c r="C516" s="84">
        <v>2549.4</v>
      </c>
      <c r="D516" s="61">
        <v>281.5</v>
      </c>
      <c r="E516" s="61">
        <v>16</v>
      </c>
      <c r="F516" s="61">
        <v>45</v>
      </c>
      <c r="G516" s="61">
        <v>25.6</v>
      </c>
      <c r="H516" s="61">
        <v>34.1</v>
      </c>
      <c r="I516" s="61">
        <v>9.6999999999999993</v>
      </c>
      <c r="J516" s="61">
        <v>47.7</v>
      </c>
      <c r="K516" s="61">
        <v>33.5</v>
      </c>
      <c r="L516" s="61">
        <v>34.700000000000003</v>
      </c>
      <c r="M516" s="61">
        <v>38.5</v>
      </c>
      <c r="N516" s="61">
        <v>46.8</v>
      </c>
      <c r="O516" s="85">
        <v>21.9</v>
      </c>
      <c r="P516" s="105"/>
      <c r="Q516" s="87">
        <f t="shared" si="47"/>
        <v>2.2987988982608006E-2</v>
      </c>
      <c r="R516" s="87">
        <f t="shared" si="50"/>
        <v>2.0287564817012077E-2</v>
      </c>
      <c r="S516" s="87">
        <f t="shared" si="50"/>
        <v>1.6476017402828943E-2</v>
      </c>
      <c r="T516" s="87">
        <f t="shared" si="49"/>
        <v>1.2578782206859965E-2</v>
      </c>
      <c r="U516" s="87">
        <f t="shared" si="49"/>
        <v>1.3423020332140771E-2</v>
      </c>
      <c r="V516" s="87">
        <f t="shared" si="49"/>
        <v>2.3716526617316065E-2</v>
      </c>
      <c r="W516" s="87">
        <f t="shared" si="49"/>
        <v>8.8365818004981639E-3</v>
      </c>
      <c r="X516" s="87">
        <f t="shared" si="49"/>
        <v>2.0834086902841834E-2</v>
      </c>
      <c r="Y516" s="87">
        <f t="shared" si="51"/>
        <v>8.4211023964083451E-3</v>
      </c>
      <c r="Z516" s="87">
        <f t="shared" si="51"/>
        <v>4.2689408695050571E-2</v>
      </c>
      <c r="AA516" s="87">
        <f t="shared" si="51"/>
        <v>1.1594332780919446E-2</v>
      </c>
      <c r="AB516" s="87">
        <f t="shared" si="51"/>
        <v>2.3654190897889595E-2</v>
      </c>
      <c r="AC516" s="87">
        <f t="shared" si="51"/>
        <v>1.2903404835907782E-2</v>
      </c>
      <c r="AD516" s="87">
        <f t="shared" si="51"/>
        <v>3.7213596340434273E-2</v>
      </c>
      <c r="AE516" s="90">
        <f t="shared" si="48"/>
        <v>1.9266168717476009E-2</v>
      </c>
      <c r="AF516" s="89"/>
    </row>
    <row r="517" spans="1:32" ht="15.5" x14ac:dyDescent="0.35">
      <c r="A517" s="82">
        <v>40514</v>
      </c>
      <c r="B517" s="83">
        <v>7712.3</v>
      </c>
      <c r="C517" s="84">
        <v>2579.4</v>
      </c>
      <c r="D517" s="61">
        <v>283</v>
      </c>
      <c r="E517" s="61">
        <v>16.100000000000001</v>
      </c>
      <c r="F517" s="61">
        <v>45</v>
      </c>
      <c r="G517" s="61">
        <v>26.2</v>
      </c>
      <c r="H517" s="61">
        <v>34.4</v>
      </c>
      <c r="I517" s="61">
        <v>9.9</v>
      </c>
      <c r="J517" s="61">
        <v>47.6</v>
      </c>
      <c r="K517" s="61">
        <v>33.9</v>
      </c>
      <c r="L517" s="61">
        <v>35</v>
      </c>
      <c r="M517" s="61">
        <v>39.200000000000003</v>
      </c>
      <c r="N517" s="61">
        <v>47.1</v>
      </c>
      <c r="O517" s="85">
        <v>21.7</v>
      </c>
      <c r="P517" s="105"/>
      <c r="Q517" s="87">
        <f t="shared" si="47"/>
        <v>1.4181486038200911E-2</v>
      </c>
      <c r="R517" s="87">
        <f t="shared" si="50"/>
        <v>1.1698776381470027E-2</v>
      </c>
      <c r="S517" s="87">
        <f t="shared" si="50"/>
        <v>5.3144500634924458E-3</v>
      </c>
      <c r="T517" s="87">
        <f t="shared" si="49"/>
        <v>6.2305497506361628E-3</v>
      </c>
      <c r="U517" s="87">
        <f t="shared" si="49"/>
        <v>0</v>
      </c>
      <c r="V517" s="87">
        <f t="shared" si="49"/>
        <v>2.3167059281534379E-2</v>
      </c>
      <c r="W517" s="87">
        <f t="shared" si="49"/>
        <v>8.7591800898815537E-3</v>
      </c>
      <c r="X517" s="87">
        <f t="shared" si="49"/>
        <v>2.0408871631207252E-2</v>
      </c>
      <c r="Y517" s="87">
        <f t="shared" si="51"/>
        <v>-2.0986366569212492E-3</v>
      </c>
      <c r="Z517" s="87">
        <f t="shared" si="51"/>
        <v>1.1869575555383729E-2</v>
      </c>
      <c r="AA517" s="87">
        <f t="shared" si="51"/>
        <v>8.6083745366001014E-3</v>
      </c>
      <c r="AB517" s="87">
        <f t="shared" si="51"/>
        <v>1.8018505502678431E-2</v>
      </c>
      <c r="AC517" s="87">
        <f t="shared" si="51"/>
        <v>6.3897980987712094E-3</v>
      </c>
      <c r="AD517" s="87">
        <f t="shared" si="51"/>
        <v>-9.1743762760412694E-3</v>
      </c>
      <c r="AE517" s="90">
        <f t="shared" si="48"/>
        <v>3.9474427274650524E-3</v>
      </c>
      <c r="AF517" s="89"/>
    </row>
    <row r="518" spans="1:32" ht="15.5" x14ac:dyDescent="0.35">
      <c r="A518" s="82">
        <v>40515</v>
      </c>
      <c r="B518" s="83">
        <v>7751.6</v>
      </c>
      <c r="C518" s="84">
        <v>2591.5</v>
      </c>
      <c r="D518" s="61">
        <v>284.3</v>
      </c>
      <c r="E518" s="61">
        <v>16.2</v>
      </c>
      <c r="F518" s="61">
        <v>45.2</v>
      </c>
      <c r="G518" s="61">
        <v>26.8</v>
      </c>
      <c r="H518" s="61">
        <v>35.200000000000003</v>
      </c>
      <c r="I518" s="61">
        <v>9.9</v>
      </c>
      <c r="J518" s="61">
        <v>47.7</v>
      </c>
      <c r="K518" s="61">
        <v>33.5</v>
      </c>
      <c r="L518" s="61">
        <v>35</v>
      </c>
      <c r="M518" s="61">
        <v>39.700000000000003</v>
      </c>
      <c r="N518" s="61">
        <v>47</v>
      </c>
      <c r="O518" s="85">
        <v>21.7</v>
      </c>
      <c r="P518" s="105"/>
      <c r="Q518" s="87">
        <f t="shared" si="47"/>
        <v>5.0828167033765848E-3</v>
      </c>
      <c r="R518" s="87">
        <f t="shared" si="50"/>
        <v>4.6800448994702972E-3</v>
      </c>
      <c r="S518" s="87">
        <f t="shared" si="50"/>
        <v>4.5831210137165512E-3</v>
      </c>
      <c r="T518" s="87">
        <f t="shared" si="49"/>
        <v>6.1919702479209804E-3</v>
      </c>
      <c r="U518" s="87">
        <f t="shared" si="49"/>
        <v>4.4345970678657748E-3</v>
      </c>
      <c r="V518" s="87">
        <f t="shared" si="49"/>
        <v>2.2642476749759971E-2</v>
      </c>
      <c r="W518" s="87">
        <f t="shared" si="49"/>
        <v>2.2989518224698781E-2</v>
      </c>
      <c r="X518" s="87">
        <f t="shared" si="49"/>
        <v>0</v>
      </c>
      <c r="Y518" s="87">
        <f t="shared" si="51"/>
        <v>2.0986366569212054E-3</v>
      </c>
      <c r="Z518" s="87">
        <f t="shared" si="51"/>
        <v>-1.1869575555383769E-2</v>
      </c>
      <c r="AA518" s="87">
        <f t="shared" si="51"/>
        <v>0</v>
      </c>
      <c r="AB518" s="87">
        <f t="shared" si="51"/>
        <v>1.2674440896727861E-2</v>
      </c>
      <c r="AC518" s="87">
        <f t="shared" si="51"/>
        <v>-2.1253993123134776E-3</v>
      </c>
      <c r="AD518" s="87">
        <f t="shared" si="51"/>
        <v>0</v>
      </c>
      <c r="AE518" s="90">
        <f t="shared" si="48"/>
        <v>4.0126346973347066E-3</v>
      </c>
      <c r="AF518" s="89"/>
    </row>
    <row r="519" spans="1:32" ht="15.5" x14ac:dyDescent="0.35">
      <c r="A519" s="82">
        <v>40518</v>
      </c>
      <c r="B519" s="83">
        <v>7740.7</v>
      </c>
      <c r="C519" s="84">
        <v>2594.9</v>
      </c>
      <c r="D519" s="61">
        <v>288.60000000000002</v>
      </c>
      <c r="E519" s="61">
        <v>16.3</v>
      </c>
      <c r="F519" s="61">
        <v>45.5</v>
      </c>
      <c r="G519" s="61">
        <v>26.8</v>
      </c>
      <c r="H519" s="61">
        <v>36.1</v>
      </c>
      <c r="I519" s="61">
        <v>9.9</v>
      </c>
      <c r="J519" s="61">
        <v>47.6</v>
      </c>
      <c r="K519" s="61">
        <v>33.6</v>
      </c>
      <c r="L519" s="61">
        <v>35.1</v>
      </c>
      <c r="M519" s="61">
        <v>39.9</v>
      </c>
      <c r="N519" s="61">
        <v>47.1</v>
      </c>
      <c r="O519" s="85">
        <v>21.8</v>
      </c>
      <c r="P519" s="105"/>
      <c r="Q519" s="87">
        <f t="shared" si="47"/>
        <v>-1.4071508812206596E-3</v>
      </c>
      <c r="R519" s="87">
        <f t="shared" si="50"/>
        <v>1.3111215822386652E-3</v>
      </c>
      <c r="S519" s="87">
        <f t="shared" si="50"/>
        <v>1.5011627682816428E-2</v>
      </c>
      <c r="T519" s="87">
        <f t="shared" si="49"/>
        <v>6.1538655743782859E-3</v>
      </c>
      <c r="U519" s="87">
        <f t="shared" si="49"/>
        <v>6.6152391187191831E-3</v>
      </c>
      <c r="V519" s="87">
        <f t="shared" si="49"/>
        <v>0</v>
      </c>
      <c r="W519" s="87">
        <f t="shared" ref="W519:AA573" si="52">+LN(H519/H518)</f>
        <v>2.5246782734783889E-2</v>
      </c>
      <c r="X519" s="87">
        <f t="shared" si="52"/>
        <v>0</v>
      </c>
      <c r="Y519" s="87">
        <f t="shared" si="51"/>
        <v>-2.0986366569212492E-3</v>
      </c>
      <c r="Z519" s="87">
        <f t="shared" si="51"/>
        <v>2.9806281381379411E-3</v>
      </c>
      <c r="AA519" s="87">
        <f t="shared" si="51"/>
        <v>2.8530689824064807E-3</v>
      </c>
      <c r="AB519" s="87">
        <f t="shared" si="51"/>
        <v>5.0251362026729795E-3</v>
      </c>
      <c r="AC519" s="87">
        <f t="shared" si="51"/>
        <v>2.1253993123135366E-3</v>
      </c>
      <c r="AD519" s="87">
        <f t="shared" si="51"/>
        <v>4.5977092486295494E-3</v>
      </c>
      <c r="AE519" s="90">
        <f t="shared" si="48"/>
        <v>7.2382736577501399E-3</v>
      </c>
      <c r="AF519" s="89"/>
    </row>
    <row r="520" spans="1:32" ht="15.5" x14ac:dyDescent="0.35">
      <c r="A520" s="82">
        <v>40519</v>
      </c>
      <c r="B520" s="83">
        <v>7739.6</v>
      </c>
      <c r="C520" s="84">
        <v>2598.5</v>
      </c>
      <c r="D520" s="61">
        <v>293.3</v>
      </c>
      <c r="E520" s="61">
        <v>16.5</v>
      </c>
      <c r="F520" s="61">
        <v>45.5</v>
      </c>
      <c r="G520" s="61">
        <v>26.9</v>
      </c>
      <c r="H520" s="61">
        <v>36.5</v>
      </c>
      <c r="I520" s="61">
        <v>10.199999999999999</v>
      </c>
      <c r="J520" s="61">
        <v>47.2</v>
      </c>
      <c r="K520" s="61">
        <v>33.9</v>
      </c>
      <c r="L520" s="61">
        <v>35.299999999999997</v>
      </c>
      <c r="M520" s="61">
        <v>41</v>
      </c>
      <c r="N520" s="61">
        <v>47.6</v>
      </c>
      <c r="O520" s="85">
        <v>21.8</v>
      </c>
      <c r="P520" s="105"/>
      <c r="Q520" s="87">
        <f t="shared" si="47"/>
        <v>-1.4211610910008345E-4</v>
      </c>
      <c r="R520" s="87">
        <f t="shared" si="50"/>
        <v>1.3863752364967053E-3</v>
      </c>
      <c r="S520" s="87">
        <f t="shared" si="50"/>
        <v>1.6154329643634793E-2</v>
      </c>
      <c r="T520" s="87">
        <f t="shared" si="50"/>
        <v>1.2195273093818206E-2</v>
      </c>
      <c r="U520" s="87">
        <f t="shared" si="50"/>
        <v>0</v>
      </c>
      <c r="V520" s="87">
        <f t="shared" si="50"/>
        <v>3.7243990909822727E-3</v>
      </c>
      <c r="W520" s="87">
        <f t="shared" si="52"/>
        <v>1.1019395249610479E-2</v>
      </c>
      <c r="X520" s="87">
        <f t="shared" si="52"/>
        <v>2.9852963149681128E-2</v>
      </c>
      <c r="Y520" s="87">
        <f t="shared" si="51"/>
        <v>-8.4388686458645949E-3</v>
      </c>
      <c r="Z520" s="87">
        <f t="shared" si="51"/>
        <v>8.8889474172459942E-3</v>
      </c>
      <c r="AA520" s="87">
        <f t="shared" si="51"/>
        <v>5.6818334674308638E-3</v>
      </c>
      <c r="AB520" s="87">
        <f t="shared" si="51"/>
        <v>2.7195742808490082E-2</v>
      </c>
      <c r="AC520" s="87">
        <f t="shared" si="51"/>
        <v>1.0559760215002253E-2</v>
      </c>
      <c r="AD520" s="87">
        <f t="shared" si="51"/>
        <v>0</v>
      </c>
      <c r="AE520" s="90">
        <f t="shared" si="48"/>
        <v>5.1449753418868604E-3</v>
      </c>
      <c r="AF520" s="89"/>
    </row>
    <row r="521" spans="1:32" ht="15.5" x14ac:dyDescent="0.35">
      <c r="A521" s="82">
        <v>40520</v>
      </c>
      <c r="B521" s="83">
        <v>7750.3</v>
      </c>
      <c r="C521" s="84">
        <v>2609.1999999999998</v>
      </c>
      <c r="D521" s="61">
        <v>292.10000000000002</v>
      </c>
      <c r="E521" s="61">
        <v>17</v>
      </c>
      <c r="F521" s="61">
        <v>45.3</v>
      </c>
      <c r="G521" s="61">
        <v>26.8</v>
      </c>
      <c r="H521" s="61">
        <v>37</v>
      </c>
      <c r="I521" s="61">
        <v>10.4</v>
      </c>
      <c r="J521" s="61">
        <v>46.1</v>
      </c>
      <c r="K521" s="61">
        <v>33.5</v>
      </c>
      <c r="L521" s="61">
        <v>35.200000000000003</v>
      </c>
      <c r="M521" s="61">
        <v>41.1</v>
      </c>
      <c r="N521" s="61">
        <v>47.3</v>
      </c>
      <c r="O521" s="85">
        <v>21.6</v>
      </c>
      <c r="P521" s="105"/>
      <c r="Q521" s="87">
        <f t="shared" si="47"/>
        <v>1.3815456138381174E-3</v>
      </c>
      <c r="R521" s="87">
        <f t="shared" si="50"/>
        <v>4.1093054734442878E-3</v>
      </c>
      <c r="S521" s="87">
        <f t="shared" si="50"/>
        <v>-4.0997665897099826E-3</v>
      </c>
      <c r="T521" s="87">
        <f t="shared" si="50"/>
        <v>2.9852963149681128E-2</v>
      </c>
      <c r="U521" s="87">
        <f t="shared" si="50"/>
        <v>-4.4052934679164914E-3</v>
      </c>
      <c r="V521" s="87">
        <f t="shared" si="50"/>
        <v>-3.7243990909823282E-3</v>
      </c>
      <c r="W521" s="87">
        <f t="shared" si="52"/>
        <v>1.3605652055778678E-2</v>
      </c>
      <c r="X521" s="87">
        <f t="shared" si="52"/>
        <v>1.9418085857101731E-2</v>
      </c>
      <c r="Y521" s="87">
        <f t="shared" si="51"/>
        <v>-2.358094258890691E-2</v>
      </c>
      <c r="Z521" s="87">
        <f t="shared" si="51"/>
        <v>-1.1869575555383769E-2</v>
      </c>
      <c r="AA521" s="87">
        <f t="shared" si="51"/>
        <v>-2.8368813351995039E-3</v>
      </c>
      <c r="AB521" s="87">
        <f t="shared" si="51"/>
        <v>2.436054797881121E-3</v>
      </c>
      <c r="AC521" s="87">
        <f t="shared" si="51"/>
        <v>-6.3224657394871263E-3</v>
      </c>
      <c r="AD521" s="87">
        <f t="shared" si="51"/>
        <v>-9.2166551049239522E-3</v>
      </c>
      <c r="AE521" s="90">
        <f t="shared" si="48"/>
        <v>-2.3484203971429886E-3</v>
      </c>
      <c r="AF521" s="89"/>
    </row>
    <row r="522" spans="1:32" ht="15.5" x14ac:dyDescent="0.35">
      <c r="A522" s="82">
        <v>40521</v>
      </c>
      <c r="B522" s="83">
        <v>7782.1</v>
      </c>
      <c r="C522" s="84">
        <v>2616.6999999999998</v>
      </c>
      <c r="D522" s="61">
        <v>294.8</v>
      </c>
      <c r="E522" s="61">
        <v>16.8</v>
      </c>
      <c r="F522" s="61">
        <v>45.6</v>
      </c>
      <c r="G522" s="61">
        <v>27</v>
      </c>
      <c r="H522" s="61">
        <v>36.6</v>
      </c>
      <c r="I522" s="61">
        <v>11</v>
      </c>
      <c r="J522" s="61">
        <v>46.2</v>
      </c>
      <c r="K522" s="61">
        <v>33.799999999999997</v>
      </c>
      <c r="L522" s="61">
        <v>35.299999999999997</v>
      </c>
      <c r="M522" s="61">
        <v>43</v>
      </c>
      <c r="N522" s="61">
        <v>47.2</v>
      </c>
      <c r="O522" s="85">
        <v>21.8</v>
      </c>
      <c r="P522" s="105"/>
      <c r="Q522" s="87">
        <f t="shared" si="47"/>
        <v>4.0946723533765031E-3</v>
      </c>
      <c r="R522" s="87">
        <f t="shared" si="50"/>
        <v>2.8703209587682683E-3</v>
      </c>
      <c r="S522" s="87">
        <f t="shared" si="50"/>
        <v>9.2009509214861854E-3</v>
      </c>
      <c r="T522" s="87">
        <f t="shared" si="50"/>
        <v>-1.1834457647002796E-2</v>
      </c>
      <c r="U522" s="87">
        <f t="shared" si="50"/>
        <v>6.6006840313520927E-3</v>
      </c>
      <c r="V522" s="87">
        <f t="shared" si="50"/>
        <v>7.4349784875179905E-3</v>
      </c>
      <c r="W522" s="87">
        <f t="shared" si="52"/>
        <v>-1.0869672236903879E-2</v>
      </c>
      <c r="X522" s="87">
        <f t="shared" si="52"/>
        <v>5.6089466651043578E-2</v>
      </c>
      <c r="Y522" s="87">
        <f t="shared" si="51"/>
        <v>2.1668480850902932E-3</v>
      </c>
      <c r="Z522" s="87">
        <f t="shared" si="51"/>
        <v>8.9153636579523288E-3</v>
      </c>
      <c r="AA522" s="87">
        <f t="shared" si="51"/>
        <v>2.8368813351995355E-3</v>
      </c>
      <c r="AB522" s="87">
        <f t="shared" si="51"/>
        <v>4.5191994191373555E-2</v>
      </c>
      <c r="AC522" s="87">
        <f t="shared" si="51"/>
        <v>-2.1164029063775016E-3</v>
      </c>
      <c r="AD522" s="87">
        <f t="shared" si="51"/>
        <v>9.2166551049240476E-3</v>
      </c>
      <c r="AE522" s="90">
        <f t="shared" si="48"/>
        <v>6.5617453746820101E-3</v>
      </c>
      <c r="AF522" s="89"/>
    </row>
    <row r="523" spans="1:32" ht="15.5" x14ac:dyDescent="0.35">
      <c r="A523" s="82">
        <v>40522</v>
      </c>
      <c r="B523" s="83">
        <v>7823.3</v>
      </c>
      <c r="C523" s="84">
        <v>2637.5</v>
      </c>
      <c r="D523" s="61">
        <v>295.39999999999998</v>
      </c>
      <c r="E523" s="61">
        <v>16.899999999999999</v>
      </c>
      <c r="F523" s="61">
        <v>45.5</v>
      </c>
      <c r="G523" s="61">
        <v>27.1</v>
      </c>
      <c r="H523" s="61">
        <v>36.799999999999997</v>
      </c>
      <c r="I523" s="61">
        <v>10.9</v>
      </c>
      <c r="J523" s="61">
        <v>46.2</v>
      </c>
      <c r="K523" s="61">
        <v>33.799999999999997</v>
      </c>
      <c r="L523" s="61">
        <v>35.5</v>
      </c>
      <c r="M523" s="61">
        <v>43.3</v>
      </c>
      <c r="N523" s="61">
        <v>47.3</v>
      </c>
      <c r="O523" s="85">
        <v>21.9</v>
      </c>
      <c r="P523" s="105"/>
      <c r="Q523" s="87">
        <f t="shared" si="47"/>
        <v>5.2802357804790888E-3</v>
      </c>
      <c r="R523" s="87">
        <f t="shared" si="50"/>
        <v>7.9175169036129391E-3</v>
      </c>
      <c r="S523" s="87">
        <f t="shared" si="50"/>
        <v>2.0332097820978229E-3</v>
      </c>
      <c r="T523" s="87">
        <f t="shared" si="50"/>
        <v>5.9347355198145265E-3</v>
      </c>
      <c r="U523" s="87">
        <f t="shared" si="50"/>
        <v>-2.1953905634357262E-3</v>
      </c>
      <c r="V523" s="87">
        <f t="shared" si="50"/>
        <v>3.6968618813262026E-3</v>
      </c>
      <c r="W523" s="87">
        <f t="shared" si="52"/>
        <v>5.4496047675644645E-3</v>
      </c>
      <c r="X523" s="87">
        <f t="shared" si="52"/>
        <v>-9.1324835632724741E-3</v>
      </c>
      <c r="Y523" s="87">
        <f t="shared" si="51"/>
        <v>0</v>
      </c>
      <c r="Z523" s="87">
        <f t="shared" si="51"/>
        <v>0</v>
      </c>
      <c r="AA523" s="87">
        <f t="shared" si="51"/>
        <v>5.6497325421191276E-3</v>
      </c>
      <c r="AB523" s="87">
        <f t="shared" si="51"/>
        <v>6.9525193148816632E-3</v>
      </c>
      <c r="AC523" s="87">
        <f t="shared" si="51"/>
        <v>2.1164029063774721E-3</v>
      </c>
      <c r="AD523" s="87">
        <f t="shared" si="51"/>
        <v>4.5766670274116732E-3</v>
      </c>
      <c r="AE523" s="90">
        <f t="shared" si="48"/>
        <v>2.8970533665518662E-3</v>
      </c>
      <c r="AF523" s="89"/>
    </row>
    <row r="524" spans="1:32" ht="15.5" x14ac:dyDescent="0.35">
      <c r="A524" s="82">
        <v>40525</v>
      </c>
      <c r="B524" s="83">
        <v>7850</v>
      </c>
      <c r="C524" s="84">
        <v>2624.9</v>
      </c>
      <c r="D524" s="61">
        <v>297.3</v>
      </c>
      <c r="E524" s="61">
        <v>16.7</v>
      </c>
      <c r="F524" s="61">
        <v>45.9</v>
      </c>
      <c r="G524" s="61">
        <v>27.2</v>
      </c>
      <c r="H524" s="61">
        <v>38.1</v>
      </c>
      <c r="I524" s="61">
        <v>11.4</v>
      </c>
      <c r="J524" s="61">
        <v>45.7</v>
      </c>
      <c r="K524" s="61">
        <v>32.700000000000003</v>
      </c>
      <c r="L524" s="61">
        <v>35.700000000000003</v>
      </c>
      <c r="M524" s="61">
        <v>43.8</v>
      </c>
      <c r="N524" s="61">
        <v>47.4</v>
      </c>
      <c r="O524" s="85">
        <v>22.3</v>
      </c>
      <c r="P524" s="105"/>
      <c r="Q524" s="87">
        <f t="shared" si="47"/>
        <v>3.4070713669865954E-3</v>
      </c>
      <c r="R524" s="87">
        <f t="shared" si="50"/>
        <v>-4.7886987223350165E-3</v>
      </c>
      <c r="S524" s="87">
        <f t="shared" si="50"/>
        <v>6.4113599067727864E-3</v>
      </c>
      <c r="T524" s="87">
        <f t="shared" si="50"/>
        <v>-1.1904902506318314E-2</v>
      </c>
      <c r="U524" s="87">
        <f t="shared" si="50"/>
        <v>8.7527911095947077E-3</v>
      </c>
      <c r="V524" s="87">
        <f t="shared" si="50"/>
        <v>3.683245416296368E-3</v>
      </c>
      <c r="W524" s="87">
        <f t="shared" si="52"/>
        <v>3.4716436957770241E-2</v>
      </c>
      <c r="X524" s="87">
        <f t="shared" si="52"/>
        <v>4.4850566165351713E-2</v>
      </c>
      <c r="Y524" s="87">
        <f t="shared" si="51"/>
        <v>-1.0881500187534173E-2</v>
      </c>
      <c r="Z524" s="87">
        <f t="shared" si="51"/>
        <v>-3.3085724585765218E-2</v>
      </c>
      <c r="AA524" s="87">
        <f t="shared" si="51"/>
        <v>5.6179923042232738E-3</v>
      </c>
      <c r="AB524" s="87">
        <f t="shared" ref="AB524:AD587" si="53">+LN(M524/M523)</f>
        <v>1.1481182373956232E-2</v>
      </c>
      <c r="AC524" s="87">
        <f t="shared" si="53"/>
        <v>2.1119332031435513E-3</v>
      </c>
      <c r="AD524" s="87">
        <f t="shared" si="53"/>
        <v>1.8100041643617937E-2</v>
      </c>
      <c r="AE524" s="90">
        <f t="shared" si="48"/>
        <v>5.144404214233303E-3</v>
      </c>
      <c r="AF524" s="89"/>
    </row>
    <row r="525" spans="1:32" ht="15.5" x14ac:dyDescent="0.35">
      <c r="A525" s="82">
        <v>40526</v>
      </c>
      <c r="B525" s="83">
        <v>7855.2</v>
      </c>
      <c r="C525" s="84">
        <v>2627.7</v>
      </c>
      <c r="D525" s="61">
        <v>296.5</v>
      </c>
      <c r="E525" s="61">
        <v>16.600000000000001</v>
      </c>
      <c r="F525" s="61">
        <v>45.6</v>
      </c>
      <c r="G525" s="61">
        <v>27.3</v>
      </c>
      <c r="H525" s="61">
        <v>37.799999999999997</v>
      </c>
      <c r="I525" s="61">
        <v>11.4</v>
      </c>
      <c r="J525" s="61">
        <v>45.4</v>
      </c>
      <c r="K525" s="61">
        <v>32.4</v>
      </c>
      <c r="L525" s="61">
        <v>36.1</v>
      </c>
      <c r="M525" s="61">
        <v>43.6</v>
      </c>
      <c r="N525" s="61">
        <v>47.2</v>
      </c>
      <c r="O525" s="85">
        <v>22.1</v>
      </c>
      <c r="P525" s="105"/>
      <c r="Q525" s="87">
        <f t="shared" si="47"/>
        <v>6.6220107862640927E-4</v>
      </c>
      <c r="R525" s="87">
        <f t="shared" si="50"/>
        <v>1.0661387751659417E-3</v>
      </c>
      <c r="S525" s="87">
        <f t="shared" si="50"/>
        <v>-2.6945115662718594E-3</v>
      </c>
      <c r="T525" s="87">
        <f t="shared" si="50"/>
        <v>-6.006024060211698E-3</v>
      </c>
      <c r="U525" s="87">
        <f t="shared" si="50"/>
        <v>-6.5574005461590517E-3</v>
      </c>
      <c r="V525" s="87">
        <f t="shared" si="50"/>
        <v>3.6697288889624017E-3</v>
      </c>
      <c r="W525" s="87">
        <f t="shared" si="52"/>
        <v>-7.9051795071133739E-3</v>
      </c>
      <c r="X525" s="87">
        <f t="shared" si="52"/>
        <v>0</v>
      </c>
      <c r="Y525" s="87">
        <f t="shared" si="52"/>
        <v>-6.5861928528568384E-3</v>
      </c>
      <c r="Z525" s="87">
        <f t="shared" si="52"/>
        <v>-9.2166551049241759E-3</v>
      </c>
      <c r="AA525" s="87">
        <f t="shared" si="52"/>
        <v>1.1142176553241803E-2</v>
      </c>
      <c r="AB525" s="87">
        <f t="shared" si="53"/>
        <v>-4.5766670274117547E-3</v>
      </c>
      <c r="AC525" s="87">
        <f t="shared" si="53"/>
        <v>-4.2283361095210642E-3</v>
      </c>
      <c r="AD525" s="87">
        <f t="shared" si="53"/>
        <v>-9.009069942365857E-3</v>
      </c>
      <c r="AE525" s="90">
        <f t="shared" si="48"/>
        <v>-3.4393360837097009E-3</v>
      </c>
      <c r="AF525" s="89"/>
    </row>
    <row r="526" spans="1:32" ht="15.5" x14ac:dyDescent="0.35">
      <c r="A526" s="82">
        <v>40527</v>
      </c>
      <c r="B526" s="83">
        <v>7798.8</v>
      </c>
      <c r="C526" s="84">
        <v>2617.1999999999998</v>
      </c>
      <c r="D526" s="61">
        <v>294.89999999999998</v>
      </c>
      <c r="E526" s="61">
        <v>16.399999999999999</v>
      </c>
      <c r="F526" s="61">
        <v>45.6</v>
      </c>
      <c r="G526" s="61">
        <v>27.5</v>
      </c>
      <c r="H526" s="61">
        <v>37.700000000000003</v>
      </c>
      <c r="I526" s="61">
        <v>11.2</v>
      </c>
      <c r="J526" s="61">
        <v>45.8</v>
      </c>
      <c r="K526" s="61">
        <v>32.299999999999997</v>
      </c>
      <c r="L526" s="61">
        <v>36.4</v>
      </c>
      <c r="M526" s="61">
        <v>43.6</v>
      </c>
      <c r="N526" s="61">
        <v>46</v>
      </c>
      <c r="O526" s="85">
        <v>22.1</v>
      </c>
      <c r="P526" s="105"/>
      <c r="Q526" s="87">
        <f t="shared" ref="Q526:Q589" si="54">+LN(B526/B525)</f>
        <v>-7.2058571667768792E-3</v>
      </c>
      <c r="R526" s="87">
        <f t="shared" si="50"/>
        <v>-4.0038948415692605E-3</v>
      </c>
      <c r="S526" s="87">
        <f t="shared" si="50"/>
        <v>-5.4109026165496451E-3</v>
      </c>
      <c r="T526" s="87">
        <f t="shared" si="50"/>
        <v>-1.2121360532344963E-2</v>
      </c>
      <c r="U526" s="87">
        <f t="shared" si="50"/>
        <v>0</v>
      </c>
      <c r="V526" s="87">
        <f t="shared" si="50"/>
        <v>7.2993024816115351E-3</v>
      </c>
      <c r="W526" s="87">
        <f t="shared" si="52"/>
        <v>-2.6490081715767307E-3</v>
      </c>
      <c r="X526" s="87">
        <f t="shared" si="52"/>
        <v>-1.7699577099400975E-2</v>
      </c>
      <c r="Y526" s="87">
        <f t="shared" si="52"/>
        <v>8.7719860728370409E-3</v>
      </c>
      <c r="Z526" s="87">
        <f t="shared" si="52"/>
        <v>-3.0911925696728579E-3</v>
      </c>
      <c r="AA526" s="87">
        <f t="shared" si="52"/>
        <v>8.2759093038596611E-3</v>
      </c>
      <c r="AB526" s="87">
        <f t="shared" si="53"/>
        <v>0</v>
      </c>
      <c r="AC526" s="87">
        <f t="shared" si="53"/>
        <v>-2.575249610241474E-2</v>
      </c>
      <c r="AD526" s="87">
        <f t="shared" si="53"/>
        <v>0</v>
      </c>
      <c r="AE526" s="90">
        <f t="shared" si="48"/>
        <v>-2.7842807418182749E-3</v>
      </c>
      <c r="AF526" s="89"/>
    </row>
    <row r="527" spans="1:32" ht="15.5" x14ac:dyDescent="0.35">
      <c r="A527" s="82">
        <v>40528</v>
      </c>
      <c r="B527" s="83">
        <v>7840.2</v>
      </c>
      <c r="C527" s="84">
        <v>2637.3</v>
      </c>
      <c r="D527" s="61">
        <v>294.3</v>
      </c>
      <c r="E527" s="61">
        <v>16.399999999999999</v>
      </c>
      <c r="F527" s="61">
        <v>45.7</v>
      </c>
      <c r="G527" s="61">
        <v>27.7</v>
      </c>
      <c r="H527" s="61">
        <v>37.9</v>
      </c>
      <c r="I527" s="61">
        <v>11.4</v>
      </c>
      <c r="J527" s="61">
        <v>45.6</v>
      </c>
      <c r="K527" s="61">
        <v>32</v>
      </c>
      <c r="L527" s="61">
        <v>36.4</v>
      </c>
      <c r="M527" s="61">
        <v>43.3</v>
      </c>
      <c r="N527" s="61">
        <v>46.1</v>
      </c>
      <c r="O527" s="85">
        <v>21.9</v>
      </c>
      <c r="P527" s="105"/>
      <c r="Q527" s="87">
        <f t="shared" si="54"/>
        <v>5.2944685348517932E-3</v>
      </c>
      <c r="R527" s="87">
        <f t="shared" si="50"/>
        <v>7.650622529659059E-3</v>
      </c>
      <c r="S527" s="87">
        <f t="shared" si="50"/>
        <v>-2.0366605818033482E-3</v>
      </c>
      <c r="T527" s="87">
        <f t="shared" si="50"/>
        <v>0</v>
      </c>
      <c r="U527" s="87">
        <f t="shared" si="50"/>
        <v>2.1905813798186818E-3</v>
      </c>
      <c r="V527" s="87">
        <f t="shared" si="50"/>
        <v>7.2464085207672533E-3</v>
      </c>
      <c r="W527" s="87">
        <f t="shared" si="52"/>
        <v>5.2910176344154588E-3</v>
      </c>
      <c r="X527" s="87">
        <f t="shared" si="52"/>
        <v>1.7699577099401075E-2</v>
      </c>
      <c r="Y527" s="87">
        <f t="shared" si="52"/>
        <v>-4.3763745997987772E-3</v>
      </c>
      <c r="Z527" s="87">
        <f t="shared" si="52"/>
        <v>-9.3313274288841924E-3</v>
      </c>
      <c r="AA527" s="87">
        <f t="shared" si="52"/>
        <v>0</v>
      </c>
      <c r="AB527" s="87">
        <f t="shared" si="53"/>
        <v>-6.9045153465445985E-3</v>
      </c>
      <c r="AC527" s="87">
        <f t="shared" si="53"/>
        <v>2.1715535135079325E-3</v>
      </c>
      <c r="AD527" s="87">
        <f t="shared" si="53"/>
        <v>-9.0909717012520753E-3</v>
      </c>
      <c r="AE527" s="90">
        <f t="shared" ref="AE527:AE590" si="55">+SUMPRODUCT(Q527:AD527,$Q$8:$AD$8)</f>
        <v>1.2183818781643515E-3</v>
      </c>
      <c r="AF527" s="89"/>
    </row>
    <row r="528" spans="1:32" ht="15.5" x14ac:dyDescent="0.35">
      <c r="A528" s="82">
        <v>40529</v>
      </c>
      <c r="B528" s="83">
        <v>7835.3</v>
      </c>
      <c r="C528" s="84">
        <v>2643</v>
      </c>
      <c r="D528" s="61">
        <v>294.10000000000002</v>
      </c>
      <c r="E528" s="61">
        <v>16.3</v>
      </c>
      <c r="F528" s="61">
        <v>45.8</v>
      </c>
      <c r="G528" s="61">
        <v>27.8</v>
      </c>
      <c r="H528" s="61">
        <v>38.200000000000003</v>
      </c>
      <c r="I528" s="61">
        <v>11.6</v>
      </c>
      <c r="J528" s="61">
        <v>46.4</v>
      </c>
      <c r="K528" s="61">
        <v>32.5</v>
      </c>
      <c r="L528" s="61">
        <v>36.1</v>
      </c>
      <c r="M528" s="61">
        <v>43.4</v>
      </c>
      <c r="N528" s="61">
        <v>46.7</v>
      </c>
      <c r="O528" s="85">
        <v>22.3</v>
      </c>
      <c r="P528" s="105"/>
      <c r="Q528" s="87">
        <f t="shared" si="54"/>
        <v>-6.2517944047671035E-4</v>
      </c>
      <c r="R528" s="87">
        <f t="shared" si="50"/>
        <v>2.1589690790465208E-3</v>
      </c>
      <c r="S528" s="87">
        <f t="shared" si="50"/>
        <v>-6.7980967947773923E-4</v>
      </c>
      <c r="T528" s="87">
        <f t="shared" si="50"/>
        <v>-6.1162270174359825E-3</v>
      </c>
      <c r="U528" s="87">
        <f t="shared" si="50"/>
        <v>2.1857932199802256E-3</v>
      </c>
      <c r="V528" s="87">
        <f t="shared" si="50"/>
        <v>3.6036075032986181E-3</v>
      </c>
      <c r="W528" s="87">
        <f t="shared" si="52"/>
        <v>7.8844035241490557E-3</v>
      </c>
      <c r="X528" s="87">
        <f t="shared" si="52"/>
        <v>1.739174271186902E-2</v>
      </c>
      <c r="Y528" s="87">
        <f t="shared" si="52"/>
        <v>1.739174271186902E-2</v>
      </c>
      <c r="Z528" s="87">
        <f t="shared" si="52"/>
        <v>1.5504186535965254E-2</v>
      </c>
      <c r="AA528" s="87">
        <f t="shared" si="52"/>
        <v>-8.2759093038597097E-3</v>
      </c>
      <c r="AB528" s="87">
        <f t="shared" si="53"/>
        <v>2.3068060979150921E-3</v>
      </c>
      <c r="AC528" s="87">
        <f t="shared" si="53"/>
        <v>1.2931214672248784E-2</v>
      </c>
      <c r="AD528" s="87">
        <f t="shared" si="53"/>
        <v>1.8100041643617937E-2</v>
      </c>
      <c r="AE528" s="90">
        <f t="shared" si="55"/>
        <v>3.2731554315330725E-3</v>
      </c>
      <c r="AF528" s="89"/>
    </row>
    <row r="529" spans="1:32" ht="15.5" x14ac:dyDescent="0.35">
      <c r="A529" s="82">
        <v>40532</v>
      </c>
      <c r="B529" s="83">
        <v>7847</v>
      </c>
      <c r="C529" s="84">
        <v>2649.6</v>
      </c>
      <c r="D529" s="61">
        <v>294.60000000000002</v>
      </c>
      <c r="E529" s="61">
        <v>16.2</v>
      </c>
      <c r="F529" s="61">
        <v>45.5</v>
      </c>
      <c r="G529" s="61">
        <v>27.7</v>
      </c>
      <c r="H529" s="61">
        <v>38.6</v>
      </c>
      <c r="I529" s="61">
        <v>11.6</v>
      </c>
      <c r="J529" s="61">
        <v>46.1</v>
      </c>
      <c r="K529" s="61">
        <v>33.5</v>
      </c>
      <c r="L529" s="61">
        <v>36.4</v>
      </c>
      <c r="M529" s="61">
        <v>44.1</v>
      </c>
      <c r="N529" s="61">
        <v>47.3</v>
      </c>
      <c r="O529" s="85">
        <v>22.4</v>
      </c>
      <c r="P529" s="105"/>
      <c r="Q529" s="87">
        <f t="shared" si="54"/>
        <v>1.4921283447944314E-3</v>
      </c>
      <c r="R529" s="87">
        <f t="shared" si="50"/>
        <v>2.4940495866513724E-3</v>
      </c>
      <c r="S529" s="87">
        <f t="shared" si="50"/>
        <v>1.6986584685806591E-3</v>
      </c>
      <c r="T529" s="87">
        <f t="shared" si="50"/>
        <v>-6.1538655743783354E-3</v>
      </c>
      <c r="U529" s="87">
        <f t="shared" si="50"/>
        <v>-6.5717651632345017E-3</v>
      </c>
      <c r="V529" s="87">
        <f t="shared" si="50"/>
        <v>-3.6036075032986558E-3</v>
      </c>
      <c r="W529" s="87">
        <f t="shared" si="52"/>
        <v>1.041676085825558E-2</v>
      </c>
      <c r="X529" s="87">
        <f t="shared" si="52"/>
        <v>0</v>
      </c>
      <c r="Y529" s="87">
        <f t="shared" si="52"/>
        <v>-6.4865092296066615E-3</v>
      </c>
      <c r="Z529" s="87">
        <f t="shared" si="52"/>
        <v>3.0305349495328843E-2</v>
      </c>
      <c r="AA529" s="87">
        <f t="shared" si="52"/>
        <v>8.2759093038596611E-3</v>
      </c>
      <c r="AB529" s="87">
        <f t="shared" si="53"/>
        <v>1.600034134644112E-2</v>
      </c>
      <c r="AC529" s="87">
        <f t="shared" si="53"/>
        <v>1.2766130823035533E-2</v>
      </c>
      <c r="AD529" s="87">
        <f t="shared" si="53"/>
        <v>4.4742803949211069E-3</v>
      </c>
      <c r="AE529" s="90">
        <f t="shared" si="55"/>
        <v>-9.038828479341753E-5</v>
      </c>
      <c r="AF529" s="89"/>
    </row>
    <row r="530" spans="1:32" ht="15.5" x14ac:dyDescent="0.35">
      <c r="A530" s="82">
        <v>40533</v>
      </c>
      <c r="B530" s="83">
        <v>7906.1</v>
      </c>
      <c r="C530" s="84">
        <v>2667.6</v>
      </c>
      <c r="D530" s="61">
        <v>299.10000000000002</v>
      </c>
      <c r="E530" s="61">
        <v>16.2</v>
      </c>
      <c r="F530" s="61">
        <v>46</v>
      </c>
      <c r="G530" s="61">
        <v>27.8</v>
      </c>
      <c r="H530" s="61">
        <v>38.299999999999997</v>
      </c>
      <c r="I530" s="61">
        <v>11.8</v>
      </c>
      <c r="J530" s="61">
        <v>46.2</v>
      </c>
      <c r="K530" s="61">
        <v>33.6</v>
      </c>
      <c r="L530" s="61">
        <v>36.200000000000003</v>
      </c>
      <c r="M530" s="61">
        <v>44.3</v>
      </c>
      <c r="N530" s="61">
        <v>47.3</v>
      </c>
      <c r="O530" s="85">
        <v>22.6</v>
      </c>
      <c r="P530" s="105"/>
      <c r="Q530" s="87">
        <f t="shared" si="54"/>
        <v>7.5033202704647998E-3</v>
      </c>
      <c r="R530" s="87">
        <f t="shared" ref="R530:V572" si="56">+LN(C530/C529)</f>
        <v>6.7705065672107071E-3</v>
      </c>
      <c r="S530" s="87">
        <f t="shared" si="56"/>
        <v>1.5159461607372518E-2</v>
      </c>
      <c r="T530" s="87">
        <f t="shared" si="56"/>
        <v>0</v>
      </c>
      <c r="U530" s="87">
        <f t="shared" si="56"/>
        <v>1.092907053219023E-2</v>
      </c>
      <c r="V530" s="87">
        <f t="shared" si="56"/>
        <v>3.6036075032986181E-3</v>
      </c>
      <c r="W530" s="87">
        <f t="shared" si="52"/>
        <v>-7.8023802841850108E-3</v>
      </c>
      <c r="X530" s="87">
        <f t="shared" si="52"/>
        <v>1.7094433359300255E-2</v>
      </c>
      <c r="Y530" s="87">
        <f t="shared" si="52"/>
        <v>2.1668480850902932E-3</v>
      </c>
      <c r="Z530" s="87">
        <f t="shared" si="52"/>
        <v>2.9806281381379411E-3</v>
      </c>
      <c r="AA530" s="87">
        <f t="shared" si="52"/>
        <v>-5.5096558109694726E-3</v>
      </c>
      <c r="AB530" s="87">
        <f t="shared" si="53"/>
        <v>4.5248945982895028E-3</v>
      </c>
      <c r="AC530" s="87">
        <f t="shared" si="53"/>
        <v>0</v>
      </c>
      <c r="AD530" s="87">
        <f t="shared" si="53"/>
        <v>8.8889474172462145E-3</v>
      </c>
      <c r="AE530" s="90">
        <f t="shared" si="55"/>
        <v>1.0673081418783172E-2</v>
      </c>
      <c r="AF530" s="89"/>
    </row>
    <row r="531" spans="1:32" ht="15.5" x14ac:dyDescent="0.35">
      <c r="A531" s="82">
        <v>40534</v>
      </c>
      <c r="B531" s="83">
        <v>7931.8</v>
      </c>
      <c r="C531" s="84">
        <v>2671.5</v>
      </c>
      <c r="D531" s="61">
        <v>301.89999999999998</v>
      </c>
      <c r="E531" s="61">
        <v>16.600000000000001</v>
      </c>
      <c r="F531" s="61">
        <v>46.2</v>
      </c>
      <c r="G531" s="61">
        <v>28</v>
      </c>
      <c r="H531" s="61">
        <v>38.5</v>
      </c>
      <c r="I531" s="61">
        <v>11.8</v>
      </c>
      <c r="J531" s="61">
        <v>47.3</v>
      </c>
      <c r="K531" s="61">
        <v>32.700000000000003</v>
      </c>
      <c r="L531" s="61">
        <v>36.1</v>
      </c>
      <c r="M531" s="61">
        <v>44.5</v>
      </c>
      <c r="N531" s="61">
        <v>47.5</v>
      </c>
      <c r="O531" s="85">
        <v>21.7</v>
      </c>
      <c r="P531" s="105"/>
      <c r="Q531" s="87">
        <f t="shared" si="54"/>
        <v>3.2453826021274896E-3</v>
      </c>
      <c r="R531" s="87">
        <f t="shared" si="56"/>
        <v>1.4609206396748698E-3</v>
      </c>
      <c r="S531" s="87">
        <f t="shared" si="56"/>
        <v>9.3178710768906103E-3</v>
      </c>
      <c r="T531" s="87">
        <f t="shared" si="56"/>
        <v>2.4391453124159263E-2</v>
      </c>
      <c r="U531" s="87">
        <f t="shared" si="56"/>
        <v>4.3384015985981411E-3</v>
      </c>
      <c r="V531" s="87">
        <f t="shared" si="56"/>
        <v>7.168489478612497E-3</v>
      </c>
      <c r="W531" s="87">
        <f t="shared" si="52"/>
        <v>5.2083451071382597E-3</v>
      </c>
      <c r="X531" s="87">
        <f t="shared" si="52"/>
        <v>0</v>
      </c>
      <c r="Y531" s="87">
        <f t="shared" si="52"/>
        <v>2.3530497410194036E-2</v>
      </c>
      <c r="Z531" s="87">
        <f t="shared" si="52"/>
        <v>-2.7150989065950745E-2</v>
      </c>
      <c r="AA531" s="87">
        <f t="shared" si="52"/>
        <v>-2.766253492890185E-3</v>
      </c>
      <c r="AB531" s="87">
        <f t="shared" si="53"/>
        <v>4.5045121211047291E-3</v>
      </c>
      <c r="AC531" s="87">
        <f t="shared" si="53"/>
        <v>4.2194155427082896E-3</v>
      </c>
      <c r="AD531" s="87">
        <f t="shared" si="53"/>
        <v>-4.0637645731826391E-2</v>
      </c>
      <c r="AE531" s="90">
        <f t="shared" si="55"/>
        <v>-5.3306772517923082E-4</v>
      </c>
      <c r="AF531" s="89"/>
    </row>
    <row r="532" spans="1:32" ht="15.5" x14ac:dyDescent="0.35">
      <c r="A532" s="82">
        <v>40535</v>
      </c>
      <c r="B532" s="83">
        <v>7925.4</v>
      </c>
      <c r="C532" s="84">
        <v>2665.6</v>
      </c>
      <c r="D532" s="61">
        <v>301.3</v>
      </c>
      <c r="E532" s="61">
        <v>16.5</v>
      </c>
      <c r="F532" s="61">
        <v>46.2</v>
      </c>
      <c r="G532" s="61">
        <v>28</v>
      </c>
      <c r="H532" s="61">
        <v>38.700000000000003</v>
      </c>
      <c r="I532" s="61">
        <v>11.8</v>
      </c>
      <c r="J532" s="61">
        <v>47.3</v>
      </c>
      <c r="K532" s="61">
        <v>32.4</v>
      </c>
      <c r="L532" s="61">
        <v>36.200000000000003</v>
      </c>
      <c r="M532" s="61">
        <v>44.4</v>
      </c>
      <c r="N532" s="61">
        <v>47.9</v>
      </c>
      <c r="O532" s="85">
        <v>21.4</v>
      </c>
      <c r="P532" s="105"/>
      <c r="Q532" s="87">
        <f t="shared" si="54"/>
        <v>-8.0720434219268224E-4</v>
      </c>
      <c r="R532" s="87">
        <f t="shared" si="56"/>
        <v>-2.2109394253024875E-3</v>
      </c>
      <c r="S532" s="87">
        <f t="shared" si="56"/>
        <v>-1.9893905765374885E-3</v>
      </c>
      <c r="T532" s="87">
        <f t="shared" si="56"/>
        <v>-6.0423144559626982E-3</v>
      </c>
      <c r="U532" s="87">
        <f t="shared" si="56"/>
        <v>0</v>
      </c>
      <c r="V532" s="87">
        <f t="shared" si="56"/>
        <v>0</v>
      </c>
      <c r="W532" s="87">
        <f t="shared" si="52"/>
        <v>5.1813587419975845E-3</v>
      </c>
      <c r="X532" s="87">
        <f t="shared" si="52"/>
        <v>0</v>
      </c>
      <c r="Y532" s="87">
        <f t="shared" si="52"/>
        <v>0</v>
      </c>
      <c r="Z532" s="87">
        <f t="shared" si="52"/>
        <v>-9.2166551049241759E-3</v>
      </c>
      <c r="AA532" s="87">
        <f t="shared" si="52"/>
        <v>2.76625349289011E-3</v>
      </c>
      <c r="AB532" s="87">
        <f t="shared" si="53"/>
        <v>-2.2497197340154416E-3</v>
      </c>
      <c r="AC532" s="87">
        <f t="shared" si="53"/>
        <v>8.3857933762739641E-3</v>
      </c>
      <c r="AD532" s="87">
        <f t="shared" si="53"/>
        <v>-1.392133851860812E-2</v>
      </c>
      <c r="AE532" s="90">
        <f t="shared" si="55"/>
        <v>-2.9372626772627497E-3</v>
      </c>
      <c r="AF532" s="89"/>
    </row>
    <row r="533" spans="1:32" ht="15.5" x14ac:dyDescent="0.35">
      <c r="A533" s="82">
        <v>40539</v>
      </c>
      <c r="B533" s="83">
        <v>7920.9</v>
      </c>
      <c r="C533" s="84">
        <v>2667.3</v>
      </c>
      <c r="D533" s="61">
        <v>300.10000000000002</v>
      </c>
      <c r="E533" s="61">
        <v>16.399999999999999</v>
      </c>
      <c r="F533" s="61">
        <v>45.9</v>
      </c>
      <c r="G533" s="61">
        <v>27.9</v>
      </c>
      <c r="H533" s="61">
        <v>38.4</v>
      </c>
      <c r="I533" s="61">
        <v>11.7</v>
      </c>
      <c r="J533" s="61">
        <v>47.5</v>
      </c>
      <c r="K533" s="61">
        <v>32</v>
      </c>
      <c r="L533" s="61">
        <v>36.1</v>
      </c>
      <c r="M533" s="61">
        <v>44.3</v>
      </c>
      <c r="N533" s="61">
        <v>47.8</v>
      </c>
      <c r="O533" s="85">
        <v>21.4</v>
      </c>
      <c r="P533" s="105"/>
      <c r="Q533" s="87">
        <f t="shared" si="54"/>
        <v>-5.6795594188743489E-4</v>
      </c>
      <c r="R533" s="87">
        <f t="shared" si="56"/>
        <v>6.3755182267951184E-4</v>
      </c>
      <c r="S533" s="87">
        <f t="shared" si="56"/>
        <v>-3.9906936899340786E-3</v>
      </c>
      <c r="T533" s="87">
        <f t="shared" si="56"/>
        <v>-6.0790460763822263E-3</v>
      </c>
      <c r="U533" s="87">
        <f t="shared" si="56"/>
        <v>-6.5146810211937538E-3</v>
      </c>
      <c r="V533" s="87">
        <f t="shared" si="56"/>
        <v>-3.577821347884078E-3</v>
      </c>
      <c r="W533" s="87">
        <f t="shared" si="52"/>
        <v>-7.7821404420550747E-3</v>
      </c>
      <c r="X533" s="87">
        <f t="shared" si="52"/>
        <v>-8.5106896679087302E-3</v>
      </c>
      <c r="Y533" s="87">
        <f t="shared" si="52"/>
        <v>4.2194155427082896E-3</v>
      </c>
      <c r="Z533" s="87">
        <f t="shared" si="52"/>
        <v>-1.2422519998557096E-2</v>
      </c>
      <c r="AA533" s="87">
        <f t="shared" si="52"/>
        <v>-2.766253492890185E-3</v>
      </c>
      <c r="AB533" s="87">
        <f t="shared" si="53"/>
        <v>-2.2547923870890937E-3</v>
      </c>
      <c r="AC533" s="87">
        <f t="shared" si="53"/>
        <v>-2.0898649194592421E-3</v>
      </c>
      <c r="AD533" s="87">
        <f t="shared" si="53"/>
        <v>0</v>
      </c>
      <c r="AE533" s="90">
        <f t="shared" si="55"/>
        <v>-2.8400284264861481E-3</v>
      </c>
      <c r="AF533" s="89"/>
    </row>
    <row r="534" spans="1:32" ht="15.5" x14ac:dyDescent="0.35">
      <c r="A534" s="82">
        <v>40540</v>
      </c>
      <c r="B534" s="83">
        <v>7931.7</v>
      </c>
      <c r="C534" s="84">
        <v>2662.9</v>
      </c>
      <c r="D534" s="61">
        <v>299.3</v>
      </c>
      <c r="E534" s="61">
        <v>16.3</v>
      </c>
      <c r="F534" s="61">
        <v>46.4</v>
      </c>
      <c r="G534" s="61">
        <v>28</v>
      </c>
      <c r="H534" s="61">
        <v>38.299999999999997</v>
      </c>
      <c r="I534" s="61">
        <v>11.8</v>
      </c>
      <c r="J534" s="61">
        <v>47.8</v>
      </c>
      <c r="K534" s="61">
        <v>32.1</v>
      </c>
      <c r="L534" s="61">
        <v>36.1</v>
      </c>
      <c r="M534" s="61">
        <v>44.5</v>
      </c>
      <c r="N534" s="61">
        <v>47.7</v>
      </c>
      <c r="O534" s="85">
        <v>21.5</v>
      </c>
      <c r="P534" s="105"/>
      <c r="Q534" s="87">
        <f t="shared" si="54"/>
        <v>1.3625527258487181E-3</v>
      </c>
      <c r="R534" s="87">
        <f t="shared" si="56"/>
        <v>-1.6509703198471124E-3</v>
      </c>
      <c r="S534" s="87">
        <f t="shared" si="56"/>
        <v>-2.6693375876682291E-3</v>
      </c>
      <c r="T534" s="87">
        <f t="shared" si="56"/>
        <v>-6.1162270174359825E-3</v>
      </c>
      <c r="U534" s="87">
        <f t="shared" si="56"/>
        <v>1.0834342165710146E-2</v>
      </c>
      <c r="V534" s="87">
        <f t="shared" si="56"/>
        <v>3.5778213478841235E-3</v>
      </c>
      <c r="W534" s="87">
        <f t="shared" si="52"/>
        <v>-2.6075634070809417E-3</v>
      </c>
      <c r="X534" s="87">
        <f t="shared" si="52"/>
        <v>8.5106896679088308E-3</v>
      </c>
      <c r="Y534" s="87">
        <f t="shared" si="52"/>
        <v>6.2959284568146106E-3</v>
      </c>
      <c r="Z534" s="87">
        <f t="shared" si="52"/>
        <v>3.1201273362436777E-3</v>
      </c>
      <c r="AA534" s="87">
        <f t="shared" si="52"/>
        <v>0</v>
      </c>
      <c r="AB534" s="87">
        <f t="shared" si="53"/>
        <v>4.5045121211047291E-3</v>
      </c>
      <c r="AC534" s="87">
        <f t="shared" si="53"/>
        <v>-2.0942416031146257E-3</v>
      </c>
      <c r="AD534" s="87">
        <f t="shared" si="53"/>
        <v>4.6620131058113714E-3</v>
      </c>
      <c r="AE534" s="90">
        <f t="shared" si="55"/>
        <v>2.3882569596192253E-3</v>
      </c>
      <c r="AF534" s="89"/>
    </row>
    <row r="535" spans="1:32" ht="15.5" x14ac:dyDescent="0.35">
      <c r="A535" s="82">
        <v>40541</v>
      </c>
      <c r="B535" s="83">
        <v>7961.5</v>
      </c>
      <c r="C535" s="84">
        <v>2666.9</v>
      </c>
      <c r="D535" s="61">
        <v>299.8</v>
      </c>
      <c r="E535" s="61">
        <v>16.399999999999999</v>
      </c>
      <c r="F535" s="61">
        <v>46.4</v>
      </c>
      <c r="G535" s="61">
        <v>27.9</v>
      </c>
      <c r="H535" s="61">
        <v>38.5</v>
      </c>
      <c r="I535" s="61">
        <v>11.8</v>
      </c>
      <c r="J535" s="61">
        <v>48.4</v>
      </c>
      <c r="K535" s="61">
        <v>32.4</v>
      </c>
      <c r="L535" s="61">
        <v>36.200000000000003</v>
      </c>
      <c r="M535" s="61">
        <v>44.7</v>
      </c>
      <c r="N535" s="61">
        <v>47.8</v>
      </c>
      <c r="O535" s="85">
        <v>21.3</v>
      </c>
      <c r="P535" s="105"/>
      <c r="Q535" s="87">
        <f t="shared" si="54"/>
        <v>3.7500358546465585E-3</v>
      </c>
      <c r="R535" s="87">
        <f t="shared" si="56"/>
        <v>1.5009946906055676E-3</v>
      </c>
      <c r="S535" s="87">
        <f t="shared" si="56"/>
        <v>1.6691708098440061E-3</v>
      </c>
      <c r="T535" s="87">
        <f t="shared" si="56"/>
        <v>6.1162270174360536E-3</v>
      </c>
      <c r="U535" s="87">
        <f t="shared" si="56"/>
        <v>0</v>
      </c>
      <c r="V535" s="87">
        <f t="shared" si="56"/>
        <v>-3.577821347884078E-3</v>
      </c>
      <c r="W535" s="87">
        <f t="shared" si="52"/>
        <v>5.2083451071382597E-3</v>
      </c>
      <c r="X535" s="87">
        <f t="shared" si="52"/>
        <v>0</v>
      </c>
      <c r="Y535" s="87">
        <f t="shared" si="52"/>
        <v>1.2474174225175818E-2</v>
      </c>
      <c r="Z535" s="87">
        <f t="shared" si="52"/>
        <v>9.3023926623134103E-3</v>
      </c>
      <c r="AA535" s="87">
        <f t="shared" si="52"/>
        <v>2.76625349289011E-3</v>
      </c>
      <c r="AB535" s="87">
        <f t="shared" si="53"/>
        <v>4.4843124473285863E-3</v>
      </c>
      <c r="AC535" s="87">
        <f t="shared" si="53"/>
        <v>2.0942416031146851E-3</v>
      </c>
      <c r="AD535" s="87">
        <f t="shared" si="53"/>
        <v>-9.345862418237658E-3</v>
      </c>
      <c r="AE535" s="90">
        <f t="shared" si="55"/>
        <v>-1.9737862309559802E-4</v>
      </c>
      <c r="AF535" s="89"/>
    </row>
    <row r="536" spans="1:32" ht="15.5" x14ac:dyDescent="0.35">
      <c r="A536" s="82">
        <v>40542</v>
      </c>
      <c r="B536" s="83">
        <v>7951.9</v>
      </c>
      <c r="C536" s="84">
        <v>2663</v>
      </c>
      <c r="D536" s="61">
        <v>299</v>
      </c>
      <c r="E536" s="61">
        <v>16.5</v>
      </c>
      <c r="F536" s="61">
        <v>46.2</v>
      </c>
      <c r="G536" s="61">
        <v>27.8</v>
      </c>
      <c r="H536" s="61">
        <v>39.200000000000003</v>
      </c>
      <c r="I536" s="61">
        <v>11.8</v>
      </c>
      <c r="J536" s="61">
        <v>50.3</v>
      </c>
      <c r="K536" s="61">
        <v>32.4</v>
      </c>
      <c r="L536" s="61">
        <v>36</v>
      </c>
      <c r="M536" s="61">
        <v>44.3</v>
      </c>
      <c r="N536" s="61">
        <v>48.1</v>
      </c>
      <c r="O536" s="85">
        <v>21.3</v>
      </c>
      <c r="P536" s="105"/>
      <c r="Q536" s="87">
        <f t="shared" si="54"/>
        <v>-1.2065304918588103E-3</v>
      </c>
      <c r="R536" s="87">
        <f t="shared" si="56"/>
        <v>-1.4634423520294344E-3</v>
      </c>
      <c r="S536" s="87">
        <f t="shared" si="56"/>
        <v>-2.6720122778109688E-3</v>
      </c>
      <c r="T536" s="87">
        <f t="shared" si="56"/>
        <v>6.0790460763821925E-3</v>
      </c>
      <c r="U536" s="87">
        <f t="shared" si="56"/>
        <v>-4.3196611445162842E-3</v>
      </c>
      <c r="V536" s="87">
        <f t="shared" si="56"/>
        <v>-3.5906681307284844E-3</v>
      </c>
      <c r="W536" s="87">
        <f t="shared" si="52"/>
        <v>1.8018505502678431E-2</v>
      </c>
      <c r="X536" s="87">
        <f t="shared" si="52"/>
        <v>0</v>
      </c>
      <c r="Y536" s="87">
        <f t="shared" si="52"/>
        <v>3.8505263383107426E-2</v>
      </c>
      <c r="Z536" s="87">
        <f t="shared" si="52"/>
        <v>0</v>
      </c>
      <c r="AA536" s="87">
        <f t="shared" si="52"/>
        <v>-5.540180375615468E-3</v>
      </c>
      <c r="AB536" s="87">
        <f t="shared" si="53"/>
        <v>-8.9888245684333311E-3</v>
      </c>
      <c r="AC536" s="87">
        <f t="shared" si="53"/>
        <v>6.2565376143053578E-3</v>
      </c>
      <c r="AD536" s="87">
        <f t="shared" si="53"/>
        <v>0</v>
      </c>
      <c r="AE536" s="90">
        <f t="shared" si="55"/>
        <v>-2.4560937861214083E-3</v>
      </c>
      <c r="AF536" s="89"/>
    </row>
    <row r="537" spans="1:32" ht="15.5" x14ac:dyDescent="0.35">
      <c r="A537" s="82">
        <v>40543</v>
      </c>
      <c r="B537" s="83">
        <v>7964</v>
      </c>
      <c r="C537" s="84">
        <v>2652.9</v>
      </c>
      <c r="D537" s="61">
        <v>296.3</v>
      </c>
      <c r="E537" s="61">
        <v>16.5</v>
      </c>
      <c r="F537" s="61">
        <v>45.9</v>
      </c>
      <c r="G537" s="61">
        <v>27.6</v>
      </c>
      <c r="H537" s="61">
        <v>38.799999999999997</v>
      </c>
      <c r="I537" s="61">
        <v>11.9</v>
      </c>
      <c r="J537" s="61">
        <v>50.6</v>
      </c>
      <c r="K537" s="61">
        <v>32.1</v>
      </c>
      <c r="L537" s="61">
        <v>35.9</v>
      </c>
      <c r="M537" s="61">
        <v>44.2</v>
      </c>
      <c r="N537" s="61">
        <v>47.6</v>
      </c>
      <c r="O537" s="85">
        <v>21.3</v>
      </c>
      <c r="P537" s="105"/>
      <c r="Q537" s="87">
        <f t="shared" si="54"/>
        <v>1.5204923794650282E-3</v>
      </c>
      <c r="R537" s="87">
        <f t="shared" si="56"/>
        <v>-3.7999255641330883E-3</v>
      </c>
      <c r="S537" s="87">
        <f t="shared" si="56"/>
        <v>-9.0711188111668867E-3</v>
      </c>
      <c r="T537" s="87">
        <f t="shared" si="56"/>
        <v>0</v>
      </c>
      <c r="U537" s="87">
        <f t="shared" si="56"/>
        <v>-6.5146810211937538E-3</v>
      </c>
      <c r="V537" s="87">
        <f t="shared" si="56"/>
        <v>-7.2202479734870201E-3</v>
      </c>
      <c r="W537" s="87">
        <f t="shared" si="52"/>
        <v>-1.0256500167189221E-2</v>
      </c>
      <c r="X537" s="87">
        <f t="shared" si="52"/>
        <v>8.4388686458646035E-3</v>
      </c>
      <c r="Y537" s="87">
        <f t="shared" si="52"/>
        <v>5.9464991877265236E-3</v>
      </c>
      <c r="Z537" s="87">
        <f t="shared" si="52"/>
        <v>-9.3023926623134485E-3</v>
      </c>
      <c r="AA537" s="87">
        <f t="shared" si="52"/>
        <v>-2.7816429618768026E-3</v>
      </c>
      <c r="AB537" s="87">
        <f t="shared" si="53"/>
        <v>-2.2598879674373675E-3</v>
      </c>
      <c r="AC537" s="87">
        <f t="shared" si="53"/>
        <v>-1.044941587434112E-2</v>
      </c>
      <c r="AD537" s="87">
        <f t="shared" si="53"/>
        <v>0</v>
      </c>
      <c r="AE537" s="90">
        <f t="shared" si="55"/>
        <v>-5.6575228652574958E-3</v>
      </c>
      <c r="AF537" s="89"/>
    </row>
    <row r="538" spans="1:32" ht="15.5" x14ac:dyDescent="0.35">
      <c r="A538" s="82">
        <v>40546</v>
      </c>
      <c r="B538" s="83">
        <v>8044</v>
      </c>
      <c r="C538" s="84">
        <v>2691.5</v>
      </c>
      <c r="D538" s="61">
        <v>298.5</v>
      </c>
      <c r="E538" s="61">
        <v>16.7</v>
      </c>
      <c r="F538" s="61">
        <v>46.4</v>
      </c>
      <c r="G538" s="61">
        <v>27.9</v>
      </c>
      <c r="H538" s="61">
        <v>39.799999999999997</v>
      </c>
      <c r="I538" s="61">
        <v>12</v>
      </c>
      <c r="J538" s="61">
        <v>51.9</v>
      </c>
      <c r="K538" s="61">
        <v>32.4</v>
      </c>
      <c r="L538" s="61">
        <v>36</v>
      </c>
      <c r="M538" s="61">
        <v>44.9</v>
      </c>
      <c r="N538" s="61">
        <v>47.6</v>
      </c>
      <c r="O538" s="85">
        <v>21.3</v>
      </c>
      <c r="P538" s="105"/>
      <c r="Q538" s="87">
        <f t="shared" si="54"/>
        <v>9.9950857084556699E-3</v>
      </c>
      <c r="R538" s="87">
        <f t="shared" si="56"/>
        <v>1.4445277751212827E-2</v>
      </c>
      <c r="S538" s="87">
        <f t="shared" si="56"/>
        <v>7.3974782531371474E-3</v>
      </c>
      <c r="T538" s="87">
        <f t="shared" si="56"/>
        <v>1.2048338516174355E-2</v>
      </c>
      <c r="U538" s="87">
        <f t="shared" si="56"/>
        <v>1.0834342165710146E-2</v>
      </c>
      <c r="V538" s="87">
        <f t="shared" si="56"/>
        <v>1.0810916104215456E-2</v>
      </c>
      <c r="W538" s="87">
        <f t="shared" si="52"/>
        <v>2.5446665661164176E-2</v>
      </c>
      <c r="X538" s="87">
        <f t="shared" si="52"/>
        <v>8.3682496705165792E-3</v>
      </c>
      <c r="Y538" s="87">
        <f t="shared" si="52"/>
        <v>2.5367213878422949E-2</v>
      </c>
      <c r="Z538" s="87">
        <f t="shared" si="52"/>
        <v>9.3023926623134103E-3</v>
      </c>
      <c r="AA538" s="87">
        <f t="shared" si="52"/>
        <v>2.7816429618767705E-3</v>
      </c>
      <c r="AB538" s="87">
        <f t="shared" si="53"/>
        <v>1.5713005664556114E-2</v>
      </c>
      <c r="AC538" s="87">
        <f t="shared" si="53"/>
        <v>0</v>
      </c>
      <c r="AD538" s="87">
        <f t="shared" si="53"/>
        <v>0</v>
      </c>
      <c r="AE538" s="90">
        <f t="shared" si="55"/>
        <v>9.5936282419281232E-3</v>
      </c>
      <c r="AF538" s="89"/>
    </row>
    <row r="539" spans="1:32" ht="15.5" x14ac:dyDescent="0.35">
      <c r="A539" s="82">
        <v>40547</v>
      </c>
      <c r="B539" s="83">
        <v>8022.2</v>
      </c>
      <c r="C539" s="84">
        <v>2681.3</v>
      </c>
      <c r="D539" s="61">
        <v>300.39999999999998</v>
      </c>
      <c r="E539" s="61">
        <v>16.600000000000001</v>
      </c>
      <c r="F539" s="61">
        <v>46.9</v>
      </c>
      <c r="G539" s="61">
        <v>27.9</v>
      </c>
      <c r="H539" s="61">
        <v>38.6</v>
      </c>
      <c r="I539" s="61">
        <v>12.2</v>
      </c>
      <c r="J539" s="61">
        <v>51.1</v>
      </c>
      <c r="K539" s="61">
        <v>32</v>
      </c>
      <c r="L539" s="61">
        <v>35.9</v>
      </c>
      <c r="M539" s="61">
        <v>45.4</v>
      </c>
      <c r="N539" s="61">
        <v>48</v>
      </c>
      <c r="O539" s="85">
        <v>20.9</v>
      </c>
      <c r="P539" s="105"/>
      <c r="Q539" s="87">
        <f t="shared" si="54"/>
        <v>-2.7137734347836835E-3</v>
      </c>
      <c r="R539" s="87">
        <f t="shared" si="56"/>
        <v>-3.7969074799089645E-3</v>
      </c>
      <c r="S539" s="87">
        <f t="shared" si="56"/>
        <v>6.3449870573228486E-3</v>
      </c>
      <c r="T539" s="87">
        <f t="shared" si="56"/>
        <v>-6.006024060211698E-3</v>
      </c>
      <c r="U539" s="87">
        <f t="shared" si="56"/>
        <v>1.0718216220024107E-2</v>
      </c>
      <c r="V539" s="87">
        <f t="shared" si="56"/>
        <v>0</v>
      </c>
      <c r="W539" s="87">
        <f t="shared" si="52"/>
        <v>-3.0614635819606748E-2</v>
      </c>
      <c r="X539" s="87">
        <f t="shared" si="52"/>
        <v>1.6529301951210506E-2</v>
      </c>
      <c r="Y539" s="87">
        <f t="shared" si="52"/>
        <v>-1.553429296218412E-2</v>
      </c>
      <c r="Z539" s="87">
        <f t="shared" si="52"/>
        <v>-1.2422519998557096E-2</v>
      </c>
      <c r="AA539" s="87">
        <f t="shared" si="52"/>
        <v>-2.7816429618768026E-3</v>
      </c>
      <c r="AB539" s="87">
        <f t="shared" si="53"/>
        <v>1.1074310299093715E-2</v>
      </c>
      <c r="AC539" s="87">
        <f t="shared" si="53"/>
        <v>8.3682496705165792E-3</v>
      </c>
      <c r="AD539" s="87">
        <f t="shared" si="53"/>
        <v>-1.8957913744614158E-2</v>
      </c>
      <c r="AE539" s="90">
        <f t="shared" si="55"/>
        <v>1.4799225463514396E-3</v>
      </c>
      <c r="AF539" s="89"/>
    </row>
    <row r="540" spans="1:32" ht="15.5" x14ac:dyDescent="0.35">
      <c r="A540" s="82">
        <v>40548</v>
      </c>
      <c r="B540" s="83">
        <v>8040</v>
      </c>
      <c r="C540" s="84">
        <v>2702.2</v>
      </c>
      <c r="D540" s="61">
        <v>300.3</v>
      </c>
      <c r="E540" s="61">
        <v>16.3</v>
      </c>
      <c r="F540" s="61">
        <v>47.1</v>
      </c>
      <c r="G540" s="61">
        <v>27.8</v>
      </c>
      <c r="H540" s="61">
        <v>38.9</v>
      </c>
      <c r="I540" s="61">
        <v>12.3</v>
      </c>
      <c r="J540" s="61">
        <v>52.4</v>
      </c>
      <c r="K540" s="61">
        <v>32.200000000000003</v>
      </c>
      <c r="L540" s="61">
        <v>36</v>
      </c>
      <c r="M540" s="61">
        <v>45.3</v>
      </c>
      <c r="N540" s="61">
        <v>48.4</v>
      </c>
      <c r="O540" s="85">
        <v>20.9</v>
      </c>
      <c r="P540" s="105"/>
      <c r="Q540" s="87">
        <f t="shared" si="54"/>
        <v>2.2163847152531302E-3</v>
      </c>
      <c r="R540" s="87">
        <f t="shared" si="56"/>
        <v>7.764504504755675E-3</v>
      </c>
      <c r="S540" s="87">
        <f t="shared" si="56"/>
        <v>-3.3294490069499846E-4</v>
      </c>
      <c r="T540" s="87">
        <f t="shared" si="56"/>
        <v>-1.8237587549780901E-2</v>
      </c>
      <c r="U540" s="87">
        <f t="shared" si="56"/>
        <v>4.255325570138491E-3</v>
      </c>
      <c r="V540" s="87">
        <f t="shared" si="56"/>
        <v>-3.5906681307284844E-3</v>
      </c>
      <c r="W540" s="87">
        <f t="shared" si="52"/>
        <v>7.7419741536154593E-3</v>
      </c>
      <c r="X540" s="87">
        <f t="shared" si="52"/>
        <v>8.1633106391610557E-3</v>
      </c>
      <c r="Y540" s="87">
        <f t="shared" si="52"/>
        <v>2.5122094117337672E-2</v>
      </c>
      <c r="Z540" s="87">
        <f t="shared" si="52"/>
        <v>6.2305497506361628E-3</v>
      </c>
      <c r="AA540" s="87">
        <f t="shared" si="52"/>
        <v>2.7816429618767705E-3</v>
      </c>
      <c r="AB540" s="87">
        <f t="shared" si="53"/>
        <v>-2.2050725583139812E-3</v>
      </c>
      <c r="AC540" s="87">
        <f t="shared" si="53"/>
        <v>8.2988028146950641E-3</v>
      </c>
      <c r="AD540" s="87">
        <f t="shared" si="53"/>
        <v>0</v>
      </c>
      <c r="AE540" s="90">
        <f t="shared" si="55"/>
        <v>3.4466874163994357E-3</v>
      </c>
      <c r="AF540" s="89"/>
    </row>
    <row r="541" spans="1:32" ht="15.5" x14ac:dyDescent="0.35">
      <c r="A541" s="82">
        <v>40549</v>
      </c>
      <c r="B541" s="83">
        <v>8000.9</v>
      </c>
      <c r="C541" s="84">
        <v>2709.9</v>
      </c>
      <c r="D541" s="61">
        <v>305.3</v>
      </c>
      <c r="E541" s="61">
        <v>16.8</v>
      </c>
      <c r="F541" s="61">
        <v>47.6</v>
      </c>
      <c r="G541" s="61">
        <v>27.9</v>
      </c>
      <c r="H541" s="61">
        <v>39.4</v>
      </c>
      <c r="I541" s="61">
        <v>12.2</v>
      </c>
      <c r="J541" s="61">
        <v>54.3</v>
      </c>
      <c r="K541" s="61">
        <v>31.4</v>
      </c>
      <c r="L541" s="61">
        <v>36.6</v>
      </c>
      <c r="M541" s="61">
        <v>46.2</v>
      </c>
      <c r="N541" s="61">
        <v>47.8</v>
      </c>
      <c r="O541" s="85">
        <v>20.9</v>
      </c>
      <c r="P541" s="105"/>
      <c r="Q541" s="87">
        <f t="shared" si="54"/>
        <v>-4.8750478386895817E-3</v>
      </c>
      <c r="R541" s="87">
        <f t="shared" si="56"/>
        <v>2.8454777980488326E-3</v>
      </c>
      <c r="S541" s="87">
        <f t="shared" si="56"/>
        <v>1.651292475154767E-2</v>
      </c>
      <c r="T541" s="87">
        <f t="shared" si="56"/>
        <v>3.0213778596496633E-2</v>
      </c>
      <c r="U541" s="87">
        <f t="shared" si="56"/>
        <v>1.0559760215002253E-2</v>
      </c>
      <c r="V541" s="87">
        <f t="shared" si="56"/>
        <v>3.59066813072854E-3</v>
      </c>
      <c r="W541" s="87">
        <f t="shared" si="52"/>
        <v>1.2771565679487539E-2</v>
      </c>
      <c r="X541" s="87">
        <f t="shared" si="52"/>
        <v>-8.1633106391610939E-3</v>
      </c>
      <c r="Y541" s="87">
        <f t="shared" si="52"/>
        <v>3.5617635612893148E-2</v>
      </c>
      <c r="Z541" s="87">
        <f t="shared" si="52"/>
        <v>-2.5158559636155101E-2</v>
      </c>
      <c r="AA541" s="87">
        <f t="shared" si="52"/>
        <v>1.6529301951210506E-2</v>
      </c>
      <c r="AB541" s="87">
        <f t="shared" si="53"/>
        <v>1.9672765598704928E-2</v>
      </c>
      <c r="AC541" s="87">
        <f t="shared" si="53"/>
        <v>-1.2474174225175801E-2</v>
      </c>
      <c r="AD541" s="87">
        <f t="shared" si="53"/>
        <v>0</v>
      </c>
      <c r="AE541" s="90">
        <f t="shared" si="55"/>
        <v>8.7067694736205521E-3</v>
      </c>
      <c r="AF541" s="89"/>
    </row>
    <row r="542" spans="1:32" ht="15.5" x14ac:dyDescent="0.35">
      <c r="A542" s="82">
        <v>40550</v>
      </c>
      <c r="B542" s="83">
        <v>7980.3</v>
      </c>
      <c r="C542" s="84">
        <v>2703.2</v>
      </c>
      <c r="D542" s="61">
        <v>305.39999999999998</v>
      </c>
      <c r="E542" s="61">
        <v>16.7</v>
      </c>
      <c r="F542" s="61">
        <v>47.4</v>
      </c>
      <c r="G542" s="61">
        <v>28.3</v>
      </c>
      <c r="H542" s="61">
        <v>37.9</v>
      </c>
      <c r="I542" s="61">
        <v>12.6</v>
      </c>
      <c r="J542" s="61">
        <v>55</v>
      </c>
      <c r="K542" s="61">
        <v>30.4</v>
      </c>
      <c r="L542" s="61">
        <v>36.9</v>
      </c>
      <c r="M542" s="61">
        <v>45.7</v>
      </c>
      <c r="N542" s="61">
        <v>46.9</v>
      </c>
      <c r="O542" s="85">
        <v>20.8</v>
      </c>
      <c r="P542" s="105"/>
      <c r="Q542" s="87">
        <f t="shared" si="54"/>
        <v>-2.5780306121418201E-3</v>
      </c>
      <c r="R542" s="87">
        <f t="shared" si="56"/>
        <v>-2.4754774238274148E-3</v>
      </c>
      <c r="S542" s="87">
        <f t="shared" si="56"/>
        <v>3.2749304369978998E-4</v>
      </c>
      <c r="T542" s="87">
        <f t="shared" si="56"/>
        <v>-5.9701669865039079E-3</v>
      </c>
      <c r="U542" s="87">
        <f t="shared" si="56"/>
        <v>-4.2105325363436053E-3</v>
      </c>
      <c r="V542" s="87">
        <f t="shared" si="56"/>
        <v>1.4235115821872129E-2</v>
      </c>
      <c r="W542" s="87">
        <f t="shared" si="52"/>
        <v>-3.8814704215507416E-2</v>
      </c>
      <c r="X542" s="87">
        <f t="shared" si="52"/>
        <v>3.2260862218221477E-2</v>
      </c>
      <c r="Y542" s="87">
        <f t="shared" si="52"/>
        <v>1.2808958292581241E-2</v>
      </c>
      <c r="Z542" s="87">
        <f t="shared" si="52"/>
        <v>-3.236528450203166E-2</v>
      </c>
      <c r="AA542" s="87">
        <f t="shared" si="52"/>
        <v>8.1633106391608354E-3</v>
      </c>
      <c r="AB542" s="87">
        <f t="shared" si="53"/>
        <v>-1.0881500187534173E-2</v>
      </c>
      <c r="AC542" s="87">
        <f t="shared" si="53"/>
        <v>-1.9007964045176632E-2</v>
      </c>
      <c r="AD542" s="87">
        <f t="shared" si="53"/>
        <v>-4.7961722634929441E-3</v>
      </c>
      <c r="AE542" s="90">
        <f t="shared" si="55"/>
        <v>-2.4330638448372311E-3</v>
      </c>
      <c r="AF542" s="89"/>
    </row>
    <row r="543" spans="1:32" ht="15.5" x14ac:dyDescent="0.35">
      <c r="A543" s="82">
        <v>40553</v>
      </c>
      <c r="B543" s="83">
        <v>7966.1</v>
      </c>
      <c r="C543" s="84">
        <v>2707.8</v>
      </c>
      <c r="D543" s="61">
        <v>304.60000000000002</v>
      </c>
      <c r="E543" s="61">
        <v>16.5</v>
      </c>
      <c r="F543" s="61">
        <v>48.2</v>
      </c>
      <c r="G543" s="61">
        <v>28</v>
      </c>
      <c r="H543" s="61">
        <v>34.4</v>
      </c>
      <c r="I543" s="61">
        <v>12.6</v>
      </c>
      <c r="J543" s="61">
        <v>54.6</v>
      </c>
      <c r="K543" s="61">
        <v>30.3</v>
      </c>
      <c r="L543" s="61">
        <v>37.200000000000003</v>
      </c>
      <c r="M543" s="61">
        <v>45.1</v>
      </c>
      <c r="N543" s="61">
        <v>46.7</v>
      </c>
      <c r="O543" s="85">
        <v>20.8</v>
      </c>
      <c r="P543" s="105"/>
      <c r="Q543" s="87">
        <f t="shared" si="54"/>
        <v>-1.7809667076388587E-3</v>
      </c>
      <c r="R543" s="87">
        <f t="shared" si="56"/>
        <v>1.7002406609304768E-3</v>
      </c>
      <c r="S543" s="87">
        <f t="shared" si="56"/>
        <v>-2.62295232347048E-3</v>
      </c>
      <c r="T543" s="87">
        <f t="shared" si="56"/>
        <v>-1.204833851617448E-2</v>
      </c>
      <c r="U543" s="87">
        <f t="shared" si="56"/>
        <v>1.6736792355523826E-2</v>
      </c>
      <c r="V543" s="87">
        <f t="shared" si="56"/>
        <v>-1.0657294473988093E-2</v>
      </c>
      <c r="W543" s="87">
        <f t="shared" si="52"/>
        <v>-9.6894547709027959E-2</v>
      </c>
      <c r="X543" s="87">
        <f t="shared" si="52"/>
        <v>0</v>
      </c>
      <c r="Y543" s="87">
        <f t="shared" si="52"/>
        <v>-7.299302481611496E-3</v>
      </c>
      <c r="Z543" s="87">
        <f t="shared" si="52"/>
        <v>-3.2948958968525379E-3</v>
      </c>
      <c r="AA543" s="87">
        <f t="shared" si="52"/>
        <v>8.0972102326195231E-3</v>
      </c>
      <c r="AB543" s="87">
        <f t="shared" si="53"/>
        <v>-1.3216051391526375E-2</v>
      </c>
      <c r="AC543" s="87">
        <f t="shared" si="53"/>
        <v>-4.2735107773819378E-3</v>
      </c>
      <c r="AD543" s="87">
        <f t="shared" si="53"/>
        <v>0</v>
      </c>
      <c r="AE543" s="90">
        <f t="shared" si="55"/>
        <v>4.5274381108327249E-3</v>
      </c>
      <c r="AF543" s="89"/>
    </row>
    <row r="544" spans="1:32" ht="15.5" x14ac:dyDescent="0.35">
      <c r="A544" s="82">
        <v>40554</v>
      </c>
      <c r="B544" s="83">
        <v>8018.7</v>
      </c>
      <c r="C544" s="84">
        <v>2716.8</v>
      </c>
      <c r="D544" s="61">
        <v>307.60000000000002</v>
      </c>
      <c r="E544" s="61">
        <v>16.5</v>
      </c>
      <c r="F544" s="61">
        <v>48.5</v>
      </c>
      <c r="G544" s="61">
        <v>28.1</v>
      </c>
      <c r="H544" s="61">
        <v>38.1</v>
      </c>
      <c r="I544" s="61">
        <v>12.9</v>
      </c>
      <c r="J544" s="61">
        <v>54.4</v>
      </c>
      <c r="K544" s="61">
        <v>30.4</v>
      </c>
      <c r="L544" s="61">
        <v>36.700000000000003</v>
      </c>
      <c r="M544" s="61">
        <v>45.6</v>
      </c>
      <c r="N544" s="61">
        <v>47</v>
      </c>
      <c r="O544" s="85">
        <v>20.9</v>
      </c>
      <c r="P544" s="105"/>
      <c r="Q544" s="87">
        <f t="shared" si="54"/>
        <v>6.581275944150161E-3</v>
      </c>
      <c r="R544" s="87">
        <f t="shared" si="56"/>
        <v>3.3182200560176512E-3</v>
      </c>
      <c r="S544" s="87">
        <f t="shared" si="56"/>
        <v>9.8007971704275141E-3</v>
      </c>
      <c r="T544" s="87">
        <f t="shared" si="56"/>
        <v>0</v>
      </c>
      <c r="U544" s="87">
        <f t="shared" si="56"/>
        <v>6.2047768868828696E-3</v>
      </c>
      <c r="V544" s="87">
        <f t="shared" si="56"/>
        <v>3.5650661644961446E-3</v>
      </c>
      <c r="W544" s="87">
        <f t="shared" si="52"/>
        <v>0.10215771775330279</v>
      </c>
      <c r="X544" s="87">
        <f t="shared" si="52"/>
        <v>2.3530497410194251E-2</v>
      </c>
      <c r="Y544" s="87">
        <f t="shared" si="52"/>
        <v>-3.6697288889625131E-3</v>
      </c>
      <c r="Z544" s="87">
        <f t="shared" si="52"/>
        <v>3.2948958968524846E-3</v>
      </c>
      <c r="AA544" s="87">
        <f t="shared" si="52"/>
        <v>-1.3532006218576273E-2</v>
      </c>
      <c r="AB544" s="87">
        <f t="shared" si="53"/>
        <v>1.1025470011707641E-2</v>
      </c>
      <c r="AC544" s="87">
        <f t="shared" si="53"/>
        <v>6.4034370352070071E-3</v>
      </c>
      <c r="AD544" s="87">
        <f t="shared" si="53"/>
        <v>4.7961722634930135E-3</v>
      </c>
      <c r="AE544" s="90">
        <f t="shared" si="55"/>
        <v>6.2211088346750534E-3</v>
      </c>
      <c r="AF544" s="89"/>
    </row>
    <row r="545" spans="1:32" ht="15.5" x14ac:dyDescent="0.35">
      <c r="A545" s="82">
        <v>40555</v>
      </c>
      <c r="B545" s="83">
        <v>8123</v>
      </c>
      <c r="C545" s="84">
        <v>2737.3</v>
      </c>
      <c r="D545" s="61">
        <v>307.7</v>
      </c>
      <c r="E545" s="61">
        <v>16.600000000000001</v>
      </c>
      <c r="F545" s="61">
        <v>48.9</v>
      </c>
      <c r="G545" s="61">
        <v>28.1</v>
      </c>
      <c r="H545" s="61">
        <v>39.5</v>
      </c>
      <c r="I545" s="61">
        <v>12.9</v>
      </c>
      <c r="J545" s="61">
        <v>55.2</v>
      </c>
      <c r="K545" s="61">
        <v>30.5</v>
      </c>
      <c r="L545" s="61">
        <v>36.9</v>
      </c>
      <c r="M545" s="61">
        <v>46.2</v>
      </c>
      <c r="N545" s="61">
        <v>46.2</v>
      </c>
      <c r="O545" s="85">
        <v>20.9</v>
      </c>
      <c r="P545" s="105"/>
      <c r="Q545" s="87">
        <f t="shared" si="54"/>
        <v>1.2923230092261862E-2</v>
      </c>
      <c r="R545" s="87">
        <f t="shared" si="56"/>
        <v>7.5173159780324494E-3</v>
      </c>
      <c r="S545" s="87">
        <f t="shared" si="56"/>
        <v>3.2504469650703399E-4</v>
      </c>
      <c r="T545" s="87">
        <f t="shared" si="56"/>
        <v>6.0423144559626617E-3</v>
      </c>
      <c r="U545" s="87">
        <f t="shared" si="56"/>
        <v>8.2135985373887992E-3</v>
      </c>
      <c r="V545" s="87">
        <f t="shared" si="56"/>
        <v>0</v>
      </c>
      <c r="W545" s="87">
        <f t="shared" si="52"/>
        <v>3.6086389774420767E-2</v>
      </c>
      <c r="X545" s="87">
        <f t="shared" si="52"/>
        <v>0</v>
      </c>
      <c r="Y545" s="87">
        <f t="shared" si="52"/>
        <v>1.4598799421152851E-2</v>
      </c>
      <c r="Z545" s="87">
        <f t="shared" si="52"/>
        <v>3.2840752011900187E-3</v>
      </c>
      <c r="AA545" s="87">
        <f t="shared" si="52"/>
        <v>5.4347959859567746E-3</v>
      </c>
      <c r="AB545" s="87">
        <f t="shared" si="53"/>
        <v>1.3072081567352701E-2</v>
      </c>
      <c r="AC545" s="87">
        <f t="shared" si="53"/>
        <v>-1.7167803622365332E-2</v>
      </c>
      <c r="AD545" s="87">
        <f t="shared" si="53"/>
        <v>0</v>
      </c>
      <c r="AE545" s="90">
        <f t="shared" si="55"/>
        <v>4.6970532188892848E-3</v>
      </c>
      <c r="AF545" s="89"/>
    </row>
    <row r="546" spans="1:32" ht="15.5" x14ac:dyDescent="0.35">
      <c r="A546" s="82">
        <v>40556</v>
      </c>
      <c r="B546" s="83">
        <v>8119.4</v>
      </c>
      <c r="C546" s="84">
        <v>2735.3</v>
      </c>
      <c r="D546" s="61">
        <v>307.39999999999998</v>
      </c>
      <c r="E546" s="61">
        <v>16.600000000000001</v>
      </c>
      <c r="F546" s="61">
        <v>49.1</v>
      </c>
      <c r="G546" s="61">
        <v>28</v>
      </c>
      <c r="H546" s="61">
        <v>41.6</v>
      </c>
      <c r="I546" s="61">
        <v>12.4</v>
      </c>
      <c r="J546" s="61">
        <v>56.1</v>
      </c>
      <c r="K546" s="61">
        <v>30.4</v>
      </c>
      <c r="L546" s="61">
        <v>34.5</v>
      </c>
      <c r="M546" s="61">
        <v>45.5</v>
      </c>
      <c r="N546" s="61">
        <v>46.1</v>
      </c>
      <c r="O546" s="85">
        <v>20.6</v>
      </c>
      <c r="P546" s="105"/>
      <c r="Q546" s="87">
        <f t="shared" si="54"/>
        <v>-4.4328425096669546E-4</v>
      </c>
      <c r="R546" s="87">
        <f t="shared" si="56"/>
        <v>-7.3091404050699006E-4</v>
      </c>
      <c r="S546" s="87">
        <f t="shared" si="56"/>
        <v>-9.7545122350073887E-4</v>
      </c>
      <c r="T546" s="87">
        <f t="shared" si="56"/>
        <v>0</v>
      </c>
      <c r="U546" s="87">
        <f t="shared" si="56"/>
        <v>4.0816383196486776E-3</v>
      </c>
      <c r="V546" s="87">
        <f t="shared" si="56"/>
        <v>-3.5650661644962569E-3</v>
      </c>
      <c r="W546" s="87">
        <f t="shared" si="52"/>
        <v>5.1799495360141473E-2</v>
      </c>
      <c r="X546" s="87">
        <f t="shared" si="52"/>
        <v>-3.9530838756635205E-2</v>
      </c>
      <c r="Y546" s="87">
        <f t="shared" si="52"/>
        <v>1.6172859245600968E-2</v>
      </c>
      <c r="Z546" s="87">
        <f t="shared" si="52"/>
        <v>-3.2840752011899961E-3</v>
      </c>
      <c r="AA546" s="87">
        <f t="shared" si="52"/>
        <v>-6.7252227009167331E-2</v>
      </c>
      <c r="AB546" s="87">
        <f t="shared" si="53"/>
        <v>-1.5267472130788533E-2</v>
      </c>
      <c r="AC546" s="87">
        <f t="shared" si="53"/>
        <v>-2.166848085090314E-3</v>
      </c>
      <c r="AD546" s="87">
        <f t="shared" si="53"/>
        <v>-1.4458083175229775E-2</v>
      </c>
      <c r="AE546" s="90">
        <f t="shared" si="55"/>
        <v>-1.0949231182618498E-3</v>
      </c>
      <c r="AF546" s="89"/>
    </row>
    <row r="547" spans="1:32" ht="15.5" x14ac:dyDescent="0.35">
      <c r="A547" s="82">
        <v>40557</v>
      </c>
      <c r="B547" s="83">
        <v>8174.1</v>
      </c>
      <c r="C547" s="84">
        <v>2755.3</v>
      </c>
      <c r="D547" s="61">
        <v>308.89999999999998</v>
      </c>
      <c r="E547" s="61">
        <v>16.600000000000001</v>
      </c>
      <c r="F547" s="61">
        <v>49.2</v>
      </c>
      <c r="G547" s="61">
        <v>27.9</v>
      </c>
      <c r="H547" s="61">
        <v>42.2</v>
      </c>
      <c r="I547" s="61">
        <v>12.4</v>
      </c>
      <c r="J547" s="61">
        <v>56.5</v>
      </c>
      <c r="K547" s="61">
        <v>30.2</v>
      </c>
      <c r="L547" s="61">
        <v>34.1</v>
      </c>
      <c r="M547" s="61">
        <v>45.5</v>
      </c>
      <c r="N547" s="61">
        <v>46.2</v>
      </c>
      <c r="O547" s="85">
        <v>20.6</v>
      </c>
      <c r="P547" s="105"/>
      <c r="Q547" s="87">
        <f t="shared" si="54"/>
        <v>6.7143591618069685E-3</v>
      </c>
      <c r="R547" s="87">
        <f t="shared" si="56"/>
        <v>7.2852105260174703E-3</v>
      </c>
      <c r="S547" s="87">
        <f t="shared" si="56"/>
        <v>4.86776882004053E-3</v>
      </c>
      <c r="T547" s="87">
        <f t="shared" si="56"/>
        <v>0</v>
      </c>
      <c r="U547" s="87">
        <f t="shared" si="56"/>
        <v>2.0345886977874567E-3</v>
      </c>
      <c r="V547" s="87">
        <f t="shared" si="56"/>
        <v>-3.577821347884078E-3</v>
      </c>
      <c r="W547" s="87">
        <f t="shared" si="52"/>
        <v>1.4320053774748471E-2</v>
      </c>
      <c r="X547" s="87">
        <f t="shared" si="52"/>
        <v>0</v>
      </c>
      <c r="Y547" s="87">
        <f t="shared" si="52"/>
        <v>7.1048256237445824E-3</v>
      </c>
      <c r="Z547" s="87">
        <f t="shared" si="52"/>
        <v>-6.6006840313520242E-3</v>
      </c>
      <c r="AA547" s="87">
        <f t="shared" si="52"/>
        <v>-1.1661939747842975E-2</v>
      </c>
      <c r="AB547" s="87">
        <f t="shared" si="53"/>
        <v>0</v>
      </c>
      <c r="AC547" s="87">
        <f t="shared" si="53"/>
        <v>2.1668480850902932E-3</v>
      </c>
      <c r="AD547" s="87">
        <f t="shared" si="53"/>
        <v>0</v>
      </c>
      <c r="AE547" s="90">
        <f t="shared" si="55"/>
        <v>4.1906081043283951E-3</v>
      </c>
      <c r="AF547" s="89"/>
    </row>
    <row r="548" spans="1:32" ht="15.5" x14ac:dyDescent="0.35">
      <c r="A548" s="82">
        <v>40561</v>
      </c>
      <c r="B548" s="83">
        <v>8190.9</v>
      </c>
      <c r="C548" s="84">
        <v>2765.9</v>
      </c>
      <c r="D548" s="61">
        <v>313</v>
      </c>
      <c r="E548" s="61">
        <v>16.399999999999999</v>
      </c>
      <c r="F548" s="61">
        <v>46.6</v>
      </c>
      <c r="G548" s="61">
        <v>28.1</v>
      </c>
      <c r="H548" s="61">
        <v>42.2</v>
      </c>
      <c r="I548" s="61">
        <v>11.8</v>
      </c>
      <c r="J548" s="61">
        <v>57.3</v>
      </c>
      <c r="K548" s="61">
        <v>29.6</v>
      </c>
      <c r="L548" s="61">
        <v>33.5</v>
      </c>
      <c r="M548" s="61">
        <v>46</v>
      </c>
      <c r="N548" s="61">
        <v>47.1</v>
      </c>
      <c r="O548" s="85">
        <v>21</v>
      </c>
      <c r="P548" s="105"/>
      <c r="Q548" s="87">
        <f t="shared" si="54"/>
        <v>2.0531629577351363E-3</v>
      </c>
      <c r="R548" s="87">
        <f t="shared" si="56"/>
        <v>3.8397497006370856E-3</v>
      </c>
      <c r="S548" s="87">
        <f t="shared" si="56"/>
        <v>1.3185590615617341E-2</v>
      </c>
      <c r="T548" s="87">
        <f t="shared" si="56"/>
        <v>-1.2121360532344963E-2</v>
      </c>
      <c r="U548" s="87">
        <f t="shared" si="56"/>
        <v>-5.4293082366662249E-2</v>
      </c>
      <c r="V548" s="87">
        <f t="shared" si="56"/>
        <v>7.1428875123802039E-3</v>
      </c>
      <c r="W548" s="87">
        <f t="shared" si="52"/>
        <v>0</v>
      </c>
      <c r="X548" s="87">
        <f t="shared" si="52"/>
        <v>-4.9596941139372061E-2</v>
      </c>
      <c r="Y548" s="87">
        <f t="shared" si="52"/>
        <v>1.4059985568298511E-2</v>
      </c>
      <c r="Z548" s="87">
        <f t="shared" si="52"/>
        <v>-2.0067563050809142E-2</v>
      </c>
      <c r="AA548" s="87">
        <f t="shared" si="52"/>
        <v>-1.7751945458450453E-2</v>
      </c>
      <c r="AB548" s="87">
        <f t="shared" si="53"/>
        <v>1.092907053219023E-2</v>
      </c>
      <c r="AC548" s="87">
        <f t="shared" si="53"/>
        <v>1.9293202934678851E-2</v>
      </c>
      <c r="AD548" s="87">
        <f t="shared" si="53"/>
        <v>1.9231361927887592E-2</v>
      </c>
      <c r="AE548" s="90">
        <f t="shared" si="55"/>
        <v>-8.1757374071495924E-3</v>
      </c>
      <c r="AF548" s="89"/>
    </row>
    <row r="549" spans="1:32" ht="15.5" x14ac:dyDescent="0.35">
      <c r="A549" s="82">
        <v>40562</v>
      </c>
      <c r="B549" s="83">
        <v>8104.9</v>
      </c>
      <c r="C549" s="84">
        <v>2725.4</v>
      </c>
      <c r="D549" s="61">
        <v>315.10000000000002</v>
      </c>
      <c r="E549" s="61">
        <v>16.2</v>
      </c>
      <c r="F549" s="61">
        <v>48.1</v>
      </c>
      <c r="G549" s="61">
        <v>28.3</v>
      </c>
      <c r="H549" s="61">
        <v>42.1</v>
      </c>
      <c r="I549" s="61">
        <v>11.6</v>
      </c>
      <c r="J549" s="61">
        <v>55.1</v>
      </c>
      <c r="K549" s="61">
        <v>28.7</v>
      </c>
      <c r="L549" s="61">
        <v>33.700000000000003</v>
      </c>
      <c r="M549" s="61">
        <v>45.4</v>
      </c>
      <c r="N549" s="61">
        <v>46.3</v>
      </c>
      <c r="O549" s="85">
        <v>20.7</v>
      </c>
      <c r="P549" s="105"/>
      <c r="Q549" s="87">
        <f t="shared" si="54"/>
        <v>-1.0554964888791584E-2</v>
      </c>
      <c r="R549" s="87">
        <f t="shared" si="56"/>
        <v>-1.4750872965487744E-2</v>
      </c>
      <c r="S549" s="87">
        <f t="shared" si="56"/>
        <v>6.6868582230758689E-3</v>
      </c>
      <c r="T549" s="87">
        <f t="shared" si="56"/>
        <v>-1.2270092591814359E-2</v>
      </c>
      <c r="U549" s="87">
        <f t="shared" si="56"/>
        <v>3.1681635980115398E-2</v>
      </c>
      <c r="V549" s="87">
        <f t="shared" si="56"/>
        <v>7.0922283094918366E-3</v>
      </c>
      <c r="W549" s="87">
        <f t="shared" si="52"/>
        <v>-2.372480353630468E-3</v>
      </c>
      <c r="X549" s="87">
        <f t="shared" si="52"/>
        <v>-1.7094433359300183E-2</v>
      </c>
      <c r="Y549" s="87">
        <f t="shared" si="52"/>
        <v>-3.9150907561825044E-2</v>
      </c>
      <c r="Z549" s="87">
        <f t="shared" si="52"/>
        <v>-3.0877238564439344E-2</v>
      </c>
      <c r="AA549" s="87">
        <f t="shared" si="52"/>
        <v>5.9523985272953517E-3</v>
      </c>
      <c r="AB549" s="87">
        <f t="shared" si="53"/>
        <v>-1.3129291441792736E-2</v>
      </c>
      <c r="AC549" s="87">
        <f t="shared" si="53"/>
        <v>-1.7131039930183785E-2</v>
      </c>
      <c r="AD549" s="87">
        <f t="shared" si="53"/>
        <v>-1.4388737452099669E-2</v>
      </c>
      <c r="AE549" s="90">
        <f t="shared" si="55"/>
        <v>4.8462085381949438E-3</v>
      </c>
      <c r="AF549" s="89"/>
    </row>
    <row r="550" spans="1:32" ht="15.5" x14ac:dyDescent="0.35">
      <c r="A550" s="82">
        <v>40563</v>
      </c>
      <c r="B550" s="83">
        <v>8076.7</v>
      </c>
      <c r="C550" s="84">
        <v>2704.3</v>
      </c>
      <c r="D550" s="61">
        <v>312</v>
      </c>
      <c r="E550" s="61">
        <v>16.100000000000001</v>
      </c>
      <c r="F550" s="61">
        <v>47.2</v>
      </c>
      <c r="G550" s="61">
        <v>28.1</v>
      </c>
      <c r="H550" s="61">
        <v>42.2</v>
      </c>
      <c r="I550" s="61">
        <v>11.4</v>
      </c>
      <c r="J550" s="61">
        <v>52.4</v>
      </c>
      <c r="K550" s="61">
        <v>29.7</v>
      </c>
      <c r="L550" s="61">
        <v>33.700000000000003</v>
      </c>
      <c r="M550" s="61">
        <v>44.8</v>
      </c>
      <c r="N550" s="61">
        <v>46</v>
      </c>
      <c r="O550" s="85">
        <v>20.6</v>
      </c>
      <c r="P550" s="105"/>
      <c r="Q550" s="87">
        <f t="shared" si="54"/>
        <v>-3.4854437816460738E-3</v>
      </c>
      <c r="R550" s="87">
        <f t="shared" si="56"/>
        <v>-7.7721075614385488E-3</v>
      </c>
      <c r="S550" s="87">
        <f t="shared" si="56"/>
        <v>-9.8868609537465842E-3</v>
      </c>
      <c r="T550" s="87">
        <f t="shared" si="56"/>
        <v>-6.1919702479209951E-3</v>
      </c>
      <c r="U550" s="87">
        <f t="shared" si="56"/>
        <v>-1.8888284520205745E-2</v>
      </c>
      <c r="V550" s="87">
        <f t="shared" si="56"/>
        <v>-7.0922283094917984E-3</v>
      </c>
      <c r="W550" s="87">
        <f t="shared" si="52"/>
        <v>2.3724803536303955E-3</v>
      </c>
      <c r="X550" s="87">
        <f t="shared" si="52"/>
        <v>-1.7391742711869107E-2</v>
      </c>
      <c r="Y550" s="87">
        <f t="shared" si="52"/>
        <v>-5.0243124831872363E-2</v>
      </c>
      <c r="Z550" s="87">
        <f t="shared" si="52"/>
        <v>3.4249923043078445E-2</v>
      </c>
      <c r="AA550" s="87">
        <f t="shared" si="52"/>
        <v>0</v>
      </c>
      <c r="AB550" s="87">
        <f t="shared" si="53"/>
        <v>-1.3303965626362815E-2</v>
      </c>
      <c r="AC550" s="87">
        <f t="shared" si="53"/>
        <v>-6.5005646030933161E-3</v>
      </c>
      <c r="AD550" s="87">
        <f t="shared" si="53"/>
        <v>-4.8426244757879032E-3</v>
      </c>
      <c r="AE550" s="90">
        <f t="shared" si="55"/>
        <v>-1.121370605278655E-2</v>
      </c>
      <c r="AF550" s="89"/>
    </row>
    <row r="551" spans="1:32" ht="15.5" x14ac:dyDescent="0.35">
      <c r="A551" s="82">
        <v>40564</v>
      </c>
      <c r="B551" s="83">
        <v>8105.8</v>
      </c>
      <c r="C551" s="84">
        <v>2689.5</v>
      </c>
      <c r="D551" s="61">
        <v>306</v>
      </c>
      <c r="E551" s="61">
        <v>15.9</v>
      </c>
      <c r="F551" s="61">
        <v>46.7</v>
      </c>
      <c r="G551" s="61">
        <v>28</v>
      </c>
      <c r="H551" s="61">
        <v>42.1</v>
      </c>
      <c r="I551" s="61">
        <v>11.6</v>
      </c>
      <c r="J551" s="61">
        <v>53.8</v>
      </c>
      <c r="K551" s="61">
        <v>29.8</v>
      </c>
      <c r="L551" s="61">
        <v>33.9</v>
      </c>
      <c r="M551" s="61">
        <v>45.6</v>
      </c>
      <c r="N551" s="61">
        <v>46.1</v>
      </c>
      <c r="O551" s="85">
        <v>20.6</v>
      </c>
      <c r="P551" s="105"/>
      <c r="Q551" s="87">
        <f t="shared" si="54"/>
        <v>3.596481553108865E-3</v>
      </c>
      <c r="R551" s="87">
        <f t="shared" si="56"/>
        <v>-5.4877960409846615E-3</v>
      </c>
      <c r="S551" s="87">
        <f t="shared" si="56"/>
        <v>-1.9418085857101627E-2</v>
      </c>
      <c r="T551" s="87">
        <f t="shared" si="56"/>
        <v>-1.2500162764231494E-2</v>
      </c>
      <c r="U551" s="87">
        <f t="shared" si="56"/>
        <v>-1.0649727916658039E-2</v>
      </c>
      <c r="V551" s="87">
        <f t="shared" si="56"/>
        <v>-3.5650661644962569E-3</v>
      </c>
      <c r="W551" s="87">
        <f t="shared" si="52"/>
        <v>-2.372480353630468E-3</v>
      </c>
      <c r="X551" s="87">
        <f t="shared" si="52"/>
        <v>1.739174271186902E-2</v>
      </c>
      <c r="Y551" s="87">
        <f t="shared" si="52"/>
        <v>2.6366875840742134E-2</v>
      </c>
      <c r="Z551" s="87">
        <f t="shared" si="52"/>
        <v>3.3613477027049274E-3</v>
      </c>
      <c r="AA551" s="87">
        <f t="shared" si="52"/>
        <v>5.9171770280885185E-3</v>
      </c>
      <c r="AB551" s="87">
        <f t="shared" si="53"/>
        <v>1.7699577099401075E-2</v>
      </c>
      <c r="AC551" s="87">
        <f t="shared" si="53"/>
        <v>2.1715535135079325E-3</v>
      </c>
      <c r="AD551" s="87">
        <f t="shared" si="53"/>
        <v>0</v>
      </c>
      <c r="AE551" s="90">
        <f t="shared" si="55"/>
        <v>-1.0375053211210856E-2</v>
      </c>
      <c r="AF551" s="89"/>
    </row>
    <row r="552" spans="1:32" ht="15.5" x14ac:dyDescent="0.35">
      <c r="A552" s="82">
        <v>40567</v>
      </c>
      <c r="B552" s="83">
        <v>8157.4</v>
      </c>
      <c r="C552" s="84">
        <v>2717.6</v>
      </c>
      <c r="D552" s="61">
        <v>300.89999999999998</v>
      </c>
      <c r="E552" s="61">
        <v>15.8</v>
      </c>
      <c r="F552" s="61">
        <v>46.7</v>
      </c>
      <c r="G552" s="61">
        <v>28</v>
      </c>
      <c r="H552" s="61">
        <v>41.6</v>
      </c>
      <c r="I552" s="61">
        <v>11.5</v>
      </c>
      <c r="J552" s="61">
        <v>53.8</v>
      </c>
      <c r="K552" s="61">
        <v>31.4</v>
      </c>
      <c r="L552" s="61">
        <v>33.799999999999997</v>
      </c>
      <c r="M552" s="61">
        <v>45.8</v>
      </c>
      <c r="N552" s="61">
        <v>46.2</v>
      </c>
      <c r="O552" s="85">
        <v>20.399999999999999</v>
      </c>
      <c r="P552" s="105"/>
      <c r="Q552" s="87">
        <f t="shared" si="54"/>
        <v>6.3456359324602345E-3</v>
      </c>
      <c r="R552" s="87">
        <f t="shared" si="56"/>
        <v>1.0393835133076769E-2</v>
      </c>
      <c r="S552" s="87">
        <f t="shared" si="56"/>
        <v>-1.6807118316381289E-2</v>
      </c>
      <c r="T552" s="87">
        <f t="shared" si="56"/>
        <v>-6.309169193264721E-3</v>
      </c>
      <c r="U552" s="87">
        <f t="shared" si="56"/>
        <v>0</v>
      </c>
      <c r="V552" s="87">
        <f t="shared" si="56"/>
        <v>0</v>
      </c>
      <c r="W552" s="87">
        <f t="shared" si="52"/>
        <v>-1.1947573421118175E-2</v>
      </c>
      <c r="X552" s="87">
        <f t="shared" si="52"/>
        <v>-8.6580627431145415E-3</v>
      </c>
      <c r="Y552" s="87">
        <f t="shared" si="52"/>
        <v>0</v>
      </c>
      <c r="Z552" s="87">
        <f t="shared" si="52"/>
        <v>5.2299499402848844E-2</v>
      </c>
      <c r="AA552" s="87">
        <f t="shared" si="52"/>
        <v>-2.9542118974315201E-3</v>
      </c>
      <c r="AB552" s="87">
        <f t="shared" si="53"/>
        <v>4.3763745997987815E-3</v>
      </c>
      <c r="AC552" s="87">
        <f t="shared" si="53"/>
        <v>2.1668480850902932E-3</v>
      </c>
      <c r="AD552" s="87">
        <f t="shared" si="53"/>
        <v>-9.756174945364798E-3</v>
      </c>
      <c r="AE552" s="90">
        <f t="shared" si="55"/>
        <v>-2.9908341383193754E-3</v>
      </c>
      <c r="AF552" s="89"/>
    </row>
    <row r="553" spans="1:32" ht="15.5" x14ac:dyDescent="0.35">
      <c r="A553" s="82">
        <v>40568</v>
      </c>
      <c r="B553" s="83">
        <v>8141.1</v>
      </c>
      <c r="C553" s="84">
        <v>2719.3</v>
      </c>
      <c r="D553" s="61">
        <v>303.60000000000002</v>
      </c>
      <c r="E553" s="61">
        <v>15.9</v>
      </c>
      <c r="F553" s="61">
        <v>47.8</v>
      </c>
      <c r="G553" s="61">
        <v>28.1</v>
      </c>
      <c r="H553" s="61">
        <v>41.6</v>
      </c>
      <c r="I553" s="61">
        <v>11.9</v>
      </c>
      <c r="J553" s="61">
        <v>53.7</v>
      </c>
      <c r="K553" s="61">
        <v>31.9</v>
      </c>
      <c r="L553" s="61">
        <v>33.299999999999997</v>
      </c>
      <c r="M553" s="61">
        <v>45.7</v>
      </c>
      <c r="N553" s="61">
        <v>45.9</v>
      </c>
      <c r="O553" s="85">
        <v>20.5</v>
      </c>
      <c r="P553" s="105"/>
      <c r="Q553" s="87">
        <f t="shared" si="54"/>
        <v>-2.0001847328693532E-3</v>
      </c>
      <c r="R553" s="87">
        <f t="shared" si="56"/>
        <v>6.2535638154162553E-4</v>
      </c>
      <c r="S553" s="87">
        <f t="shared" si="56"/>
        <v>8.9330618854755704E-3</v>
      </c>
      <c r="T553" s="87">
        <f t="shared" si="56"/>
        <v>6.3091691932647556E-3</v>
      </c>
      <c r="U553" s="87">
        <f t="shared" si="56"/>
        <v>2.3281474822558622E-2</v>
      </c>
      <c r="V553" s="87">
        <f t="shared" si="56"/>
        <v>3.5650661644961446E-3</v>
      </c>
      <c r="W553" s="87">
        <f t="shared" si="52"/>
        <v>0</v>
      </c>
      <c r="X553" s="87">
        <f t="shared" si="52"/>
        <v>3.4191364748279343E-2</v>
      </c>
      <c r="Y553" s="87">
        <f t="shared" si="52"/>
        <v>-1.8604656529195673E-3</v>
      </c>
      <c r="Z553" s="87">
        <f t="shared" si="52"/>
        <v>1.5798116876591311E-2</v>
      </c>
      <c r="AA553" s="87">
        <f t="shared" si="52"/>
        <v>-1.4903405502574919E-2</v>
      </c>
      <c r="AB553" s="87">
        <f t="shared" si="53"/>
        <v>-2.1857932199800967E-3</v>
      </c>
      <c r="AC553" s="87">
        <f t="shared" si="53"/>
        <v>-6.5146810211937538E-3</v>
      </c>
      <c r="AD553" s="87">
        <f t="shared" si="53"/>
        <v>4.8899852941917702E-3</v>
      </c>
      <c r="AE553" s="90">
        <f t="shared" si="55"/>
        <v>1.0054180482244138E-2</v>
      </c>
      <c r="AF553" s="89"/>
    </row>
    <row r="554" spans="1:32" ht="15.5" x14ac:dyDescent="0.35">
      <c r="A554" s="82">
        <v>40569</v>
      </c>
      <c r="B554" s="83">
        <v>8193.6</v>
      </c>
      <c r="C554" s="84">
        <v>2739.5</v>
      </c>
      <c r="D554" s="61">
        <v>308</v>
      </c>
      <c r="E554" s="61">
        <v>15.4</v>
      </c>
      <c r="F554" s="61">
        <v>48.8</v>
      </c>
      <c r="G554" s="61">
        <v>28.5</v>
      </c>
      <c r="H554" s="61">
        <v>41.8</v>
      </c>
      <c r="I554" s="61">
        <v>12.3</v>
      </c>
      <c r="J554" s="61">
        <v>54.8</v>
      </c>
      <c r="K554" s="61">
        <v>31.8</v>
      </c>
      <c r="L554" s="61">
        <v>33.200000000000003</v>
      </c>
      <c r="M554" s="61">
        <v>46.4</v>
      </c>
      <c r="N554" s="61">
        <v>46.1</v>
      </c>
      <c r="O554" s="85">
        <v>20.7</v>
      </c>
      <c r="P554" s="105"/>
      <c r="Q554" s="87">
        <f t="shared" si="54"/>
        <v>6.4280557064946495E-3</v>
      </c>
      <c r="R554" s="87">
        <f t="shared" si="56"/>
        <v>7.4009277505545524E-3</v>
      </c>
      <c r="S554" s="87">
        <f t="shared" si="56"/>
        <v>1.4388737452099452E-2</v>
      </c>
      <c r="T554" s="87">
        <f t="shared" si="56"/>
        <v>-3.1951599806602358E-2</v>
      </c>
      <c r="U554" s="87">
        <f t="shared" si="56"/>
        <v>2.0704673361691201E-2</v>
      </c>
      <c r="V554" s="87">
        <f t="shared" si="56"/>
        <v>1.4134510934904716E-2</v>
      </c>
      <c r="W554" s="87">
        <f t="shared" si="52"/>
        <v>4.7961722634930135E-3</v>
      </c>
      <c r="X554" s="87">
        <f t="shared" si="52"/>
        <v>3.306086226088821E-2</v>
      </c>
      <c r="Y554" s="87">
        <f t="shared" si="52"/>
        <v>2.0277192439150663E-2</v>
      </c>
      <c r="Z554" s="87">
        <f t="shared" si="52"/>
        <v>-3.1397200046676412E-3</v>
      </c>
      <c r="AA554" s="87">
        <f t="shared" si="52"/>
        <v>-3.0075210639551055E-3</v>
      </c>
      <c r="AB554" s="87">
        <f t="shared" si="53"/>
        <v>1.5201161332050557E-2</v>
      </c>
      <c r="AC554" s="87">
        <f t="shared" si="53"/>
        <v>4.3478329361034225E-3</v>
      </c>
      <c r="AD554" s="87">
        <f t="shared" si="53"/>
        <v>9.7088141269609032E-3</v>
      </c>
      <c r="AE554" s="90">
        <f t="shared" si="55"/>
        <v>1.3531287398395089E-2</v>
      </c>
      <c r="AF554" s="89"/>
    </row>
    <row r="555" spans="1:32" ht="15.5" x14ac:dyDescent="0.35">
      <c r="A555" s="82">
        <v>40570</v>
      </c>
      <c r="B555" s="83">
        <v>8207.1</v>
      </c>
      <c r="C555" s="84">
        <v>2755.3</v>
      </c>
      <c r="D555" s="61">
        <v>306.89999999999998</v>
      </c>
      <c r="E555" s="61">
        <v>15.6</v>
      </c>
      <c r="F555" s="61">
        <v>49</v>
      </c>
      <c r="G555" s="61">
        <v>28.5</v>
      </c>
      <c r="H555" s="61">
        <v>41.8</v>
      </c>
      <c r="I555" s="61">
        <v>12</v>
      </c>
      <c r="J555" s="61">
        <v>56.2</v>
      </c>
      <c r="K555" s="61">
        <v>32.1</v>
      </c>
      <c r="L555" s="61">
        <v>33.200000000000003</v>
      </c>
      <c r="M555" s="61">
        <v>46.4</v>
      </c>
      <c r="N555" s="61">
        <v>46.4</v>
      </c>
      <c r="O555" s="85">
        <v>20.7</v>
      </c>
      <c r="P555" s="105"/>
      <c r="Q555" s="87">
        <f t="shared" si="54"/>
        <v>1.6462715675533966E-3</v>
      </c>
      <c r="R555" s="87">
        <f t="shared" si="56"/>
        <v>5.7509076021007421E-3</v>
      </c>
      <c r="S555" s="87">
        <f t="shared" si="56"/>
        <v>-3.577821347884078E-3</v>
      </c>
      <c r="T555" s="87">
        <f t="shared" si="56"/>
        <v>1.2903404835907782E-2</v>
      </c>
      <c r="U555" s="87">
        <f t="shared" si="56"/>
        <v>4.0899852515250664E-3</v>
      </c>
      <c r="V555" s="87">
        <f t="shared" si="56"/>
        <v>0</v>
      </c>
      <c r="W555" s="87">
        <f t="shared" si="52"/>
        <v>0</v>
      </c>
      <c r="X555" s="87">
        <f t="shared" si="52"/>
        <v>-2.4692612590371522E-2</v>
      </c>
      <c r="Y555" s="87">
        <f t="shared" si="52"/>
        <v>2.5226562945675563E-2</v>
      </c>
      <c r="Z555" s="87">
        <f t="shared" si="52"/>
        <v>9.3897403498391374E-3</v>
      </c>
      <c r="AA555" s="87">
        <f t="shared" si="52"/>
        <v>0</v>
      </c>
      <c r="AB555" s="87">
        <f t="shared" si="53"/>
        <v>0</v>
      </c>
      <c r="AC555" s="87">
        <f t="shared" si="53"/>
        <v>6.486509229606632E-3</v>
      </c>
      <c r="AD555" s="87">
        <f t="shared" si="53"/>
        <v>0</v>
      </c>
      <c r="AE555" s="90">
        <f t="shared" si="55"/>
        <v>1.8458534604071505E-3</v>
      </c>
      <c r="AF555" s="89"/>
    </row>
    <row r="556" spans="1:32" ht="15.5" x14ac:dyDescent="0.35">
      <c r="A556" s="82">
        <v>40571</v>
      </c>
      <c r="B556" s="83">
        <v>8062.6</v>
      </c>
      <c r="C556" s="84">
        <v>2686.9</v>
      </c>
      <c r="D556" s="61">
        <v>300.2</v>
      </c>
      <c r="E556" s="61">
        <v>15.7</v>
      </c>
      <c r="F556" s="61">
        <v>47.7</v>
      </c>
      <c r="G556" s="61">
        <v>27.5</v>
      </c>
      <c r="H556" s="61">
        <v>40.9</v>
      </c>
      <c r="I556" s="61">
        <v>11.5</v>
      </c>
      <c r="J556" s="61">
        <v>57.6</v>
      </c>
      <c r="K556" s="61">
        <v>32.1</v>
      </c>
      <c r="L556" s="61">
        <v>33</v>
      </c>
      <c r="M556" s="61">
        <v>45.5</v>
      </c>
      <c r="N556" s="61">
        <v>45.6</v>
      </c>
      <c r="O556" s="85">
        <v>20.3</v>
      </c>
      <c r="P556" s="105"/>
      <c r="Q556" s="87">
        <f t="shared" si="54"/>
        <v>-1.7763548147953896E-2</v>
      </c>
      <c r="R556" s="87">
        <f t="shared" si="56"/>
        <v>-2.513821688389551E-2</v>
      </c>
      <c r="S556" s="87">
        <f t="shared" si="56"/>
        <v>-2.2073042426328852E-2</v>
      </c>
      <c r="T556" s="87">
        <f t="shared" si="56"/>
        <v>6.3897980987709883E-3</v>
      </c>
      <c r="U556" s="87">
        <f t="shared" si="56"/>
        <v>-2.6888900216331061E-2</v>
      </c>
      <c r="V556" s="87">
        <f t="shared" si="56"/>
        <v>-3.5718082602079232E-2</v>
      </c>
      <c r="W556" s="87">
        <f t="shared" si="52"/>
        <v>-2.1766276481954512E-2</v>
      </c>
      <c r="X556" s="87">
        <f t="shared" si="52"/>
        <v>-4.2559614418795889E-2</v>
      </c>
      <c r="Y556" s="87">
        <f t="shared" si="52"/>
        <v>2.4605810802200194E-2</v>
      </c>
      <c r="Z556" s="87">
        <f t="shared" si="52"/>
        <v>0</v>
      </c>
      <c r="AA556" s="87">
        <f t="shared" si="52"/>
        <v>-6.0423144559626982E-3</v>
      </c>
      <c r="AB556" s="87">
        <f t="shared" si="53"/>
        <v>-1.9587133275304817E-2</v>
      </c>
      <c r="AC556" s="87">
        <f t="shared" si="53"/>
        <v>-1.7391742711869107E-2</v>
      </c>
      <c r="AD556" s="87">
        <f t="shared" si="53"/>
        <v>-1.9512814223581715E-2</v>
      </c>
      <c r="AE556" s="90">
        <f t="shared" si="55"/>
        <v>-2.405767381862306E-2</v>
      </c>
      <c r="AF556" s="89"/>
    </row>
    <row r="557" spans="1:32" ht="15.5" x14ac:dyDescent="0.35">
      <c r="A557" s="82">
        <v>40574</v>
      </c>
      <c r="B557" s="83">
        <v>8139.2</v>
      </c>
      <c r="C557" s="84">
        <v>2700.1</v>
      </c>
      <c r="D557" s="61">
        <v>298.10000000000002</v>
      </c>
      <c r="E557" s="61">
        <v>15.8</v>
      </c>
      <c r="F557" s="61">
        <v>47.8</v>
      </c>
      <c r="G557" s="61">
        <v>27.4</v>
      </c>
      <c r="H557" s="61">
        <v>40.700000000000003</v>
      </c>
      <c r="I557" s="61">
        <v>11.7</v>
      </c>
      <c r="J557" s="61">
        <v>58.2</v>
      </c>
      <c r="K557" s="61">
        <v>31.9</v>
      </c>
      <c r="L557" s="61">
        <v>33.1</v>
      </c>
      <c r="M557" s="61">
        <v>45.4</v>
      </c>
      <c r="N557" s="61">
        <v>45.2</v>
      </c>
      <c r="O557" s="85">
        <v>20.3</v>
      </c>
      <c r="P557" s="105"/>
      <c r="Q557" s="87">
        <f t="shared" si="54"/>
        <v>9.455809940615208E-3</v>
      </c>
      <c r="R557" s="87">
        <f t="shared" si="56"/>
        <v>4.9006966469275822E-3</v>
      </c>
      <c r="S557" s="87">
        <f t="shared" si="56"/>
        <v>-7.0199185153356691E-3</v>
      </c>
      <c r="T557" s="87">
        <f t="shared" si="56"/>
        <v>6.3492276786587445E-3</v>
      </c>
      <c r="U557" s="87">
        <f t="shared" si="56"/>
        <v>2.0942416031146851E-3</v>
      </c>
      <c r="V557" s="87">
        <f t="shared" si="56"/>
        <v>-3.6429912785010919E-3</v>
      </c>
      <c r="W557" s="87">
        <f t="shared" si="52"/>
        <v>-4.9019706002066685E-3</v>
      </c>
      <c r="X557" s="87">
        <f t="shared" si="52"/>
        <v>1.7241806434505954E-2</v>
      </c>
      <c r="Y557" s="87">
        <f t="shared" si="52"/>
        <v>1.0362787035546658E-2</v>
      </c>
      <c r="Z557" s="87">
        <f t="shared" si="52"/>
        <v>-6.2500203451714056E-3</v>
      </c>
      <c r="AA557" s="87">
        <f t="shared" si="52"/>
        <v>3.0257209165371114E-3</v>
      </c>
      <c r="AB557" s="87">
        <f t="shared" si="53"/>
        <v>-2.2002209096024235E-3</v>
      </c>
      <c r="AC557" s="87">
        <f t="shared" si="53"/>
        <v>-8.810629682154807E-3</v>
      </c>
      <c r="AD557" s="87">
        <f t="shared" si="53"/>
        <v>0</v>
      </c>
      <c r="AE557" s="90">
        <f t="shared" si="55"/>
        <v>1.2619949958792356E-5</v>
      </c>
      <c r="AF557" s="89"/>
    </row>
    <row r="558" spans="1:32" ht="15.5" x14ac:dyDescent="0.35">
      <c r="A558" s="82">
        <v>40575</v>
      </c>
      <c r="B558" s="83">
        <v>8290.1</v>
      </c>
      <c r="C558" s="84">
        <v>2751.2</v>
      </c>
      <c r="D558" s="61">
        <v>301.89999999999998</v>
      </c>
      <c r="E558" s="61">
        <v>16.2</v>
      </c>
      <c r="F558" s="61">
        <v>48.7</v>
      </c>
      <c r="G558" s="61">
        <v>27.6</v>
      </c>
      <c r="H558" s="61">
        <v>40.9</v>
      </c>
      <c r="I558" s="61">
        <v>11.9</v>
      </c>
      <c r="J558" s="61">
        <v>60</v>
      </c>
      <c r="K558" s="61">
        <v>31.3</v>
      </c>
      <c r="L558" s="61">
        <v>32.9</v>
      </c>
      <c r="M558" s="61">
        <v>46.2</v>
      </c>
      <c r="N558" s="61">
        <v>49.2</v>
      </c>
      <c r="O558" s="85">
        <v>20.7</v>
      </c>
      <c r="P558" s="105"/>
      <c r="Q558" s="87">
        <f t="shared" si="54"/>
        <v>1.8370136714262259E-2</v>
      </c>
      <c r="R558" s="87">
        <f t="shared" si="56"/>
        <v>1.8748370774453054E-2</v>
      </c>
      <c r="S558" s="87">
        <f t="shared" si="56"/>
        <v>1.2666836028767248E-2</v>
      </c>
      <c r="T558" s="87">
        <f t="shared" si="56"/>
        <v>2.5001302205417186E-2</v>
      </c>
      <c r="U558" s="87">
        <f t="shared" si="56"/>
        <v>1.8653390591133835E-2</v>
      </c>
      <c r="V558" s="87">
        <f t="shared" si="56"/>
        <v>7.2727593290798781E-3</v>
      </c>
      <c r="W558" s="87">
        <f t="shared" si="52"/>
        <v>4.9019706002066876E-3</v>
      </c>
      <c r="X558" s="87">
        <f t="shared" si="52"/>
        <v>1.6949558313773424E-2</v>
      </c>
      <c r="Y558" s="87">
        <f t="shared" si="52"/>
        <v>3.0459207484708439E-2</v>
      </c>
      <c r="Z558" s="87">
        <f t="shared" si="52"/>
        <v>-1.8987912244691343E-2</v>
      </c>
      <c r="AA558" s="87">
        <f t="shared" si="52"/>
        <v>-6.0606246116910699E-3</v>
      </c>
      <c r="AB558" s="87">
        <f t="shared" si="53"/>
        <v>1.7467693040390999E-2</v>
      </c>
      <c r="AC558" s="87">
        <f t="shared" si="53"/>
        <v>8.4796536660076846E-2</v>
      </c>
      <c r="AD558" s="87">
        <f t="shared" si="53"/>
        <v>1.9512814223581719E-2</v>
      </c>
      <c r="AE558" s="90">
        <f t="shared" si="55"/>
        <v>1.7033672579612913E-2</v>
      </c>
      <c r="AF558" s="89"/>
    </row>
    <row r="559" spans="1:32" ht="15.5" x14ac:dyDescent="0.35">
      <c r="A559" s="82">
        <v>40576</v>
      </c>
      <c r="B559" s="83">
        <v>8272.6</v>
      </c>
      <c r="C559" s="84">
        <v>2749.6</v>
      </c>
      <c r="D559" s="61">
        <v>304.10000000000002</v>
      </c>
      <c r="E559" s="61">
        <v>16.3</v>
      </c>
      <c r="F559" s="61">
        <v>49.1</v>
      </c>
      <c r="G559" s="61">
        <v>27.9</v>
      </c>
      <c r="H559" s="61">
        <v>42</v>
      </c>
      <c r="I559" s="61">
        <v>12</v>
      </c>
      <c r="J559" s="61">
        <v>60.6</v>
      </c>
      <c r="K559" s="61">
        <v>30.8</v>
      </c>
      <c r="L559" s="61">
        <v>33.6</v>
      </c>
      <c r="M559" s="61">
        <v>46.1</v>
      </c>
      <c r="N559" s="61">
        <v>52.7</v>
      </c>
      <c r="O559" s="85">
        <v>20.8</v>
      </c>
      <c r="P559" s="105"/>
      <c r="Q559" s="87">
        <f t="shared" si="54"/>
        <v>-2.1131828158751469E-3</v>
      </c>
      <c r="R559" s="87">
        <f t="shared" si="56"/>
        <v>-5.8173358243229225E-4</v>
      </c>
      <c r="S559" s="87">
        <f t="shared" si="56"/>
        <v>7.2607579705259995E-3</v>
      </c>
      <c r="T559" s="87">
        <f t="shared" si="56"/>
        <v>6.1538655743782859E-3</v>
      </c>
      <c r="U559" s="87">
        <f t="shared" si="56"/>
        <v>8.1800047119306891E-3</v>
      </c>
      <c r="V559" s="87">
        <f t="shared" si="56"/>
        <v>1.0810916104215456E-2</v>
      </c>
      <c r="W559" s="87">
        <f t="shared" si="52"/>
        <v>2.6539555234612312E-2</v>
      </c>
      <c r="X559" s="87">
        <f t="shared" si="52"/>
        <v>8.3682496705165792E-3</v>
      </c>
      <c r="Y559" s="87">
        <f t="shared" si="52"/>
        <v>9.950330853168092E-3</v>
      </c>
      <c r="Z559" s="87">
        <f t="shared" si="52"/>
        <v>-1.6103407566578735E-2</v>
      </c>
      <c r="AA559" s="87">
        <f t="shared" si="52"/>
        <v>2.1053409197832482E-2</v>
      </c>
      <c r="AB559" s="87">
        <f t="shared" si="53"/>
        <v>-2.166848085090314E-3</v>
      </c>
      <c r="AC559" s="87">
        <f t="shared" si="53"/>
        <v>6.8721832049054132E-2</v>
      </c>
      <c r="AD559" s="87">
        <f t="shared" si="53"/>
        <v>4.8192864359489218E-3</v>
      </c>
      <c r="AE559" s="90">
        <f t="shared" si="55"/>
        <v>4.876074713407709E-3</v>
      </c>
      <c r="AF559" s="89"/>
    </row>
    <row r="560" spans="1:32" ht="15.5" x14ac:dyDescent="0.35">
      <c r="A560" s="82">
        <v>40577</v>
      </c>
      <c r="B560" s="83">
        <v>8289</v>
      </c>
      <c r="C560" s="84">
        <v>2753.9</v>
      </c>
      <c r="D560" s="61">
        <v>303.39999999999998</v>
      </c>
      <c r="E560" s="61">
        <v>16.399999999999999</v>
      </c>
      <c r="F560" s="61">
        <v>48.4</v>
      </c>
      <c r="G560" s="61">
        <v>27.5</v>
      </c>
      <c r="H560" s="61">
        <v>42.1</v>
      </c>
      <c r="I560" s="61">
        <v>11.9</v>
      </c>
      <c r="J560" s="61">
        <v>59.9</v>
      </c>
      <c r="K560" s="61">
        <v>30.7</v>
      </c>
      <c r="L560" s="61">
        <v>32.5</v>
      </c>
      <c r="M560" s="61">
        <v>45.7</v>
      </c>
      <c r="N560" s="61">
        <v>52.4</v>
      </c>
      <c r="O560" s="85">
        <v>20.8</v>
      </c>
      <c r="P560" s="105"/>
      <c r="Q560" s="87">
        <f t="shared" si="54"/>
        <v>1.9804856246387133E-3</v>
      </c>
      <c r="R560" s="87">
        <f t="shared" si="56"/>
        <v>1.5626422730977969E-3</v>
      </c>
      <c r="S560" s="87">
        <f t="shared" si="56"/>
        <v>-2.3045277688872453E-3</v>
      </c>
      <c r="T560" s="87">
        <f t="shared" si="56"/>
        <v>6.1162270174360536E-3</v>
      </c>
      <c r="U560" s="87">
        <f t="shared" si="56"/>
        <v>-1.4359221077888876E-2</v>
      </c>
      <c r="V560" s="87">
        <f t="shared" si="56"/>
        <v>-1.4440684154794247E-2</v>
      </c>
      <c r="W560" s="87">
        <f t="shared" si="52"/>
        <v>2.3781224049674193E-3</v>
      </c>
      <c r="X560" s="87">
        <f t="shared" si="52"/>
        <v>-8.3682496705165792E-3</v>
      </c>
      <c r="Y560" s="87">
        <f t="shared" si="52"/>
        <v>-1.1618387953865187E-2</v>
      </c>
      <c r="Z560" s="87">
        <f t="shared" si="52"/>
        <v>-3.2520353863773432E-3</v>
      </c>
      <c r="AA560" s="87">
        <f t="shared" si="52"/>
        <v>-3.3285977633466746E-2</v>
      </c>
      <c r="AB560" s="87">
        <f t="shared" si="53"/>
        <v>-8.7146521024437755E-3</v>
      </c>
      <c r="AC560" s="87">
        <f t="shared" si="53"/>
        <v>-5.708864220320204E-3</v>
      </c>
      <c r="AD560" s="87">
        <f t="shared" si="53"/>
        <v>0</v>
      </c>
      <c r="AE560" s="90">
        <f t="shared" si="55"/>
        <v>-4.3121440593595125E-3</v>
      </c>
      <c r="AF560" s="89"/>
    </row>
    <row r="561" spans="1:32" ht="15.5" x14ac:dyDescent="0.35">
      <c r="A561" s="82">
        <v>40578</v>
      </c>
      <c r="B561" s="83">
        <v>8288.5</v>
      </c>
      <c r="C561" s="84">
        <v>2769.3</v>
      </c>
      <c r="D561" s="61">
        <v>303.60000000000002</v>
      </c>
      <c r="E561" s="61">
        <v>16.5</v>
      </c>
      <c r="F561" s="61">
        <v>49.1</v>
      </c>
      <c r="G561" s="61">
        <v>27.5</v>
      </c>
      <c r="H561" s="61">
        <v>41.8</v>
      </c>
      <c r="I561" s="61">
        <v>12.6</v>
      </c>
      <c r="J561" s="61">
        <v>60.1</v>
      </c>
      <c r="K561" s="61">
        <v>30.9</v>
      </c>
      <c r="L561" s="61">
        <v>32.799999999999997</v>
      </c>
      <c r="M561" s="61">
        <v>46.4</v>
      </c>
      <c r="N561" s="61">
        <v>52.5</v>
      </c>
      <c r="O561" s="85">
        <v>21</v>
      </c>
      <c r="P561" s="105"/>
      <c r="Q561" s="87">
        <f t="shared" si="54"/>
        <v>-6.0322726605496781E-5</v>
      </c>
      <c r="R561" s="87">
        <f t="shared" si="56"/>
        <v>5.5764918554937473E-3</v>
      </c>
      <c r="S561" s="87">
        <f t="shared" si="56"/>
        <v>6.5897860704324592E-4</v>
      </c>
      <c r="T561" s="87">
        <f t="shared" si="56"/>
        <v>6.0790460763821925E-3</v>
      </c>
      <c r="U561" s="87">
        <f t="shared" si="56"/>
        <v>1.435922107788888E-2</v>
      </c>
      <c r="V561" s="87">
        <f t="shared" si="56"/>
        <v>0</v>
      </c>
      <c r="W561" s="87">
        <f t="shared" si="52"/>
        <v>-7.1514011576252401E-3</v>
      </c>
      <c r="X561" s="87">
        <f t="shared" si="52"/>
        <v>5.7158413839948623E-2</v>
      </c>
      <c r="Y561" s="87">
        <f t="shared" si="52"/>
        <v>3.333336419758217E-3</v>
      </c>
      <c r="Z561" s="87">
        <f t="shared" si="52"/>
        <v>6.4935293105483115E-3</v>
      </c>
      <c r="AA561" s="87">
        <f t="shared" si="52"/>
        <v>9.1884260544061701E-3</v>
      </c>
      <c r="AB561" s="87">
        <f t="shared" si="53"/>
        <v>1.5201161332050557E-2</v>
      </c>
      <c r="AC561" s="87">
        <f t="shared" si="53"/>
        <v>1.906578270581669E-3</v>
      </c>
      <c r="AD561" s="87">
        <f t="shared" si="53"/>
        <v>9.5694510161506725E-3</v>
      </c>
      <c r="AE561" s="90">
        <f t="shared" si="55"/>
        <v>7.1334807299966918E-3</v>
      </c>
      <c r="AF561" s="89"/>
    </row>
    <row r="562" spans="1:32" ht="15.5" x14ac:dyDescent="0.35">
      <c r="A562" s="82">
        <v>40581</v>
      </c>
      <c r="B562" s="83">
        <v>8336.6</v>
      </c>
      <c r="C562" s="84">
        <v>2784</v>
      </c>
      <c r="D562" s="61">
        <v>304.89999999999998</v>
      </c>
      <c r="E562" s="61">
        <v>16.8</v>
      </c>
      <c r="F562" s="61">
        <v>49.7</v>
      </c>
      <c r="G562" s="61">
        <v>27.8</v>
      </c>
      <c r="H562" s="61">
        <v>42.1</v>
      </c>
      <c r="I562" s="61">
        <v>12.8</v>
      </c>
      <c r="J562" s="61">
        <v>60.6</v>
      </c>
      <c r="K562" s="61">
        <v>31.5</v>
      </c>
      <c r="L562" s="61">
        <v>32.700000000000003</v>
      </c>
      <c r="M562" s="61">
        <v>47.3</v>
      </c>
      <c r="N562" s="61">
        <v>53.6</v>
      </c>
      <c r="O562" s="85">
        <v>21.4</v>
      </c>
      <c r="P562" s="105"/>
      <c r="Q562" s="87">
        <f t="shared" si="54"/>
        <v>5.7864475053802916E-3</v>
      </c>
      <c r="R562" s="87">
        <f t="shared" si="56"/>
        <v>5.29416179009472E-3</v>
      </c>
      <c r="S562" s="87">
        <f t="shared" si="56"/>
        <v>4.2728084727341751E-3</v>
      </c>
      <c r="T562" s="87">
        <f t="shared" si="56"/>
        <v>1.8018505502678431E-2</v>
      </c>
      <c r="U562" s="87">
        <f t="shared" si="56"/>
        <v>1.214589830210812E-2</v>
      </c>
      <c r="V562" s="87">
        <f t="shared" si="56"/>
        <v>1.0850016024065844E-2</v>
      </c>
      <c r="W562" s="87">
        <f t="shared" si="52"/>
        <v>7.1514011576253068E-3</v>
      </c>
      <c r="X562" s="87">
        <f t="shared" si="52"/>
        <v>1.5748356968139331E-2</v>
      </c>
      <c r="Y562" s="87">
        <f t="shared" si="52"/>
        <v>8.2850515341068645E-3</v>
      </c>
      <c r="Z562" s="87">
        <f t="shared" si="52"/>
        <v>1.9231361927887592E-2</v>
      </c>
      <c r="AA562" s="87">
        <f t="shared" si="52"/>
        <v>-3.0534374868901202E-3</v>
      </c>
      <c r="AB562" s="87">
        <f t="shared" si="53"/>
        <v>1.9210836265677673E-2</v>
      </c>
      <c r="AC562" s="87">
        <f t="shared" si="53"/>
        <v>2.0735898479178342E-2</v>
      </c>
      <c r="AD562" s="87">
        <f t="shared" si="53"/>
        <v>1.8868484304382736E-2</v>
      </c>
      <c r="AE562" s="90">
        <f t="shared" si="55"/>
        <v>8.6042592537742286E-3</v>
      </c>
      <c r="AF562" s="89"/>
    </row>
    <row r="563" spans="1:32" ht="15.5" x14ac:dyDescent="0.35">
      <c r="A563" s="82">
        <v>40582</v>
      </c>
      <c r="B563" s="83">
        <v>8379.7999999999993</v>
      </c>
      <c r="C563" s="84">
        <v>2797.1</v>
      </c>
      <c r="D563" s="61">
        <v>307.60000000000002</v>
      </c>
      <c r="E563" s="61">
        <v>16.5</v>
      </c>
      <c r="F563" s="61">
        <v>50.3</v>
      </c>
      <c r="G563" s="61">
        <v>28.1</v>
      </c>
      <c r="H563" s="61">
        <v>41.8</v>
      </c>
      <c r="I563" s="61">
        <v>12.9</v>
      </c>
      <c r="J563" s="61">
        <v>60.4</v>
      </c>
      <c r="K563" s="61">
        <v>33.299999999999997</v>
      </c>
      <c r="L563" s="61">
        <v>33.1</v>
      </c>
      <c r="M563" s="61">
        <v>48.2</v>
      </c>
      <c r="N563" s="61">
        <v>54</v>
      </c>
      <c r="O563" s="85">
        <v>21.5</v>
      </c>
      <c r="P563" s="105"/>
      <c r="Q563" s="87">
        <f t="shared" si="54"/>
        <v>5.1685884725731187E-3</v>
      </c>
      <c r="R563" s="87">
        <f t="shared" si="56"/>
        <v>4.6944237006035843E-3</v>
      </c>
      <c r="S563" s="87">
        <f t="shared" si="56"/>
        <v>8.8163836372798891E-3</v>
      </c>
      <c r="T563" s="87">
        <f t="shared" si="56"/>
        <v>-1.8018505502678365E-2</v>
      </c>
      <c r="U563" s="87">
        <f t="shared" si="56"/>
        <v>1.2000144003110339E-2</v>
      </c>
      <c r="V563" s="87">
        <f t="shared" si="56"/>
        <v>1.0733555643108633E-2</v>
      </c>
      <c r="W563" s="87">
        <f t="shared" si="52"/>
        <v>-7.1514011576252401E-3</v>
      </c>
      <c r="X563" s="87">
        <f t="shared" si="52"/>
        <v>7.782140442054949E-3</v>
      </c>
      <c r="Y563" s="87">
        <f t="shared" si="52"/>
        <v>-3.3057881344995439E-3</v>
      </c>
      <c r="Z563" s="87">
        <f t="shared" si="52"/>
        <v>5.5569851154810786E-2</v>
      </c>
      <c r="AA563" s="87">
        <f t="shared" si="52"/>
        <v>1.2158204479809363E-2</v>
      </c>
      <c r="AB563" s="87">
        <f t="shared" si="53"/>
        <v>1.884872555866755E-2</v>
      </c>
      <c r="AC563" s="87">
        <f t="shared" si="53"/>
        <v>7.4349784875179905E-3</v>
      </c>
      <c r="AD563" s="87">
        <f t="shared" si="53"/>
        <v>4.6620131058113714E-3</v>
      </c>
      <c r="AE563" s="90">
        <f t="shared" si="55"/>
        <v>7.9862368747690721E-3</v>
      </c>
      <c r="AF563" s="89"/>
    </row>
    <row r="564" spans="1:32" ht="15.5" x14ac:dyDescent="0.35">
      <c r="A564" s="82">
        <v>40583</v>
      </c>
      <c r="B564" s="83">
        <v>8344</v>
      </c>
      <c r="C564" s="84">
        <v>2789.1</v>
      </c>
      <c r="D564" s="61">
        <v>306.5</v>
      </c>
      <c r="E564" s="61">
        <v>16.399999999999999</v>
      </c>
      <c r="F564" s="61">
        <v>50.7</v>
      </c>
      <c r="G564" s="61">
        <v>27.9</v>
      </c>
      <c r="H564" s="61">
        <v>42</v>
      </c>
      <c r="I564" s="61">
        <v>12.5</v>
      </c>
      <c r="J564" s="61">
        <v>60.3</v>
      </c>
      <c r="K564" s="61">
        <v>34.6</v>
      </c>
      <c r="L564" s="61">
        <v>32.9</v>
      </c>
      <c r="M564" s="61">
        <v>47.5</v>
      </c>
      <c r="N564" s="61">
        <v>53.9</v>
      </c>
      <c r="O564" s="85">
        <v>21.6</v>
      </c>
      <c r="P564" s="105"/>
      <c r="Q564" s="87">
        <f t="shared" si="54"/>
        <v>-4.2813301622657649E-3</v>
      </c>
      <c r="R564" s="87">
        <f t="shared" si="56"/>
        <v>-2.8642030249919747E-3</v>
      </c>
      <c r="S564" s="87">
        <f t="shared" si="56"/>
        <v>-3.5824822552228421E-3</v>
      </c>
      <c r="T564" s="87">
        <f t="shared" si="56"/>
        <v>-6.0790460763822263E-3</v>
      </c>
      <c r="U564" s="87">
        <f t="shared" si="56"/>
        <v>7.9208334914440577E-3</v>
      </c>
      <c r="V564" s="87">
        <f t="shared" si="56"/>
        <v>-7.1428875123802247E-3</v>
      </c>
      <c r="W564" s="87">
        <f t="shared" si="52"/>
        <v>4.7732787526578117E-3</v>
      </c>
      <c r="X564" s="87">
        <f t="shared" si="52"/>
        <v>-3.1498667059371051E-2</v>
      </c>
      <c r="Y564" s="87">
        <f t="shared" si="52"/>
        <v>-1.6570012076295693E-3</v>
      </c>
      <c r="Z564" s="87">
        <f t="shared" si="52"/>
        <v>3.8296285077280542E-2</v>
      </c>
      <c r="AA564" s="87">
        <f t="shared" si="52"/>
        <v>-6.0606246116910699E-3</v>
      </c>
      <c r="AB564" s="87">
        <f t="shared" si="53"/>
        <v>-1.4629310015959155E-2</v>
      </c>
      <c r="AC564" s="87">
        <f t="shared" si="53"/>
        <v>-1.8535686493229438E-3</v>
      </c>
      <c r="AD564" s="87">
        <f t="shared" si="53"/>
        <v>4.6403795565023009E-3</v>
      </c>
      <c r="AE564" s="90">
        <f t="shared" si="55"/>
        <v>9.2154103577950491E-4</v>
      </c>
      <c r="AF564" s="89"/>
    </row>
    <row r="565" spans="1:32" ht="15.5" x14ac:dyDescent="0.35">
      <c r="A565" s="82">
        <v>40584</v>
      </c>
      <c r="B565" s="83">
        <v>8337.1</v>
      </c>
      <c r="C565" s="84">
        <v>2790.4</v>
      </c>
      <c r="D565" s="61">
        <v>306.10000000000002</v>
      </c>
      <c r="E565" s="61">
        <v>16.399999999999999</v>
      </c>
      <c r="F565" s="61">
        <v>49.7</v>
      </c>
      <c r="G565" s="61">
        <v>27.3</v>
      </c>
      <c r="H565" s="61">
        <v>42</v>
      </c>
      <c r="I565" s="61">
        <v>12.9</v>
      </c>
      <c r="J565" s="61">
        <v>60.2</v>
      </c>
      <c r="K565" s="61">
        <v>35.299999999999997</v>
      </c>
      <c r="L565" s="61">
        <v>32.9</v>
      </c>
      <c r="M565" s="61">
        <v>46.5</v>
      </c>
      <c r="N565" s="61">
        <v>53.9</v>
      </c>
      <c r="O565" s="85">
        <v>21.6</v>
      </c>
      <c r="P565" s="105"/>
      <c r="Q565" s="87">
        <f t="shared" si="54"/>
        <v>-8.2728361960887229E-4</v>
      </c>
      <c r="R565" s="87">
        <f t="shared" si="56"/>
        <v>4.6599158473869021E-4</v>
      </c>
      <c r="S565" s="87">
        <f t="shared" si="56"/>
        <v>-1.3059094248991489E-3</v>
      </c>
      <c r="T565" s="87">
        <f t="shared" si="56"/>
        <v>0</v>
      </c>
      <c r="U565" s="87">
        <f t="shared" si="56"/>
        <v>-1.9920977494554428E-2</v>
      </c>
      <c r="V565" s="87">
        <f t="shared" si="56"/>
        <v>-2.1739986636405764E-2</v>
      </c>
      <c r="W565" s="87">
        <f t="shared" si="52"/>
        <v>0</v>
      </c>
      <c r="X565" s="87">
        <f t="shared" si="52"/>
        <v>3.1498667059371016E-2</v>
      </c>
      <c r="Y565" s="87">
        <f t="shared" si="52"/>
        <v>-1.6597514183642856E-3</v>
      </c>
      <c r="Z565" s="87">
        <f t="shared" si="52"/>
        <v>2.0029281875572364E-2</v>
      </c>
      <c r="AA565" s="87">
        <f t="shared" si="52"/>
        <v>0</v>
      </c>
      <c r="AB565" s="87">
        <f t="shared" si="53"/>
        <v>-2.1277398447284851E-2</v>
      </c>
      <c r="AC565" s="87">
        <f t="shared" si="53"/>
        <v>0</v>
      </c>
      <c r="AD565" s="87">
        <f t="shared" si="53"/>
        <v>0</v>
      </c>
      <c r="AE565" s="90">
        <f t="shared" si="55"/>
        <v>-5.9388262763202943E-3</v>
      </c>
      <c r="AF565" s="89"/>
    </row>
    <row r="566" spans="1:32" ht="15.5" x14ac:dyDescent="0.35">
      <c r="A566" s="82">
        <v>40585</v>
      </c>
      <c r="B566" s="83">
        <v>8374.9</v>
      </c>
      <c r="C566" s="84">
        <v>2809.4</v>
      </c>
      <c r="D566" s="61">
        <v>306.8</v>
      </c>
      <c r="E566" s="61">
        <v>16.5</v>
      </c>
      <c r="F566" s="61">
        <v>50.5</v>
      </c>
      <c r="G566" s="61">
        <v>27.1</v>
      </c>
      <c r="H566" s="61">
        <v>42</v>
      </c>
      <c r="I566" s="61">
        <v>13.6</v>
      </c>
      <c r="J566" s="61">
        <v>61.7</v>
      </c>
      <c r="K566" s="61">
        <v>35.700000000000003</v>
      </c>
      <c r="L566" s="61">
        <v>32.9</v>
      </c>
      <c r="M566" s="61">
        <v>46.8</v>
      </c>
      <c r="N566" s="61">
        <v>54.4</v>
      </c>
      <c r="O566" s="85">
        <v>21.5</v>
      </c>
      <c r="P566" s="105"/>
      <c r="Q566" s="87">
        <f t="shared" si="54"/>
        <v>4.5237032624741184E-3</v>
      </c>
      <c r="R566" s="87">
        <f t="shared" si="56"/>
        <v>6.7859826821489166E-3</v>
      </c>
      <c r="S566" s="87">
        <f t="shared" si="56"/>
        <v>2.2842235417343646E-3</v>
      </c>
      <c r="T566" s="87">
        <f t="shared" si="56"/>
        <v>6.0790460763821925E-3</v>
      </c>
      <c r="U566" s="87">
        <f t="shared" si="56"/>
        <v>1.5968403178730984E-2</v>
      </c>
      <c r="V566" s="87">
        <f t="shared" si="56"/>
        <v>-7.352974305258806E-3</v>
      </c>
      <c r="W566" s="87">
        <f t="shared" si="52"/>
        <v>0</v>
      </c>
      <c r="X566" s="87">
        <f t="shared" si="52"/>
        <v>5.2842481374379774E-2</v>
      </c>
      <c r="Y566" s="87">
        <f t="shared" si="52"/>
        <v>2.4611578596566881E-2</v>
      </c>
      <c r="Z566" s="87">
        <f t="shared" si="52"/>
        <v>1.1267724846342506E-2</v>
      </c>
      <c r="AA566" s="87">
        <f t="shared" si="52"/>
        <v>0</v>
      </c>
      <c r="AB566" s="87">
        <f t="shared" si="53"/>
        <v>6.4308903302903314E-3</v>
      </c>
      <c r="AC566" s="87">
        <f t="shared" si="53"/>
        <v>9.2336759469455239E-3</v>
      </c>
      <c r="AD566" s="87">
        <f t="shared" si="53"/>
        <v>-4.6403795565022254E-3</v>
      </c>
      <c r="AE566" s="90">
        <f t="shared" si="55"/>
        <v>6.7047853223740281E-3</v>
      </c>
      <c r="AF566" s="89"/>
    </row>
    <row r="567" spans="1:32" ht="15.5" x14ac:dyDescent="0.35">
      <c r="A567" s="82">
        <v>40588</v>
      </c>
      <c r="B567" s="83">
        <v>8405.2000000000007</v>
      </c>
      <c r="C567" s="84">
        <v>2817.2</v>
      </c>
      <c r="D567" s="61">
        <v>310.3</v>
      </c>
      <c r="E567" s="61">
        <v>16.7</v>
      </c>
      <c r="F567" s="61">
        <v>51</v>
      </c>
      <c r="G567" s="61">
        <v>27</v>
      </c>
      <c r="H567" s="61">
        <v>42.8</v>
      </c>
      <c r="I567" s="61">
        <v>13.8</v>
      </c>
      <c r="J567" s="61">
        <v>63.1</v>
      </c>
      <c r="K567" s="61">
        <v>35.700000000000003</v>
      </c>
      <c r="L567" s="61">
        <v>32.799999999999997</v>
      </c>
      <c r="M567" s="61">
        <v>46.7</v>
      </c>
      <c r="N567" s="61">
        <v>54.4</v>
      </c>
      <c r="O567" s="85">
        <v>21.4</v>
      </c>
      <c r="P567" s="105"/>
      <c r="Q567" s="87">
        <f t="shared" si="54"/>
        <v>3.611424596042048E-3</v>
      </c>
      <c r="R567" s="87">
        <f t="shared" si="56"/>
        <v>2.7725464744456228E-3</v>
      </c>
      <c r="S567" s="87">
        <f t="shared" si="56"/>
        <v>1.13435019612335E-2</v>
      </c>
      <c r="T567" s="87">
        <f t="shared" si="56"/>
        <v>1.2048338516174355E-2</v>
      </c>
      <c r="U567" s="87">
        <f t="shared" si="56"/>
        <v>9.8522964430116395E-3</v>
      </c>
      <c r="V567" s="87">
        <f t="shared" si="56"/>
        <v>-3.6968618813262031E-3</v>
      </c>
      <c r="W567" s="87">
        <f t="shared" si="52"/>
        <v>1.8868484304382736E-2</v>
      </c>
      <c r="X567" s="87">
        <f t="shared" si="52"/>
        <v>1.4598799421152851E-2</v>
      </c>
      <c r="Y567" s="87">
        <f t="shared" si="52"/>
        <v>2.2436838635825379E-2</v>
      </c>
      <c r="Z567" s="87">
        <f t="shared" si="52"/>
        <v>0</v>
      </c>
      <c r="AA567" s="87">
        <f t="shared" si="52"/>
        <v>-3.044142381228244E-3</v>
      </c>
      <c r="AB567" s="87">
        <f t="shared" si="53"/>
        <v>-2.1390382487493074E-3</v>
      </c>
      <c r="AC567" s="87">
        <f t="shared" si="53"/>
        <v>0</v>
      </c>
      <c r="AD567" s="87">
        <f t="shared" si="53"/>
        <v>-4.662013105811413E-3</v>
      </c>
      <c r="AE567" s="90">
        <f t="shared" si="55"/>
        <v>6.4025348821483306E-3</v>
      </c>
      <c r="AF567" s="89"/>
    </row>
    <row r="568" spans="1:32" ht="15.5" x14ac:dyDescent="0.35">
      <c r="A568" s="82">
        <v>40589</v>
      </c>
      <c r="B568" s="83">
        <v>8383.7000000000007</v>
      </c>
      <c r="C568" s="84">
        <v>2804.4</v>
      </c>
      <c r="D568" s="61">
        <v>311.89999999999998</v>
      </c>
      <c r="E568" s="61">
        <v>16.8</v>
      </c>
      <c r="F568" s="61">
        <v>51.1</v>
      </c>
      <c r="G568" s="61">
        <v>27</v>
      </c>
      <c r="H568" s="61">
        <v>42.9</v>
      </c>
      <c r="I568" s="61">
        <v>14.1</v>
      </c>
      <c r="J568" s="61">
        <v>60.6</v>
      </c>
      <c r="K568" s="61">
        <v>35.700000000000003</v>
      </c>
      <c r="L568" s="61">
        <v>32.700000000000003</v>
      </c>
      <c r="M568" s="61">
        <v>46.5</v>
      </c>
      <c r="N568" s="61">
        <v>54.5</v>
      </c>
      <c r="O568" s="85">
        <v>21.2</v>
      </c>
      <c r="P568" s="105"/>
      <c r="Q568" s="87">
        <f t="shared" si="54"/>
        <v>-2.5612174416473179E-3</v>
      </c>
      <c r="R568" s="87">
        <f t="shared" si="56"/>
        <v>-4.553871538442643E-3</v>
      </c>
      <c r="S568" s="87">
        <f t="shared" si="56"/>
        <v>5.1430521594228468E-3</v>
      </c>
      <c r="T568" s="87">
        <f t="shared" si="56"/>
        <v>5.9701669865039747E-3</v>
      </c>
      <c r="U568" s="87">
        <f t="shared" si="56"/>
        <v>1.9588644853329716E-3</v>
      </c>
      <c r="V568" s="87">
        <f t="shared" si="56"/>
        <v>0</v>
      </c>
      <c r="W568" s="87">
        <f t="shared" si="52"/>
        <v>2.3337233462203183E-3</v>
      </c>
      <c r="X568" s="87">
        <f t="shared" si="52"/>
        <v>2.1506205220963463E-2</v>
      </c>
      <c r="Y568" s="87">
        <f t="shared" si="52"/>
        <v>-4.0425876471898686E-2</v>
      </c>
      <c r="Z568" s="87">
        <f t="shared" si="52"/>
        <v>0</v>
      </c>
      <c r="AA568" s="87">
        <f t="shared" si="52"/>
        <v>-3.0534374868901202E-3</v>
      </c>
      <c r="AB568" s="87">
        <f t="shared" si="53"/>
        <v>-4.2918520815410323E-3</v>
      </c>
      <c r="AC568" s="87">
        <f t="shared" si="53"/>
        <v>1.836547807301552E-3</v>
      </c>
      <c r="AD568" s="87">
        <f t="shared" si="53"/>
        <v>-9.3897403498390316E-3</v>
      </c>
      <c r="AE568" s="90">
        <f t="shared" si="55"/>
        <v>-4.4050485300662853E-4</v>
      </c>
      <c r="AF568" s="89"/>
    </row>
    <row r="569" spans="1:32" ht="15.5" x14ac:dyDescent="0.35">
      <c r="A569" s="82">
        <v>40590</v>
      </c>
      <c r="B569" s="83">
        <v>8453.7999999999993</v>
      </c>
      <c r="C569" s="84">
        <v>2825.6</v>
      </c>
      <c r="D569" s="61">
        <v>311.39999999999998</v>
      </c>
      <c r="E569" s="61">
        <v>17.2</v>
      </c>
      <c r="F569" s="61">
        <v>51.5</v>
      </c>
      <c r="G569" s="61">
        <v>26.6</v>
      </c>
      <c r="H569" s="61">
        <v>43.1</v>
      </c>
      <c r="I569" s="61">
        <v>14.5</v>
      </c>
      <c r="J569" s="61">
        <v>61</v>
      </c>
      <c r="K569" s="61">
        <v>36.200000000000003</v>
      </c>
      <c r="L569" s="61">
        <v>32.700000000000003</v>
      </c>
      <c r="M569" s="61">
        <v>47</v>
      </c>
      <c r="N569" s="61">
        <v>54</v>
      </c>
      <c r="O569" s="85">
        <v>21.3</v>
      </c>
      <c r="P569" s="105"/>
      <c r="Q569" s="87">
        <f t="shared" si="54"/>
        <v>8.3266999287600115E-3</v>
      </c>
      <c r="R569" s="87">
        <f t="shared" si="56"/>
        <v>7.5311190768281213E-3</v>
      </c>
      <c r="S569" s="87">
        <f t="shared" si="56"/>
        <v>-1.604364213859574E-3</v>
      </c>
      <c r="T569" s="87">
        <f t="shared" si="56"/>
        <v>2.3530497410194036E-2</v>
      </c>
      <c r="U569" s="87">
        <f t="shared" si="56"/>
        <v>7.7973104600317106E-3</v>
      </c>
      <c r="V569" s="87">
        <f t="shared" si="56"/>
        <v>-1.4925650216675593E-2</v>
      </c>
      <c r="W569" s="87">
        <f t="shared" si="52"/>
        <v>4.6511711757308803E-3</v>
      </c>
      <c r="X569" s="87">
        <f t="shared" si="52"/>
        <v>2.7973852042406162E-2</v>
      </c>
      <c r="Y569" s="87">
        <f t="shared" si="52"/>
        <v>6.5789710980425605E-3</v>
      </c>
      <c r="Z569" s="87">
        <f t="shared" si="52"/>
        <v>1.3908430046131931E-2</v>
      </c>
      <c r="AA569" s="87">
        <f t="shared" si="52"/>
        <v>0</v>
      </c>
      <c r="AB569" s="87">
        <f t="shared" si="53"/>
        <v>1.069528911674795E-2</v>
      </c>
      <c r="AC569" s="87">
        <f t="shared" si="53"/>
        <v>-9.2166551049239522E-3</v>
      </c>
      <c r="AD569" s="87">
        <f t="shared" si="53"/>
        <v>4.7058910374127138E-3</v>
      </c>
      <c r="AE569" s="90">
        <f t="shared" si="55"/>
        <v>4.5892884216942927E-3</v>
      </c>
      <c r="AF569" s="89"/>
    </row>
    <row r="570" spans="1:32" ht="15.5" x14ac:dyDescent="0.35">
      <c r="A570" s="82">
        <v>40591</v>
      </c>
      <c r="B570" s="83">
        <v>8497.4</v>
      </c>
      <c r="C570" s="84">
        <v>2831.6</v>
      </c>
      <c r="D570" s="61">
        <v>310.5</v>
      </c>
      <c r="E570" s="61">
        <v>17.5</v>
      </c>
      <c r="F570" s="61">
        <v>50.9</v>
      </c>
      <c r="G570" s="61">
        <v>26.9</v>
      </c>
      <c r="H570" s="61">
        <v>43.5</v>
      </c>
      <c r="I570" s="61">
        <v>14.5</v>
      </c>
      <c r="J570" s="61">
        <v>61.1</v>
      </c>
      <c r="K570" s="61">
        <v>36.6</v>
      </c>
      <c r="L570" s="61">
        <v>32.700000000000003</v>
      </c>
      <c r="M570" s="61">
        <v>47.2</v>
      </c>
      <c r="N570" s="61">
        <v>54.1</v>
      </c>
      <c r="O570" s="85">
        <v>21.1</v>
      </c>
      <c r="P570" s="105"/>
      <c r="Q570" s="87">
        <f t="shared" si="54"/>
        <v>5.1441899272890593E-3</v>
      </c>
      <c r="R570" s="87">
        <f t="shared" si="56"/>
        <v>2.121191490393273E-3</v>
      </c>
      <c r="S570" s="87">
        <f t="shared" si="56"/>
        <v>-2.8943580263644146E-3</v>
      </c>
      <c r="T570" s="87">
        <f t="shared" si="56"/>
        <v>1.7291497110061043E-2</v>
      </c>
      <c r="U570" s="87">
        <f t="shared" si="56"/>
        <v>-1.1718884113213375E-2</v>
      </c>
      <c r="V570" s="87">
        <f t="shared" si="56"/>
        <v>1.1215070820140003E-2</v>
      </c>
      <c r="W570" s="87">
        <f t="shared" si="52"/>
        <v>9.2379409849363599E-3</v>
      </c>
      <c r="X570" s="87">
        <f t="shared" si="52"/>
        <v>0</v>
      </c>
      <c r="Y570" s="87">
        <f t="shared" si="52"/>
        <v>1.6380020042383698E-3</v>
      </c>
      <c r="Z570" s="87">
        <f t="shared" si="52"/>
        <v>1.0989121575595165E-2</v>
      </c>
      <c r="AA570" s="87">
        <f t="shared" si="52"/>
        <v>0</v>
      </c>
      <c r="AB570" s="87">
        <f t="shared" si="53"/>
        <v>4.2462908814512243E-3</v>
      </c>
      <c r="AC570" s="87">
        <f t="shared" si="53"/>
        <v>1.8501392881613734E-3</v>
      </c>
      <c r="AD570" s="87">
        <f t="shared" si="53"/>
        <v>-9.4340322333585289E-3</v>
      </c>
      <c r="AE570" s="90">
        <f t="shared" si="55"/>
        <v>-4.7091160045659095E-3</v>
      </c>
      <c r="AF570" s="89"/>
    </row>
    <row r="571" spans="1:32" ht="15.5" x14ac:dyDescent="0.35">
      <c r="A571" s="82">
        <v>40592</v>
      </c>
      <c r="B571" s="83">
        <v>8507.9</v>
      </c>
      <c r="C571" s="84">
        <v>2833.9</v>
      </c>
      <c r="D571" s="61">
        <v>312.39999999999998</v>
      </c>
      <c r="E571" s="61">
        <v>17.600000000000001</v>
      </c>
      <c r="F571" s="61">
        <v>49.9</v>
      </c>
      <c r="G571" s="61">
        <v>27</v>
      </c>
      <c r="H571" s="61">
        <v>43.6</v>
      </c>
      <c r="I571" s="61">
        <v>14.5</v>
      </c>
      <c r="J571" s="61">
        <v>59.8</v>
      </c>
      <c r="K571" s="61">
        <v>36.799999999999997</v>
      </c>
      <c r="L571" s="61">
        <v>32.799999999999997</v>
      </c>
      <c r="M571" s="61">
        <v>47.3</v>
      </c>
      <c r="N571" s="61">
        <v>54.5</v>
      </c>
      <c r="O571" s="85">
        <v>21.5</v>
      </c>
      <c r="P571" s="105"/>
      <c r="Q571" s="87">
        <f t="shared" si="54"/>
        <v>1.2349092735059553E-3</v>
      </c>
      <c r="R571" s="87">
        <f t="shared" si="56"/>
        <v>8.1193191293031772E-4</v>
      </c>
      <c r="S571" s="87">
        <f t="shared" si="56"/>
        <v>6.1005165919972952E-3</v>
      </c>
      <c r="T571" s="87">
        <f t="shared" si="56"/>
        <v>5.6980211146377959E-3</v>
      </c>
      <c r="U571" s="87">
        <f t="shared" si="56"/>
        <v>-1.984192079900406E-2</v>
      </c>
      <c r="V571" s="87">
        <f t="shared" si="56"/>
        <v>3.7105793965357746E-3</v>
      </c>
      <c r="W571" s="87">
        <f t="shared" si="52"/>
        <v>2.296212260350157E-3</v>
      </c>
      <c r="X571" s="87">
        <f t="shared" si="52"/>
        <v>0</v>
      </c>
      <c r="Y571" s="87">
        <f t="shared" si="52"/>
        <v>-2.1506205220963619E-2</v>
      </c>
      <c r="Z571" s="87">
        <f t="shared" si="52"/>
        <v>5.4496047675644645E-3</v>
      </c>
      <c r="AA571" s="87">
        <f t="shared" si="52"/>
        <v>3.0534374868902482E-3</v>
      </c>
      <c r="AB571" s="87">
        <f t="shared" si="53"/>
        <v>2.1164029063774721E-3</v>
      </c>
      <c r="AC571" s="87">
        <f t="shared" si="53"/>
        <v>7.3665158167624256E-3</v>
      </c>
      <c r="AD571" s="87">
        <f t="shared" si="53"/>
        <v>1.8779894651596275E-2</v>
      </c>
      <c r="AE571" s="90">
        <f t="shared" si="55"/>
        <v>-1.3615251795673433E-3</v>
      </c>
      <c r="AF571" s="89"/>
    </row>
    <row r="572" spans="1:32" ht="15.5" x14ac:dyDescent="0.35">
      <c r="A572" s="82">
        <v>40596</v>
      </c>
      <c r="B572" s="83">
        <v>8325.9</v>
      </c>
      <c r="C572" s="84">
        <v>2756.4</v>
      </c>
      <c r="D572" s="61">
        <v>304.2</v>
      </c>
      <c r="E572" s="61">
        <v>16.899999999999999</v>
      </c>
      <c r="F572" s="61">
        <v>48.3</v>
      </c>
      <c r="G572" s="61">
        <v>26.5</v>
      </c>
      <c r="H572" s="61">
        <v>44.8</v>
      </c>
      <c r="I572" s="61">
        <v>13.8</v>
      </c>
      <c r="J572" s="61">
        <v>55.9</v>
      </c>
      <c r="K572" s="61">
        <v>35.9</v>
      </c>
      <c r="L572" s="61">
        <v>32.299999999999997</v>
      </c>
      <c r="M572" s="61">
        <v>45.9</v>
      </c>
      <c r="N572" s="61">
        <v>53.7</v>
      </c>
      <c r="O572" s="85">
        <v>21.7</v>
      </c>
      <c r="P572" s="105"/>
      <c r="Q572" s="87">
        <f t="shared" si="54"/>
        <v>-2.1624005493931328E-2</v>
      </c>
      <c r="R572" s="87">
        <f t="shared" si="56"/>
        <v>-2.7728374329911498E-2</v>
      </c>
      <c r="S572" s="87">
        <f t="shared" si="56"/>
        <v>-2.6599038140338396E-2</v>
      </c>
      <c r="T572" s="87">
        <f t="shared" ref="T572:Y615" si="57">+LN(E572/E571)</f>
        <v>-4.0585280115078448E-2</v>
      </c>
      <c r="U572" s="87">
        <f t="shared" si="57"/>
        <v>-3.2589442098946014E-2</v>
      </c>
      <c r="V572" s="87">
        <f t="shared" si="57"/>
        <v>-1.8692133012152522E-2</v>
      </c>
      <c r="W572" s="87">
        <f t="shared" si="52"/>
        <v>2.7150989065950683E-2</v>
      </c>
      <c r="X572" s="87">
        <f t="shared" si="52"/>
        <v>-4.9480057263369695E-2</v>
      </c>
      <c r="Y572" s="87">
        <f t="shared" si="52"/>
        <v>-6.7441280795532535E-2</v>
      </c>
      <c r="Z572" s="87">
        <f t="shared" si="52"/>
        <v>-2.4760549680651996E-2</v>
      </c>
      <c r="AA572" s="87">
        <f t="shared" si="52"/>
        <v>-1.5361285161487206E-2</v>
      </c>
      <c r="AB572" s="87">
        <f t="shared" si="53"/>
        <v>-3.0045178431387817E-2</v>
      </c>
      <c r="AC572" s="87">
        <f t="shared" si="53"/>
        <v>-1.4787700154379389E-2</v>
      </c>
      <c r="AD572" s="87">
        <f t="shared" si="53"/>
        <v>9.2593254127967262E-3</v>
      </c>
      <c r="AE572" s="90">
        <f t="shared" si="55"/>
        <v>-2.4291923371954641E-2</v>
      </c>
      <c r="AF572" s="89"/>
    </row>
    <row r="573" spans="1:32" ht="15.5" x14ac:dyDescent="0.35">
      <c r="A573" s="82">
        <v>40597</v>
      </c>
      <c r="B573" s="83">
        <v>8292.9</v>
      </c>
      <c r="C573" s="84">
        <v>2723</v>
      </c>
      <c r="D573" s="61">
        <v>302.3</v>
      </c>
      <c r="E573" s="61">
        <v>16.399999999999999</v>
      </c>
      <c r="F573" s="61">
        <v>48.4</v>
      </c>
      <c r="G573" s="61">
        <v>26.4</v>
      </c>
      <c r="H573" s="61">
        <v>44.5</v>
      </c>
      <c r="I573" s="61">
        <v>13.3</v>
      </c>
      <c r="J573" s="61">
        <v>54.4</v>
      </c>
      <c r="K573" s="61">
        <v>35</v>
      </c>
      <c r="L573" s="61">
        <v>32</v>
      </c>
      <c r="M573" s="61">
        <v>45.1</v>
      </c>
      <c r="N573" s="61">
        <v>52.6</v>
      </c>
      <c r="O573" s="85">
        <v>21.5</v>
      </c>
      <c r="P573" s="105"/>
      <c r="Q573" s="87">
        <f t="shared" si="54"/>
        <v>-3.9714110974655549E-3</v>
      </c>
      <c r="R573" s="87">
        <f t="shared" ref="R573:V636" si="58">+LN(C573/C572)</f>
        <v>-1.2191266809293342E-2</v>
      </c>
      <c r="S573" s="87">
        <f t="shared" si="58"/>
        <v>-6.2654780397799949E-3</v>
      </c>
      <c r="T573" s="87">
        <f t="shared" si="57"/>
        <v>-3.003228709887509E-2</v>
      </c>
      <c r="U573" s="87">
        <f t="shared" si="57"/>
        <v>2.0682530640590605E-3</v>
      </c>
      <c r="V573" s="87">
        <f t="shared" si="57"/>
        <v>-3.7807228399060443E-3</v>
      </c>
      <c r="W573" s="87">
        <f t="shared" si="52"/>
        <v>-6.7189502487448689E-3</v>
      </c>
      <c r="X573" s="87">
        <f t="shared" si="52"/>
        <v>-3.6904556935450979E-2</v>
      </c>
      <c r="Y573" s="87">
        <f t="shared" si="52"/>
        <v>-2.7200226299156485E-2</v>
      </c>
      <c r="Z573" s="87">
        <f t="shared" ref="Z573:AD632" si="59">+LN(K573/K572)</f>
        <v>-2.5389234004819464E-2</v>
      </c>
      <c r="AA573" s="87">
        <f t="shared" si="59"/>
        <v>-9.3313274288841924E-3</v>
      </c>
      <c r="AB573" s="87">
        <f t="shared" si="53"/>
        <v>-1.7582870557866705E-2</v>
      </c>
      <c r="AC573" s="87">
        <f t="shared" si="53"/>
        <v>-2.0696881771154862E-2</v>
      </c>
      <c r="AD573" s="87">
        <f t="shared" si="53"/>
        <v>-9.2593254127967123E-3</v>
      </c>
      <c r="AE573" s="90">
        <f t="shared" si="55"/>
        <v>-6.0226831465943469E-3</v>
      </c>
      <c r="AF573" s="89"/>
    </row>
    <row r="574" spans="1:32" ht="15.5" x14ac:dyDescent="0.35">
      <c r="A574" s="82">
        <v>40598</v>
      </c>
      <c r="B574" s="83">
        <v>8276.2999999999993</v>
      </c>
      <c r="C574" s="84">
        <v>2737.9</v>
      </c>
      <c r="D574" s="61">
        <v>301</v>
      </c>
      <c r="E574" s="61">
        <v>16</v>
      </c>
      <c r="F574" s="61">
        <v>48.3</v>
      </c>
      <c r="G574" s="61">
        <v>26.5</v>
      </c>
      <c r="H574" s="61">
        <v>44.3</v>
      </c>
      <c r="I574" s="61">
        <v>13.3</v>
      </c>
      <c r="J574" s="61">
        <v>56.8</v>
      </c>
      <c r="K574" s="61">
        <v>35.4</v>
      </c>
      <c r="L574" s="61">
        <v>31.9</v>
      </c>
      <c r="M574" s="61">
        <v>45.5</v>
      </c>
      <c r="N574" s="61">
        <v>52.4</v>
      </c>
      <c r="O574" s="85">
        <v>21.4</v>
      </c>
      <c r="P574" s="105"/>
      <c r="Q574" s="87">
        <f t="shared" si="54"/>
        <v>-2.0037184117432313E-3</v>
      </c>
      <c r="R574" s="87">
        <f t="shared" si="58"/>
        <v>5.4569894981573181E-3</v>
      </c>
      <c r="S574" s="87">
        <f t="shared" si="58"/>
        <v>-4.3096370365366425E-3</v>
      </c>
      <c r="T574" s="87">
        <f t="shared" si="57"/>
        <v>-2.4692612590371411E-2</v>
      </c>
      <c r="U574" s="87">
        <f t="shared" si="57"/>
        <v>-2.0682530640590683E-3</v>
      </c>
      <c r="V574" s="87">
        <f t="shared" si="57"/>
        <v>3.7807228399061523E-3</v>
      </c>
      <c r="W574" s="87">
        <f t="shared" si="57"/>
        <v>-4.5045121211046528E-3</v>
      </c>
      <c r="X574" s="87">
        <f t="shared" si="57"/>
        <v>0</v>
      </c>
      <c r="Y574" s="87">
        <f t="shared" si="57"/>
        <v>4.3172171865208782E-2</v>
      </c>
      <c r="Z574" s="87">
        <f t="shared" si="59"/>
        <v>1.1363758650315003E-2</v>
      </c>
      <c r="AA574" s="87">
        <f t="shared" si="59"/>
        <v>-3.1298930089277044E-3</v>
      </c>
      <c r="AB574" s="87">
        <f t="shared" si="53"/>
        <v>8.8300794482719953E-3</v>
      </c>
      <c r="AC574" s="87">
        <f t="shared" si="53"/>
        <v>-3.8095284166677302E-3</v>
      </c>
      <c r="AD574" s="87">
        <f t="shared" si="53"/>
        <v>-4.662013105811413E-3</v>
      </c>
      <c r="AE574" s="90">
        <f t="shared" si="55"/>
        <v>-7.8403713790400973E-4</v>
      </c>
      <c r="AF574" s="89"/>
    </row>
    <row r="575" spans="1:32" ht="15.5" x14ac:dyDescent="0.35">
      <c r="A575" s="82">
        <v>40599</v>
      </c>
      <c r="B575" s="83">
        <v>8378</v>
      </c>
      <c r="C575" s="84">
        <v>2781.1</v>
      </c>
      <c r="D575" s="61">
        <v>305.10000000000002</v>
      </c>
      <c r="E575" s="61">
        <v>16.399999999999999</v>
      </c>
      <c r="F575" s="61">
        <v>49.3</v>
      </c>
      <c r="G575" s="61">
        <v>26.5</v>
      </c>
      <c r="H575" s="61">
        <v>45.2</v>
      </c>
      <c r="I575" s="61">
        <v>13.5</v>
      </c>
      <c r="J575" s="61">
        <v>59.3</v>
      </c>
      <c r="K575" s="61">
        <v>34.1</v>
      </c>
      <c r="L575" s="61">
        <v>32</v>
      </c>
      <c r="M575" s="61">
        <v>46.3</v>
      </c>
      <c r="N575" s="61">
        <v>53.1</v>
      </c>
      <c r="O575" s="85">
        <v>21.6</v>
      </c>
      <c r="P575" s="105"/>
      <c r="Q575" s="87">
        <f t="shared" si="54"/>
        <v>1.2213213902696736E-2</v>
      </c>
      <c r="R575" s="87">
        <f t="shared" si="58"/>
        <v>1.5655329703949547E-2</v>
      </c>
      <c r="S575" s="87">
        <f t="shared" si="58"/>
        <v>1.3529326973748198E-2</v>
      </c>
      <c r="T575" s="87">
        <f t="shared" si="57"/>
        <v>2.4692612590371414E-2</v>
      </c>
      <c r="U575" s="87">
        <f t="shared" si="57"/>
        <v>2.0492520390117386E-2</v>
      </c>
      <c r="V575" s="87">
        <f t="shared" si="57"/>
        <v>0</v>
      </c>
      <c r="W575" s="87">
        <f t="shared" si="57"/>
        <v>2.0112409787095688E-2</v>
      </c>
      <c r="X575" s="87">
        <f t="shared" si="57"/>
        <v>1.4925650216675574E-2</v>
      </c>
      <c r="Y575" s="87">
        <f t="shared" si="57"/>
        <v>4.3072980276574101E-2</v>
      </c>
      <c r="Z575" s="87">
        <f t="shared" si="59"/>
        <v>-3.7414435850257596E-2</v>
      </c>
      <c r="AA575" s="87">
        <f t="shared" si="59"/>
        <v>3.1298930089277868E-3</v>
      </c>
      <c r="AB575" s="87">
        <f t="shared" si="53"/>
        <v>1.7429635135283596E-2</v>
      </c>
      <c r="AC575" s="87">
        <f t="shared" si="53"/>
        <v>1.327033692089683E-2</v>
      </c>
      <c r="AD575" s="87">
        <f t="shared" si="53"/>
        <v>9.3023926623136306E-3</v>
      </c>
      <c r="AE575" s="90">
        <f t="shared" si="55"/>
        <v>1.5643864678303226E-2</v>
      </c>
      <c r="AF575" s="89"/>
    </row>
    <row r="576" spans="1:32" ht="15.5" x14ac:dyDescent="0.35">
      <c r="A576" s="82">
        <v>40602</v>
      </c>
      <c r="B576" s="83">
        <v>8438.5</v>
      </c>
      <c r="C576" s="84">
        <v>2782.3</v>
      </c>
      <c r="D576" s="61">
        <v>304.3</v>
      </c>
      <c r="E576" s="61">
        <v>16.3</v>
      </c>
      <c r="F576" s="61">
        <v>50.2</v>
      </c>
      <c r="G576" s="61">
        <v>26.5</v>
      </c>
      <c r="H576" s="61">
        <v>44.7</v>
      </c>
      <c r="I576" s="61">
        <v>13.8</v>
      </c>
      <c r="J576" s="61">
        <v>60.7</v>
      </c>
      <c r="K576" s="61">
        <v>34.1</v>
      </c>
      <c r="L576" s="61">
        <v>32.200000000000003</v>
      </c>
      <c r="M576" s="61">
        <v>46.7</v>
      </c>
      <c r="N576" s="61">
        <v>53.5</v>
      </c>
      <c r="O576" s="85">
        <v>22</v>
      </c>
      <c r="P576" s="105"/>
      <c r="Q576" s="87">
        <f t="shared" si="54"/>
        <v>7.1953451695587704E-3</v>
      </c>
      <c r="R576" s="87">
        <f t="shared" si="58"/>
        <v>4.3139088277305526E-4</v>
      </c>
      <c r="S576" s="87">
        <f t="shared" si="58"/>
        <v>-2.6255348196986528E-3</v>
      </c>
      <c r="T576" s="87">
        <f t="shared" si="57"/>
        <v>-6.1162270174359825E-3</v>
      </c>
      <c r="U576" s="87">
        <f t="shared" si="57"/>
        <v>1.8090945649039264E-2</v>
      </c>
      <c r="V576" s="87">
        <f t="shared" si="57"/>
        <v>0</v>
      </c>
      <c r="W576" s="87">
        <f t="shared" si="57"/>
        <v>-1.1123585218662316E-2</v>
      </c>
      <c r="X576" s="87">
        <f t="shared" si="57"/>
        <v>2.1978906718775382E-2</v>
      </c>
      <c r="Y576" s="87">
        <f t="shared" si="57"/>
        <v>2.3334392061772839E-2</v>
      </c>
      <c r="Z576" s="87">
        <f t="shared" si="59"/>
        <v>0</v>
      </c>
      <c r="AA576" s="87">
        <f t="shared" si="59"/>
        <v>6.2305497506361628E-3</v>
      </c>
      <c r="AB576" s="87">
        <f t="shared" si="53"/>
        <v>8.6022035826632884E-3</v>
      </c>
      <c r="AC576" s="87">
        <f t="shared" si="53"/>
        <v>7.5047256540677924E-3</v>
      </c>
      <c r="AD576" s="87">
        <f t="shared" si="53"/>
        <v>1.8349138668196398E-2</v>
      </c>
      <c r="AE576" s="90">
        <f t="shared" si="55"/>
        <v>6.7638570171026265E-3</v>
      </c>
      <c r="AF576" s="89"/>
    </row>
    <row r="577" spans="1:32" ht="15.5" x14ac:dyDescent="0.35">
      <c r="A577" s="82">
        <v>40603</v>
      </c>
      <c r="B577" s="83">
        <v>8315.7999999999993</v>
      </c>
      <c r="C577" s="84">
        <v>2737.4</v>
      </c>
      <c r="D577" s="61">
        <v>300</v>
      </c>
      <c r="E577" s="61">
        <v>16.100000000000001</v>
      </c>
      <c r="F577" s="61">
        <v>49.7</v>
      </c>
      <c r="G577" s="61">
        <v>26.2</v>
      </c>
      <c r="H577" s="61">
        <v>44.3</v>
      </c>
      <c r="I577" s="61">
        <v>13.6</v>
      </c>
      <c r="J577" s="61">
        <v>60.5</v>
      </c>
      <c r="K577" s="61">
        <v>33.9</v>
      </c>
      <c r="L577" s="61">
        <v>32.4</v>
      </c>
      <c r="M577" s="61">
        <v>45.8</v>
      </c>
      <c r="N577" s="61">
        <v>52.5</v>
      </c>
      <c r="O577" s="85">
        <v>21.9</v>
      </c>
      <c r="P577" s="105"/>
      <c r="Q577" s="87">
        <f t="shared" si="54"/>
        <v>-1.4647248011892062E-2</v>
      </c>
      <c r="R577" s="87">
        <f t="shared" si="58"/>
        <v>-1.6269358981473726E-2</v>
      </c>
      <c r="S577" s="87">
        <f t="shared" si="58"/>
        <v>-1.4231582246724394E-2</v>
      </c>
      <c r="T577" s="87">
        <f t="shared" si="57"/>
        <v>-1.2345835822299266E-2</v>
      </c>
      <c r="U577" s="87">
        <f t="shared" si="57"/>
        <v>-1.001009359510046E-2</v>
      </c>
      <c r="V577" s="87">
        <f t="shared" si="57"/>
        <v>-1.1385322225125352E-2</v>
      </c>
      <c r="W577" s="87">
        <f t="shared" si="57"/>
        <v>-8.9888245684333311E-3</v>
      </c>
      <c r="X577" s="87">
        <f t="shared" si="57"/>
        <v>-1.4598799421152749E-2</v>
      </c>
      <c r="Y577" s="87">
        <f t="shared" si="57"/>
        <v>-3.3003330286568541E-3</v>
      </c>
      <c r="Z577" s="87">
        <f t="shared" si="59"/>
        <v>-5.8823699030666364E-3</v>
      </c>
      <c r="AA577" s="87">
        <f t="shared" si="59"/>
        <v>6.1919702479209804E-3</v>
      </c>
      <c r="AB577" s="87">
        <f t="shared" si="53"/>
        <v>-1.9460073554712503E-2</v>
      </c>
      <c r="AC577" s="87">
        <f t="shared" si="53"/>
        <v>-1.8868484304382805E-2</v>
      </c>
      <c r="AD577" s="87">
        <f t="shared" si="53"/>
        <v>-4.5558165358608018E-3</v>
      </c>
      <c r="AE577" s="90">
        <f t="shared" si="55"/>
        <v>-1.2459242480585568E-2</v>
      </c>
      <c r="AF577" s="89"/>
    </row>
    <row r="578" spans="1:32" ht="15.5" x14ac:dyDescent="0.35">
      <c r="A578" s="82">
        <v>40604</v>
      </c>
      <c r="B578" s="83">
        <v>8338.7999999999993</v>
      </c>
      <c r="C578" s="84">
        <v>2748.1</v>
      </c>
      <c r="D578" s="61">
        <v>297.89999999999998</v>
      </c>
      <c r="E578" s="61">
        <v>16.600000000000001</v>
      </c>
      <c r="F578" s="61">
        <v>49.8</v>
      </c>
      <c r="G578" s="61">
        <v>26</v>
      </c>
      <c r="H578" s="61">
        <v>44.1</v>
      </c>
      <c r="I578" s="61">
        <v>13.7</v>
      </c>
      <c r="J578" s="61">
        <v>60.1</v>
      </c>
      <c r="K578" s="61">
        <v>33.700000000000003</v>
      </c>
      <c r="L578" s="61">
        <v>32.299999999999997</v>
      </c>
      <c r="M578" s="61">
        <v>43.4</v>
      </c>
      <c r="N578" s="61">
        <v>52.6</v>
      </c>
      <c r="O578" s="85">
        <v>21.8</v>
      </c>
      <c r="P578" s="105"/>
      <c r="Q578" s="87">
        <f t="shared" si="54"/>
        <v>2.7620014436348169E-3</v>
      </c>
      <c r="R578" s="87">
        <f t="shared" si="58"/>
        <v>3.9011990048624851E-3</v>
      </c>
      <c r="S578" s="87">
        <f t="shared" si="58"/>
        <v>-7.0246149369645782E-3</v>
      </c>
      <c r="T578" s="87">
        <f t="shared" si="57"/>
        <v>3.0583423372080185E-2</v>
      </c>
      <c r="U578" s="87">
        <f t="shared" si="57"/>
        <v>2.0100509280241E-3</v>
      </c>
      <c r="V578" s="87">
        <f t="shared" si="57"/>
        <v>-7.6628727455691371E-3</v>
      </c>
      <c r="W578" s="87">
        <f t="shared" si="57"/>
        <v>-4.5248945982895774E-3</v>
      </c>
      <c r="X578" s="87">
        <f t="shared" si="57"/>
        <v>7.3260400920728812E-3</v>
      </c>
      <c r="Y578" s="87">
        <f t="shared" si="57"/>
        <v>-6.633523495633906E-3</v>
      </c>
      <c r="Z578" s="87">
        <f t="shared" si="59"/>
        <v>-5.9171770280883962E-3</v>
      </c>
      <c r="AA578" s="87">
        <f t="shared" si="59"/>
        <v>-3.0911925696728579E-3</v>
      </c>
      <c r="AB578" s="87">
        <f t="shared" si="53"/>
        <v>-5.3824650013780111E-2</v>
      </c>
      <c r="AC578" s="87">
        <f t="shared" si="53"/>
        <v>1.9029501460860636E-3</v>
      </c>
      <c r="AD578" s="87">
        <f t="shared" si="53"/>
        <v>-4.5766670274117547E-3</v>
      </c>
      <c r="AE578" s="90">
        <f t="shared" si="55"/>
        <v>-8.6871216458049246E-4</v>
      </c>
      <c r="AF578" s="89"/>
    </row>
    <row r="579" spans="1:32" ht="15.5" x14ac:dyDescent="0.35">
      <c r="A579" s="82">
        <v>40605</v>
      </c>
      <c r="B579" s="83">
        <v>8465.5</v>
      </c>
      <c r="C579" s="84">
        <v>2798.7</v>
      </c>
      <c r="D579" s="61">
        <v>302.8</v>
      </c>
      <c r="E579" s="61">
        <v>16.8</v>
      </c>
      <c r="F579" s="61">
        <v>50.9</v>
      </c>
      <c r="G579" s="61">
        <v>26.2</v>
      </c>
      <c r="H579" s="61">
        <v>44.6</v>
      </c>
      <c r="I579" s="61">
        <v>13.9</v>
      </c>
      <c r="J579" s="61">
        <v>61.2</v>
      </c>
      <c r="K579" s="61">
        <v>33.700000000000003</v>
      </c>
      <c r="L579" s="61">
        <v>32.6</v>
      </c>
      <c r="M579" s="61">
        <v>44</v>
      </c>
      <c r="N579" s="61">
        <v>54.7</v>
      </c>
      <c r="O579" s="85">
        <v>22.2</v>
      </c>
      <c r="P579" s="105"/>
      <c r="Q579" s="87">
        <f t="shared" si="54"/>
        <v>1.507975946000471E-2</v>
      </c>
      <c r="R579" s="87">
        <f t="shared" si="58"/>
        <v>1.8245259852996513E-2</v>
      </c>
      <c r="S579" s="87">
        <f t="shared" si="58"/>
        <v>1.6314661844057134E-2</v>
      </c>
      <c r="T579" s="87">
        <f t="shared" si="57"/>
        <v>1.197619104671562E-2</v>
      </c>
      <c r="U579" s="87">
        <f t="shared" si="57"/>
        <v>2.1847939525869869E-2</v>
      </c>
      <c r="V579" s="87">
        <f t="shared" si="57"/>
        <v>7.6628727455690972E-3</v>
      </c>
      <c r="W579" s="87">
        <f t="shared" si="57"/>
        <v>1.1274076573218161E-2</v>
      </c>
      <c r="X579" s="87">
        <f t="shared" si="57"/>
        <v>1.4493007302566824E-2</v>
      </c>
      <c r="Y579" s="87">
        <f t="shared" si="57"/>
        <v>1.8137347977118485E-2</v>
      </c>
      <c r="Z579" s="87">
        <f t="shared" si="59"/>
        <v>0</v>
      </c>
      <c r="AA579" s="87">
        <f t="shared" si="59"/>
        <v>9.2450581440512089E-3</v>
      </c>
      <c r="AB579" s="87">
        <f t="shared" si="53"/>
        <v>1.3730192811902037E-2</v>
      </c>
      <c r="AC579" s="87">
        <f t="shared" si="53"/>
        <v>3.9147589684271303E-2</v>
      </c>
      <c r="AD579" s="87">
        <f t="shared" si="53"/>
        <v>1.8182319083190328E-2</v>
      </c>
      <c r="AE579" s="90">
        <f t="shared" si="55"/>
        <v>1.8702545634251975E-2</v>
      </c>
      <c r="AF579" s="89"/>
    </row>
    <row r="580" spans="1:32" ht="15.5" x14ac:dyDescent="0.35">
      <c r="A580" s="82">
        <v>40606</v>
      </c>
      <c r="B580" s="83">
        <v>8413</v>
      </c>
      <c r="C580" s="84">
        <v>2784.7</v>
      </c>
      <c r="D580" s="61">
        <v>300.39999999999998</v>
      </c>
      <c r="E580" s="61">
        <v>16.7</v>
      </c>
      <c r="F580" s="61">
        <v>51.1</v>
      </c>
      <c r="G580" s="61">
        <v>25.8</v>
      </c>
      <c r="H580" s="61">
        <v>44.1</v>
      </c>
      <c r="I580" s="61">
        <v>13.5</v>
      </c>
      <c r="J580" s="61">
        <v>60.5</v>
      </c>
      <c r="K580" s="61">
        <v>33.6</v>
      </c>
      <c r="L580" s="61">
        <v>32.799999999999997</v>
      </c>
      <c r="M580" s="61">
        <v>44.7</v>
      </c>
      <c r="N580" s="61">
        <v>56</v>
      </c>
      <c r="O580" s="85">
        <v>22.3</v>
      </c>
      <c r="P580" s="105"/>
      <c r="Q580" s="87">
        <f t="shared" si="54"/>
        <v>-6.2209520174728852E-3</v>
      </c>
      <c r="R580" s="87">
        <f t="shared" si="58"/>
        <v>-5.0148760040354678E-3</v>
      </c>
      <c r="S580" s="87">
        <f t="shared" si="58"/>
        <v>-7.9576016733141994E-3</v>
      </c>
      <c r="T580" s="87">
        <f t="shared" si="57"/>
        <v>-5.9701669865039079E-3</v>
      </c>
      <c r="U580" s="87">
        <f t="shared" si="57"/>
        <v>3.9215736531816436E-3</v>
      </c>
      <c r="V580" s="87">
        <f t="shared" si="57"/>
        <v>-1.5384918839479343E-2</v>
      </c>
      <c r="W580" s="87">
        <f t="shared" si="57"/>
        <v>-1.1274076573218108E-2</v>
      </c>
      <c r="X580" s="87">
        <f t="shared" si="57"/>
        <v>-2.9199154692262353E-2</v>
      </c>
      <c r="Y580" s="87">
        <f t="shared" si="57"/>
        <v>-1.150382448148469E-2</v>
      </c>
      <c r="Z580" s="87">
        <f t="shared" si="59"/>
        <v>-2.9717703891574817E-3</v>
      </c>
      <c r="AA580" s="87">
        <f t="shared" si="59"/>
        <v>6.1162270174360536E-3</v>
      </c>
      <c r="AB580" s="87">
        <f t="shared" si="53"/>
        <v>1.5783867701261951E-2</v>
      </c>
      <c r="AC580" s="87">
        <f t="shared" si="53"/>
        <v>2.3487981307213759E-2</v>
      </c>
      <c r="AD580" s="87">
        <f t="shared" si="53"/>
        <v>4.4943895878392674E-3</v>
      </c>
      <c r="AE580" s="90">
        <f t="shared" si="55"/>
        <v>-2.1652877367268506E-3</v>
      </c>
      <c r="AF580" s="89"/>
    </row>
    <row r="581" spans="1:32" ht="15.5" x14ac:dyDescent="0.35">
      <c r="A581" s="82">
        <v>40609</v>
      </c>
      <c r="B581" s="83">
        <v>8337</v>
      </c>
      <c r="C581" s="84">
        <v>2745.6</v>
      </c>
      <c r="D581" s="61">
        <v>293.8</v>
      </c>
      <c r="E581" s="61">
        <v>16.5</v>
      </c>
      <c r="F581" s="61">
        <v>50.2</v>
      </c>
      <c r="G581" s="61">
        <v>25.6</v>
      </c>
      <c r="H581" s="61">
        <v>43.7</v>
      </c>
      <c r="I581" s="61">
        <v>13.2</v>
      </c>
      <c r="J581" s="61">
        <v>58.7</v>
      </c>
      <c r="K581" s="61">
        <v>34.200000000000003</v>
      </c>
      <c r="L581" s="61">
        <v>32.700000000000003</v>
      </c>
      <c r="M581" s="61">
        <v>45.2</v>
      </c>
      <c r="N581" s="61">
        <v>55.9</v>
      </c>
      <c r="O581" s="85">
        <v>22.1</v>
      </c>
      <c r="P581" s="105"/>
      <c r="Q581" s="87">
        <f t="shared" si="54"/>
        <v>-9.0746891402001591E-3</v>
      </c>
      <c r="R581" s="87">
        <f t="shared" si="58"/>
        <v>-1.4140517337346371E-2</v>
      </c>
      <c r="S581" s="87">
        <f t="shared" si="58"/>
        <v>-2.2215656150202604E-2</v>
      </c>
      <c r="T581" s="87">
        <f t="shared" si="57"/>
        <v>-1.204833851617448E-2</v>
      </c>
      <c r="U581" s="87">
        <f t="shared" si="57"/>
        <v>-1.776947051197518E-2</v>
      </c>
      <c r="V581" s="87">
        <f t="shared" si="57"/>
        <v>-7.7821404420549628E-3</v>
      </c>
      <c r="W581" s="87">
        <f t="shared" si="57"/>
        <v>-9.1116803512557784E-3</v>
      </c>
      <c r="X581" s="87">
        <f t="shared" si="57"/>
        <v>-2.2472855852058628E-2</v>
      </c>
      <c r="Y581" s="87">
        <f t="shared" si="57"/>
        <v>-3.0203638202745003E-2</v>
      </c>
      <c r="Z581" s="87">
        <f t="shared" si="59"/>
        <v>1.7699577099400857E-2</v>
      </c>
      <c r="AA581" s="87">
        <f t="shared" si="59"/>
        <v>-3.0534374868901202E-3</v>
      </c>
      <c r="AB581" s="87">
        <f t="shared" si="53"/>
        <v>1.1123585218662302E-2</v>
      </c>
      <c r="AC581" s="87">
        <f t="shared" si="53"/>
        <v>-1.7873105740957515E-3</v>
      </c>
      <c r="AD581" s="87">
        <f t="shared" si="53"/>
        <v>-9.009069942365857E-3</v>
      </c>
      <c r="AE581" s="90">
        <f t="shared" si="55"/>
        <v>-1.6918570440082912E-2</v>
      </c>
      <c r="AF581" s="89"/>
    </row>
    <row r="582" spans="1:32" ht="15.5" x14ac:dyDescent="0.35">
      <c r="A582" s="82">
        <v>40610</v>
      </c>
      <c r="B582" s="83">
        <v>8394</v>
      </c>
      <c r="C582" s="84">
        <v>2765.8</v>
      </c>
      <c r="D582" s="61">
        <v>295.39999999999998</v>
      </c>
      <c r="E582" s="61">
        <v>16.7</v>
      </c>
      <c r="F582" s="61">
        <v>50.3</v>
      </c>
      <c r="G582" s="61">
        <v>25.7</v>
      </c>
      <c r="H582" s="61">
        <v>42.9</v>
      </c>
      <c r="I582" s="61">
        <v>13.4</v>
      </c>
      <c r="J582" s="61">
        <v>57.5</v>
      </c>
      <c r="K582" s="61">
        <v>33.4</v>
      </c>
      <c r="L582" s="61">
        <v>32.799999999999997</v>
      </c>
      <c r="M582" s="61">
        <v>45.5</v>
      </c>
      <c r="N582" s="61">
        <v>56.2</v>
      </c>
      <c r="O582" s="85">
        <v>22.2</v>
      </c>
      <c r="P582" s="105"/>
      <c r="Q582" s="87">
        <f t="shared" si="54"/>
        <v>6.8137254829226642E-3</v>
      </c>
      <c r="R582" s="87">
        <f t="shared" si="58"/>
        <v>7.3302937369148415E-3</v>
      </c>
      <c r="S582" s="87">
        <f t="shared" si="58"/>
        <v>5.4311063575024025E-3</v>
      </c>
      <c r="T582" s="87">
        <f t="shared" si="57"/>
        <v>1.2048338516174355E-2</v>
      </c>
      <c r="U582" s="87">
        <f t="shared" si="57"/>
        <v>1.9900504080097876E-3</v>
      </c>
      <c r="V582" s="87">
        <f t="shared" si="57"/>
        <v>3.8986404156573229E-3</v>
      </c>
      <c r="W582" s="87">
        <f t="shared" si="57"/>
        <v>-1.8476276167573233E-2</v>
      </c>
      <c r="X582" s="87">
        <f t="shared" si="57"/>
        <v>1.5037877364540502E-2</v>
      </c>
      <c r="Y582" s="87">
        <f t="shared" si="57"/>
        <v>-2.0654779030746025E-2</v>
      </c>
      <c r="Z582" s="87">
        <f t="shared" si="59"/>
        <v>-2.3669744085904849E-2</v>
      </c>
      <c r="AA582" s="87">
        <f t="shared" si="59"/>
        <v>3.0534374868902482E-3</v>
      </c>
      <c r="AB582" s="87">
        <f t="shared" si="53"/>
        <v>6.6152391187191831E-3</v>
      </c>
      <c r="AC582" s="87">
        <f t="shared" si="53"/>
        <v>5.3523767385920606E-3</v>
      </c>
      <c r="AD582" s="87">
        <f t="shared" si="53"/>
        <v>4.514680354526613E-3</v>
      </c>
      <c r="AE582" s="90">
        <f t="shared" si="55"/>
        <v>4.905063120005093E-3</v>
      </c>
      <c r="AF582" s="89"/>
    </row>
    <row r="583" spans="1:32" ht="15.5" x14ac:dyDescent="0.35">
      <c r="A583" s="82">
        <v>40611</v>
      </c>
      <c r="B583" s="83">
        <v>8379.4</v>
      </c>
      <c r="C583" s="84">
        <v>2751.7</v>
      </c>
      <c r="D583" s="61">
        <v>293.2</v>
      </c>
      <c r="E583" s="61">
        <v>16.899999999999999</v>
      </c>
      <c r="F583" s="61">
        <v>50.1</v>
      </c>
      <c r="G583" s="61">
        <v>25.7</v>
      </c>
      <c r="H583" s="61">
        <v>43</v>
      </c>
      <c r="I583" s="61">
        <v>14</v>
      </c>
      <c r="J583" s="61">
        <v>55.1</v>
      </c>
      <c r="K583" s="61">
        <v>35</v>
      </c>
      <c r="L583" s="61">
        <v>32.9</v>
      </c>
      <c r="M583" s="61">
        <v>46.2</v>
      </c>
      <c r="N583" s="61">
        <v>56.5</v>
      </c>
      <c r="O583" s="85">
        <v>22.1</v>
      </c>
      <c r="P583" s="105"/>
      <c r="Q583" s="87">
        <f t="shared" si="54"/>
        <v>-1.7408520260875774E-3</v>
      </c>
      <c r="R583" s="87">
        <f t="shared" si="58"/>
        <v>-5.111021547430197E-3</v>
      </c>
      <c r="S583" s="87">
        <f t="shared" si="58"/>
        <v>-7.4754000847829169E-3</v>
      </c>
      <c r="T583" s="87">
        <f t="shared" si="57"/>
        <v>1.1904902506318239E-2</v>
      </c>
      <c r="U583" s="87">
        <f t="shared" si="57"/>
        <v>-3.9840690148743472E-3</v>
      </c>
      <c r="V583" s="87">
        <f t="shared" si="57"/>
        <v>0</v>
      </c>
      <c r="W583" s="87">
        <f t="shared" si="57"/>
        <v>2.3282897595911681E-3</v>
      </c>
      <c r="X583" s="87">
        <f t="shared" si="57"/>
        <v>4.380262265839284E-2</v>
      </c>
      <c r="Y583" s="87">
        <f t="shared" si="57"/>
        <v>-4.2635231644435959E-2</v>
      </c>
      <c r="Z583" s="87">
        <f t="shared" si="59"/>
        <v>4.6792161506758884E-2</v>
      </c>
      <c r="AA583" s="87">
        <f t="shared" si="59"/>
        <v>3.044142381228273E-3</v>
      </c>
      <c r="AB583" s="87">
        <f t="shared" si="53"/>
        <v>1.5267472130788599E-2</v>
      </c>
      <c r="AC583" s="87">
        <f t="shared" si="53"/>
        <v>5.3238812527497967E-3</v>
      </c>
      <c r="AD583" s="87">
        <f t="shared" si="53"/>
        <v>-4.5146803545265827E-3</v>
      </c>
      <c r="AE583" s="90">
        <f t="shared" si="55"/>
        <v>-5.4085034168102073E-3</v>
      </c>
      <c r="AF583" s="89"/>
    </row>
    <row r="584" spans="1:32" ht="15.5" x14ac:dyDescent="0.35">
      <c r="A584" s="82">
        <v>40612</v>
      </c>
      <c r="B584" s="83">
        <v>8200.1</v>
      </c>
      <c r="C584" s="84">
        <v>2701</v>
      </c>
      <c r="D584" s="61">
        <v>290</v>
      </c>
      <c r="E584" s="61">
        <v>16.899999999999999</v>
      </c>
      <c r="F584" s="61">
        <v>49.3</v>
      </c>
      <c r="G584" s="61">
        <v>25.4</v>
      </c>
      <c r="H584" s="61">
        <v>41.7</v>
      </c>
      <c r="I584" s="61">
        <v>13.9</v>
      </c>
      <c r="J584" s="61">
        <v>53.1</v>
      </c>
      <c r="K584" s="61">
        <v>36.299999999999997</v>
      </c>
      <c r="L584" s="61">
        <v>32.799999999999997</v>
      </c>
      <c r="M584" s="61">
        <v>45.1</v>
      </c>
      <c r="N584" s="61">
        <v>56.5</v>
      </c>
      <c r="O584" s="85">
        <v>21.9</v>
      </c>
      <c r="P584" s="105"/>
      <c r="Q584" s="87">
        <f t="shared" si="54"/>
        <v>-2.1629963567512737E-2</v>
      </c>
      <c r="R584" s="87">
        <f t="shared" si="58"/>
        <v>-1.8596827690512338E-2</v>
      </c>
      <c r="S584" s="87">
        <f t="shared" si="58"/>
        <v>-1.0974047031976675E-2</v>
      </c>
      <c r="T584" s="87">
        <f t="shared" si="57"/>
        <v>0</v>
      </c>
      <c r="U584" s="87">
        <f t="shared" si="57"/>
        <v>-1.6096927042174781E-2</v>
      </c>
      <c r="V584" s="87">
        <f t="shared" si="57"/>
        <v>-1.1741817876683287E-2</v>
      </c>
      <c r="W584" s="87">
        <f t="shared" si="57"/>
        <v>-3.0698986888806623E-2</v>
      </c>
      <c r="X584" s="87">
        <f t="shared" si="57"/>
        <v>-7.168489478612516E-3</v>
      </c>
      <c r="Y584" s="87">
        <f t="shared" si="57"/>
        <v>-3.6972787910975621E-2</v>
      </c>
      <c r="Z584" s="87">
        <f t="shared" si="59"/>
        <v>3.6469679781391415E-2</v>
      </c>
      <c r="AA584" s="87">
        <f t="shared" si="59"/>
        <v>-3.044142381228244E-3</v>
      </c>
      <c r="AB584" s="87">
        <f t="shared" si="53"/>
        <v>-2.409755157906053E-2</v>
      </c>
      <c r="AC584" s="87">
        <f t="shared" si="53"/>
        <v>0</v>
      </c>
      <c r="AD584" s="87">
        <f t="shared" si="53"/>
        <v>-9.0909717012520753E-3</v>
      </c>
      <c r="AE584" s="90">
        <f t="shared" si="55"/>
        <v>-1.4494910403306012E-2</v>
      </c>
      <c r="AF584" s="89"/>
    </row>
    <row r="585" spans="1:32" ht="15.5" x14ac:dyDescent="0.35">
      <c r="A585" s="82">
        <v>40613</v>
      </c>
      <c r="B585" s="83">
        <v>8248.5</v>
      </c>
      <c r="C585" s="84">
        <v>2715.6</v>
      </c>
      <c r="D585" s="61">
        <v>287</v>
      </c>
      <c r="E585" s="61">
        <v>17</v>
      </c>
      <c r="F585" s="61">
        <v>49.3</v>
      </c>
      <c r="G585" s="61">
        <v>25.4</v>
      </c>
      <c r="H585" s="61">
        <v>41.9</v>
      </c>
      <c r="I585" s="61">
        <v>14.4</v>
      </c>
      <c r="J585" s="61">
        <v>52.8</v>
      </c>
      <c r="K585" s="61">
        <v>36.9</v>
      </c>
      <c r="L585" s="61">
        <v>32.5</v>
      </c>
      <c r="M585" s="61">
        <v>44.8</v>
      </c>
      <c r="N585" s="61">
        <v>57</v>
      </c>
      <c r="O585" s="85">
        <v>21.4</v>
      </c>
      <c r="P585" s="105"/>
      <c r="Q585" s="87">
        <f t="shared" si="54"/>
        <v>5.8850163160433016E-3</v>
      </c>
      <c r="R585" s="87">
        <f t="shared" si="58"/>
        <v>5.390848634876373E-3</v>
      </c>
      <c r="S585" s="87">
        <f t="shared" si="58"/>
        <v>-1.0398707220898622E-2</v>
      </c>
      <c r="T585" s="87">
        <f t="shared" si="57"/>
        <v>5.899722127188322E-3</v>
      </c>
      <c r="U585" s="87">
        <f t="shared" si="57"/>
        <v>0</v>
      </c>
      <c r="V585" s="87">
        <f t="shared" si="57"/>
        <v>0</v>
      </c>
      <c r="W585" s="87">
        <f t="shared" si="57"/>
        <v>4.7846981233362531E-3</v>
      </c>
      <c r="X585" s="87">
        <f t="shared" si="57"/>
        <v>3.5339366445308863E-2</v>
      </c>
      <c r="Y585" s="87">
        <f t="shared" si="57"/>
        <v>-5.6657375356774196E-3</v>
      </c>
      <c r="Z585" s="87">
        <f t="shared" si="59"/>
        <v>1.6393809775676352E-2</v>
      </c>
      <c r="AA585" s="87">
        <f t="shared" si="59"/>
        <v>-9.1884260544061423E-3</v>
      </c>
      <c r="AB585" s="87">
        <f t="shared" si="53"/>
        <v>-6.6741070876932427E-3</v>
      </c>
      <c r="AC585" s="87">
        <f t="shared" si="53"/>
        <v>8.8106296821549059E-3</v>
      </c>
      <c r="AD585" s="87">
        <f t="shared" si="53"/>
        <v>-2.3095714794649395E-2</v>
      </c>
      <c r="AE585" s="90">
        <f t="shared" si="55"/>
        <v>-4.2357153815057551E-3</v>
      </c>
      <c r="AF585" s="89"/>
    </row>
    <row r="586" spans="1:32" ht="15.5" x14ac:dyDescent="0.35">
      <c r="A586" s="82">
        <v>40616</v>
      </c>
      <c r="B586" s="83">
        <v>8194</v>
      </c>
      <c r="C586" s="84">
        <v>2701</v>
      </c>
      <c r="D586" s="61">
        <v>284.3</v>
      </c>
      <c r="E586" s="61">
        <v>17.100000000000001</v>
      </c>
      <c r="F586" s="61">
        <v>50.2</v>
      </c>
      <c r="G586" s="61">
        <v>25.4</v>
      </c>
      <c r="H586" s="61">
        <v>41.6</v>
      </c>
      <c r="I586" s="61">
        <v>14.7</v>
      </c>
      <c r="J586" s="61">
        <v>52.4</v>
      </c>
      <c r="K586" s="61">
        <v>36.5</v>
      </c>
      <c r="L586" s="61">
        <v>32.299999999999997</v>
      </c>
      <c r="M586" s="61">
        <v>44.6</v>
      </c>
      <c r="N586" s="61">
        <v>57.8</v>
      </c>
      <c r="O586" s="85">
        <v>21.3</v>
      </c>
      <c r="P586" s="105"/>
      <c r="Q586" s="87">
        <f t="shared" si="54"/>
        <v>-6.6291865091626517E-3</v>
      </c>
      <c r="R586" s="87">
        <f t="shared" si="58"/>
        <v>-5.3908486348764233E-3</v>
      </c>
      <c r="S586" s="87">
        <f t="shared" si="58"/>
        <v>-9.4521971026669538E-3</v>
      </c>
      <c r="T586" s="87">
        <f t="shared" si="57"/>
        <v>5.8651194523980576E-3</v>
      </c>
      <c r="U586" s="87">
        <f t="shared" si="57"/>
        <v>1.8090945649039264E-2</v>
      </c>
      <c r="V586" s="87">
        <f t="shared" si="57"/>
        <v>0</v>
      </c>
      <c r="W586" s="87">
        <f t="shared" si="57"/>
        <v>-7.1856596608743739E-3</v>
      </c>
      <c r="X586" s="87">
        <f t="shared" si="57"/>
        <v>2.061928720273561E-2</v>
      </c>
      <c r="Y586" s="87">
        <f t="shared" si="57"/>
        <v>-7.6045993852193036E-3</v>
      </c>
      <c r="Z586" s="87">
        <f t="shared" si="59"/>
        <v>-1.0899290458035631E-2</v>
      </c>
      <c r="AA586" s="87">
        <f t="shared" si="59"/>
        <v>-6.1728591070810794E-3</v>
      </c>
      <c r="AB586" s="87">
        <f t="shared" si="53"/>
        <v>-4.4742803949209663E-3</v>
      </c>
      <c r="AC586" s="87">
        <f t="shared" si="53"/>
        <v>1.3937507843781678E-2</v>
      </c>
      <c r="AD586" s="87">
        <f t="shared" si="53"/>
        <v>-4.6838493124263143E-3</v>
      </c>
      <c r="AE586" s="90">
        <f t="shared" si="55"/>
        <v>2.2042692634844578E-4</v>
      </c>
      <c r="AF586" s="89"/>
    </row>
    <row r="587" spans="1:32" ht="15.5" x14ac:dyDescent="0.35">
      <c r="A587" s="82">
        <v>40617</v>
      </c>
      <c r="B587" s="83">
        <v>8092.1</v>
      </c>
      <c r="C587" s="84">
        <v>2667.3</v>
      </c>
      <c r="D587" s="61">
        <v>278</v>
      </c>
      <c r="E587" s="61">
        <v>16</v>
      </c>
      <c r="F587" s="61">
        <v>48.6</v>
      </c>
      <c r="G587" s="61">
        <v>25</v>
      </c>
      <c r="H587" s="61">
        <v>40.5</v>
      </c>
      <c r="I587" s="61">
        <v>14.2</v>
      </c>
      <c r="J587" s="61">
        <v>50.3</v>
      </c>
      <c r="K587" s="61">
        <v>35.5</v>
      </c>
      <c r="L587" s="61">
        <v>31.7</v>
      </c>
      <c r="M587" s="61">
        <v>41.3</v>
      </c>
      <c r="N587" s="61">
        <v>56.6</v>
      </c>
      <c r="O587" s="85">
        <v>21</v>
      </c>
      <c r="P587" s="105"/>
      <c r="Q587" s="87">
        <f t="shared" si="54"/>
        <v>-1.2513902011208076E-2</v>
      </c>
      <c r="R587" s="87">
        <f t="shared" si="58"/>
        <v>-1.2555349997412544E-2</v>
      </c>
      <c r="S587" s="87">
        <f t="shared" si="58"/>
        <v>-2.2408904966317086E-2</v>
      </c>
      <c r="T587" s="87">
        <f t="shared" si="57"/>
        <v>-6.6489741268832975E-2</v>
      </c>
      <c r="U587" s="87">
        <f t="shared" si="57"/>
        <v>-3.2391495791235403E-2</v>
      </c>
      <c r="V587" s="87">
        <f t="shared" si="57"/>
        <v>-1.5873349156290122E-2</v>
      </c>
      <c r="W587" s="87">
        <f t="shared" si="57"/>
        <v>-2.6798193154724162E-2</v>
      </c>
      <c r="X587" s="87">
        <f t="shared" si="57"/>
        <v>-3.4605529177475607E-2</v>
      </c>
      <c r="Y587" s="87">
        <f t="shared" si="57"/>
        <v>-4.0901514221302997E-2</v>
      </c>
      <c r="Z587" s="87">
        <f t="shared" si="59"/>
        <v>-2.7779564107075706E-2</v>
      </c>
      <c r="AA587" s="87">
        <f t="shared" si="59"/>
        <v>-1.8750549345375806E-2</v>
      </c>
      <c r="AB587" s="87">
        <f t="shared" si="53"/>
        <v>-7.6871359059031419E-2</v>
      </c>
      <c r="AC587" s="87">
        <f t="shared" si="53"/>
        <v>-2.0979790469194407E-2</v>
      </c>
      <c r="AD587" s="87">
        <f t="shared" si="53"/>
        <v>-1.4184634991956413E-2</v>
      </c>
      <c r="AE587" s="90">
        <f t="shared" si="55"/>
        <v>-2.1310082296947041E-2</v>
      </c>
      <c r="AF587" s="89"/>
    </row>
    <row r="588" spans="1:32" ht="15.5" x14ac:dyDescent="0.35">
      <c r="A588" s="82">
        <v>40618</v>
      </c>
      <c r="B588" s="83">
        <v>7929.9</v>
      </c>
      <c r="C588" s="84">
        <v>2616.8000000000002</v>
      </c>
      <c r="D588" s="61">
        <v>275.89999999999998</v>
      </c>
      <c r="E588" s="61">
        <v>15.9</v>
      </c>
      <c r="F588" s="61">
        <v>46.6</v>
      </c>
      <c r="G588" s="61">
        <v>24.7</v>
      </c>
      <c r="H588" s="61">
        <v>40.299999999999997</v>
      </c>
      <c r="I588" s="61">
        <v>14.3</v>
      </c>
      <c r="J588" s="61">
        <v>53.5</v>
      </c>
      <c r="K588" s="61">
        <v>35.9</v>
      </c>
      <c r="L588" s="61">
        <v>31.1</v>
      </c>
      <c r="M588" s="61">
        <v>41.3</v>
      </c>
      <c r="N588" s="61">
        <v>56.4</v>
      </c>
      <c r="O588" s="85">
        <v>21</v>
      </c>
      <c r="P588" s="105"/>
      <c r="Q588" s="87">
        <f t="shared" si="54"/>
        <v>-2.0247851886704853E-2</v>
      </c>
      <c r="R588" s="87">
        <f t="shared" si="58"/>
        <v>-1.9114527571028796E-2</v>
      </c>
      <c r="S588" s="87">
        <f t="shared" si="58"/>
        <v>-7.5826324673967088E-3</v>
      </c>
      <c r="T588" s="87">
        <f t="shared" si="57"/>
        <v>-6.2696130135953742E-3</v>
      </c>
      <c r="U588" s="87">
        <f t="shared" si="57"/>
        <v>-4.2022989774847926E-2</v>
      </c>
      <c r="V588" s="87">
        <f t="shared" si="57"/>
        <v>-1.2072581234269249E-2</v>
      </c>
      <c r="W588" s="87">
        <f t="shared" si="57"/>
        <v>-4.9505051598562029E-3</v>
      </c>
      <c r="X588" s="87">
        <f t="shared" si="57"/>
        <v>7.0175726586465398E-3</v>
      </c>
      <c r="Y588" s="87">
        <f t="shared" si="57"/>
        <v>6.1676576796267479E-2</v>
      </c>
      <c r="Z588" s="87">
        <f t="shared" si="59"/>
        <v>1.1204599012863062E-2</v>
      </c>
      <c r="AA588" s="87">
        <f t="shared" si="59"/>
        <v>-1.9108861698046362E-2</v>
      </c>
      <c r="AB588" s="87">
        <f t="shared" si="59"/>
        <v>0</v>
      </c>
      <c r="AC588" s="87">
        <f t="shared" si="59"/>
        <v>-3.5398267051240623E-3</v>
      </c>
      <c r="AD588" s="87">
        <f t="shared" si="59"/>
        <v>0</v>
      </c>
      <c r="AE588" s="90">
        <f t="shared" si="55"/>
        <v>-1.9965483755480518E-2</v>
      </c>
      <c r="AF588" s="89"/>
    </row>
    <row r="589" spans="1:32" ht="15.5" x14ac:dyDescent="0.35">
      <c r="A589" s="82">
        <v>40619</v>
      </c>
      <c r="B589" s="83">
        <v>8064.9</v>
      </c>
      <c r="C589" s="84">
        <v>2636.1</v>
      </c>
      <c r="D589" s="61">
        <v>280.60000000000002</v>
      </c>
      <c r="E589" s="61">
        <v>15.8</v>
      </c>
      <c r="F589" s="61">
        <v>47.2</v>
      </c>
      <c r="G589" s="61">
        <v>24.8</v>
      </c>
      <c r="H589" s="61">
        <v>40.299999999999997</v>
      </c>
      <c r="I589" s="61">
        <v>14.5</v>
      </c>
      <c r="J589" s="61">
        <v>54.8</v>
      </c>
      <c r="K589" s="61">
        <v>35.700000000000003</v>
      </c>
      <c r="L589" s="61">
        <v>31.2</v>
      </c>
      <c r="M589" s="61">
        <v>42.3</v>
      </c>
      <c r="N589" s="61">
        <v>56.3</v>
      </c>
      <c r="O589" s="85">
        <v>21.1</v>
      </c>
      <c r="P589" s="105"/>
      <c r="Q589" s="87">
        <f t="shared" si="54"/>
        <v>1.6880887017489826E-2</v>
      </c>
      <c r="R589" s="87">
        <f t="shared" si="58"/>
        <v>7.3483549457329725E-3</v>
      </c>
      <c r="S589" s="87">
        <f t="shared" si="58"/>
        <v>1.6891686445120409E-2</v>
      </c>
      <c r="T589" s="87">
        <f t="shared" si="57"/>
        <v>-6.309169193264721E-3</v>
      </c>
      <c r="U589" s="87">
        <f t="shared" si="57"/>
        <v>1.2793351459909542E-2</v>
      </c>
      <c r="V589" s="87">
        <f t="shared" si="57"/>
        <v>4.040409537005127E-3</v>
      </c>
      <c r="W589" s="87">
        <f t="shared" si="57"/>
        <v>0</v>
      </c>
      <c r="X589" s="87">
        <f t="shared" si="57"/>
        <v>1.3889112160667093E-2</v>
      </c>
      <c r="Y589" s="87">
        <f t="shared" si="57"/>
        <v>2.4008540052008837E-2</v>
      </c>
      <c r="Z589" s="87">
        <f t="shared" si="59"/>
        <v>-5.5866067086397121E-3</v>
      </c>
      <c r="AA589" s="87">
        <f t="shared" si="59"/>
        <v>3.2102756302481894E-3</v>
      </c>
      <c r="AB589" s="87">
        <f t="shared" si="59"/>
        <v>2.3924586085245243E-2</v>
      </c>
      <c r="AC589" s="87">
        <f t="shared" si="59"/>
        <v>-1.7746233583684897E-3</v>
      </c>
      <c r="AD589" s="87">
        <f t="shared" si="59"/>
        <v>4.7506027585977988E-3</v>
      </c>
      <c r="AE589" s="90">
        <f t="shared" si="55"/>
        <v>1.1383486182589679E-2</v>
      </c>
      <c r="AF589" s="89"/>
    </row>
    <row r="590" spans="1:32" ht="15.5" x14ac:dyDescent="0.35">
      <c r="A590" s="82">
        <v>40620</v>
      </c>
      <c r="B590" s="83">
        <v>8116.4</v>
      </c>
      <c r="C590" s="84">
        <v>2643.7</v>
      </c>
      <c r="D590" s="61">
        <v>280.2</v>
      </c>
      <c r="E590" s="61">
        <v>16</v>
      </c>
      <c r="F590" s="61">
        <v>47.1</v>
      </c>
      <c r="G590" s="61">
        <v>24.8</v>
      </c>
      <c r="H590" s="61">
        <v>40.200000000000003</v>
      </c>
      <c r="I590" s="61">
        <v>14.8</v>
      </c>
      <c r="J590" s="61">
        <v>54.5</v>
      </c>
      <c r="K590" s="61">
        <v>35.799999999999997</v>
      </c>
      <c r="L590" s="61">
        <v>31.7</v>
      </c>
      <c r="M590" s="61">
        <v>43.2</v>
      </c>
      <c r="N590" s="61">
        <v>56.3</v>
      </c>
      <c r="O590" s="85">
        <v>19.2</v>
      </c>
      <c r="P590" s="105"/>
      <c r="Q590" s="87">
        <f t="shared" ref="Q590:Q653" si="60">+LN(B590/B589)</f>
        <v>6.3653938670759306E-3</v>
      </c>
      <c r="R590" s="87">
        <f t="shared" si="58"/>
        <v>2.8788989162859759E-3</v>
      </c>
      <c r="S590" s="87">
        <f t="shared" si="58"/>
        <v>-1.4265337654540686E-3</v>
      </c>
      <c r="T590" s="87">
        <f t="shared" si="57"/>
        <v>1.2578782206859965E-2</v>
      </c>
      <c r="U590" s="87">
        <f t="shared" si="57"/>
        <v>-2.1208915691376244E-3</v>
      </c>
      <c r="V590" s="87">
        <f t="shared" si="57"/>
        <v>0</v>
      </c>
      <c r="W590" s="87">
        <f t="shared" si="57"/>
        <v>-2.4844733276618335E-3</v>
      </c>
      <c r="X590" s="87">
        <f t="shared" si="57"/>
        <v>2.0478531343540701E-2</v>
      </c>
      <c r="Y590" s="87">
        <f t="shared" si="57"/>
        <v>-5.4894922847713691E-3</v>
      </c>
      <c r="Z590" s="87">
        <f t="shared" si="59"/>
        <v>2.7972046210609975E-3</v>
      </c>
      <c r="AA590" s="87">
        <f t="shared" si="59"/>
        <v>1.5898586067798204E-2</v>
      </c>
      <c r="AB590" s="87">
        <f t="shared" si="59"/>
        <v>2.1053409197832482E-2</v>
      </c>
      <c r="AC590" s="87">
        <f t="shared" si="59"/>
        <v>0</v>
      </c>
      <c r="AD590" s="87">
        <f t="shared" si="59"/>
        <v>-9.4362761448284996E-2</v>
      </c>
      <c r="AE590" s="90">
        <f t="shared" si="55"/>
        <v>-1.1630766325266677E-2</v>
      </c>
      <c r="AF590" s="89"/>
    </row>
    <row r="591" spans="1:32" ht="15.5" x14ac:dyDescent="0.35">
      <c r="A591" s="82">
        <v>40623</v>
      </c>
      <c r="B591" s="83">
        <v>8256.4</v>
      </c>
      <c r="C591" s="84">
        <v>2692.1</v>
      </c>
      <c r="D591" s="61">
        <v>284.8</v>
      </c>
      <c r="E591" s="61">
        <v>16.2</v>
      </c>
      <c r="F591" s="61">
        <v>47.9</v>
      </c>
      <c r="G591" s="61">
        <v>25.2</v>
      </c>
      <c r="H591" s="61">
        <v>40.5</v>
      </c>
      <c r="I591" s="61">
        <v>15</v>
      </c>
      <c r="J591" s="61">
        <v>55.1</v>
      </c>
      <c r="K591" s="61">
        <v>35.9</v>
      </c>
      <c r="L591" s="61">
        <v>32</v>
      </c>
      <c r="M591" s="61">
        <v>44.2</v>
      </c>
      <c r="N591" s="61">
        <v>57.7</v>
      </c>
      <c r="O591" s="85">
        <v>19.2</v>
      </c>
      <c r="P591" s="105"/>
      <c r="Q591" s="87">
        <f t="shared" si="60"/>
        <v>1.7101951066633217E-2</v>
      </c>
      <c r="R591" s="87">
        <f t="shared" si="58"/>
        <v>1.8142107091014905E-2</v>
      </c>
      <c r="S591" s="87">
        <f t="shared" si="58"/>
        <v>1.6283545634914048E-2</v>
      </c>
      <c r="T591" s="87">
        <f t="shared" si="57"/>
        <v>1.242251999855711E-2</v>
      </c>
      <c r="U591" s="87">
        <f t="shared" si="57"/>
        <v>1.6842503394497482E-2</v>
      </c>
      <c r="V591" s="87">
        <f t="shared" si="57"/>
        <v>1.600034134644112E-2</v>
      </c>
      <c r="W591" s="87">
        <f t="shared" si="57"/>
        <v>7.4349784875179905E-3</v>
      </c>
      <c r="X591" s="87">
        <f t="shared" si="57"/>
        <v>1.342302033214055E-2</v>
      </c>
      <c r="Y591" s="87">
        <f t="shared" si="57"/>
        <v>1.0949014489670523E-2</v>
      </c>
      <c r="Z591" s="87">
        <f t="shared" si="59"/>
        <v>2.7894020875785922E-3</v>
      </c>
      <c r="AA591" s="87">
        <f t="shared" si="59"/>
        <v>9.4192219164915582E-3</v>
      </c>
      <c r="AB591" s="87">
        <f t="shared" si="59"/>
        <v>2.2884293833587806E-2</v>
      </c>
      <c r="AC591" s="87">
        <f t="shared" si="59"/>
        <v>2.4562638368409346E-2</v>
      </c>
      <c r="AD591" s="87">
        <f t="shared" si="59"/>
        <v>0</v>
      </c>
      <c r="AE591" s="90">
        <f t="shared" ref="AE591:AE654" si="61">+SUMPRODUCT(Q591:AD591,$Q$8:$AD$8)</f>
        <v>1.502123798703058E-2</v>
      </c>
      <c r="AF591" s="89"/>
    </row>
    <row r="592" spans="1:32" ht="15.5" x14ac:dyDescent="0.35">
      <c r="A592" s="82">
        <v>40624</v>
      </c>
      <c r="B592" s="83">
        <v>8228.4</v>
      </c>
      <c r="C592" s="84">
        <v>2683.9</v>
      </c>
      <c r="D592" s="61">
        <v>286.5</v>
      </c>
      <c r="E592" s="61">
        <v>16.2</v>
      </c>
      <c r="F592" s="61">
        <v>48.5</v>
      </c>
      <c r="G592" s="61">
        <v>25.2</v>
      </c>
      <c r="H592" s="61">
        <v>40.9</v>
      </c>
      <c r="I592" s="61">
        <v>14.7</v>
      </c>
      <c r="J592" s="61">
        <v>55</v>
      </c>
      <c r="K592" s="61">
        <v>35.799999999999997</v>
      </c>
      <c r="L592" s="61">
        <v>32.5</v>
      </c>
      <c r="M592" s="61">
        <v>44.4</v>
      </c>
      <c r="N592" s="61">
        <v>57.2</v>
      </c>
      <c r="O592" s="85">
        <v>17.399999999999999</v>
      </c>
      <c r="P592" s="105"/>
      <c r="Q592" s="87">
        <f t="shared" si="60"/>
        <v>-3.397072081783436E-3</v>
      </c>
      <c r="R592" s="87">
        <f t="shared" si="58"/>
        <v>-3.0505976038684435E-3</v>
      </c>
      <c r="S592" s="87">
        <f t="shared" si="58"/>
        <v>5.9513566169734373E-3</v>
      </c>
      <c r="T592" s="87">
        <f t="shared" si="57"/>
        <v>0</v>
      </c>
      <c r="U592" s="87">
        <f t="shared" si="57"/>
        <v>1.2448293526568082E-2</v>
      </c>
      <c r="V592" s="87">
        <f t="shared" si="57"/>
        <v>0</v>
      </c>
      <c r="W592" s="87">
        <f t="shared" si="57"/>
        <v>9.8280889362624725E-3</v>
      </c>
      <c r="X592" s="87">
        <f t="shared" si="57"/>
        <v>-2.0202707317519466E-2</v>
      </c>
      <c r="Y592" s="87">
        <f t="shared" si="57"/>
        <v>-1.816530926397894E-3</v>
      </c>
      <c r="Z592" s="87">
        <f t="shared" si="59"/>
        <v>-2.7894020875786365E-3</v>
      </c>
      <c r="AA592" s="87">
        <f t="shared" si="59"/>
        <v>1.5504186535965254E-2</v>
      </c>
      <c r="AB592" s="87">
        <f t="shared" si="59"/>
        <v>4.514680354526613E-3</v>
      </c>
      <c r="AC592" s="87">
        <f t="shared" si="59"/>
        <v>-8.7032751283017008E-3</v>
      </c>
      <c r="AD592" s="87">
        <f t="shared" si="59"/>
        <v>-9.8440072813252524E-2</v>
      </c>
      <c r="AE592" s="90">
        <f t="shared" si="61"/>
        <v>-7.5778338614435562E-3</v>
      </c>
      <c r="AF592" s="89"/>
    </row>
    <row r="593" spans="1:32" ht="15.5" x14ac:dyDescent="0.35">
      <c r="A593" s="82">
        <v>40625</v>
      </c>
      <c r="B593" s="83">
        <v>8248.7999999999993</v>
      </c>
      <c r="C593" s="84">
        <v>2698.3</v>
      </c>
      <c r="D593" s="61">
        <v>286.3</v>
      </c>
      <c r="E593" s="61">
        <v>16</v>
      </c>
      <c r="F593" s="61">
        <v>48</v>
      </c>
      <c r="G593" s="61">
        <v>25.2</v>
      </c>
      <c r="H593" s="61">
        <v>41.8</v>
      </c>
      <c r="I593" s="61">
        <v>14.5</v>
      </c>
      <c r="J593" s="61">
        <v>54.4</v>
      </c>
      <c r="K593" s="61">
        <v>35.200000000000003</v>
      </c>
      <c r="L593" s="61">
        <v>32.4</v>
      </c>
      <c r="M593" s="61">
        <v>43.7</v>
      </c>
      <c r="N593" s="61">
        <v>57</v>
      </c>
      <c r="O593" s="85">
        <v>18.8</v>
      </c>
      <c r="P593" s="105"/>
      <c r="Q593" s="87">
        <f t="shared" si="60"/>
        <v>2.476150125414819E-3</v>
      </c>
      <c r="R593" s="87">
        <f t="shared" si="58"/>
        <v>5.3509844894748058E-3</v>
      </c>
      <c r="S593" s="87">
        <f t="shared" si="58"/>
        <v>-6.9832405072490361E-4</v>
      </c>
      <c r="T593" s="87">
        <f t="shared" si="57"/>
        <v>-1.2422519998557096E-2</v>
      </c>
      <c r="U593" s="87">
        <f t="shared" si="57"/>
        <v>-1.0362787035546547E-2</v>
      </c>
      <c r="V593" s="87">
        <f t="shared" si="57"/>
        <v>0</v>
      </c>
      <c r="W593" s="87">
        <f t="shared" si="57"/>
        <v>2.1766276481954505E-2</v>
      </c>
      <c r="X593" s="87">
        <f t="shared" si="57"/>
        <v>-1.3698844358161802E-2</v>
      </c>
      <c r="Y593" s="87">
        <f t="shared" si="57"/>
        <v>-1.0969031370574046E-2</v>
      </c>
      <c r="Z593" s="87">
        <f t="shared" si="59"/>
        <v>-1.6901810802603025E-2</v>
      </c>
      <c r="AA593" s="87">
        <f t="shared" si="59"/>
        <v>-3.0816665374081122E-3</v>
      </c>
      <c r="AB593" s="87">
        <f t="shared" si="59"/>
        <v>-1.5891367336634554E-2</v>
      </c>
      <c r="AC593" s="87">
        <f t="shared" si="59"/>
        <v>-3.5026305512021118E-3</v>
      </c>
      <c r="AD593" s="87">
        <f t="shared" si="59"/>
        <v>7.738666361542039E-2</v>
      </c>
      <c r="AE593" s="90">
        <f t="shared" si="61"/>
        <v>7.8425944093800208E-3</v>
      </c>
      <c r="AF593" s="89"/>
    </row>
    <row r="594" spans="1:32" ht="15.5" x14ac:dyDescent="0.35">
      <c r="A594" s="82">
        <v>40626</v>
      </c>
      <c r="B594" s="83">
        <v>8311.6</v>
      </c>
      <c r="C594" s="84">
        <v>2736.4</v>
      </c>
      <c r="D594" s="61">
        <v>289.7</v>
      </c>
      <c r="E594" s="61">
        <v>16.2</v>
      </c>
      <c r="F594" s="61">
        <v>48.4</v>
      </c>
      <c r="G594" s="61">
        <v>25.5</v>
      </c>
      <c r="H594" s="61">
        <v>42.4</v>
      </c>
      <c r="I594" s="61">
        <v>14.7</v>
      </c>
      <c r="J594" s="61">
        <v>55.4</v>
      </c>
      <c r="K594" s="61">
        <v>36</v>
      </c>
      <c r="L594" s="61">
        <v>32.5</v>
      </c>
      <c r="M594" s="61">
        <v>44.3</v>
      </c>
      <c r="N594" s="61">
        <v>57.5</v>
      </c>
      <c r="O594" s="85">
        <v>19.100000000000001</v>
      </c>
      <c r="P594" s="105"/>
      <c r="Q594" s="87">
        <f t="shared" si="60"/>
        <v>7.5843942219913502E-3</v>
      </c>
      <c r="R594" s="87">
        <f t="shared" si="58"/>
        <v>1.4021242824028692E-2</v>
      </c>
      <c r="S594" s="87">
        <f t="shared" si="58"/>
        <v>1.1805692671235293E-2</v>
      </c>
      <c r="T594" s="87">
        <f t="shared" si="57"/>
        <v>1.242251999855711E-2</v>
      </c>
      <c r="U594" s="87">
        <f t="shared" si="57"/>
        <v>8.2988028146950641E-3</v>
      </c>
      <c r="V594" s="87">
        <f t="shared" si="57"/>
        <v>1.1834457647002798E-2</v>
      </c>
      <c r="W594" s="87">
        <f t="shared" si="57"/>
        <v>1.4252022707201413E-2</v>
      </c>
      <c r="X594" s="87">
        <f t="shared" si="57"/>
        <v>1.3698844358161927E-2</v>
      </c>
      <c r="Y594" s="87">
        <f t="shared" si="57"/>
        <v>1.8215439891341119E-2</v>
      </c>
      <c r="Z594" s="87">
        <f t="shared" si="59"/>
        <v>2.2472855852058576E-2</v>
      </c>
      <c r="AA594" s="87">
        <f t="shared" si="59"/>
        <v>3.0816665374081144E-3</v>
      </c>
      <c r="AB594" s="87">
        <f t="shared" si="59"/>
        <v>1.3636574949545444E-2</v>
      </c>
      <c r="AC594" s="87">
        <f t="shared" si="59"/>
        <v>8.7336799687546315E-3</v>
      </c>
      <c r="AD594" s="87">
        <f t="shared" si="59"/>
        <v>1.5831465216680662E-2</v>
      </c>
      <c r="AE594" s="90">
        <f t="shared" si="61"/>
        <v>1.1956369798475907E-2</v>
      </c>
      <c r="AF594" s="89"/>
    </row>
    <row r="595" spans="1:32" ht="15.5" x14ac:dyDescent="0.35">
      <c r="A595" s="82">
        <v>40627</v>
      </c>
      <c r="B595" s="83">
        <v>8321.7999999999993</v>
      </c>
      <c r="C595" s="84">
        <v>2743.1</v>
      </c>
      <c r="D595" s="61">
        <v>289.89999999999998</v>
      </c>
      <c r="E595" s="61">
        <v>16.7</v>
      </c>
      <c r="F595" s="61">
        <v>49.6</v>
      </c>
      <c r="G595" s="61">
        <v>25.6</v>
      </c>
      <c r="H595" s="61">
        <v>43.4</v>
      </c>
      <c r="I595" s="61">
        <v>15.1</v>
      </c>
      <c r="J595" s="61">
        <v>56.3</v>
      </c>
      <c r="K595" s="61">
        <v>36.299999999999997</v>
      </c>
      <c r="L595" s="61">
        <v>32.5</v>
      </c>
      <c r="M595" s="61">
        <v>44.5</v>
      </c>
      <c r="N595" s="61">
        <v>57</v>
      </c>
      <c r="O595" s="85">
        <v>19.2</v>
      </c>
      <c r="P595" s="105"/>
      <c r="Q595" s="87">
        <f t="shared" si="60"/>
        <v>1.2264481439208819E-3</v>
      </c>
      <c r="R595" s="87">
        <f t="shared" si="58"/>
        <v>2.445479820801347E-3</v>
      </c>
      <c r="S595" s="87">
        <f t="shared" si="58"/>
        <v>6.9013115230515663E-4</v>
      </c>
      <c r="T595" s="87">
        <f t="shared" si="57"/>
        <v>3.0397477184370948E-2</v>
      </c>
      <c r="U595" s="87">
        <f t="shared" si="57"/>
        <v>2.4491020008295911E-2</v>
      </c>
      <c r="V595" s="87">
        <f t="shared" si="57"/>
        <v>3.9138993211363148E-3</v>
      </c>
      <c r="W595" s="87">
        <f t="shared" si="57"/>
        <v>2.3311078868447146E-2</v>
      </c>
      <c r="X595" s="87">
        <f t="shared" si="57"/>
        <v>2.6847250036188056E-2</v>
      </c>
      <c r="Y595" s="87">
        <f t="shared" si="57"/>
        <v>1.611494139240658E-2</v>
      </c>
      <c r="Z595" s="87">
        <f t="shared" si="59"/>
        <v>8.2988028146950641E-3</v>
      </c>
      <c r="AA595" s="87">
        <f t="shared" si="59"/>
        <v>0</v>
      </c>
      <c r="AB595" s="87">
        <f t="shared" si="59"/>
        <v>4.5045121211047291E-3</v>
      </c>
      <c r="AC595" s="87">
        <f t="shared" si="59"/>
        <v>-8.7336799687545534E-3</v>
      </c>
      <c r="AD595" s="87">
        <f t="shared" si="59"/>
        <v>5.2219439811516249E-3</v>
      </c>
      <c r="AE595" s="90">
        <f t="shared" si="61"/>
        <v>8.5727287352670104E-3</v>
      </c>
      <c r="AF595" s="89"/>
    </row>
    <row r="596" spans="1:32" ht="15.5" x14ac:dyDescent="0.35">
      <c r="A596" s="82">
        <v>40630</v>
      </c>
      <c r="B596" s="83">
        <v>8296.5</v>
      </c>
      <c r="C596" s="84">
        <v>2730.7</v>
      </c>
      <c r="D596" s="61">
        <v>287.60000000000002</v>
      </c>
      <c r="E596" s="61">
        <v>16.600000000000001</v>
      </c>
      <c r="F596" s="61">
        <v>50.1</v>
      </c>
      <c r="G596" s="61">
        <v>25.4</v>
      </c>
      <c r="H596" s="61">
        <v>42.2</v>
      </c>
      <c r="I596" s="61">
        <v>14.5</v>
      </c>
      <c r="J596" s="61">
        <v>56.5</v>
      </c>
      <c r="K596" s="61">
        <v>35.9</v>
      </c>
      <c r="L596" s="61">
        <v>32.4</v>
      </c>
      <c r="M596" s="61">
        <v>44.8</v>
      </c>
      <c r="N596" s="61">
        <v>57.1</v>
      </c>
      <c r="O596" s="85">
        <v>19</v>
      </c>
      <c r="P596" s="105"/>
      <c r="Q596" s="87">
        <f t="shared" si="60"/>
        <v>-3.0448384668036541E-3</v>
      </c>
      <c r="R596" s="87">
        <f t="shared" si="58"/>
        <v>-4.5306811397201963E-3</v>
      </c>
      <c r="S596" s="87">
        <f t="shared" si="58"/>
        <v>-7.9654100807180633E-3</v>
      </c>
      <c r="T596" s="87">
        <f t="shared" si="57"/>
        <v>-6.006024060211698E-3</v>
      </c>
      <c r="U596" s="87">
        <f t="shared" si="57"/>
        <v>1.0030174359937251E-2</v>
      </c>
      <c r="V596" s="87">
        <f t="shared" si="57"/>
        <v>-7.8431774610260054E-3</v>
      </c>
      <c r="W596" s="87">
        <f t="shared" si="57"/>
        <v>-2.8039220064392932E-2</v>
      </c>
      <c r="X596" s="87">
        <f t="shared" si="57"/>
        <v>-4.0546094394349905E-2</v>
      </c>
      <c r="Y596" s="87">
        <f t="shared" si="57"/>
        <v>3.5461030067507116E-3</v>
      </c>
      <c r="Z596" s="87">
        <f t="shared" si="59"/>
        <v>-1.1080445776571907E-2</v>
      </c>
      <c r="AA596" s="87">
        <f t="shared" si="59"/>
        <v>-3.0816665374081122E-3</v>
      </c>
      <c r="AB596" s="87">
        <f t="shared" si="59"/>
        <v>6.7189502487447882E-3</v>
      </c>
      <c r="AC596" s="87">
        <f t="shared" si="59"/>
        <v>1.7528488274143868E-3</v>
      </c>
      <c r="AD596" s="87">
        <f t="shared" si="59"/>
        <v>-1.0471299867295366E-2</v>
      </c>
      <c r="AE596" s="90">
        <f t="shared" si="61"/>
        <v>-2.09480369434022E-3</v>
      </c>
      <c r="AF596" s="89"/>
    </row>
    <row r="597" spans="1:32" ht="15.5" x14ac:dyDescent="0.35">
      <c r="A597" s="82">
        <v>40631</v>
      </c>
      <c r="B597" s="83">
        <v>8345.4</v>
      </c>
      <c r="C597" s="84">
        <v>2756.9</v>
      </c>
      <c r="D597" s="61">
        <v>286.8</v>
      </c>
      <c r="E597" s="61">
        <v>16.5</v>
      </c>
      <c r="F597" s="61">
        <v>49.4</v>
      </c>
      <c r="G597" s="61">
        <v>25.3</v>
      </c>
      <c r="H597" s="61">
        <v>38</v>
      </c>
      <c r="I597" s="61">
        <v>14.6</v>
      </c>
      <c r="J597" s="61">
        <v>55.6</v>
      </c>
      <c r="K597" s="61">
        <v>35.5</v>
      </c>
      <c r="L597" s="61">
        <v>32.4</v>
      </c>
      <c r="M597" s="61">
        <v>43.9</v>
      </c>
      <c r="N597" s="61">
        <v>57.2</v>
      </c>
      <c r="O597" s="85">
        <v>18.899999999999999</v>
      </c>
      <c r="P597" s="105"/>
      <c r="Q597" s="87">
        <f t="shared" si="60"/>
        <v>5.8767497382969996E-3</v>
      </c>
      <c r="R597" s="87">
        <f t="shared" si="58"/>
        <v>9.54887348865858E-3</v>
      </c>
      <c r="S597" s="87">
        <f t="shared" si="58"/>
        <v>-2.7855171214264235E-3</v>
      </c>
      <c r="T597" s="87">
        <f t="shared" si="57"/>
        <v>-6.0423144559626982E-3</v>
      </c>
      <c r="U597" s="87">
        <f t="shared" si="57"/>
        <v>-1.4070583896942331E-2</v>
      </c>
      <c r="V597" s="87">
        <f t="shared" si="57"/>
        <v>-3.9447782910162288E-3</v>
      </c>
      <c r="W597" s="87">
        <f t="shared" si="57"/>
        <v>-0.10483406131558039</v>
      </c>
      <c r="X597" s="87">
        <f t="shared" si="57"/>
        <v>6.8728792877620504E-3</v>
      </c>
      <c r="Y597" s="87">
        <f t="shared" si="57"/>
        <v>-1.6057436895858524E-2</v>
      </c>
      <c r="Z597" s="87">
        <f t="shared" si="59"/>
        <v>-1.1204599012863019E-2</v>
      </c>
      <c r="AA597" s="87">
        <f t="shared" si="59"/>
        <v>0</v>
      </c>
      <c r="AB597" s="87">
        <f t="shared" si="59"/>
        <v>-2.0293819339813796E-2</v>
      </c>
      <c r="AC597" s="87">
        <f t="shared" si="59"/>
        <v>1.7497817237877723E-3</v>
      </c>
      <c r="AD597" s="87">
        <f t="shared" si="59"/>
        <v>-5.2770571008438931E-3</v>
      </c>
      <c r="AE597" s="90">
        <f t="shared" si="61"/>
        <v>-2.6179841803778111E-3</v>
      </c>
      <c r="AF597" s="89"/>
    </row>
    <row r="598" spans="1:32" ht="15.5" x14ac:dyDescent="0.35">
      <c r="A598" s="82">
        <v>40632</v>
      </c>
      <c r="B598" s="83">
        <v>8416.7000000000007</v>
      </c>
      <c r="C598" s="84">
        <v>2776.8</v>
      </c>
      <c r="D598" s="61">
        <v>290.60000000000002</v>
      </c>
      <c r="E598" s="61">
        <v>16.7</v>
      </c>
      <c r="F598" s="61">
        <v>49.6</v>
      </c>
      <c r="G598" s="61">
        <v>25.5</v>
      </c>
      <c r="H598" s="61">
        <v>40.200000000000003</v>
      </c>
      <c r="I598" s="61">
        <v>14.7</v>
      </c>
      <c r="J598" s="61">
        <v>57.5</v>
      </c>
      <c r="K598" s="61">
        <v>36.1</v>
      </c>
      <c r="L598" s="61">
        <v>33</v>
      </c>
      <c r="M598" s="61">
        <v>44.5</v>
      </c>
      <c r="N598" s="61">
        <v>58.4</v>
      </c>
      <c r="O598" s="85">
        <v>19.100000000000001</v>
      </c>
      <c r="P598" s="105"/>
      <c r="Q598" s="87">
        <f t="shared" si="60"/>
        <v>8.5073385824540257E-3</v>
      </c>
      <c r="R598" s="87">
        <f t="shared" si="58"/>
        <v>7.1923254909939177E-3</v>
      </c>
      <c r="S598" s="87">
        <f t="shared" si="58"/>
        <v>1.3162642410717242E-2</v>
      </c>
      <c r="T598" s="87">
        <f t="shared" si="57"/>
        <v>1.2048338516174355E-2</v>
      </c>
      <c r="U598" s="87">
        <f t="shared" si="57"/>
        <v>4.040409537005127E-3</v>
      </c>
      <c r="V598" s="87">
        <f t="shared" si="57"/>
        <v>7.8740564309058656E-3</v>
      </c>
      <c r="W598" s="87">
        <f t="shared" si="57"/>
        <v>5.628083589858978E-2</v>
      </c>
      <c r="X598" s="87">
        <f t="shared" si="57"/>
        <v>6.8259650703998906E-3</v>
      </c>
      <c r="Y598" s="87">
        <f t="shared" si="57"/>
        <v>3.360174654676807E-2</v>
      </c>
      <c r="Z598" s="87">
        <f t="shared" si="59"/>
        <v>1.6760168857465101E-2</v>
      </c>
      <c r="AA598" s="87">
        <f t="shared" si="59"/>
        <v>1.8349138668196617E-2</v>
      </c>
      <c r="AB598" s="87">
        <f t="shared" si="59"/>
        <v>1.357486909106885E-2</v>
      </c>
      <c r="AC598" s="87">
        <f t="shared" si="59"/>
        <v>2.0761991448429006E-2</v>
      </c>
      <c r="AD598" s="87">
        <f t="shared" si="59"/>
        <v>1.0526412986987603E-2</v>
      </c>
      <c r="AE598" s="90">
        <f t="shared" si="61"/>
        <v>8.4442183422783826E-3</v>
      </c>
      <c r="AF598" s="89"/>
    </row>
    <row r="599" spans="1:32" ht="15.5" x14ac:dyDescent="0.35">
      <c r="A599" s="82">
        <v>40633</v>
      </c>
      <c r="B599" s="83">
        <v>8405</v>
      </c>
      <c r="C599" s="84">
        <v>2781.1</v>
      </c>
      <c r="D599" s="61">
        <v>291.2</v>
      </c>
      <c r="E599" s="61">
        <v>16.7</v>
      </c>
      <c r="F599" s="61">
        <v>49.4</v>
      </c>
      <c r="G599" s="61">
        <v>25.3</v>
      </c>
      <c r="H599" s="61">
        <v>40.6</v>
      </c>
      <c r="I599" s="61">
        <v>14.7</v>
      </c>
      <c r="J599" s="61">
        <v>58.5</v>
      </c>
      <c r="K599" s="61">
        <v>35.5</v>
      </c>
      <c r="L599" s="61">
        <v>33</v>
      </c>
      <c r="M599" s="61">
        <v>44.3</v>
      </c>
      <c r="N599" s="61">
        <v>58.9</v>
      </c>
      <c r="O599" s="85">
        <v>18.899999999999999</v>
      </c>
      <c r="P599" s="105"/>
      <c r="Q599" s="87">
        <f t="shared" si="60"/>
        <v>-1.3910605808775901E-3</v>
      </c>
      <c r="R599" s="87">
        <f t="shared" si="58"/>
        <v>1.5473473282898464E-3</v>
      </c>
      <c r="S599" s="87">
        <f t="shared" si="58"/>
        <v>2.0625651863483241E-3</v>
      </c>
      <c r="T599" s="87">
        <f t="shared" si="57"/>
        <v>0</v>
      </c>
      <c r="U599" s="87">
        <f t="shared" si="57"/>
        <v>-4.0404095370050862E-3</v>
      </c>
      <c r="V599" s="87">
        <f t="shared" si="57"/>
        <v>-7.874056430905883E-3</v>
      </c>
      <c r="W599" s="87">
        <f t="shared" si="57"/>
        <v>9.9010709827115368E-3</v>
      </c>
      <c r="X599" s="87">
        <f t="shared" si="57"/>
        <v>0</v>
      </c>
      <c r="Y599" s="87">
        <f t="shared" si="57"/>
        <v>1.7241806434505954E-2</v>
      </c>
      <c r="Z599" s="87">
        <f t="shared" si="59"/>
        <v>-1.6760168857465188E-2</v>
      </c>
      <c r="AA599" s="87">
        <f t="shared" si="59"/>
        <v>0</v>
      </c>
      <c r="AB599" s="87">
        <f t="shared" si="59"/>
        <v>-4.5045121211046528E-3</v>
      </c>
      <c r="AC599" s="87">
        <f t="shared" si="59"/>
        <v>8.5252008233596271E-3</v>
      </c>
      <c r="AD599" s="87">
        <f t="shared" si="59"/>
        <v>-1.0526412986987617E-2</v>
      </c>
      <c r="AE599" s="90">
        <f t="shared" si="61"/>
        <v>-1.367116856684839E-3</v>
      </c>
      <c r="AF599" s="89"/>
    </row>
    <row r="600" spans="1:32" ht="15.5" x14ac:dyDescent="0.35">
      <c r="A600" s="82">
        <v>40634</v>
      </c>
      <c r="B600" s="83">
        <v>8469.2999999999993</v>
      </c>
      <c r="C600" s="84">
        <v>2789.6</v>
      </c>
      <c r="D600" s="61">
        <v>294.7</v>
      </c>
      <c r="E600" s="61">
        <v>16.7</v>
      </c>
      <c r="F600" s="61">
        <v>49</v>
      </c>
      <c r="G600" s="61">
        <v>25.3</v>
      </c>
      <c r="H600" s="61">
        <v>41.2</v>
      </c>
      <c r="I600" s="61">
        <v>15.1</v>
      </c>
      <c r="J600" s="61">
        <v>59.7</v>
      </c>
      <c r="K600" s="61">
        <v>35.6</v>
      </c>
      <c r="L600" s="61">
        <v>33</v>
      </c>
      <c r="M600" s="61">
        <v>44.9</v>
      </c>
      <c r="N600" s="61">
        <v>59.1</v>
      </c>
      <c r="O600" s="85">
        <v>19</v>
      </c>
      <c r="P600" s="105"/>
      <c r="Q600" s="87">
        <f t="shared" si="60"/>
        <v>7.6210937600292988E-3</v>
      </c>
      <c r="R600" s="87">
        <f t="shared" si="58"/>
        <v>3.0516834855749461E-3</v>
      </c>
      <c r="S600" s="87">
        <f t="shared" si="58"/>
        <v>1.1947573421118202E-2</v>
      </c>
      <c r="T600" s="87">
        <f t="shared" si="57"/>
        <v>0</v>
      </c>
      <c r="U600" s="87">
        <f t="shared" si="57"/>
        <v>-8.1301260832501755E-3</v>
      </c>
      <c r="V600" s="87">
        <f t="shared" si="57"/>
        <v>0</v>
      </c>
      <c r="W600" s="87">
        <f t="shared" si="57"/>
        <v>1.4670189747793839E-2</v>
      </c>
      <c r="X600" s="87">
        <f t="shared" si="57"/>
        <v>2.6847250036188056E-2</v>
      </c>
      <c r="Y600" s="87">
        <f t="shared" si="57"/>
        <v>2.0305266160745739E-2</v>
      </c>
      <c r="Z600" s="87">
        <f t="shared" si="59"/>
        <v>2.8129413766146577E-3</v>
      </c>
      <c r="AA600" s="87">
        <f t="shared" si="59"/>
        <v>0</v>
      </c>
      <c r="AB600" s="87">
        <f t="shared" si="59"/>
        <v>1.3453117697118676E-2</v>
      </c>
      <c r="AC600" s="87">
        <f t="shared" si="59"/>
        <v>3.3898337545115241E-3</v>
      </c>
      <c r="AD600" s="87">
        <f t="shared" si="59"/>
        <v>5.2770571008438193E-3</v>
      </c>
      <c r="AE600" s="90">
        <f t="shared" si="61"/>
        <v>2.7292583846006287E-3</v>
      </c>
      <c r="AF600" s="89"/>
    </row>
    <row r="601" spans="1:32" ht="15.5" x14ac:dyDescent="0.35">
      <c r="A601" s="82">
        <v>40637</v>
      </c>
      <c r="B601" s="83">
        <v>8482.4</v>
      </c>
      <c r="C601" s="84">
        <v>2789.2</v>
      </c>
      <c r="D601" s="61">
        <v>291.8</v>
      </c>
      <c r="E601" s="61">
        <v>16.8</v>
      </c>
      <c r="F601" s="61">
        <v>48.3</v>
      </c>
      <c r="G601" s="61">
        <v>25.4</v>
      </c>
      <c r="H601" s="61">
        <v>40.299999999999997</v>
      </c>
      <c r="I601" s="61">
        <v>14.9</v>
      </c>
      <c r="J601" s="61">
        <v>60.5</v>
      </c>
      <c r="K601" s="61">
        <v>35.700000000000003</v>
      </c>
      <c r="L601" s="61">
        <v>33.200000000000003</v>
      </c>
      <c r="M601" s="61">
        <v>45</v>
      </c>
      <c r="N601" s="61">
        <v>58.9</v>
      </c>
      <c r="O601" s="85">
        <v>19.100000000000001</v>
      </c>
      <c r="P601" s="105"/>
      <c r="Q601" s="87">
        <f t="shared" si="60"/>
        <v>1.5455680088431361E-3</v>
      </c>
      <c r="R601" s="87">
        <f t="shared" si="58"/>
        <v>-1.4340001458572506E-4</v>
      </c>
      <c r="S601" s="87">
        <f t="shared" si="58"/>
        <v>-9.8892536549637037E-3</v>
      </c>
      <c r="T601" s="87">
        <f t="shared" si="57"/>
        <v>5.9701669865039747E-3</v>
      </c>
      <c r="U601" s="87">
        <f t="shared" si="57"/>
        <v>-1.4388737452099669E-2</v>
      </c>
      <c r="V601" s="87">
        <f t="shared" si="57"/>
        <v>3.9447782910163251E-3</v>
      </c>
      <c r="W601" s="87">
        <f t="shared" si="57"/>
        <v>-2.2086787402843512E-2</v>
      </c>
      <c r="X601" s="87">
        <f t="shared" si="57"/>
        <v>-1.3333530869465144E-2</v>
      </c>
      <c r="Y601" s="87">
        <f t="shared" si="57"/>
        <v>1.3311344638239287E-2</v>
      </c>
      <c r="Z601" s="87">
        <f t="shared" si="59"/>
        <v>2.8050509276086816E-3</v>
      </c>
      <c r="AA601" s="87">
        <f t="shared" si="59"/>
        <v>6.0423144559626617E-3</v>
      </c>
      <c r="AB601" s="87">
        <f t="shared" si="59"/>
        <v>2.2246950221111086E-3</v>
      </c>
      <c r="AC601" s="87">
        <f t="shared" si="59"/>
        <v>-3.3898337545115397E-3</v>
      </c>
      <c r="AD601" s="87">
        <f t="shared" si="59"/>
        <v>5.249355886143745E-3</v>
      </c>
      <c r="AE601" s="90">
        <f t="shared" si="61"/>
        <v>-6.4144547167611764E-3</v>
      </c>
      <c r="AF601" s="89"/>
    </row>
    <row r="602" spans="1:32" ht="15.5" x14ac:dyDescent="0.35">
      <c r="A602" s="82">
        <v>40638</v>
      </c>
      <c r="B602" s="83">
        <v>8488.4</v>
      </c>
      <c r="C602" s="84">
        <v>2791.2</v>
      </c>
      <c r="D602" s="61">
        <v>283.10000000000002</v>
      </c>
      <c r="E602" s="61">
        <v>16.8</v>
      </c>
      <c r="F602" s="61">
        <v>48</v>
      </c>
      <c r="G602" s="61">
        <v>25.7</v>
      </c>
      <c r="H602" s="61">
        <v>40.5</v>
      </c>
      <c r="I602" s="61">
        <v>14.9</v>
      </c>
      <c r="J602" s="61">
        <v>60.9</v>
      </c>
      <c r="K602" s="61">
        <v>35.6</v>
      </c>
      <c r="L602" s="61">
        <v>33</v>
      </c>
      <c r="M602" s="61">
        <v>44.9</v>
      </c>
      <c r="N602" s="61">
        <v>58.5</v>
      </c>
      <c r="O602" s="85">
        <v>19.2</v>
      </c>
      <c r="P602" s="105"/>
      <c r="Q602" s="87">
        <f t="shared" si="60"/>
        <v>7.0709692530607693E-4</v>
      </c>
      <c r="R602" s="87">
        <f t="shared" si="58"/>
        <v>7.1679452570880384E-4</v>
      </c>
      <c r="S602" s="87">
        <f t="shared" si="58"/>
        <v>-3.0268443970831282E-2</v>
      </c>
      <c r="T602" s="87">
        <f t="shared" si="57"/>
        <v>0</v>
      </c>
      <c r="U602" s="87">
        <f t="shared" si="57"/>
        <v>-6.2305497506359745E-3</v>
      </c>
      <c r="V602" s="87">
        <f t="shared" si="57"/>
        <v>1.1741817876683195E-2</v>
      </c>
      <c r="W602" s="87">
        <f t="shared" si="57"/>
        <v>4.9505051598562047E-3</v>
      </c>
      <c r="X602" s="87">
        <f t="shared" si="57"/>
        <v>0</v>
      </c>
      <c r="Y602" s="87">
        <f t="shared" si="57"/>
        <v>6.5898096790555829E-3</v>
      </c>
      <c r="Z602" s="87">
        <f t="shared" si="59"/>
        <v>-2.8050509276086096E-3</v>
      </c>
      <c r="AA602" s="87">
        <f t="shared" si="59"/>
        <v>-6.0423144559626982E-3</v>
      </c>
      <c r="AB602" s="87">
        <f t="shared" si="59"/>
        <v>-2.2246950221111624E-3</v>
      </c>
      <c r="AC602" s="87">
        <f t="shared" si="59"/>
        <v>-6.8143364197301654E-3</v>
      </c>
      <c r="AD602" s="87">
        <f t="shared" si="59"/>
        <v>5.2219439811516249E-3</v>
      </c>
      <c r="AE602" s="90">
        <f t="shared" si="61"/>
        <v>-9.7935010829464549E-3</v>
      </c>
      <c r="AF602" s="89"/>
    </row>
    <row r="603" spans="1:32" ht="15.5" x14ac:dyDescent="0.35">
      <c r="A603" s="82">
        <v>40639</v>
      </c>
      <c r="B603" s="83">
        <v>8508.2000000000007</v>
      </c>
      <c r="C603" s="84">
        <v>2799.8</v>
      </c>
      <c r="D603" s="61">
        <v>284.3</v>
      </c>
      <c r="E603" s="61">
        <v>16.899999999999999</v>
      </c>
      <c r="F603" s="61">
        <v>48.2</v>
      </c>
      <c r="G603" s="61">
        <v>25.9</v>
      </c>
      <c r="H603" s="61">
        <v>41.1</v>
      </c>
      <c r="I603" s="61">
        <v>15.1</v>
      </c>
      <c r="J603" s="61">
        <v>59.4</v>
      </c>
      <c r="K603" s="61">
        <v>36.200000000000003</v>
      </c>
      <c r="L603" s="61">
        <v>33.200000000000003</v>
      </c>
      <c r="M603" s="61">
        <v>44.9</v>
      </c>
      <c r="N603" s="61">
        <v>58.9</v>
      </c>
      <c r="O603" s="85">
        <v>19.600000000000001</v>
      </c>
      <c r="P603" s="105"/>
      <c r="Q603" s="87">
        <f t="shared" si="60"/>
        <v>2.3298787942005075E-3</v>
      </c>
      <c r="R603" s="87">
        <f t="shared" si="58"/>
        <v>3.0763751681606322E-3</v>
      </c>
      <c r="S603" s="87">
        <f t="shared" si="58"/>
        <v>4.2298265391001056E-3</v>
      </c>
      <c r="T603" s="87">
        <f t="shared" si="57"/>
        <v>5.9347355198145265E-3</v>
      </c>
      <c r="U603" s="87">
        <f t="shared" si="57"/>
        <v>4.158010148663677E-3</v>
      </c>
      <c r="V603" s="87">
        <f t="shared" si="57"/>
        <v>7.7519768043179237E-3</v>
      </c>
      <c r="W603" s="87">
        <f t="shared" si="57"/>
        <v>1.4706147389695487E-2</v>
      </c>
      <c r="X603" s="87">
        <f t="shared" si="57"/>
        <v>1.3333530869465168E-2</v>
      </c>
      <c r="Y603" s="87">
        <f t="shared" si="57"/>
        <v>-2.4938948347252066E-2</v>
      </c>
      <c r="Z603" s="87">
        <f t="shared" si="59"/>
        <v>1.6713480973740532E-2</v>
      </c>
      <c r="AA603" s="87">
        <f t="shared" si="59"/>
        <v>6.0423144559626617E-3</v>
      </c>
      <c r="AB603" s="87">
        <f t="shared" si="59"/>
        <v>0</v>
      </c>
      <c r="AC603" s="87">
        <f t="shared" si="59"/>
        <v>6.8143364197301879E-3</v>
      </c>
      <c r="AD603" s="87">
        <f t="shared" si="59"/>
        <v>2.0619287202735825E-2</v>
      </c>
      <c r="AE603" s="90">
        <f t="shared" si="61"/>
        <v>5.8556563435523288E-3</v>
      </c>
      <c r="AF603" s="89"/>
    </row>
    <row r="604" spans="1:32" ht="15.5" x14ac:dyDescent="0.35">
      <c r="A604" s="82">
        <v>40640</v>
      </c>
      <c r="B604" s="83">
        <v>8489.2999999999993</v>
      </c>
      <c r="C604" s="84">
        <v>2796.1</v>
      </c>
      <c r="D604" s="61">
        <v>287.39999999999998</v>
      </c>
      <c r="E604" s="61">
        <v>16.8</v>
      </c>
      <c r="F604" s="61">
        <v>48</v>
      </c>
      <c r="G604" s="61">
        <v>26</v>
      </c>
      <c r="H604" s="61">
        <v>41.5</v>
      </c>
      <c r="I604" s="61">
        <v>15.1</v>
      </c>
      <c r="J604" s="61">
        <v>58.8</v>
      </c>
      <c r="K604" s="61">
        <v>36.700000000000003</v>
      </c>
      <c r="L604" s="61">
        <v>33.1</v>
      </c>
      <c r="M604" s="61">
        <v>44.8</v>
      </c>
      <c r="N604" s="61">
        <v>58.4</v>
      </c>
      <c r="O604" s="85">
        <v>19.3</v>
      </c>
      <c r="P604" s="105"/>
      <c r="Q604" s="87">
        <f t="shared" si="60"/>
        <v>-2.2238573659925302E-3</v>
      </c>
      <c r="R604" s="87">
        <f t="shared" si="58"/>
        <v>-1.3223969474769664E-3</v>
      </c>
      <c r="S604" s="87">
        <f t="shared" si="58"/>
        <v>1.0844954987970317E-2</v>
      </c>
      <c r="T604" s="87">
        <f t="shared" si="57"/>
        <v>-5.9347355198144658E-3</v>
      </c>
      <c r="U604" s="87">
        <f t="shared" si="57"/>
        <v>-4.1580101486637881E-3</v>
      </c>
      <c r="V604" s="87">
        <f t="shared" si="57"/>
        <v>3.8535693159899723E-3</v>
      </c>
      <c r="W604" s="87">
        <f t="shared" si="57"/>
        <v>9.6853057344636791E-3</v>
      </c>
      <c r="X604" s="87">
        <f t="shared" si="57"/>
        <v>0</v>
      </c>
      <c r="Y604" s="87">
        <f t="shared" si="57"/>
        <v>-1.0152371464018073E-2</v>
      </c>
      <c r="Z604" s="87">
        <f t="shared" si="59"/>
        <v>1.3717636228799126E-2</v>
      </c>
      <c r="AA604" s="87">
        <f t="shared" si="59"/>
        <v>-3.0165935394256792E-3</v>
      </c>
      <c r="AB604" s="87">
        <f t="shared" si="59"/>
        <v>-2.2296553272692031E-3</v>
      </c>
      <c r="AC604" s="87">
        <f t="shared" si="59"/>
        <v>-8.5252008233596167E-3</v>
      </c>
      <c r="AD604" s="87">
        <f t="shared" si="59"/>
        <v>-1.5424470325631752E-2</v>
      </c>
      <c r="AE604" s="90">
        <f t="shared" si="61"/>
        <v>-2.8512484627744405E-4</v>
      </c>
      <c r="AF604" s="89"/>
    </row>
    <row r="605" spans="1:32" ht="15.5" x14ac:dyDescent="0.35">
      <c r="A605" s="82">
        <v>40641</v>
      </c>
      <c r="B605" s="83">
        <v>8483.9</v>
      </c>
      <c r="C605" s="84">
        <v>2780.4</v>
      </c>
      <c r="D605" s="61">
        <v>289.3</v>
      </c>
      <c r="E605" s="61">
        <v>16.8</v>
      </c>
      <c r="F605" s="61">
        <v>47.7</v>
      </c>
      <c r="G605" s="61">
        <v>26</v>
      </c>
      <c r="H605" s="61">
        <v>42</v>
      </c>
      <c r="I605" s="61">
        <v>15</v>
      </c>
      <c r="J605" s="61">
        <v>57.6</v>
      </c>
      <c r="K605" s="61">
        <v>36.9</v>
      </c>
      <c r="L605" s="61">
        <v>33.4</v>
      </c>
      <c r="M605" s="61">
        <v>44.4</v>
      </c>
      <c r="N605" s="61">
        <v>58.1</v>
      </c>
      <c r="O605" s="85">
        <v>19.3</v>
      </c>
      <c r="P605" s="105"/>
      <c r="Q605" s="87">
        <f t="shared" si="60"/>
        <v>-6.3629724297047943E-4</v>
      </c>
      <c r="R605" s="87">
        <f t="shared" si="58"/>
        <v>-5.6307868669171158E-3</v>
      </c>
      <c r="S605" s="87">
        <f t="shared" si="58"/>
        <v>6.5892383371649538E-3</v>
      </c>
      <c r="T605" s="87">
        <f t="shared" si="57"/>
        <v>0</v>
      </c>
      <c r="U605" s="87">
        <f t="shared" si="57"/>
        <v>-6.2696130135953742E-3</v>
      </c>
      <c r="V605" s="87">
        <f t="shared" si="57"/>
        <v>0</v>
      </c>
      <c r="W605" s="87">
        <f t="shared" si="57"/>
        <v>1.197619104671562E-2</v>
      </c>
      <c r="X605" s="87">
        <f t="shared" si="57"/>
        <v>-6.6445427186685013E-3</v>
      </c>
      <c r="Y605" s="87">
        <f t="shared" si="57"/>
        <v>-2.0619287202735592E-2</v>
      </c>
      <c r="Z605" s="87">
        <f t="shared" si="59"/>
        <v>5.4347959859567746E-3</v>
      </c>
      <c r="AA605" s="87">
        <f t="shared" si="59"/>
        <v>9.0226175996373312E-3</v>
      </c>
      <c r="AB605" s="87">
        <f t="shared" si="59"/>
        <v>-8.9686699827603751E-3</v>
      </c>
      <c r="AC605" s="87">
        <f t="shared" si="59"/>
        <v>-5.1502259763157934E-3</v>
      </c>
      <c r="AD605" s="87">
        <f t="shared" si="59"/>
        <v>0</v>
      </c>
      <c r="AE605" s="90">
        <f t="shared" si="61"/>
        <v>-1.5514523988236798E-3</v>
      </c>
      <c r="AF605" s="89"/>
    </row>
    <row r="606" spans="1:32" ht="15.5" x14ac:dyDescent="0.35">
      <c r="A606" s="82">
        <v>40644</v>
      </c>
      <c r="B606" s="83">
        <v>8445.7999999999993</v>
      </c>
      <c r="C606" s="84">
        <v>2771.5</v>
      </c>
      <c r="D606" s="61">
        <v>286.8</v>
      </c>
      <c r="E606" s="61">
        <v>16.399999999999999</v>
      </c>
      <c r="F606" s="61">
        <v>47.2</v>
      </c>
      <c r="G606" s="61">
        <v>25.8</v>
      </c>
      <c r="H606" s="61">
        <v>41.9</v>
      </c>
      <c r="I606" s="61">
        <v>14.5</v>
      </c>
      <c r="J606" s="61">
        <v>56.5</v>
      </c>
      <c r="K606" s="61">
        <v>37.1</v>
      </c>
      <c r="L606" s="61">
        <v>33.5</v>
      </c>
      <c r="M606" s="61">
        <v>44.4</v>
      </c>
      <c r="N606" s="61">
        <v>58.4</v>
      </c>
      <c r="O606" s="85">
        <v>19.3</v>
      </c>
      <c r="P606" s="105"/>
      <c r="Q606" s="87">
        <f t="shared" si="60"/>
        <v>-4.5009733570642047E-3</v>
      </c>
      <c r="R606" s="87">
        <f t="shared" si="58"/>
        <v>-3.206112366471483E-3</v>
      </c>
      <c r="S606" s="87">
        <f t="shared" si="58"/>
        <v>-8.679103256624101E-3</v>
      </c>
      <c r="T606" s="87">
        <f t="shared" si="57"/>
        <v>-2.4097551579060641E-2</v>
      </c>
      <c r="U606" s="87">
        <f t="shared" si="57"/>
        <v>-1.0537505302785799E-2</v>
      </c>
      <c r="V606" s="87">
        <f t="shared" si="57"/>
        <v>-7.7220460939102778E-3</v>
      </c>
      <c r="W606" s="87">
        <f t="shared" si="57"/>
        <v>-2.3837913552762504E-3</v>
      </c>
      <c r="X606" s="87">
        <f t="shared" si="57"/>
        <v>-3.3901551675681339E-2</v>
      </c>
      <c r="Y606" s="87">
        <f t="shared" si="57"/>
        <v>-1.9281929549450284E-2</v>
      </c>
      <c r="Z606" s="87">
        <f t="shared" si="59"/>
        <v>5.4054185669079819E-3</v>
      </c>
      <c r="AA606" s="87">
        <f t="shared" si="59"/>
        <v>2.9895388483659859E-3</v>
      </c>
      <c r="AB606" s="87">
        <f t="shared" si="59"/>
        <v>0</v>
      </c>
      <c r="AC606" s="87">
        <f t="shared" si="59"/>
        <v>5.1502259763158611E-3</v>
      </c>
      <c r="AD606" s="87">
        <f t="shared" si="59"/>
        <v>0</v>
      </c>
      <c r="AE606" s="90">
        <f t="shared" si="61"/>
        <v>-6.5150421239657617E-3</v>
      </c>
      <c r="AF606" s="89"/>
    </row>
    <row r="607" spans="1:32" ht="15.5" x14ac:dyDescent="0.35">
      <c r="A607" s="82">
        <v>40645</v>
      </c>
      <c r="B607" s="83">
        <v>8360.5</v>
      </c>
      <c r="C607" s="84">
        <v>2744.8</v>
      </c>
      <c r="D607" s="61">
        <v>284.3</v>
      </c>
      <c r="E607" s="61">
        <v>16.3</v>
      </c>
      <c r="F607" s="61">
        <v>47.2</v>
      </c>
      <c r="G607" s="61">
        <v>25.6</v>
      </c>
      <c r="H607" s="61">
        <v>41.1</v>
      </c>
      <c r="I607" s="61">
        <v>14.4</v>
      </c>
      <c r="J607" s="61">
        <v>55.5</v>
      </c>
      <c r="K607" s="61">
        <v>37.4</v>
      </c>
      <c r="L607" s="61">
        <v>33.4</v>
      </c>
      <c r="M607" s="61">
        <v>44</v>
      </c>
      <c r="N607" s="61">
        <v>58.1</v>
      </c>
      <c r="O607" s="85">
        <v>19.3</v>
      </c>
      <c r="P607" s="105"/>
      <c r="Q607" s="87">
        <f t="shared" si="60"/>
        <v>-1.0151042462344079E-2</v>
      </c>
      <c r="R607" s="87">
        <f t="shared" si="58"/>
        <v>-9.6804773156193673E-3</v>
      </c>
      <c r="S607" s="87">
        <f t="shared" si="58"/>
        <v>-8.755090068511176E-3</v>
      </c>
      <c r="T607" s="87">
        <f t="shared" si="57"/>
        <v>-6.1162270174359825E-3</v>
      </c>
      <c r="U607" s="87">
        <f t="shared" si="57"/>
        <v>0</v>
      </c>
      <c r="V607" s="87">
        <f t="shared" si="57"/>
        <v>-7.7821404420549628E-3</v>
      </c>
      <c r="W607" s="87">
        <f t="shared" si="57"/>
        <v>-1.9277705425903076E-2</v>
      </c>
      <c r="X607" s="87">
        <f t="shared" si="57"/>
        <v>-6.9204428445737952E-3</v>
      </c>
      <c r="Y607" s="87">
        <f t="shared" si="57"/>
        <v>-1.7857617400006461E-2</v>
      </c>
      <c r="Z607" s="87">
        <f t="shared" si="59"/>
        <v>8.053734807096825E-3</v>
      </c>
      <c r="AA607" s="87">
        <f t="shared" si="59"/>
        <v>-2.9895388483660483E-3</v>
      </c>
      <c r="AB607" s="87">
        <f t="shared" si="59"/>
        <v>-9.0498355199179273E-3</v>
      </c>
      <c r="AC607" s="87">
        <f t="shared" si="59"/>
        <v>-5.1502259763157934E-3</v>
      </c>
      <c r="AD607" s="87">
        <f t="shared" si="59"/>
        <v>0</v>
      </c>
      <c r="AE607" s="90">
        <f t="shared" si="61"/>
        <v>-5.4648866218549143E-3</v>
      </c>
      <c r="AF607" s="89"/>
    </row>
    <row r="608" spans="1:32" ht="15.5" x14ac:dyDescent="0.35">
      <c r="A608" s="82">
        <v>40646</v>
      </c>
      <c r="B608" s="83">
        <v>8367.2999999999993</v>
      </c>
      <c r="C608" s="84">
        <v>2761.5</v>
      </c>
      <c r="D608" s="61">
        <v>286.2</v>
      </c>
      <c r="E608" s="61">
        <v>16.399999999999999</v>
      </c>
      <c r="F608" s="61">
        <v>47.5</v>
      </c>
      <c r="G608" s="61">
        <v>25.6</v>
      </c>
      <c r="H608" s="61">
        <v>39.799999999999997</v>
      </c>
      <c r="I608" s="61">
        <v>14.9</v>
      </c>
      <c r="J608" s="61">
        <v>56.3</v>
      </c>
      <c r="K608" s="61">
        <v>37.200000000000003</v>
      </c>
      <c r="L608" s="61">
        <v>33.4</v>
      </c>
      <c r="M608" s="61">
        <v>44</v>
      </c>
      <c r="N608" s="61">
        <v>58.1</v>
      </c>
      <c r="O608" s="85">
        <v>19.5</v>
      </c>
      <c r="P608" s="105"/>
      <c r="Q608" s="87">
        <f t="shared" si="60"/>
        <v>8.1301789530785517E-4</v>
      </c>
      <c r="R608" s="87">
        <f t="shared" si="58"/>
        <v>6.0657977970021435E-3</v>
      </c>
      <c r="S608" s="87">
        <f t="shared" si="58"/>
        <v>6.6608484653963513E-3</v>
      </c>
      <c r="T608" s="87">
        <f t="shared" si="57"/>
        <v>6.1162270174360536E-3</v>
      </c>
      <c r="U608" s="87">
        <f t="shared" si="57"/>
        <v>6.3358184490857035E-3</v>
      </c>
      <c r="V608" s="87">
        <f t="shared" si="57"/>
        <v>0</v>
      </c>
      <c r="W608" s="87">
        <f t="shared" si="57"/>
        <v>-3.214120921179698E-2</v>
      </c>
      <c r="X608" s="87">
        <f t="shared" si="57"/>
        <v>3.4133006369458617E-2</v>
      </c>
      <c r="Y608" s="87">
        <f t="shared" si="57"/>
        <v>1.4311514393255726E-2</v>
      </c>
      <c r="Z608" s="87">
        <f t="shared" si="59"/>
        <v>-5.3619431413852872E-3</v>
      </c>
      <c r="AA608" s="87">
        <f t="shared" si="59"/>
        <v>0</v>
      </c>
      <c r="AB608" s="87">
        <f t="shared" si="59"/>
        <v>0</v>
      </c>
      <c r="AC608" s="87">
        <f t="shared" si="59"/>
        <v>0</v>
      </c>
      <c r="AD608" s="87">
        <f t="shared" si="59"/>
        <v>1.0309369658861287E-2</v>
      </c>
      <c r="AE608" s="90">
        <f t="shared" si="61"/>
        <v>6.83301554417868E-3</v>
      </c>
      <c r="AF608" s="89"/>
    </row>
    <row r="609" spans="1:32" ht="15.5" x14ac:dyDescent="0.35">
      <c r="A609" s="82">
        <v>40647</v>
      </c>
      <c r="B609" s="83">
        <v>8374.2000000000007</v>
      </c>
      <c r="C609" s="84">
        <v>2760.2</v>
      </c>
      <c r="D609" s="61">
        <v>286.3</v>
      </c>
      <c r="E609" s="61">
        <v>16.399999999999999</v>
      </c>
      <c r="F609" s="61">
        <v>47.4</v>
      </c>
      <c r="G609" s="61">
        <v>25.1</v>
      </c>
      <c r="H609" s="61">
        <v>39.700000000000003</v>
      </c>
      <c r="I609" s="61">
        <v>14.6</v>
      </c>
      <c r="J609" s="61">
        <v>55.8</v>
      </c>
      <c r="K609" s="61">
        <v>36.799999999999997</v>
      </c>
      <c r="L609" s="61">
        <v>33.299999999999997</v>
      </c>
      <c r="M609" s="61">
        <v>43.5</v>
      </c>
      <c r="N609" s="61">
        <v>57.6</v>
      </c>
      <c r="O609" s="85">
        <v>19.7</v>
      </c>
      <c r="P609" s="105"/>
      <c r="Q609" s="87">
        <f t="shared" si="60"/>
        <v>8.2429894462219557E-4</v>
      </c>
      <c r="R609" s="87">
        <f t="shared" si="58"/>
        <v>-4.7086948730274325E-4</v>
      </c>
      <c r="S609" s="87">
        <f t="shared" si="58"/>
        <v>3.4934498171896862E-4</v>
      </c>
      <c r="T609" s="87">
        <f t="shared" si="57"/>
        <v>0</v>
      </c>
      <c r="U609" s="87">
        <f t="shared" si="57"/>
        <v>-2.1074823395646983E-3</v>
      </c>
      <c r="V609" s="87">
        <f t="shared" si="57"/>
        <v>-1.972450534777859E-2</v>
      </c>
      <c r="W609" s="87">
        <f t="shared" si="57"/>
        <v>-2.5157245972471359E-3</v>
      </c>
      <c r="X609" s="87">
        <f t="shared" si="57"/>
        <v>-2.0339684237122787E-2</v>
      </c>
      <c r="Y609" s="87">
        <f t="shared" si="57"/>
        <v>-8.9206657583794889E-3</v>
      </c>
      <c r="Z609" s="87">
        <f t="shared" si="59"/>
        <v>-1.081091610421573E-2</v>
      </c>
      <c r="AA609" s="87">
        <f t="shared" si="59"/>
        <v>-2.9985029962566689E-3</v>
      </c>
      <c r="AB609" s="87">
        <f t="shared" si="59"/>
        <v>-1.1428695823622744E-2</v>
      </c>
      <c r="AC609" s="87">
        <f t="shared" si="59"/>
        <v>-8.6430961560199689E-3</v>
      </c>
      <c r="AD609" s="87">
        <f t="shared" si="59"/>
        <v>1.0204170174241668E-2</v>
      </c>
      <c r="AE609" s="90">
        <f t="shared" si="61"/>
        <v>5.9882109830620826E-4</v>
      </c>
      <c r="AF609" s="89"/>
    </row>
    <row r="610" spans="1:32" ht="15.5" x14ac:dyDescent="0.35">
      <c r="A610" s="82">
        <v>40648</v>
      </c>
      <c r="B610" s="83">
        <v>8400.2999999999993</v>
      </c>
      <c r="C610" s="84">
        <v>2764.6</v>
      </c>
      <c r="D610" s="61">
        <v>265.3</v>
      </c>
      <c r="E610" s="61">
        <v>16.5</v>
      </c>
      <c r="F610" s="61">
        <v>46.7</v>
      </c>
      <c r="G610" s="61">
        <v>25.2</v>
      </c>
      <c r="H610" s="61">
        <v>39.799999999999997</v>
      </c>
      <c r="I610" s="61">
        <v>14.8</v>
      </c>
      <c r="J610" s="61">
        <v>55.5</v>
      </c>
      <c r="K610" s="61">
        <v>37</v>
      </c>
      <c r="L610" s="61">
        <v>34.5</v>
      </c>
      <c r="M610" s="61">
        <v>43.8</v>
      </c>
      <c r="N610" s="61">
        <v>58.6</v>
      </c>
      <c r="O610" s="85">
        <v>19.7</v>
      </c>
      <c r="P610" s="105"/>
      <c r="Q610" s="87">
        <f t="shared" si="60"/>
        <v>3.1118687367256538E-3</v>
      </c>
      <c r="R610" s="87">
        <f t="shared" si="58"/>
        <v>1.5928181763174233E-3</v>
      </c>
      <c r="S610" s="87">
        <f t="shared" si="58"/>
        <v>-7.6178950960375399E-2</v>
      </c>
      <c r="T610" s="87">
        <f t="shared" si="57"/>
        <v>6.0790460763821925E-3</v>
      </c>
      <c r="U610" s="87">
        <f t="shared" si="57"/>
        <v>-1.4878064026179113E-2</v>
      </c>
      <c r="V610" s="87">
        <f t="shared" si="57"/>
        <v>3.9761483796394168E-3</v>
      </c>
      <c r="W610" s="87">
        <f t="shared" si="57"/>
        <v>2.5157245972471489E-3</v>
      </c>
      <c r="X610" s="87">
        <f t="shared" si="57"/>
        <v>1.3605652055778678E-2</v>
      </c>
      <c r="Y610" s="87">
        <f t="shared" si="57"/>
        <v>-5.3908486348764233E-3</v>
      </c>
      <c r="Z610" s="87">
        <f t="shared" si="59"/>
        <v>5.4200674693393345E-3</v>
      </c>
      <c r="AA610" s="87">
        <f t="shared" si="59"/>
        <v>3.5401927050916E-2</v>
      </c>
      <c r="AB610" s="87">
        <f t="shared" si="59"/>
        <v>6.8728792877620504E-3</v>
      </c>
      <c r="AC610" s="87">
        <f t="shared" si="59"/>
        <v>1.7212128881121426E-2</v>
      </c>
      <c r="AD610" s="87">
        <f t="shared" si="59"/>
        <v>0</v>
      </c>
      <c r="AE610" s="90">
        <f t="shared" si="61"/>
        <v>-2.6079252039270782E-2</v>
      </c>
      <c r="AF610" s="89"/>
    </row>
    <row r="611" spans="1:32" ht="15.5" x14ac:dyDescent="0.35">
      <c r="A611" s="82">
        <v>40651</v>
      </c>
      <c r="B611" s="83">
        <v>8277.1</v>
      </c>
      <c r="C611" s="84">
        <v>2735.4</v>
      </c>
      <c r="D611" s="61">
        <v>259.8</v>
      </c>
      <c r="E611" s="61">
        <v>16.100000000000001</v>
      </c>
      <c r="F611" s="61">
        <v>45.7</v>
      </c>
      <c r="G611" s="61">
        <v>24.7</v>
      </c>
      <c r="H611" s="61">
        <v>39.4</v>
      </c>
      <c r="I611" s="61">
        <v>14.7</v>
      </c>
      <c r="J611" s="61">
        <v>54.7</v>
      </c>
      <c r="K611" s="61">
        <v>36.299999999999997</v>
      </c>
      <c r="L611" s="61">
        <v>33.9</v>
      </c>
      <c r="M611" s="61">
        <v>42.8</v>
      </c>
      <c r="N611" s="61">
        <v>57.4</v>
      </c>
      <c r="O611" s="85">
        <v>19.3</v>
      </c>
      <c r="P611" s="105"/>
      <c r="Q611" s="87">
        <f t="shared" si="60"/>
        <v>-1.4774753994862848E-2</v>
      </c>
      <c r="R611" s="87">
        <f t="shared" si="58"/>
        <v>-1.0618281582806111E-2</v>
      </c>
      <c r="S611" s="87">
        <f t="shared" si="58"/>
        <v>-2.0949156907194844E-2</v>
      </c>
      <c r="T611" s="87">
        <f t="shared" si="57"/>
        <v>-2.4541108916117545E-2</v>
      </c>
      <c r="U611" s="87">
        <f t="shared" si="57"/>
        <v>-2.1645866774692664E-2</v>
      </c>
      <c r="V611" s="87">
        <f t="shared" si="57"/>
        <v>-2.0040750883446153E-2</v>
      </c>
      <c r="W611" s="87">
        <f t="shared" si="57"/>
        <v>-1.0101095986503821E-2</v>
      </c>
      <c r="X611" s="87">
        <f t="shared" si="57"/>
        <v>-6.7796869853788038E-3</v>
      </c>
      <c r="Y611" s="87">
        <f t="shared" si="57"/>
        <v>-1.4519311324453268E-2</v>
      </c>
      <c r="Z611" s="87">
        <f t="shared" si="59"/>
        <v>-1.9100171373419378E-2</v>
      </c>
      <c r="AA611" s="87">
        <f t="shared" si="59"/>
        <v>-1.7544309650909508E-2</v>
      </c>
      <c r="AB611" s="87">
        <f t="shared" si="59"/>
        <v>-2.3095714794649395E-2</v>
      </c>
      <c r="AC611" s="87">
        <f t="shared" si="59"/>
        <v>-2.0690393257446281E-2</v>
      </c>
      <c r="AD611" s="87">
        <f t="shared" si="59"/>
        <v>-2.0513539833102903E-2</v>
      </c>
      <c r="AE611" s="90">
        <f t="shared" si="61"/>
        <v>-1.7998760483403251E-2</v>
      </c>
      <c r="AF611" s="89"/>
    </row>
    <row r="612" spans="1:32" ht="15.5" x14ac:dyDescent="0.35">
      <c r="A612" s="82">
        <v>40652</v>
      </c>
      <c r="B612" s="83">
        <v>8332</v>
      </c>
      <c r="C612" s="84">
        <v>2745</v>
      </c>
      <c r="D612" s="61">
        <v>260.7</v>
      </c>
      <c r="E612" s="61">
        <v>16.100000000000001</v>
      </c>
      <c r="F612" s="61">
        <v>47.4</v>
      </c>
      <c r="G612" s="61">
        <v>24.9</v>
      </c>
      <c r="H612" s="61">
        <v>39.200000000000003</v>
      </c>
      <c r="I612" s="61">
        <v>15.3</v>
      </c>
      <c r="J612" s="61">
        <v>55.7</v>
      </c>
      <c r="K612" s="61">
        <v>36.6</v>
      </c>
      <c r="L612" s="61">
        <v>33.5</v>
      </c>
      <c r="M612" s="61">
        <v>42.9</v>
      </c>
      <c r="N612" s="61">
        <v>58.7</v>
      </c>
      <c r="O612" s="85">
        <v>19.600000000000001</v>
      </c>
      <c r="P612" s="105"/>
      <c r="Q612" s="87">
        <f t="shared" si="60"/>
        <v>6.6108578963462597E-3</v>
      </c>
      <c r="R612" s="87">
        <f t="shared" si="58"/>
        <v>3.5033974961801691E-3</v>
      </c>
      <c r="S612" s="87">
        <f t="shared" si="58"/>
        <v>3.4582167029568889E-3</v>
      </c>
      <c r="T612" s="87">
        <f t="shared" si="57"/>
        <v>0</v>
      </c>
      <c r="U612" s="87">
        <f t="shared" si="57"/>
        <v>3.6523930800871685E-2</v>
      </c>
      <c r="V612" s="87">
        <f t="shared" si="57"/>
        <v>8.0645598367304946E-3</v>
      </c>
      <c r="W612" s="87">
        <f t="shared" si="57"/>
        <v>-5.0890695074711813E-3</v>
      </c>
      <c r="X612" s="87">
        <f t="shared" si="57"/>
        <v>4.0005334613699206E-2</v>
      </c>
      <c r="Y612" s="87">
        <f t="shared" si="57"/>
        <v>1.8116437505302785E-2</v>
      </c>
      <c r="Z612" s="87">
        <f t="shared" si="59"/>
        <v>8.2304991365156621E-3</v>
      </c>
      <c r="AA612" s="87">
        <f t="shared" si="59"/>
        <v>-1.1869575555383769E-2</v>
      </c>
      <c r="AB612" s="87">
        <f t="shared" si="59"/>
        <v>2.3337233462203183E-3</v>
      </c>
      <c r="AC612" s="87">
        <f t="shared" si="59"/>
        <v>2.2395423508530174E-2</v>
      </c>
      <c r="AD612" s="87">
        <f t="shared" si="59"/>
        <v>1.5424470325631731E-2</v>
      </c>
      <c r="AE612" s="90">
        <f t="shared" si="61"/>
        <v>1.4381011436505019E-2</v>
      </c>
      <c r="AF612" s="89"/>
    </row>
    <row r="613" spans="1:32" ht="15.5" x14ac:dyDescent="0.35">
      <c r="A613" s="82">
        <v>40653</v>
      </c>
      <c r="B613" s="83">
        <v>8457.7000000000007</v>
      </c>
      <c r="C613" s="84">
        <v>2802.5</v>
      </c>
      <c r="D613" s="61">
        <v>261</v>
      </c>
      <c r="E613" s="61">
        <v>16.600000000000001</v>
      </c>
      <c r="F613" s="61">
        <v>48.8</v>
      </c>
      <c r="G613" s="61">
        <v>25.5</v>
      </c>
      <c r="H613" s="61">
        <v>38.5</v>
      </c>
      <c r="I613" s="61">
        <v>15.5</v>
      </c>
      <c r="J613" s="61">
        <v>57.1</v>
      </c>
      <c r="K613" s="61">
        <v>37.200000000000003</v>
      </c>
      <c r="L613" s="61">
        <v>34</v>
      </c>
      <c r="M613" s="61">
        <v>43.8</v>
      </c>
      <c r="N613" s="61">
        <v>60.5</v>
      </c>
      <c r="O613" s="85">
        <v>19.8</v>
      </c>
      <c r="P613" s="105"/>
      <c r="Q613" s="87">
        <f t="shared" si="60"/>
        <v>1.4973745644414586E-2</v>
      </c>
      <c r="R613" s="87">
        <f t="shared" si="58"/>
        <v>2.073080100268403E-2</v>
      </c>
      <c r="S613" s="87">
        <f t="shared" si="58"/>
        <v>1.15008638323731E-3</v>
      </c>
      <c r="T613" s="87">
        <f t="shared" si="57"/>
        <v>3.0583423372080185E-2</v>
      </c>
      <c r="U613" s="87">
        <f t="shared" si="57"/>
        <v>2.9108084158070549E-2</v>
      </c>
      <c r="V613" s="87">
        <f t="shared" si="57"/>
        <v>2.3810648693718607E-2</v>
      </c>
      <c r="W613" s="87">
        <f t="shared" si="57"/>
        <v>-1.8018505502678365E-2</v>
      </c>
      <c r="X613" s="87">
        <f t="shared" si="57"/>
        <v>1.2987195526811112E-2</v>
      </c>
      <c r="Y613" s="87">
        <f t="shared" si="57"/>
        <v>2.4823969728726199E-2</v>
      </c>
      <c r="Z613" s="87">
        <f t="shared" si="59"/>
        <v>1.6260520871780326E-2</v>
      </c>
      <c r="AA613" s="87">
        <f t="shared" si="59"/>
        <v>1.4815085785140682E-2</v>
      </c>
      <c r="AB613" s="87">
        <f t="shared" si="59"/>
        <v>2.0761991448429225E-2</v>
      </c>
      <c r="AC613" s="87">
        <f t="shared" si="59"/>
        <v>3.0203638202745037E-2</v>
      </c>
      <c r="AD613" s="87">
        <f t="shared" si="59"/>
        <v>1.0152371464017908E-2</v>
      </c>
      <c r="AE613" s="90">
        <f t="shared" si="61"/>
        <v>1.6107868023679212E-2</v>
      </c>
      <c r="AF613" s="89"/>
    </row>
    <row r="614" spans="1:32" ht="15.5" x14ac:dyDescent="0.35">
      <c r="A614" s="82">
        <v>40654</v>
      </c>
      <c r="B614" s="83">
        <v>8504.4</v>
      </c>
      <c r="C614" s="84">
        <v>2820.2</v>
      </c>
      <c r="D614" s="61">
        <v>261.5</v>
      </c>
      <c r="E614" s="61">
        <v>16.7</v>
      </c>
      <c r="F614" s="61">
        <v>49.8</v>
      </c>
      <c r="G614" s="61">
        <v>25.4</v>
      </c>
      <c r="H614" s="61">
        <v>38.700000000000003</v>
      </c>
      <c r="I614" s="61">
        <v>15.5</v>
      </c>
      <c r="J614" s="61">
        <v>57.3</v>
      </c>
      <c r="K614" s="61">
        <v>37.299999999999997</v>
      </c>
      <c r="L614" s="61">
        <v>34</v>
      </c>
      <c r="M614" s="61">
        <v>43.8</v>
      </c>
      <c r="N614" s="61">
        <v>60.6</v>
      </c>
      <c r="O614" s="85">
        <v>20</v>
      </c>
      <c r="P614" s="105"/>
      <c r="Q614" s="87">
        <f t="shared" si="60"/>
        <v>5.5064075789334876E-3</v>
      </c>
      <c r="R614" s="87">
        <f t="shared" si="58"/>
        <v>6.2959284568146106E-3</v>
      </c>
      <c r="S614" s="87">
        <f t="shared" si="58"/>
        <v>1.9138761822841976E-3</v>
      </c>
      <c r="T614" s="87">
        <f t="shared" si="57"/>
        <v>6.0060240602117284E-3</v>
      </c>
      <c r="U614" s="87">
        <f t="shared" si="57"/>
        <v>2.0284671171505717E-2</v>
      </c>
      <c r="V614" s="87">
        <f t="shared" si="57"/>
        <v>-3.9292781398896611E-3</v>
      </c>
      <c r="W614" s="87">
        <f t="shared" si="57"/>
        <v>5.1813587419975845E-3</v>
      </c>
      <c r="X614" s="87">
        <f t="shared" si="57"/>
        <v>0</v>
      </c>
      <c r="Y614" s="87">
        <f t="shared" si="57"/>
        <v>3.496507058729306E-3</v>
      </c>
      <c r="Z614" s="87">
        <f t="shared" si="59"/>
        <v>2.6845653706687612E-3</v>
      </c>
      <c r="AA614" s="87">
        <f t="shared" si="59"/>
        <v>0</v>
      </c>
      <c r="AB614" s="87">
        <f t="shared" si="59"/>
        <v>0</v>
      </c>
      <c r="AC614" s="87">
        <f t="shared" si="59"/>
        <v>1.6515280384729392E-3</v>
      </c>
      <c r="AD614" s="87">
        <f t="shared" si="59"/>
        <v>1.0050335853501506E-2</v>
      </c>
      <c r="AE614" s="90">
        <f t="shared" si="61"/>
        <v>9.4692875482301E-3</v>
      </c>
      <c r="AF614" s="89"/>
    </row>
    <row r="615" spans="1:32" ht="15.5" x14ac:dyDescent="0.35">
      <c r="A615" s="82">
        <v>40658</v>
      </c>
      <c r="B615" s="83">
        <v>8485.2999999999993</v>
      </c>
      <c r="C615" s="84">
        <v>2825.9</v>
      </c>
      <c r="D615" s="61">
        <v>261.3</v>
      </c>
      <c r="E615" s="61">
        <v>16.899999999999999</v>
      </c>
      <c r="F615" s="61">
        <v>50</v>
      </c>
      <c r="G615" s="61">
        <v>25.3</v>
      </c>
      <c r="H615" s="61">
        <v>39.799999999999997</v>
      </c>
      <c r="I615" s="61">
        <v>15.9</v>
      </c>
      <c r="J615" s="61">
        <v>57.4</v>
      </c>
      <c r="K615" s="61">
        <v>37.200000000000003</v>
      </c>
      <c r="L615" s="61">
        <v>33.6</v>
      </c>
      <c r="M615" s="61">
        <v>43.9</v>
      </c>
      <c r="N615" s="61">
        <v>60.8</v>
      </c>
      <c r="O615" s="85">
        <v>20</v>
      </c>
      <c r="P615" s="105"/>
      <c r="Q615" s="87">
        <f t="shared" si="60"/>
        <v>-2.2484220494198232E-3</v>
      </c>
      <c r="R615" s="87">
        <f t="shared" si="58"/>
        <v>2.019093511078849E-3</v>
      </c>
      <c r="S615" s="87">
        <f t="shared" si="58"/>
        <v>-7.651109784107148E-4</v>
      </c>
      <c r="T615" s="87">
        <f t="shared" si="57"/>
        <v>1.1904902506318239E-2</v>
      </c>
      <c r="U615" s="87">
        <f t="shared" si="57"/>
        <v>4.0080213975388678E-3</v>
      </c>
      <c r="V615" s="87">
        <f t="shared" si="57"/>
        <v>-3.9447782910162288E-3</v>
      </c>
      <c r="W615" s="87">
        <f t="shared" ref="W615:AD658" si="62">+LN(H615/H614)</f>
        <v>2.802731225465566E-2</v>
      </c>
      <c r="X615" s="87">
        <f t="shared" si="62"/>
        <v>2.5479085300984968E-2</v>
      </c>
      <c r="Y615" s="87">
        <f t="shared" si="62"/>
        <v>1.7436796048268374E-3</v>
      </c>
      <c r="Z615" s="87">
        <f t="shared" si="59"/>
        <v>-2.6845653706688757E-3</v>
      </c>
      <c r="AA615" s="87">
        <f t="shared" si="59"/>
        <v>-1.1834457647002796E-2</v>
      </c>
      <c r="AB615" s="87">
        <f t="shared" si="59"/>
        <v>2.2805026987253031E-3</v>
      </c>
      <c r="AC615" s="87">
        <f t="shared" si="59"/>
        <v>3.2948958968524846E-3</v>
      </c>
      <c r="AD615" s="87">
        <f t="shared" si="59"/>
        <v>0</v>
      </c>
      <c r="AE615" s="90">
        <f t="shared" si="61"/>
        <v>1.5272723788282317E-3</v>
      </c>
      <c r="AF615" s="89"/>
    </row>
    <row r="616" spans="1:32" ht="15.5" x14ac:dyDescent="0.35">
      <c r="A616" s="82">
        <v>40659</v>
      </c>
      <c r="B616" s="83">
        <v>8555</v>
      </c>
      <c r="C616" s="84">
        <v>2847.5</v>
      </c>
      <c r="D616" s="61">
        <v>262.89999999999998</v>
      </c>
      <c r="E616" s="61">
        <v>17</v>
      </c>
      <c r="F616" s="61">
        <v>49.9</v>
      </c>
      <c r="G616" s="61">
        <v>25.7</v>
      </c>
      <c r="H616" s="61">
        <v>40</v>
      </c>
      <c r="I616" s="61">
        <v>16</v>
      </c>
      <c r="J616" s="61">
        <v>58.2</v>
      </c>
      <c r="K616" s="61">
        <v>37.9</v>
      </c>
      <c r="L616" s="61">
        <v>34.4</v>
      </c>
      <c r="M616" s="61">
        <v>44.5</v>
      </c>
      <c r="N616" s="61">
        <v>61.5</v>
      </c>
      <c r="O616" s="85">
        <v>19.899999999999999</v>
      </c>
      <c r="P616" s="105"/>
      <c r="Q616" s="87">
        <f t="shared" si="60"/>
        <v>8.1806527715030559E-3</v>
      </c>
      <c r="R616" s="87">
        <f t="shared" si="58"/>
        <v>7.6145184071286882E-3</v>
      </c>
      <c r="S616" s="87">
        <f t="shared" si="58"/>
        <v>6.1045592092686795E-3</v>
      </c>
      <c r="T616" s="87">
        <f t="shared" si="58"/>
        <v>5.899722127188322E-3</v>
      </c>
      <c r="U616" s="87">
        <f t="shared" si="58"/>
        <v>-2.0020026706730793E-3</v>
      </c>
      <c r="V616" s="87">
        <f t="shared" si="58"/>
        <v>1.5686596167699473E-2</v>
      </c>
      <c r="W616" s="87">
        <f t="shared" si="62"/>
        <v>5.0125418235444138E-3</v>
      </c>
      <c r="X616" s="87">
        <f t="shared" si="62"/>
        <v>6.269613013595395E-3</v>
      </c>
      <c r="Y616" s="87">
        <f t="shared" si="62"/>
        <v>1.3841051411871511E-2</v>
      </c>
      <c r="Z616" s="87">
        <f t="shared" si="59"/>
        <v>1.8642350809279774E-2</v>
      </c>
      <c r="AA616" s="87">
        <f t="shared" si="59"/>
        <v>2.3530497410194036E-2</v>
      </c>
      <c r="AB616" s="87">
        <f t="shared" si="59"/>
        <v>1.357486909106885E-2</v>
      </c>
      <c r="AC616" s="87">
        <f t="shared" si="59"/>
        <v>1.1447385840350967E-2</v>
      </c>
      <c r="AD616" s="87">
        <f t="shared" si="59"/>
        <v>-5.0125418235443982E-3</v>
      </c>
      <c r="AE616" s="90">
        <f t="shared" si="61"/>
        <v>2.8879214872285525E-3</v>
      </c>
      <c r="AF616" s="89"/>
    </row>
    <row r="617" spans="1:32" ht="15.5" x14ac:dyDescent="0.35">
      <c r="A617" s="82">
        <v>40660</v>
      </c>
      <c r="B617" s="83">
        <v>8609.2999999999993</v>
      </c>
      <c r="C617" s="84">
        <v>2869.9</v>
      </c>
      <c r="D617" s="61">
        <v>267.39999999999998</v>
      </c>
      <c r="E617" s="61">
        <v>17.2</v>
      </c>
      <c r="F617" s="61">
        <v>49.6</v>
      </c>
      <c r="G617" s="61">
        <v>26.1</v>
      </c>
      <c r="H617" s="61">
        <v>40</v>
      </c>
      <c r="I617" s="61">
        <v>16</v>
      </c>
      <c r="J617" s="61">
        <v>55.9</v>
      </c>
      <c r="K617" s="61">
        <v>38.6</v>
      </c>
      <c r="L617" s="61">
        <v>35.1</v>
      </c>
      <c r="M617" s="61">
        <v>44.4</v>
      </c>
      <c r="N617" s="61">
        <v>61.9</v>
      </c>
      <c r="O617" s="85">
        <v>20</v>
      </c>
      <c r="P617" s="105"/>
      <c r="Q617" s="87">
        <f t="shared" si="60"/>
        <v>6.3271069773842229E-3</v>
      </c>
      <c r="R617" s="87">
        <f t="shared" si="58"/>
        <v>7.8357696197161111E-3</v>
      </c>
      <c r="S617" s="87">
        <f t="shared" si="58"/>
        <v>1.6971932932007314E-2</v>
      </c>
      <c r="T617" s="87">
        <f t="shared" si="58"/>
        <v>1.1696039763191236E-2</v>
      </c>
      <c r="U617" s="87">
        <f t="shared" si="58"/>
        <v>-6.0301690265910758E-3</v>
      </c>
      <c r="V617" s="87">
        <f t="shared" si="58"/>
        <v>1.5444322427473775E-2</v>
      </c>
      <c r="W617" s="87">
        <f t="shared" si="62"/>
        <v>0</v>
      </c>
      <c r="X617" s="87">
        <f t="shared" si="62"/>
        <v>0</v>
      </c>
      <c r="Y617" s="87">
        <f t="shared" si="62"/>
        <v>-4.032097457633875E-2</v>
      </c>
      <c r="Z617" s="87">
        <f t="shared" si="59"/>
        <v>1.8301164382404662E-2</v>
      </c>
      <c r="AA617" s="87">
        <f t="shared" si="59"/>
        <v>2.0144566092467495E-2</v>
      </c>
      <c r="AB617" s="87">
        <f t="shared" si="59"/>
        <v>-2.2497197340154416E-3</v>
      </c>
      <c r="AC617" s="87">
        <f t="shared" si="59"/>
        <v>6.483004878078312E-3</v>
      </c>
      <c r="AD617" s="87">
        <f t="shared" si="59"/>
        <v>5.0125418235444138E-3</v>
      </c>
      <c r="AE617" s="90">
        <f t="shared" si="61"/>
        <v>6.2025423573951865E-3</v>
      </c>
      <c r="AF617" s="89"/>
    </row>
    <row r="618" spans="1:32" ht="15.5" x14ac:dyDescent="0.35">
      <c r="A618" s="82">
        <v>40661</v>
      </c>
      <c r="B618" s="83">
        <v>8639.7000000000007</v>
      </c>
      <c r="C618" s="84">
        <v>2872.5</v>
      </c>
      <c r="D618" s="61">
        <v>267.3</v>
      </c>
      <c r="E618" s="61">
        <v>17.2</v>
      </c>
      <c r="F618" s="61">
        <v>49.4</v>
      </c>
      <c r="G618" s="61">
        <v>26.4</v>
      </c>
      <c r="H618" s="61">
        <v>40</v>
      </c>
      <c r="I618" s="61">
        <v>16</v>
      </c>
      <c r="J618" s="61">
        <v>55</v>
      </c>
      <c r="K618" s="61">
        <v>38.6</v>
      </c>
      <c r="L618" s="61">
        <v>35.5</v>
      </c>
      <c r="M618" s="61">
        <v>45.5</v>
      </c>
      <c r="N618" s="61">
        <v>62</v>
      </c>
      <c r="O618" s="85">
        <v>20.2</v>
      </c>
      <c r="P618" s="105"/>
      <c r="Q618" s="87">
        <f t="shared" si="60"/>
        <v>3.5248456693708179E-3</v>
      </c>
      <c r="R618" s="87">
        <f t="shared" si="58"/>
        <v>9.0554478185734155E-4</v>
      </c>
      <c r="S618" s="87">
        <f t="shared" si="58"/>
        <v>-3.7404152296930825E-4</v>
      </c>
      <c r="T618" s="87">
        <f t="shared" si="58"/>
        <v>0</v>
      </c>
      <c r="U618" s="87">
        <f t="shared" si="58"/>
        <v>-4.0404095370050862E-3</v>
      </c>
      <c r="V618" s="87">
        <f t="shared" si="58"/>
        <v>1.1428695823622629E-2</v>
      </c>
      <c r="W618" s="87">
        <f t="shared" si="62"/>
        <v>0</v>
      </c>
      <c r="X618" s="87">
        <f t="shared" si="62"/>
        <v>0</v>
      </c>
      <c r="Y618" s="87">
        <f t="shared" si="62"/>
        <v>-1.6231194928582552E-2</v>
      </c>
      <c r="Z618" s="87">
        <f t="shared" si="59"/>
        <v>0</v>
      </c>
      <c r="AA618" s="87">
        <f t="shared" si="59"/>
        <v>1.1331566009550018E-2</v>
      </c>
      <c r="AB618" s="87">
        <f t="shared" si="59"/>
        <v>2.4472856518725741E-2</v>
      </c>
      <c r="AC618" s="87">
        <f t="shared" si="59"/>
        <v>1.6142053545412009E-3</v>
      </c>
      <c r="AD618" s="87">
        <f t="shared" si="59"/>
        <v>9.950330853168092E-3</v>
      </c>
      <c r="AE618" s="90">
        <f t="shared" si="61"/>
        <v>2.1606460344342324E-4</v>
      </c>
      <c r="AF618" s="89"/>
    </row>
    <row r="619" spans="1:32" ht="15.5" x14ac:dyDescent="0.35">
      <c r="A619" s="82">
        <v>40662</v>
      </c>
      <c r="B619" s="83">
        <v>8671.4</v>
      </c>
      <c r="C619" s="84">
        <v>2873.5</v>
      </c>
      <c r="D619" s="61">
        <v>269.5</v>
      </c>
      <c r="E619" s="61">
        <v>17.399999999999999</v>
      </c>
      <c r="F619" s="61">
        <v>49.5</v>
      </c>
      <c r="G619" s="61">
        <v>25.4</v>
      </c>
      <c r="H619" s="61">
        <v>40</v>
      </c>
      <c r="I619" s="61">
        <v>17.600000000000001</v>
      </c>
      <c r="J619" s="61">
        <v>55.2</v>
      </c>
      <c r="K619" s="61">
        <v>38.4</v>
      </c>
      <c r="L619" s="61">
        <v>35.6</v>
      </c>
      <c r="M619" s="61">
        <v>46</v>
      </c>
      <c r="N619" s="61">
        <v>62.8</v>
      </c>
      <c r="O619" s="85">
        <v>20.399999999999999</v>
      </c>
      <c r="P619" s="105"/>
      <c r="Q619" s="87">
        <f t="shared" si="60"/>
        <v>3.6623941208831683E-3</v>
      </c>
      <c r="R619" s="87">
        <f t="shared" si="58"/>
        <v>3.4806822488541329E-4</v>
      </c>
      <c r="S619" s="87">
        <f t="shared" si="58"/>
        <v>8.1967672041784907E-3</v>
      </c>
      <c r="T619" s="87">
        <f t="shared" si="58"/>
        <v>1.1560822401076006E-2</v>
      </c>
      <c r="U619" s="87">
        <f t="shared" si="58"/>
        <v>2.0222453807678706E-3</v>
      </c>
      <c r="V619" s="87">
        <f t="shared" si="58"/>
        <v>-3.8614836127779543E-2</v>
      </c>
      <c r="W619" s="87">
        <f t="shared" si="62"/>
        <v>0</v>
      </c>
      <c r="X619" s="87">
        <f t="shared" si="62"/>
        <v>9.5310179804324935E-2</v>
      </c>
      <c r="Y619" s="87">
        <f t="shared" si="62"/>
        <v>3.6297680505787311E-3</v>
      </c>
      <c r="Z619" s="87">
        <f t="shared" si="59"/>
        <v>-5.1948168771040228E-3</v>
      </c>
      <c r="AA619" s="87">
        <f t="shared" si="59"/>
        <v>2.8129413766146577E-3</v>
      </c>
      <c r="AB619" s="87">
        <f t="shared" si="59"/>
        <v>1.092907053219023E-2</v>
      </c>
      <c r="AC619" s="87">
        <f t="shared" si="59"/>
        <v>1.2820688429061469E-2</v>
      </c>
      <c r="AD619" s="87">
        <f t="shared" si="59"/>
        <v>9.8522964430116395E-3</v>
      </c>
      <c r="AE619" s="90">
        <f t="shared" si="61"/>
        <v>4.2798219977954492E-3</v>
      </c>
      <c r="AF619" s="89"/>
    </row>
    <row r="620" spans="1:32" ht="15.5" x14ac:dyDescent="0.35">
      <c r="A620" s="82">
        <v>40665</v>
      </c>
      <c r="B620" s="83">
        <v>8649.6</v>
      </c>
      <c r="C620" s="84">
        <v>2864.1</v>
      </c>
      <c r="D620" s="61">
        <v>268.8</v>
      </c>
      <c r="E620" s="61">
        <v>17.600000000000001</v>
      </c>
      <c r="F620" s="61">
        <v>49.4</v>
      </c>
      <c r="G620" s="61">
        <v>25.5</v>
      </c>
      <c r="H620" s="61">
        <v>40</v>
      </c>
      <c r="I620" s="61">
        <v>17.600000000000001</v>
      </c>
      <c r="J620" s="61">
        <v>55.6</v>
      </c>
      <c r="K620" s="61">
        <v>38.1</v>
      </c>
      <c r="L620" s="61">
        <v>36</v>
      </c>
      <c r="M620" s="61">
        <v>46.2</v>
      </c>
      <c r="N620" s="61">
        <v>62.9</v>
      </c>
      <c r="O620" s="85">
        <v>20.5</v>
      </c>
      <c r="P620" s="105"/>
      <c r="Q620" s="87">
        <f t="shared" si="60"/>
        <v>-2.5171770118036342E-3</v>
      </c>
      <c r="R620" s="87">
        <f t="shared" si="58"/>
        <v>-3.2766342756991112E-3</v>
      </c>
      <c r="S620" s="87">
        <f t="shared" si="58"/>
        <v>-2.6007817000573675E-3</v>
      </c>
      <c r="T620" s="87">
        <f t="shared" si="58"/>
        <v>1.142869582362285E-2</v>
      </c>
      <c r="U620" s="87">
        <f t="shared" si="58"/>
        <v>-2.022245380767809E-3</v>
      </c>
      <c r="V620" s="87">
        <f t="shared" si="58"/>
        <v>3.929278139889557E-3</v>
      </c>
      <c r="W620" s="87">
        <f t="shared" si="62"/>
        <v>0</v>
      </c>
      <c r="X620" s="87">
        <f t="shared" si="62"/>
        <v>0</v>
      </c>
      <c r="Y620" s="87">
        <f t="shared" si="62"/>
        <v>7.2202479734870973E-3</v>
      </c>
      <c r="Z620" s="87">
        <f t="shared" si="59"/>
        <v>-7.8431774610257816E-3</v>
      </c>
      <c r="AA620" s="87">
        <f t="shared" si="59"/>
        <v>1.1173300598125255E-2</v>
      </c>
      <c r="AB620" s="87">
        <f t="shared" si="59"/>
        <v>4.3384015985981411E-3</v>
      </c>
      <c r="AC620" s="87">
        <f t="shared" si="59"/>
        <v>1.5910902322419035E-3</v>
      </c>
      <c r="AD620" s="87">
        <f t="shared" si="59"/>
        <v>4.8899852941917702E-3</v>
      </c>
      <c r="AE620" s="90">
        <f t="shared" si="61"/>
        <v>-1.7274518417576619E-3</v>
      </c>
      <c r="AF620" s="89"/>
    </row>
    <row r="621" spans="1:32" ht="15.5" x14ac:dyDescent="0.35">
      <c r="A621" s="82">
        <v>40666</v>
      </c>
      <c r="B621" s="83">
        <v>8584.7000000000007</v>
      </c>
      <c r="C621" s="84">
        <v>2841.6</v>
      </c>
      <c r="D621" s="61">
        <v>265.10000000000002</v>
      </c>
      <c r="E621" s="61">
        <v>17.899999999999999</v>
      </c>
      <c r="F621" s="61">
        <v>49.4</v>
      </c>
      <c r="G621" s="61">
        <v>25.5</v>
      </c>
      <c r="H621" s="61">
        <v>40.200000000000003</v>
      </c>
      <c r="I621" s="61">
        <v>17.5</v>
      </c>
      <c r="J621" s="61">
        <v>53.5</v>
      </c>
      <c r="K621" s="61">
        <v>38.1</v>
      </c>
      <c r="L621" s="61">
        <v>36.1</v>
      </c>
      <c r="M621" s="61">
        <v>46.1</v>
      </c>
      <c r="N621" s="61">
        <v>62.1</v>
      </c>
      <c r="O621" s="85">
        <v>20.399999999999999</v>
      </c>
      <c r="P621" s="105"/>
      <c r="Q621" s="87">
        <f t="shared" si="60"/>
        <v>-7.5315280320694114E-3</v>
      </c>
      <c r="R621" s="87">
        <f t="shared" si="58"/>
        <v>-7.886890874246268E-3</v>
      </c>
      <c r="S621" s="87">
        <f t="shared" si="58"/>
        <v>-1.3860495354014601E-2</v>
      </c>
      <c r="T621" s="87">
        <f t="shared" si="58"/>
        <v>1.6901810802603036E-2</v>
      </c>
      <c r="U621" s="87">
        <f t="shared" si="58"/>
        <v>0</v>
      </c>
      <c r="V621" s="87">
        <f t="shared" si="58"/>
        <v>0</v>
      </c>
      <c r="W621" s="87">
        <f t="shared" si="62"/>
        <v>4.9875415110391882E-3</v>
      </c>
      <c r="X621" s="87">
        <f t="shared" si="62"/>
        <v>-5.6980211146377786E-3</v>
      </c>
      <c r="Y621" s="87">
        <f t="shared" si="62"/>
        <v>-3.8501547354575817E-2</v>
      </c>
      <c r="Z621" s="87">
        <f t="shared" si="59"/>
        <v>0</v>
      </c>
      <c r="AA621" s="87">
        <f t="shared" si="59"/>
        <v>2.7739268827252244E-3</v>
      </c>
      <c r="AB621" s="87">
        <f t="shared" si="59"/>
        <v>-2.166848085090314E-3</v>
      </c>
      <c r="AC621" s="87">
        <f t="shared" si="59"/>
        <v>-1.2800174766961674E-2</v>
      </c>
      <c r="AD621" s="87">
        <f t="shared" si="59"/>
        <v>-4.8899852941919038E-3</v>
      </c>
      <c r="AE621" s="90">
        <f t="shared" si="61"/>
        <v>-7.0163114584877685E-3</v>
      </c>
      <c r="AF621" s="89"/>
    </row>
    <row r="622" spans="1:32" ht="15.5" x14ac:dyDescent="0.35">
      <c r="A622" s="82">
        <v>40667</v>
      </c>
      <c r="B622" s="83">
        <v>8506.6</v>
      </c>
      <c r="C622" s="84">
        <v>2828.2</v>
      </c>
      <c r="D622" s="61">
        <v>266.8</v>
      </c>
      <c r="E622" s="61">
        <v>18</v>
      </c>
      <c r="F622" s="61">
        <v>49.6</v>
      </c>
      <c r="G622" s="61">
        <v>25.8</v>
      </c>
      <c r="H622" s="61">
        <v>40.1</v>
      </c>
      <c r="I622" s="61">
        <v>17.399999999999999</v>
      </c>
      <c r="J622" s="61">
        <v>52.4</v>
      </c>
      <c r="K622" s="61">
        <v>38.5</v>
      </c>
      <c r="L622" s="61">
        <v>36.299999999999997</v>
      </c>
      <c r="M622" s="61">
        <v>45.7</v>
      </c>
      <c r="N622" s="61">
        <v>61.8</v>
      </c>
      <c r="O622" s="85">
        <v>20.399999999999999</v>
      </c>
      <c r="P622" s="105"/>
      <c r="Q622" s="87">
        <f t="shared" si="60"/>
        <v>-9.1392162807474933E-3</v>
      </c>
      <c r="R622" s="87">
        <f t="shared" si="58"/>
        <v>-4.726806924174801E-3</v>
      </c>
      <c r="S622" s="87">
        <f t="shared" si="58"/>
        <v>6.3922007464886545E-3</v>
      </c>
      <c r="T622" s="87">
        <f t="shared" si="58"/>
        <v>5.5710450494554295E-3</v>
      </c>
      <c r="U622" s="87">
        <f t="shared" si="58"/>
        <v>4.040409537005127E-3</v>
      </c>
      <c r="V622" s="87">
        <f t="shared" si="58"/>
        <v>1.1696039763191236E-2</v>
      </c>
      <c r="W622" s="87">
        <f t="shared" si="62"/>
        <v>-2.4906613124519189E-3</v>
      </c>
      <c r="X622" s="87">
        <f t="shared" si="62"/>
        <v>-5.7306747089850953E-3</v>
      </c>
      <c r="Y622" s="87">
        <f t="shared" si="62"/>
        <v>-2.077506257496441E-2</v>
      </c>
      <c r="Z622" s="87">
        <f t="shared" si="59"/>
        <v>1.0443959161083314E-2</v>
      </c>
      <c r="AA622" s="87">
        <f t="shared" si="59"/>
        <v>5.5248759319698072E-3</v>
      </c>
      <c r="AB622" s="87">
        <f t="shared" si="59"/>
        <v>-8.7146521024437755E-3</v>
      </c>
      <c r="AC622" s="87">
        <f t="shared" si="59"/>
        <v>-4.8426244757880151E-3</v>
      </c>
      <c r="AD622" s="87">
        <f t="shared" si="59"/>
        <v>0</v>
      </c>
      <c r="AE622" s="90">
        <f t="shared" si="61"/>
        <v>1.6098654077256554E-3</v>
      </c>
      <c r="AF622" s="89"/>
    </row>
    <row r="623" spans="1:32" ht="15.5" x14ac:dyDescent="0.35">
      <c r="A623" s="82">
        <v>40668</v>
      </c>
      <c r="B623" s="83">
        <v>8397.4</v>
      </c>
      <c r="C623" s="84">
        <v>2814.7</v>
      </c>
      <c r="D623" s="61">
        <v>266</v>
      </c>
      <c r="E623" s="61">
        <v>18.100000000000001</v>
      </c>
      <c r="F623" s="61">
        <v>49.4</v>
      </c>
      <c r="G623" s="61">
        <v>25.7</v>
      </c>
      <c r="H623" s="61">
        <v>40</v>
      </c>
      <c r="I623" s="61">
        <v>17.100000000000001</v>
      </c>
      <c r="J623" s="61">
        <v>51.8</v>
      </c>
      <c r="K623" s="61">
        <v>36.799999999999997</v>
      </c>
      <c r="L623" s="61">
        <v>36.200000000000003</v>
      </c>
      <c r="M623" s="61">
        <v>44.3</v>
      </c>
      <c r="N623" s="61">
        <v>62</v>
      </c>
      <c r="O623" s="85">
        <v>20.5</v>
      </c>
      <c r="P623" s="105"/>
      <c r="Q623" s="87">
        <f t="shared" si="60"/>
        <v>-1.2920198659811699E-2</v>
      </c>
      <c r="R623" s="87">
        <f t="shared" si="58"/>
        <v>-4.7847829151344183E-3</v>
      </c>
      <c r="S623" s="87">
        <f t="shared" si="58"/>
        <v>-3.0030052597696567E-3</v>
      </c>
      <c r="T623" s="87">
        <f t="shared" si="58"/>
        <v>5.5401803756153509E-3</v>
      </c>
      <c r="U623" s="87">
        <f t="shared" si="58"/>
        <v>-4.0404095370050862E-3</v>
      </c>
      <c r="V623" s="87">
        <f t="shared" si="58"/>
        <v>-3.883500026397633E-3</v>
      </c>
      <c r="W623" s="87">
        <f t="shared" si="62"/>
        <v>-2.4968801985872659E-3</v>
      </c>
      <c r="X623" s="87">
        <f t="shared" si="62"/>
        <v>-1.7391742711868996E-2</v>
      </c>
      <c r="Y623" s="87">
        <f t="shared" si="62"/>
        <v>-1.151644206155918E-2</v>
      </c>
      <c r="Z623" s="87">
        <f t="shared" si="59"/>
        <v>-4.5160396118853426E-2</v>
      </c>
      <c r="AA623" s="87">
        <f t="shared" si="59"/>
        <v>-2.7586224390795284E-3</v>
      </c>
      <c r="AB623" s="87">
        <f t="shared" si="59"/>
        <v>-3.1113620849069157E-2</v>
      </c>
      <c r="AC623" s="87">
        <f t="shared" si="59"/>
        <v>3.23102058144654E-3</v>
      </c>
      <c r="AD623" s="87">
        <f t="shared" si="59"/>
        <v>4.8899852941917702E-3</v>
      </c>
      <c r="AE623" s="90">
        <f t="shared" si="61"/>
        <v>-2.8743455331647818E-3</v>
      </c>
      <c r="AF623" s="89"/>
    </row>
    <row r="624" spans="1:32" ht="15.5" x14ac:dyDescent="0.35">
      <c r="A624" s="82">
        <v>40669</v>
      </c>
      <c r="B624" s="83">
        <v>8425.9</v>
      </c>
      <c r="C624" s="84">
        <v>2827.6</v>
      </c>
      <c r="D624" s="61">
        <v>267.89999999999998</v>
      </c>
      <c r="E624" s="61">
        <v>18.399999999999999</v>
      </c>
      <c r="F624" s="61">
        <v>49.5</v>
      </c>
      <c r="G624" s="61">
        <v>25.8</v>
      </c>
      <c r="H624" s="61">
        <v>40</v>
      </c>
      <c r="I624" s="61">
        <v>17.5</v>
      </c>
      <c r="J624" s="61">
        <v>53</v>
      </c>
      <c r="K624" s="61">
        <v>36.9</v>
      </c>
      <c r="L624" s="61">
        <v>36.299999999999997</v>
      </c>
      <c r="M624" s="61">
        <v>44.4</v>
      </c>
      <c r="N624" s="61">
        <v>62.7</v>
      </c>
      <c r="O624" s="85">
        <v>20.399999999999999</v>
      </c>
      <c r="P624" s="105"/>
      <c r="Q624" s="87">
        <f t="shared" si="60"/>
        <v>3.3881613315025175E-3</v>
      </c>
      <c r="R624" s="87">
        <f t="shared" si="58"/>
        <v>4.5726113382573838E-3</v>
      </c>
      <c r="S624" s="87">
        <f t="shared" si="58"/>
        <v>7.1174677688639549E-3</v>
      </c>
      <c r="T624" s="87">
        <f t="shared" si="58"/>
        <v>1.643872634315972E-2</v>
      </c>
      <c r="U624" s="87">
        <f t="shared" si="58"/>
        <v>2.0222453807678706E-3</v>
      </c>
      <c r="V624" s="87">
        <f t="shared" si="58"/>
        <v>3.8835000263976122E-3</v>
      </c>
      <c r="W624" s="87">
        <f t="shared" si="62"/>
        <v>0</v>
      </c>
      <c r="X624" s="87">
        <f t="shared" si="62"/>
        <v>2.3122417420854212E-2</v>
      </c>
      <c r="Y624" s="87">
        <f t="shared" si="62"/>
        <v>2.2901764286684414E-2</v>
      </c>
      <c r="Z624" s="87">
        <f t="shared" si="59"/>
        <v>2.7137058715963258E-3</v>
      </c>
      <c r="AA624" s="87">
        <f t="shared" si="59"/>
        <v>2.7586224390796607E-3</v>
      </c>
      <c r="AB624" s="87">
        <f t="shared" si="59"/>
        <v>2.2547923870890828E-3</v>
      </c>
      <c r="AC624" s="87">
        <f t="shared" si="59"/>
        <v>1.1227062593783402E-2</v>
      </c>
      <c r="AD624" s="87">
        <f t="shared" si="59"/>
        <v>-4.8899852941919038E-3</v>
      </c>
      <c r="AE624" s="90">
        <f t="shared" si="61"/>
        <v>3.4382435806367207E-3</v>
      </c>
      <c r="AF624" s="89"/>
    </row>
    <row r="625" spans="1:32" ht="15.5" x14ac:dyDescent="0.35">
      <c r="A625" s="82">
        <v>40672</v>
      </c>
      <c r="B625" s="83">
        <v>8478.2000000000007</v>
      </c>
      <c r="C625" s="84">
        <v>2843.3</v>
      </c>
      <c r="D625" s="61">
        <v>265.8</v>
      </c>
      <c r="E625" s="61">
        <v>18.5</v>
      </c>
      <c r="F625" s="61">
        <v>49.5</v>
      </c>
      <c r="G625" s="61">
        <v>25.7</v>
      </c>
      <c r="H625" s="61">
        <v>40.200000000000003</v>
      </c>
      <c r="I625" s="61">
        <v>17.5</v>
      </c>
      <c r="J625" s="61">
        <v>53.2</v>
      </c>
      <c r="K625" s="61">
        <v>36.6</v>
      </c>
      <c r="L625" s="61">
        <v>36.1</v>
      </c>
      <c r="M625" s="61">
        <v>44.5</v>
      </c>
      <c r="N625" s="61">
        <v>64.099999999999994</v>
      </c>
      <c r="O625" s="85">
        <v>20.399999999999999</v>
      </c>
      <c r="P625" s="105"/>
      <c r="Q625" s="87">
        <f t="shared" si="60"/>
        <v>6.1878676627796537E-3</v>
      </c>
      <c r="R625" s="87">
        <f t="shared" si="58"/>
        <v>5.5370541226719555E-3</v>
      </c>
      <c r="S625" s="87">
        <f t="shared" si="58"/>
        <v>-7.869630271417993E-3</v>
      </c>
      <c r="T625" s="87">
        <f t="shared" si="58"/>
        <v>5.4200674693393345E-3</v>
      </c>
      <c r="U625" s="87">
        <f t="shared" si="58"/>
        <v>0</v>
      </c>
      <c r="V625" s="87">
        <f t="shared" si="58"/>
        <v>-3.883500026397633E-3</v>
      </c>
      <c r="W625" s="87">
        <f t="shared" si="62"/>
        <v>4.9875415110391882E-3</v>
      </c>
      <c r="X625" s="87">
        <f t="shared" si="62"/>
        <v>0</v>
      </c>
      <c r="Y625" s="87">
        <f t="shared" si="62"/>
        <v>3.7664827954768648E-3</v>
      </c>
      <c r="Z625" s="87">
        <f t="shared" si="59"/>
        <v>-8.1633106391608701E-3</v>
      </c>
      <c r="AA625" s="87">
        <f t="shared" si="59"/>
        <v>-5.5248759319696918E-3</v>
      </c>
      <c r="AB625" s="87">
        <f t="shared" si="59"/>
        <v>2.2497197340155461E-3</v>
      </c>
      <c r="AC625" s="87">
        <f t="shared" si="59"/>
        <v>2.2082916287749315E-2</v>
      </c>
      <c r="AD625" s="87">
        <f t="shared" si="59"/>
        <v>0</v>
      </c>
      <c r="AE625" s="90">
        <f t="shared" si="61"/>
        <v>-6.4422333000825551E-4</v>
      </c>
      <c r="AF625" s="89"/>
    </row>
    <row r="626" spans="1:32" ht="15.5" x14ac:dyDescent="0.35">
      <c r="A626" s="82">
        <v>40673</v>
      </c>
      <c r="B626" s="83">
        <v>8550.5</v>
      </c>
      <c r="C626" s="84">
        <v>2871.9</v>
      </c>
      <c r="D626" s="61">
        <v>269</v>
      </c>
      <c r="E626" s="61">
        <v>18.399999999999999</v>
      </c>
      <c r="F626" s="61">
        <v>49.5</v>
      </c>
      <c r="G626" s="61">
        <v>25.3</v>
      </c>
      <c r="H626" s="61">
        <v>40.6</v>
      </c>
      <c r="I626" s="61">
        <v>18.100000000000001</v>
      </c>
      <c r="J626" s="61">
        <v>53.9</v>
      </c>
      <c r="K626" s="61">
        <v>36.700000000000003</v>
      </c>
      <c r="L626" s="61">
        <v>36.5</v>
      </c>
      <c r="M626" s="61">
        <v>44.6</v>
      </c>
      <c r="N626" s="61">
        <v>64.900000000000006</v>
      </c>
      <c r="O626" s="85">
        <v>20.7</v>
      </c>
      <c r="P626" s="105"/>
      <c r="Q626" s="87">
        <f t="shared" si="60"/>
        <v>8.4915976493263531E-3</v>
      </c>
      <c r="R626" s="87">
        <f t="shared" si="58"/>
        <v>1.0008482200946326E-2</v>
      </c>
      <c r="S626" s="87">
        <f t="shared" si="58"/>
        <v>1.1967233322694193E-2</v>
      </c>
      <c r="T626" s="87">
        <f t="shared" si="58"/>
        <v>-5.4200674693392556E-3</v>
      </c>
      <c r="U626" s="87">
        <f t="shared" si="58"/>
        <v>0</v>
      </c>
      <c r="V626" s="87">
        <f t="shared" si="58"/>
        <v>-1.5686596167699508E-2</v>
      </c>
      <c r="W626" s="87">
        <f t="shared" si="62"/>
        <v>9.9010709827115368E-3</v>
      </c>
      <c r="X626" s="87">
        <f t="shared" si="62"/>
        <v>3.3711057342311876E-2</v>
      </c>
      <c r="Y626" s="87">
        <f t="shared" si="62"/>
        <v>1.3072081567352701E-2</v>
      </c>
      <c r="Z626" s="87">
        <f t="shared" si="59"/>
        <v>2.7285146532041358E-3</v>
      </c>
      <c r="AA626" s="87">
        <f t="shared" si="59"/>
        <v>1.1019395249610479E-2</v>
      </c>
      <c r="AB626" s="87">
        <f t="shared" si="59"/>
        <v>2.2446698538239494E-3</v>
      </c>
      <c r="AC626" s="87">
        <f t="shared" si="59"/>
        <v>1.240325978342012E-2</v>
      </c>
      <c r="AD626" s="87">
        <f t="shared" si="59"/>
        <v>1.4598799421152631E-2</v>
      </c>
      <c r="AE626" s="90">
        <f t="shared" si="61"/>
        <v>8.2780650417561691E-3</v>
      </c>
      <c r="AF626" s="89"/>
    </row>
    <row r="627" spans="1:32" ht="15.5" x14ac:dyDescent="0.35">
      <c r="A627" s="82">
        <v>40674</v>
      </c>
      <c r="B627" s="83">
        <v>8428.1</v>
      </c>
      <c r="C627" s="84">
        <v>2845.1</v>
      </c>
      <c r="D627" s="61">
        <v>267.10000000000002</v>
      </c>
      <c r="E627" s="61">
        <v>16.7</v>
      </c>
      <c r="F627" s="61">
        <v>49.3</v>
      </c>
      <c r="G627" s="61">
        <v>25.2</v>
      </c>
      <c r="H627" s="61">
        <v>41.1</v>
      </c>
      <c r="I627" s="61">
        <v>17.7</v>
      </c>
      <c r="J627" s="61">
        <v>52.3</v>
      </c>
      <c r="K627" s="61">
        <v>37.200000000000003</v>
      </c>
      <c r="L627" s="61">
        <v>36.5</v>
      </c>
      <c r="M627" s="61">
        <v>44.9</v>
      </c>
      <c r="N627" s="61">
        <v>65.599999999999994</v>
      </c>
      <c r="O627" s="85">
        <v>20.6</v>
      </c>
      <c r="P627" s="105"/>
      <c r="Q627" s="87">
        <f t="shared" si="60"/>
        <v>-1.4418399688219031E-2</v>
      </c>
      <c r="R627" s="87">
        <f t="shared" si="58"/>
        <v>-9.3756152928253147E-3</v>
      </c>
      <c r="S627" s="87">
        <f t="shared" si="58"/>
        <v>-7.0882594859238215E-3</v>
      </c>
      <c r="T627" s="87">
        <f t="shared" si="58"/>
        <v>-9.6941945192230469E-2</v>
      </c>
      <c r="U627" s="87">
        <f t="shared" si="58"/>
        <v>-4.0485885260002205E-3</v>
      </c>
      <c r="V627" s="87">
        <f t="shared" si="58"/>
        <v>-3.9604012160970167E-3</v>
      </c>
      <c r="W627" s="87">
        <f t="shared" si="62"/>
        <v>1.2240054894502006E-2</v>
      </c>
      <c r="X627" s="87">
        <f t="shared" si="62"/>
        <v>-2.2347298691996774E-2</v>
      </c>
      <c r="Y627" s="87">
        <f t="shared" si="62"/>
        <v>-3.0134106844074329E-2</v>
      </c>
      <c r="Z627" s="87">
        <f t="shared" si="59"/>
        <v>1.3532006218576373E-2</v>
      </c>
      <c r="AA627" s="87">
        <f t="shared" si="59"/>
        <v>0</v>
      </c>
      <c r="AB627" s="87">
        <f t="shared" si="59"/>
        <v>6.7039357221901344E-3</v>
      </c>
      <c r="AC627" s="87">
        <f t="shared" si="59"/>
        <v>1.0728072239998859E-2</v>
      </c>
      <c r="AD627" s="87">
        <f t="shared" si="59"/>
        <v>-4.8426244757879032E-3</v>
      </c>
      <c r="AE627" s="90">
        <f t="shared" si="61"/>
        <v>-6.631777719111066E-3</v>
      </c>
      <c r="AF627" s="89"/>
    </row>
    <row r="628" spans="1:32" ht="15.5" x14ac:dyDescent="0.35">
      <c r="A628" s="82">
        <v>40675</v>
      </c>
      <c r="B628" s="83">
        <v>8456.2000000000007</v>
      </c>
      <c r="C628" s="84">
        <v>2863</v>
      </c>
      <c r="D628" s="61">
        <v>265.7</v>
      </c>
      <c r="E628" s="61">
        <v>16.899999999999999</v>
      </c>
      <c r="F628" s="61">
        <v>48.9</v>
      </c>
      <c r="G628" s="61">
        <v>25.1</v>
      </c>
      <c r="H628" s="61">
        <v>41.4</v>
      </c>
      <c r="I628" s="61">
        <v>17.5</v>
      </c>
      <c r="J628" s="61">
        <v>50.1</v>
      </c>
      <c r="K628" s="61">
        <v>37.299999999999997</v>
      </c>
      <c r="L628" s="61">
        <v>36.6</v>
      </c>
      <c r="M628" s="61">
        <v>44.6</v>
      </c>
      <c r="N628" s="61">
        <v>64.8</v>
      </c>
      <c r="O628" s="85">
        <v>20.6</v>
      </c>
      <c r="P628" s="105"/>
      <c r="Q628" s="87">
        <f t="shared" si="60"/>
        <v>3.3285390503276012E-3</v>
      </c>
      <c r="R628" s="87">
        <f t="shared" si="58"/>
        <v>6.2718097705231849E-3</v>
      </c>
      <c r="S628" s="87">
        <f t="shared" si="58"/>
        <v>-5.2552673501474459E-3</v>
      </c>
      <c r="T628" s="87">
        <f t="shared" si="58"/>
        <v>1.1904902506318239E-2</v>
      </c>
      <c r="U628" s="87">
        <f t="shared" si="58"/>
        <v>-8.1466845678180265E-3</v>
      </c>
      <c r="V628" s="87">
        <f t="shared" si="58"/>
        <v>-3.9761483796392945E-3</v>
      </c>
      <c r="W628" s="87">
        <f t="shared" si="62"/>
        <v>7.2727593290796569E-3</v>
      </c>
      <c r="X628" s="87">
        <f t="shared" si="62"/>
        <v>-1.1363758650315095E-2</v>
      </c>
      <c r="Y628" s="87">
        <f t="shared" si="62"/>
        <v>-4.2975362980058059E-2</v>
      </c>
      <c r="Z628" s="87">
        <f t="shared" si="59"/>
        <v>2.6845653706687612E-3</v>
      </c>
      <c r="AA628" s="87">
        <f t="shared" si="59"/>
        <v>2.7359798188748455E-3</v>
      </c>
      <c r="AB628" s="87">
        <f t="shared" si="59"/>
        <v>-6.7039357221902176E-3</v>
      </c>
      <c r="AC628" s="87">
        <f t="shared" si="59"/>
        <v>-1.2270092591814359E-2</v>
      </c>
      <c r="AD628" s="87">
        <f t="shared" si="59"/>
        <v>0</v>
      </c>
      <c r="AE628" s="90">
        <f t="shared" si="61"/>
        <v>-1.9880434412538786E-3</v>
      </c>
      <c r="AF628" s="89"/>
    </row>
    <row r="629" spans="1:32" ht="15.5" x14ac:dyDescent="0.35">
      <c r="A629" s="82">
        <v>40676</v>
      </c>
      <c r="B629" s="83">
        <v>8371.7000000000007</v>
      </c>
      <c r="C629" s="84">
        <v>2828.5</v>
      </c>
      <c r="D629" s="61">
        <v>264.8</v>
      </c>
      <c r="E629" s="61">
        <v>16</v>
      </c>
      <c r="F629" s="61">
        <v>48.6</v>
      </c>
      <c r="G629" s="61">
        <v>25</v>
      </c>
      <c r="H629" s="61">
        <v>42.4</v>
      </c>
      <c r="I629" s="61">
        <v>17.7</v>
      </c>
      <c r="J629" s="61">
        <v>50.7</v>
      </c>
      <c r="K629" s="61">
        <v>37.9</v>
      </c>
      <c r="L629" s="61">
        <v>36.9</v>
      </c>
      <c r="M629" s="61">
        <v>44.1</v>
      </c>
      <c r="N629" s="61">
        <v>63.7</v>
      </c>
      <c r="O629" s="85">
        <v>21.2</v>
      </c>
      <c r="P629" s="105"/>
      <c r="Q629" s="87">
        <f t="shared" si="60"/>
        <v>-1.0042929922856056E-2</v>
      </c>
      <c r="R629" s="87">
        <f t="shared" si="58"/>
        <v>-1.2123490314904688E-2</v>
      </c>
      <c r="S629" s="87">
        <f t="shared" si="58"/>
        <v>-3.3930287029146403E-3</v>
      </c>
      <c r="T629" s="87">
        <f t="shared" si="58"/>
        <v>-5.4724899689246487E-2</v>
      </c>
      <c r="U629" s="87">
        <f t="shared" si="58"/>
        <v>-6.1538655743782235E-3</v>
      </c>
      <c r="V629" s="87">
        <f t="shared" si="58"/>
        <v>-3.9920212695375608E-3</v>
      </c>
      <c r="W629" s="87">
        <f t="shared" si="62"/>
        <v>2.3867481406643486E-2</v>
      </c>
      <c r="X629" s="87">
        <f t="shared" si="62"/>
        <v>1.1363758650315003E-2</v>
      </c>
      <c r="Y629" s="87">
        <f t="shared" si="62"/>
        <v>1.1904902506318458E-2</v>
      </c>
      <c r="Z629" s="87">
        <f t="shared" si="59"/>
        <v>1.5957785438610816E-2</v>
      </c>
      <c r="AA629" s="87">
        <f t="shared" si="59"/>
        <v>8.1633106391608354E-3</v>
      </c>
      <c r="AB629" s="87">
        <f t="shared" si="59"/>
        <v>-1.1274076573218108E-2</v>
      </c>
      <c r="AC629" s="87">
        <f t="shared" si="59"/>
        <v>-1.7121040780111313E-2</v>
      </c>
      <c r="AD629" s="87">
        <f t="shared" si="59"/>
        <v>2.871010588243136E-2</v>
      </c>
      <c r="AE629" s="90">
        <f t="shared" si="61"/>
        <v>-2.8973224568068722E-3</v>
      </c>
      <c r="AF629" s="89"/>
    </row>
    <row r="630" spans="1:32" ht="15.5" x14ac:dyDescent="0.35">
      <c r="A630" s="82">
        <v>40679</v>
      </c>
      <c r="B630" s="83">
        <v>8336.6</v>
      </c>
      <c r="C630" s="84">
        <v>2782.3</v>
      </c>
      <c r="D630" s="61">
        <v>258.5</v>
      </c>
      <c r="E630" s="61">
        <v>15.6</v>
      </c>
      <c r="F630" s="61">
        <v>47.5</v>
      </c>
      <c r="G630" s="61">
        <v>24.5</v>
      </c>
      <c r="H630" s="61">
        <v>41.6</v>
      </c>
      <c r="I630" s="61">
        <v>17.5</v>
      </c>
      <c r="J630" s="61">
        <v>51.3</v>
      </c>
      <c r="K630" s="61">
        <v>36.9</v>
      </c>
      <c r="L630" s="61">
        <v>37</v>
      </c>
      <c r="M630" s="61">
        <v>44</v>
      </c>
      <c r="N630" s="61">
        <v>63.1</v>
      </c>
      <c r="O630" s="85">
        <v>21.3</v>
      </c>
      <c r="P630" s="105"/>
      <c r="Q630" s="87">
        <f t="shared" si="60"/>
        <v>-4.2015108220600341E-3</v>
      </c>
      <c r="R630" s="87">
        <f t="shared" si="58"/>
        <v>-1.6468612024570693E-2</v>
      </c>
      <c r="S630" s="87">
        <f t="shared" si="58"/>
        <v>-2.4079130114369334E-2</v>
      </c>
      <c r="T630" s="87">
        <f t="shared" si="58"/>
        <v>-2.5317807984289897E-2</v>
      </c>
      <c r="U630" s="87">
        <f t="shared" si="58"/>
        <v>-2.2893819865852622E-2</v>
      </c>
      <c r="V630" s="87">
        <f t="shared" si="58"/>
        <v>-2.0202707317519466E-2</v>
      </c>
      <c r="W630" s="87">
        <f t="shared" si="62"/>
        <v>-1.9048194970694363E-2</v>
      </c>
      <c r="X630" s="87">
        <f t="shared" si="62"/>
        <v>-1.1363758650315095E-2</v>
      </c>
      <c r="Y630" s="87">
        <f t="shared" si="62"/>
        <v>1.176484157958621E-2</v>
      </c>
      <c r="Z630" s="87">
        <f t="shared" si="59"/>
        <v>-2.6739561041899201E-2</v>
      </c>
      <c r="AA630" s="87">
        <f t="shared" si="59"/>
        <v>2.7063615977430673E-3</v>
      </c>
      <c r="AB630" s="87">
        <f t="shared" si="59"/>
        <v>-2.2701485345391855E-3</v>
      </c>
      <c r="AC630" s="87">
        <f t="shared" si="59"/>
        <v>-9.4637930309502509E-3</v>
      </c>
      <c r="AD630" s="87">
        <f t="shared" si="59"/>
        <v>4.7058910374127138E-3</v>
      </c>
      <c r="AE630" s="90">
        <f t="shared" si="61"/>
        <v>-1.7960193497825221E-2</v>
      </c>
      <c r="AF630" s="89"/>
    </row>
    <row r="631" spans="1:32" ht="15.5" x14ac:dyDescent="0.35">
      <c r="A631" s="82">
        <v>40680</v>
      </c>
      <c r="B631" s="83">
        <v>8333.1</v>
      </c>
      <c r="C631" s="84">
        <v>2783.2</v>
      </c>
      <c r="D631" s="61">
        <v>257.8</v>
      </c>
      <c r="E631" s="61">
        <v>15.7</v>
      </c>
      <c r="F631" s="61">
        <v>47.3</v>
      </c>
      <c r="G631" s="61">
        <v>24.3</v>
      </c>
      <c r="H631" s="61">
        <v>41.2</v>
      </c>
      <c r="I631" s="61">
        <v>16.7</v>
      </c>
      <c r="J631" s="61">
        <v>51.6</v>
      </c>
      <c r="K631" s="61">
        <v>36.5</v>
      </c>
      <c r="L631" s="61">
        <v>36.700000000000003</v>
      </c>
      <c r="M631" s="61">
        <v>43.7</v>
      </c>
      <c r="N631" s="61">
        <v>61.1</v>
      </c>
      <c r="O631" s="85">
        <v>21</v>
      </c>
      <c r="P631" s="105"/>
      <c r="Q631" s="87">
        <f t="shared" si="60"/>
        <v>-4.1992358008021417E-4</v>
      </c>
      <c r="R631" s="87">
        <f t="shared" si="58"/>
        <v>3.2342107909253694E-4</v>
      </c>
      <c r="S631" s="87">
        <f t="shared" si="58"/>
        <v>-2.7116034433968023E-3</v>
      </c>
      <c r="T631" s="87">
        <f t="shared" si="58"/>
        <v>6.3897980987709883E-3</v>
      </c>
      <c r="U631" s="87">
        <f t="shared" si="58"/>
        <v>-4.2194155427083217E-3</v>
      </c>
      <c r="V631" s="87">
        <f t="shared" si="58"/>
        <v>-8.196767204178515E-3</v>
      </c>
      <c r="W631" s="87">
        <f t="shared" si="62"/>
        <v>-9.6619109117368589E-3</v>
      </c>
      <c r="X631" s="87">
        <f t="shared" si="62"/>
        <v>-4.6792161506758939E-2</v>
      </c>
      <c r="Y631" s="87">
        <f t="shared" si="62"/>
        <v>5.8309203107933649E-3</v>
      </c>
      <c r="Z631" s="87">
        <f t="shared" si="59"/>
        <v>-1.0899290458035631E-2</v>
      </c>
      <c r="AA631" s="87">
        <f t="shared" si="59"/>
        <v>-8.1411575836997738E-3</v>
      </c>
      <c r="AB631" s="87">
        <f t="shared" si="59"/>
        <v>-6.8415318167166003E-3</v>
      </c>
      <c r="AC631" s="87">
        <f t="shared" si="59"/>
        <v>-3.220890336961782E-2</v>
      </c>
      <c r="AD631" s="87">
        <f t="shared" si="59"/>
        <v>-1.4184634991956413E-2</v>
      </c>
      <c r="AE631" s="90">
        <f t="shared" si="61"/>
        <v>-3.6275284401959583E-3</v>
      </c>
      <c r="AF631" s="89"/>
    </row>
    <row r="632" spans="1:32" ht="15.5" x14ac:dyDescent="0.35">
      <c r="A632" s="82">
        <v>40681</v>
      </c>
      <c r="B632" s="83">
        <v>8407.5</v>
      </c>
      <c r="C632" s="84">
        <v>2815</v>
      </c>
      <c r="D632" s="61">
        <v>263.10000000000002</v>
      </c>
      <c r="E632" s="61">
        <v>15.8</v>
      </c>
      <c r="F632" s="61">
        <v>48</v>
      </c>
      <c r="G632" s="61">
        <v>24.3</v>
      </c>
      <c r="H632" s="61">
        <v>41.1</v>
      </c>
      <c r="I632" s="61">
        <v>17.100000000000001</v>
      </c>
      <c r="J632" s="61">
        <v>54.1</v>
      </c>
      <c r="K632" s="61">
        <v>36.6</v>
      </c>
      <c r="L632" s="61">
        <v>37.1</v>
      </c>
      <c r="M632" s="61">
        <v>44.1</v>
      </c>
      <c r="N632" s="61">
        <v>61.7</v>
      </c>
      <c r="O632" s="85">
        <v>21.1</v>
      </c>
      <c r="P632" s="105"/>
      <c r="Q632" s="87">
        <f t="shared" si="60"/>
        <v>8.8886288242038536E-3</v>
      </c>
      <c r="R632" s="87">
        <f t="shared" si="58"/>
        <v>1.1360916736058473E-2</v>
      </c>
      <c r="S632" s="87">
        <f t="shared" si="58"/>
        <v>2.0350097541159993E-2</v>
      </c>
      <c r="T632" s="87">
        <f t="shared" si="58"/>
        <v>6.3492276786587445E-3</v>
      </c>
      <c r="U632" s="87">
        <f t="shared" si="58"/>
        <v>1.469071541000381E-2</v>
      </c>
      <c r="V632" s="87">
        <f t="shared" si="58"/>
        <v>0</v>
      </c>
      <c r="W632" s="87">
        <f t="shared" si="62"/>
        <v>-2.4301348532917819E-3</v>
      </c>
      <c r="X632" s="87">
        <f t="shared" si="62"/>
        <v>2.3669744085904922E-2</v>
      </c>
      <c r="Y632" s="87">
        <f t="shared" si="62"/>
        <v>4.7312513364918873E-2</v>
      </c>
      <c r="Z632" s="87">
        <f t="shared" si="59"/>
        <v>2.7359798188748455E-3</v>
      </c>
      <c r="AA632" s="87">
        <f t="shared" si="59"/>
        <v>1.0840214552864807E-2</v>
      </c>
      <c r="AB632" s="87">
        <f t="shared" si="59"/>
        <v>9.1116803512558131E-3</v>
      </c>
      <c r="AC632" s="87">
        <f t="shared" si="59"/>
        <v>9.772064733792522E-3</v>
      </c>
      <c r="AD632" s="87">
        <f t="shared" si="59"/>
        <v>4.7506027585977988E-3</v>
      </c>
      <c r="AE632" s="90">
        <f t="shared" si="61"/>
        <v>1.4141275169482151E-2</v>
      </c>
      <c r="AF632" s="89"/>
    </row>
    <row r="633" spans="1:32" ht="15.5" x14ac:dyDescent="0.35">
      <c r="A633" s="82">
        <v>40682</v>
      </c>
      <c r="B633" s="83">
        <v>8428</v>
      </c>
      <c r="C633" s="84">
        <v>2823.3</v>
      </c>
      <c r="D633" s="61">
        <v>265.10000000000002</v>
      </c>
      <c r="E633" s="61">
        <v>16</v>
      </c>
      <c r="F633" s="61">
        <v>48.4</v>
      </c>
      <c r="G633" s="61">
        <v>24.5</v>
      </c>
      <c r="H633" s="61">
        <v>40.9</v>
      </c>
      <c r="I633" s="61">
        <v>17.5</v>
      </c>
      <c r="J633" s="61">
        <v>53.3</v>
      </c>
      <c r="K633" s="61">
        <v>37.1</v>
      </c>
      <c r="L633" s="61">
        <v>37.200000000000003</v>
      </c>
      <c r="M633" s="61">
        <v>44.6</v>
      </c>
      <c r="N633" s="61">
        <v>62.9</v>
      </c>
      <c r="O633" s="85">
        <v>21.3</v>
      </c>
      <c r="P633" s="105"/>
      <c r="Q633" s="87">
        <f t="shared" si="60"/>
        <v>2.435331309655083E-3</v>
      </c>
      <c r="R633" s="87">
        <f t="shared" si="58"/>
        <v>2.9441519590610501E-3</v>
      </c>
      <c r="S633" s="87">
        <f t="shared" si="58"/>
        <v>7.57292524873273E-3</v>
      </c>
      <c r="T633" s="87">
        <f t="shared" si="58"/>
        <v>1.2578782206859965E-2</v>
      </c>
      <c r="U633" s="87">
        <f t="shared" si="58"/>
        <v>8.2988028146950641E-3</v>
      </c>
      <c r="V633" s="87">
        <f t="shared" si="58"/>
        <v>8.1967672041784907E-3</v>
      </c>
      <c r="W633" s="87">
        <f t="shared" si="62"/>
        <v>-4.8780584534329667E-3</v>
      </c>
      <c r="X633" s="87">
        <f t="shared" si="62"/>
        <v>2.3122417420854212E-2</v>
      </c>
      <c r="Y633" s="87">
        <f t="shared" si="62"/>
        <v>-1.4897854680637059E-2</v>
      </c>
      <c r="Z633" s="87">
        <f t="shared" si="62"/>
        <v>1.3568729206068796E-2</v>
      </c>
      <c r="AA633" s="87">
        <f t="shared" si="62"/>
        <v>2.691791665711353E-3</v>
      </c>
      <c r="AB633" s="87">
        <f t="shared" si="62"/>
        <v>1.1274076573218161E-2</v>
      </c>
      <c r="AC633" s="87">
        <f t="shared" si="62"/>
        <v>1.9262232795052708E-2</v>
      </c>
      <c r="AD633" s="87">
        <f t="shared" si="62"/>
        <v>9.4340322333584942E-3</v>
      </c>
      <c r="AE633" s="90">
        <f t="shared" si="61"/>
        <v>6.6192283325998925E-3</v>
      </c>
      <c r="AF633" s="89"/>
    </row>
    <row r="634" spans="1:32" ht="15.5" x14ac:dyDescent="0.35">
      <c r="A634" s="82">
        <v>40683</v>
      </c>
      <c r="B634" s="83">
        <v>8357.5</v>
      </c>
      <c r="C634" s="84">
        <v>2803.3</v>
      </c>
      <c r="D634" s="61">
        <v>261.8</v>
      </c>
      <c r="E634" s="61">
        <v>16.2</v>
      </c>
      <c r="F634" s="61">
        <v>47.9</v>
      </c>
      <c r="G634" s="61">
        <v>24.4</v>
      </c>
      <c r="H634" s="61">
        <v>40.700000000000003</v>
      </c>
      <c r="I634" s="61">
        <v>17.3</v>
      </c>
      <c r="J634" s="61">
        <v>51.5</v>
      </c>
      <c r="K634" s="61">
        <v>35.9</v>
      </c>
      <c r="L634" s="61">
        <v>36.9</v>
      </c>
      <c r="M634" s="61">
        <v>44.1</v>
      </c>
      <c r="N634" s="61">
        <v>62.1</v>
      </c>
      <c r="O634" s="85">
        <v>21.1</v>
      </c>
      <c r="P634" s="105"/>
      <c r="Q634" s="87">
        <f t="shared" si="60"/>
        <v>-8.4001566298259629E-3</v>
      </c>
      <c r="R634" s="87">
        <f t="shared" si="58"/>
        <v>-7.109118911082595E-3</v>
      </c>
      <c r="S634" s="87">
        <f t="shared" si="58"/>
        <v>-1.2526259819180369E-2</v>
      </c>
      <c r="T634" s="87">
        <f t="shared" si="58"/>
        <v>1.242251999855711E-2</v>
      </c>
      <c r="U634" s="87">
        <f t="shared" si="58"/>
        <v>-1.0384309305716493E-2</v>
      </c>
      <c r="V634" s="87">
        <f t="shared" si="58"/>
        <v>-4.0899852515251661E-3</v>
      </c>
      <c r="W634" s="87">
        <f t="shared" si="62"/>
        <v>-4.9019706002066685E-3</v>
      </c>
      <c r="X634" s="87">
        <f t="shared" si="62"/>
        <v>-1.1494379425735021E-2</v>
      </c>
      <c r="Y634" s="87">
        <f t="shared" si="62"/>
        <v>-3.4354523502108346E-2</v>
      </c>
      <c r="Z634" s="87">
        <f t="shared" si="62"/>
        <v>-3.2879674119156391E-2</v>
      </c>
      <c r="AA634" s="87">
        <f t="shared" si="62"/>
        <v>-8.0972102326194745E-3</v>
      </c>
      <c r="AB634" s="87">
        <f t="shared" si="62"/>
        <v>-1.1274076573218108E-2</v>
      </c>
      <c r="AC634" s="87">
        <f t="shared" si="62"/>
        <v>-1.2800174766961674E-2</v>
      </c>
      <c r="AD634" s="87">
        <f t="shared" si="62"/>
        <v>-9.4340322333585289E-3</v>
      </c>
      <c r="AE634" s="90">
        <f t="shared" si="61"/>
        <v>-9.9141580785084421E-3</v>
      </c>
      <c r="AF634" s="89"/>
    </row>
    <row r="635" spans="1:32" ht="15.5" x14ac:dyDescent="0.35">
      <c r="A635" s="82">
        <v>40686</v>
      </c>
      <c r="B635" s="83">
        <v>8236.5</v>
      </c>
      <c r="C635" s="84">
        <v>2758.9</v>
      </c>
      <c r="D635" s="61">
        <v>257</v>
      </c>
      <c r="E635" s="61">
        <v>16</v>
      </c>
      <c r="F635" s="61">
        <v>47.1</v>
      </c>
      <c r="G635" s="61">
        <v>24</v>
      </c>
      <c r="H635" s="61">
        <v>40</v>
      </c>
      <c r="I635" s="61">
        <v>17</v>
      </c>
      <c r="J635" s="61">
        <v>51.3</v>
      </c>
      <c r="K635" s="61">
        <v>35.5</v>
      </c>
      <c r="L635" s="61">
        <v>36.6</v>
      </c>
      <c r="M635" s="61">
        <v>43.2</v>
      </c>
      <c r="N635" s="61">
        <v>61.5</v>
      </c>
      <c r="O635" s="85">
        <v>20.9</v>
      </c>
      <c r="P635" s="105"/>
      <c r="Q635" s="87">
        <f t="shared" si="60"/>
        <v>-1.4583842907216671E-2</v>
      </c>
      <c r="R635" s="87">
        <f t="shared" si="58"/>
        <v>-1.5965245077659975E-2</v>
      </c>
      <c r="S635" s="87">
        <f t="shared" si="58"/>
        <v>-1.8504768580579783E-2</v>
      </c>
      <c r="T635" s="87">
        <f t="shared" si="58"/>
        <v>-1.2422519998557096E-2</v>
      </c>
      <c r="U635" s="87">
        <f t="shared" si="58"/>
        <v>-1.6842503394497464E-2</v>
      </c>
      <c r="V635" s="87">
        <f t="shared" si="58"/>
        <v>-1.6529301951210471E-2</v>
      </c>
      <c r="W635" s="87">
        <f t="shared" si="62"/>
        <v>-1.734863833461309E-2</v>
      </c>
      <c r="X635" s="87">
        <f t="shared" si="62"/>
        <v>-1.749315744751723E-2</v>
      </c>
      <c r="Y635" s="87">
        <f t="shared" si="62"/>
        <v>-3.8910554929666762E-3</v>
      </c>
      <c r="Z635" s="87">
        <f t="shared" si="62"/>
        <v>-1.1204599012863019E-2</v>
      </c>
      <c r="AA635" s="87">
        <f t="shared" si="62"/>
        <v>-8.1633106391608701E-3</v>
      </c>
      <c r="AB635" s="87">
        <f t="shared" si="62"/>
        <v>-2.0619287202735592E-2</v>
      </c>
      <c r="AC635" s="87">
        <f t="shared" si="62"/>
        <v>-9.7088141269609379E-3</v>
      </c>
      <c r="AD635" s="87">
        <f t="shared" si="62"/>
        <v>-9.5238815112555896E-3</v>
      </c>
      <c r="AE635" s="90">
        <f t="shared" si="61"/>
        <v>-1.6176632810024658E-2</v>
      </c>
      <c r="AF635" s="89"/>
    </row>
    <row r="636" spans="1:32" ht="15.5" x14ac:dyDescent="0.35">
      <c r="A636" s="82">
        <v>40687</v>
      </c>
      <c r="B636" s="83">
        <v>8252.5</v>
      </c>
      <c r="C636" s="84">
        <v>2746.2</v>
      </c>
      <c r="D636" s="61">
        <v>259.3</v>
      </c>
      <c r="E636" s="61">
        <v>16.100000000000001</v>
      </c>
      <c r="F636" s="61">
        <v>47.3</v>
      </c>
      <c r="G636" s="61">
        <v>24</v>
      </c>
      <c r="H636" s="61">
        <v>40.1</v>
      </c>
      <c r="I636" s="61">
        <v>16.7</v>
      </c>
      <c r="J636" s="61">
        <v>52.6</v>
      </c>
      <c r="K636" s="61">
        <v>36</v>
      </c>
      <c r="L636" s="61">
        <v>36.799999999999997</v>
      </c>
      <c r="M636" s="61">
        <v>43.3</v>
      </c>
      <c r="N636" s="61">
        <v>62.2</v>
      </c>
      <c r="O636" s="85">
        <v>20.9</v>
      </c>
      <c r="P636" s="105"/>
      <c r="Q636" s="87">
        <f t="shared" si="60"/>
        <v>1.9406883403111676E-3</v>
      </c>
      <c r="R636" s="87">
        <f t="shared" si="58"/>
        <v>-4.6139116564580156E-3</v>
      </c>
      <c r="S636" s="87">
        <f t="shared" si="58"/>
        <v>8.9096076493988714E-3</v>
      </c>
      <c r="T636" s="87">
        <f t="shared" si="58"/>
        <v>6.2305497506361628E-3</v>
      </c>
      <c r="U636" s="87">
        <f t="shared" si="58"/>
        <v>4.2372944755152174E-3</v>
      </c>
      <c r="V636" s="87">
        <f t="shared" si="58"/>
        <v>0</v>
      </c>
      <c r="W636" s="87">
        <f t="shared" si="62"/>
        <v>2.4968801985871458E-3</v>
      </c>
      <c r="X636" s="87">
        <f t="shared" si="62"/>
        <v>-1.7804624633506707E-2</v>
      </c>
      <c r="Y636" s="87">
        <f t="shared" si="62"/>
        <v>2.502536756694038E-2</v>
      </c>
      <c r="Z636" s="87">
        <f t="shared" si="62"/>
        <v>1.398624197473987E-2</v>
      </c>
      <c r="AA636" s="87">
        <f t="shared" si="62"/>
        <v>5.4496047675644645E-3</v>
      </c>
      <c r="AB636" s="87">
        <f t="shared" si="62"/>
        <v>2.3121397583793788E-3</v>
      </c>
      <c r="AC636" s="87">
        <f t="shared" si="62"/>
        <v>1.1317824932661657E-2</v>
      </c>
      <c r="AD636" s="87">
        <f t="shared" si="62"/>
        <v>0</v>
      </c>
      <c r="AE636" s="90">
        <f t="shared" si="61"/>
        <v>2.4370095994962759E-3</v>
      </c>
      <c r="AF636" s="89"/>
    </row>
    <row r="637" spans="1:32" ht="15.5" x14ac:dyDescent="0.35">
      <c r="A637" s="82">
        <v>40688</v>
      </c>
      <c r="B637" s="83">
        <v>8295.4</v>
      </c>
      <c r="C637" s="84">
        <v>2761.4</v>
      </c>
      <c r="D637" s="61">
        <v>258.89999999999998</v>
      </c>
      <c r="E637" s="61">
        <v>16.100000000000001</v>
      </c>
      <c r="F637" s="61">
        <v>47.6</v>
      </c>
      <c r="G637" s="61">
        <v>24.2</v>
      </c>
      <c r="H637" s="61">
        <v>39.9</v>
      </c>
      <c r="I637" s="61">
        <v>16.5</v>
      </c>
      <c r="J637" s="61">
        <v>52.6</v>
      </c>
      <c r="K637" s="61">
        <v>35.200000000000003</v>
      </c>
      <c r="L637" s="61">
        <v>36.6</v>
      </c>
      <c r="M637" s="61">
        <v>43</v>
      </c>
      <c r="N637" s="61">
        <v>61.8</v>
      </c>
      <c r="O637" s="85">
        <v>20.8</v>
      </c>
      <c r="P637" s="105"/>
      <c r="Q637" s="87">
        <f t="shared" si="60"/>
        <v>5.1849595549358423E-3</v>
      </c>
      <c r="R637" s="87">
        <f t="shared" ref="R637:W676" si="63">+LN(C637/C636)</f>
        <v>5.5196595944007549E-3</v>
      </c>
      <c r="S637" s="87">
        <f t="shared" si="63"/>
        <v>-1.5438057871268731E-3</v>
      </c>
      <c r="T637" s="87">
        <f t="shared" si="63"/>
        <v>0</v>
      </c>
      <c r="U637" s="87">
        <f t="shared" si="63"/>
        <v>6.322465739487108E-3</v>
      </c>
      <c r="V637" s="87">
        <f t="shared" si="63"/>
        <v>8.2988028146950641E-3</v>
      </c>
      <c r="W637" s="87">
        <f t="shared" si="62"/>
        <v>-5.0000104167057515E-3</v>
      </c>
      <c r="X637" s="87">
        <f t="shared" si="62"/>
        <v>-1.204833851617448E-2</v>
      </c>
      <c r="Y637" s="87">
        <f t="shared" si="62"/>
        <v>0</v>
      </c>
      <c r="Z637" s="87">
        <f t="shared" si="62"/>
        <v>-2.2472855852058514E-2</v>
      </c>
      <c r="AA637" s="87">
        <f t="shared" si="62"/>
        <v>-5.4496047675645911E-3</v>
      </c>
      <c r="AB637" s="87">
        <f t="shared" si="62"/>
        <v>-6.9525193148816406E-3</v>
      </c>
      <c r="AC637" s="87">
        <f t="shared" si="62"/>
        <v>-6.4516352814887193E-3</v>
      </c>
      <c r="AD637" s="87">
        <f t="shared" si="62"/>
        <v>-4.7961722634929441E-3</v>
      </c>
      <c r="AE637" s="90">
        <f t="shared" si="61"/>
        <v>2.4274111456235258E-3</v>
      </c>
      <c r="AF637" s="89"/>
    </row>
    <row r="638" spans="1:32" ht="15.5" x14ac:dyDescent="0.35">
      <c r="A638" s="82">
        <v>40689</v>
      </c>
      <c r="B638" s="83">
        <v>8341.7000000000007</v>
      </c>
      <c r="C638" s="84">
        <v>2782.9</v>
      </c>
      <c r="D638" s="61">
        <v>257.8</v>
      </c>
      <c r="E638" s="61">
        <v>15.9</v>
      </c>
      <c r="F638" s="61">
        <v>47.8</v>
      </c>
      <c r="G638" s="61">
        <v>24.3</v>
      </c>
      <c r="H638" s="61">
        <v>39.5</v>
      </c>
      <c r="I638" s="61">
        <v>16.899999999999999</v>
      </c>
      <c r="J638" s="61">
        <v>53.7</v>
      </c>
      <c r="K638" s="61">
        <v>35.5</v>
      </c>
      <c r="L638" s="61">
        <v>36.1</v>
      </c>
      <c r="M638" s="61">
        <v>42.9</v>
      </c>
      <c r="N638" s="61">
        <v>62.6</v>
      </c>
      <c r="O638" s="85">
        <v>20.8</v>
      </c>
      <c r="P638" s="105"/>
      <c r="Q638" s="87">
        <f t="shared" si="60"/>
        <v>5.5658882290397383E-3</v>
      </c>
      <c r="R638" s="87">
        <f t="shared" si="63"/>
        <v>7.7557519512532194E-3</v>
      </c>
      <c r="S638" s="87">
        <f t="shared" si="63"/>
        <v>-4.2577962524047953E-3</v>
      </c>
      <c r="T638" s="87">
        <f t="shared" si="63"/>
        <v>-1.2500162764231494E-2</v>
      </c>
      <c r="U638" s="87">
        <f t="shared" si="63"/>
        <v>4.1928782600359578E-3</v>
      </c>
      <c r="V638" s="87">
        <f t="shared" si="63"/>
        <v>4.1237171838621562E-3</v>
      </c>
      <c r="W638" s="87">
        <f t="shared" si="62"/>
        <v>-1.0075651988741587E-2</v>
      </c>
      <c r="X638" s="87">
        <f t="shared" si="62"/>
        <v>2.3953241022492796E-2</v>
      </c>
      <c r="Y638" s="87">
        <f t="shared" si="62"/>
        <v>2.0696881771154949E-2</v>
      </c>
      <c r="Z638" s="87">
        <f t="shared" si="62"/>
        <v>8.4866138773187251E-3</v>
      </c>
      <c r="AA638" s="87">
        <f t="shared" si="62"/>
        <v>-1.3755375068485344E-2</v>
      </c>
      <c r="AB638" s="87">
        <f t="shared" si="62"/>
        <v>-2.3282897595911845E-3</v>
      </c>
      <c r="AC638" s="87">
        <f t="shared" si="62"/>
        <v>1.2861913642407822E-2</v>
      </c>
      <c r="AD638" s="87">
        <f t="shared" si="62"/>
        <v>0</v>
      </c>
      <c r="AE638" s="90">
        <f t="shared" si="61"/>
        <v>2.2771512715042317E-3</v>
      </c>
      <c r="AF638" s="89"/>
    </row>
    <row r="639" spans="1:32" ht="15.5" x14ac:dyDescent="0.35">
      <c r="A639" s="82">
        <v>40690</v>
      </c>
      <c r="B639" s="83">
        <v>8386.2999999999993</v>
      </c>
      <c r="C639" s="84">
        <v>2796.9</v>
      </c>
      <c r="D639" s="61">
        <v>258.39999999999998</v>
      </c>
      <c r="E639" s="61">
        <v>16</v>
      </c>
      <c r="F639" s="61">
        <v>47.8</v>
      </c>
      <c r="G639" s="61">
        <v>24.7</v>
      </c>
      <c r="H639" s="61">
        <v>39.799999999999997</v>
      </c>
      <c r="I639" s="61">
        <v>16.899999999999999</v>
      </c>
      <c r="J639" s="61">
        <v>55.5</v>
      </c>
      <c r="K639" s="61">
        <v>35.700000000000003</v>
      </c>
      <c r="L639" s="61">
        <v>36.1</v>
      </c>
      <c r="M639" s="61">
        <v>43.4</v>
      </c>
      <c r="N639" s="61">
        <v>64.2</v>
      </c>
      <c r="O639" s="85">
        <v>21.1</v>
      </c>
      <c r="P639" s="105"/>
      <c r="Q639" s="87">
        <f t="shared" si="60"/>
        <v>5.3323894884088211E-3</v>
      </c>
      <c r="R639" s="87">
        <f t="shared" si="63"/>
        <v>5.0181115374523825E-3</v>
      </c>
      <c r="S639" s="87">
        <f t="shared" si="63"/>
        <v>2.3246814033595908E-3</v>
      </c>
      <c r="T639" s="87">
        <f t="shared" si="63"/>
        <v>6.269613013595395E-3</v>
      </c>
      <c r="U639" s="87">
        <f t="shared" si="63"/>
        <v>0</v>
      </c>
      <c r="V639" s="87">
        <f t="shared" si="63"/>
        <v>1.6326893287428666E-2</v>
      </c>
      <c r="W639" s="87">
        <f t="shared" si="62"/>
        <v>7.5662403833156562E-3</v>
      </c>
      <c r="X639" s="87">
        <f t="shared" si="62"/>
        <v>0</v>
      </c>
      <c r="Y639" s="87">
        <f t="shared" si="62"/>
        <v>3.2970019237569682E-2</v>
      </c>
      <c r="Z639" s="87">
        <f t="shared" si="62"/>
        <v>5.6179923042232738E-3</v>
      </c>
      <c r="AA639" s="87">
        <f t="shared" si="62"/>
        <v>0</v>
      </c>
      <c r="AB639" s="87">
        <f t="shared" si="62"/>
        <v>1.1587615172387829E-2</v>
      </c>
      <c r="AC639" s="87">
        <f t="shared" si="62"/>
        <v>2.5237932589862754E-2</v>
      </c>
      <c r="AD639" s="87">
        <f t="shared" si="62"/>
        <v>1.4320053774748471E-2</v>
      </c>
      <c r="AE639" s="90">
        <f t="shared" si="61"/>
        <v>3.9253326462496988E-3</v>
      </c>
      <c r="AF639" s="89"/>
    </row>
    <row r="640" spans="1:32" ht="15.5" x14ac:dyDescent="0.35">
      <c r="A640" s="82">
        <v>40694</v>
      </c>
      <c r="B640" s="83">
        <v>8477.2999999999993</v>
      </c>
      <c r="C640" s="84">
        <v>2835.3</v>
      </c>
      <c r="D640" s="61">
        <v>262</v>
      </c>
      <c r="E640" s="61">
        <v>16.100000000000001</v>
      </c>
      <c r="F640" s="61">
        <v>48.7</v>
      </c>
      <c r="G640" s="61">
        <v>24.7</v>
      </c>
      <c r="H640" s="61">
        <v>40.200000000000003</v>
      </c>
      <c r="I640" s="61">
        <v>17.5</v>
      </c>
      <c r="J640" s="61">
        <v>56.4</v>
      </c>
      <c r="K640" s="61">
        <v>35.4</v>
      </c>
      <c r="L640" s="61">
        <v>36.299999999999997</v>
      </c>
      <c r="M640" s="61">
        <v>43.6</v>
      </c>
      <c r="N640" s="61">
        <v>65.099999999999994</v>
      </c>
      <c r="O640" s="85">
        <v>21</v>
      </c>
      <c r="P640" s="105"/>
      <c r="Q640" s="87">
        <f t="shared" si="60"/>
        <v>1.0792580860960653E-2</v>
      </c>
      <c r="R640" s="87">
        <f t="shared" si="63"/>
        <v>1.3636090698362562E-2</v>
      </c>
      <c r="S640" s="87">
        <f t="shared" si="63"/>
        <v>1.3835731852650227E-2</v>
      </c>
      <c r="T640" s="87">
        <f t="shared" si="63"/>
        <v>6.2305497506361628E-3</v>
      </c>
      <c r="U640" s="87">
        <f t="shared" si="63"/>
        <v>1.8653390591133835E-2</v>
      </c>
      <c r="V640" s="87">
        <f t="shared" si="63"/>
        <v>0</v>
      </c>
      <c r="W640" s="87">
        <f t="shared" si="62"/>
        <v>1.0000083334583399E-2</v>
      </c>
      <c r="X640" s="87">
        <f t="shared" si="62"/>
        <v>3.4887259000440755E-2</v>
      </c>
      <c r="Y640" s="87">
        <f t="shared" si="62"/>
        <v>1.6086137751624444E-2</v>
      </c>
      <c r="Z640" s="87">
        <f t="shared" si="62"/>
        <v>-8.4388686458647076E-3</v>
      </c>
      <c r="AA640" s="87">
        <f t="shared" si="62"/>
        <v>5.5248759319698072E-3</v>
      </c>
      <c r="AB640" s="87">
        <f t="shared" si="62"/>
        <v>4.5977092486295494E-3</v>
      </c>
      <c r="AC640" s="87">
        <f t="shared" si="62"/>
        <v>1.3921338518608014E-2</v>
      </c>
      <c r="AD640" s="87">
        <f t="shared" si="62"/>
        <v>-4.7506027585978647E-3</v>
      </c>
      <c r="AE640" s="90">
        <f t="shared" si="61"/>
        <v>1.2894309464555016E-2</v>
      </c>
      <c r="AF640" s="89"/>
    </row>
    <row r="641" spans="1:32" ht="15.5" x14ac:dyDescent="0.35">
      <c r="A641" s="82">
        <v>40695</v>
      </c>
      <c r="B641" s="83">
        <v>8281.6</v>
      </c>
      <c r="C641" s="84">
        <v>2769.2</v>
      </c>
      <c r="D641" s="61">
        <v>262.89999999999998</v>
      </c>
      <c r="E641" s="61">
        <v>15.8</v>
      </c>
      <c r="F641" s="61">
        <v>49.2</v>
      </c>
      <c r="G641" s="61">
        <v>24.4</v>
      </c>
      <c r="H641" s="61">
        <v>40.6</v>
      </c>
      <c r="I641" s="61">
        <v>16.899999999999999</v>
      </c>
      <c r="J641" s="61">
        <v>54.5</v>
      </c>
      <c r="K641" s="61">
        <v>33.5</v>
      </c>
      <c r="L641" s="61">
        <v>36.200000000000003</v>
      </c>
      <c r="M641" s="61">
        <v>42.6</v>
      </c>
      <c r="N641" s="61">
        <v>64.2</v>
      </c>
      <c r="O641" s="85">
        <v>20.5</v>
      </c>
      <c r="P641" s="105"/>
      <c r="Q641" s="87">
        <f t="shared" si="60"/>
        <v>-2.3355816434221122E-2</v>
      </c>
      <c r="R641" s="87">
        <f t="shared" si="63"/>
        <v>-2.3589281865249917E-2</v>
      </c>
      <c r="S641" s="87">
        <f t="shared" si="63"/>
        <v>3.4292279747386071E-3</v>
      </c>
      <c r="T641" s="87">
        <f t="shared" si="63"/>
        <v>-1.8809331957496227E-2</v>
      </c>
      <c r="U641" s="87">
        <f t="shared" si="63"/>
        <v>1.021459340971842E-2</v>
      </c>
      <c r="V641" s="87">
        <f t="shared" si="63"/>
        <v>-1.2220111334775333E-2</v>
      </c>
      <c r="W641" s="87">
        <f t="shared" si="62"/>
        <v>9.9010709827115368E-3</v>
      </c>
      <c r="X641" s="87">
        <f t="shared" si="62"/>
        <v>-3.4887259000440665E-2</v>
      </c>
      <c r="Y641" s="87">
        <f t="shared" si="62"/>
        <v>-3.4268456834814789E-2</v>
      </c>
      <c r="Z641" s="87">
        <f t="shared" si="62"/>
        <v>-5.5166381308708025E-2</v>
      </c>
      <c r="AA641" s="87">
        <f t="shared" si="62"/>
        <v>-2.7586224390795284E-3</v>
      </c>
      <c r="AB641" s="87">
        <f t="shared" si="62"/>
        <v>-2.3202897079663869E-2</v>
      </c>
      <c r="AC641" s="87">
        <f t="shared" si="62"/>
        <v>-1.3921338518607895E-2</v>
      </c>
      <c r="AD641" s="87">
        <f t="shared" si="62"/>
        <v>-2.409755157906053E-2</v>
      </c>
      <c r="AE641" s="90">
        <f t="shared" si="61"/>
        <v>-6.0751616058863124E-3</v>
      </c>
      <c r="AF641" s="89"/>
    </row>
    <row r="642" spans="1:32" ht="15.5" x14ac:dyDescent="0.35">
      <c r="A642" s="82">
        <v>40696</v>
      </c>
      <c r="B642" s="83">
        <v>8277.7999999999993</v>
      </c>
      <c r="C642" s="84">
        <v>2773.3</v>
      </c>
      <c r="D642" s="61">
        <v>261.5</v>
      </c>
      <c r="E642" s="61">
        <v>15.9</v>
      </c>
      <c r="F642" s="61">
        <v>49.2</v>
      </c>
      <c r="G642" s="61">
        <v>24.2</v>
      </c>
      <c r="H642" s="61">
        <v>45.9</v>
      </c>
      <c r="I642" s="61">
        <v>16.399999999999999</v>
      </c>
      <c r="J642" s="61">
        <v>54.3</v>
      </c>
      <c r="K642" s="61">
        <v>32.5</v>
      </c>
      <c r="L642" s="61">
        <v>35.9</v>
      </c>
      <c r="M642" s="61">
        <v>42.5</v>
      </c>
      <c r="N642" s="61">
        <v>63.3</v>
      </c>
      <c r="O642" s="85">
        <v>20.3</v>
      </c>
      <c r="P642" s="105"/>
      <c r="Q642" s="87">
        <f t="shared" si="60"/>
        <v>-4.5895383488576725E-4</v>
      </c>
      <c r="R642" s="87">
        <f t="shared" si="63"/>
        <v>1.4794770402736036E-3</v>
      </c>
      <c r="S642" s="87">
        <f t="shared" si="63"/>
        <v>-5.3394482308578789E-3</v>
      </c>
      <c r="T642" s="87">
        <f t="shared" si="63"/>
        <v>6.3091691932647556E-3</v>
      </c>
      <c r="U642" s="87">
        <f t="shared" si="63"/>
        <v>0</v>
      </c>
      <c r="V642" s="87">
        <f t="shared" si="63"/>
        <v>-8.23049913651548E-3</v>
      </c>
      <c r="W642" s="87">
        <f t="shared" si="62"/>
        <v>0.12269705045881242</v>
      </c>
      <c r="X642" s="87">
        <f t="shared" si="62"/>
        <v>-3.003228709887509E-2</v>
      </c>
      <c r="Y642" s="87">
        <f t="shared" si="62"/>
        <v>-3.6764747293086368E-3</v>
      </c>
      <c r="Z642" s="87">
        <f t="shared" si="62"/>
        <v>-3.0305349495328922E-2</v>
      </c>
      <c r="AA642" s="87">
        <f t="shared" si="62"/>
        <v>-8.32182333749233E-3</v>
      </c>
      <c r="AB642" s="87">
        <f t="shared" si="62"/>
        <v>-2.3501773449536266E-3</v>
      </c>
      <c r="AC642" s="87">
        <f t="shared" si="62"/>
        <v>-1.4117881545785044E-2</v>
      </c>
      <c r="AD642" s="87">
        <f t="shared" si="62"/>
        <v>-9.8040000966208556E-3</v>
      </c>
      <c r="AE642" s="90">
        <f t="shared" si="61"/>
        <v>-2.3113879733022815E-3</v>
      </c>
      <c r="AF642" s="89"/>
    </row>
    <row r="643" spans="1:32" ht="15.5" x14ac:dyDescent="0.35">
      <c r="A643" s="82">
        <v>40697</v>
      </c>
      <c r="B643" s="83">
        <v>8222.2000000000007</v>
      </c>
      <c r="C643" s="84">
        <v>2732.8</v>
      </c>
      <c r="D643" s="61">
        <v>261</v>
      </c>
      <c r="E643" s="61">
        <v>15.6</v>
      </c>
      <c r="F643" s="61">
        <v>48.9</v>
      </c>
      <c r="G643" s="61">
        <v>23.8</v>
      </c>
      <c r="H643" s="61">
        <v>45.9</v>
      </c>
      <c r="I643" s="61">
        <v>16</v>
      </c>
      <c r="J643" s="61">
        <v>53.7</v>
      </c>
      <c r="K643" s="61">
        <v>32.1</v>
      </c>
      <c r="L643" s="61">
        <v>35.799999999999997</v>
      </c>
      <c r="M643" s="61">
        <v>41.5</v>
      </c>
      <c r="N643" s="61">
        <v>62.6</v>
      </c>
      <c r="O643" s="85">
        <v>20.100000000000001</v>
      </c>
      <c r="P643" s="105"/>
      <c r="Q643" s="87">
        <f t="shared" si="60"/>
        <v>-6.7394194478538373E-3</v>
      </c>
      <c r="R643" s="87">
        <f t="shared" si="63"/>
        <v>-1.4711222249893069E-2</v>
      </c>
      <c r="S643" s="87">
        <f t="shared" si="63"/>
        <v>-1.9138761822841644E-3</v>
      </c>
      <c r="T643" s="87">
        <f t="shared" si="63"/>
        <v>-1.9048194970694474E-2</v>
      </c>
      <c r="U643" s="87">
        <f t="shared" si="63"/>
        <v>-6.1162270174362054E-3</v>
      </c>
      <c r="V643" s="87">
        <f t="shared" si="63"/>
        <v>-1.6667052485211647E-2</v>
      </c>
      <c r="W643" s="87">
        <f t="shared" si="62"/>
        <v>0</v>
      </c>
      <c r="X643" s="87">
        <f t="shared" si="62"/>
        <v>-2.4692612590371411E-2</v>
      </c>
      <c r="Y643" s="87">
        <f t="shared" si="62"/>
        <v>-1.111122542507061E-2</v>
      </c>
      <c r="Z643" s="87">
        <f t="shared" si="62"/>
        <v>-1.2384059199721555E-2</v>
      </c>
      <c r="AA643" s="87">
        <f t="shared" si="62"/>
        <v>-2.7894020875786365E-3</v>
      </c>
      <c r="AB643" s="87">
        <f t="shared" si="62"/>
        <v>-2.3810648693718559E-2</v>
      </c>
      <c r="AC643" s="87">
        <f t="shared" si="62"/>
        <v>-1.1120051044077589E-2</v>
      </c>
      <c r="AD643" s="87">
        <f t="shared" si="62"/>
        <v>-9.9010709827115698E-3</v>
      </c>
      <c r="AE643" s="90">
        <f t="shared" si="61"/>
        <v>-7.9223067011090255E-3</v>
      </c>
      <c r="AF643" s="89"/>
    </row>
    <row r="644" spans="1:32" ht="15.5" x14ac:dyDescent="0.35">
      <c r="A644" s="82">
        <v>40700</v>
      </c>
      <c r="B644" s="83">
        <v>8115.9</v>
      </c>
      <c r="C644" s="84">
        <v>2702.6</v>
      </c>
      <c r="D644" s="61">
        <v>259.89999999999998</v>
      </c>
      <c r="E644" s="61">
        <v>15.4</v>
      </c>
      <c r="F644" s="61">
        <v>48.3</v>
      </c>
      <c r="G644" s="61">
        <v>23.8</v>
      </c>
      <c r="H644" s="61">
        <v>44.5</v>
      </c>
      <c r="I644" s="61">
        <v>16</v>
      </c>
      <c r="J644" s="61">
        <v>53.8</v>
      </c>
      <c r="K644" s="61">
        <v>31.5</v>
      </c>
      <c r="L644" s="61">
        <v>35.5</v>
      </c>
      <c r="M644" s="61">
        <v>40.9</v>
      </c>
      <c r="N644" s="61">
        <v>62.9</v>
      </c>
      <c r="O644" s="85">
        <v>19.899999999999999</v>
      </c>
      <c r="P644" s="105"/>
      <c r="Q644" s="87">
        <f t="shared" si="60"/>
        <v>-1.3012712614497383E-2</v>
      </c>
      <c r="R644" s="87">
        <f t="shared" si="63"/>
        <v>-1.1112451990265103E-2</v>
      </c>
      <c r="S644" s="87">
        <f t="shared" si="63"/>
        <v>-4.2234656752488924E-3</v>
      </c>
      <c r="T644" s="87">
        <f t="shared" si="63"/>
        <v>-1.2903404835907841E-2</v>
      </c>
      <c r="U644" s="87">
        <f t="shared" si="63"/>
        <v>-1.2345835822299379E-2</v>
      </c>
      <c r="V644" s="87">
        <f t="shared" si="63"/>
        <v>0</v>
      </c>
      <c r="W644" s="87">
        <f t="shared" si="62"/>
        <v>-3.0975927894304905E-2</v>
      </c>
      <c r="X644" s="87">
        <f t="shared" si="62"/>
        <v>0</v>
      </c>
      <c r="Y644" s="87">
        <f t="shared" si="62"/>
        <v>1.8604656529196708E-3</v>
      </c>
      <c r="Z644" s="87">
        <f t="shared" si="62"/>
        <v>-1.8868484304382805E-2</v>
      </c>
      <c r="AA644" s="87">
        <f t="shared" si="62"/>
        <v>-8.4151969252844721E-3</v>
      </c>
      <c r="AB644" s="87">
        <f t="shared" si="62"/>
        <v>-1.4563364187896555E-2</v>
      </c>
      <c r="AC644" s="87">
        <f t="shared" si="62"/>
        <v>4.7808856003418946E-3</v>
      </c>
      <c r="AD644" s="87">
        <f t="shared" si="62"/>
        <v>-1.0000083334583534E-2</v>
      </c>
      <c r="AE644" s="90">
        <f t="shared" si="61"/>
        <v>-9.3130685342816717E-3</v>
      </c>
      <c r="AF644" s="89"/>
    </row>
    <row r="645" spans="1:32" ht="15.5" x14ac:dyDescent="0.35">
      <c r="A645" s="82">
        <v>40701</v>
      </c>
      <c r="B645" s="83">
        <v>8131.7</v>
      </c>
      <c r="C645" s="84">
        <v>2701.6</v>
      </c>
      <c r="D645" s="61">
        <v>259.8</v>
      </c>
      <c r="E645" s="61">
        <v>15.3</v>
      </c>
      <c r="F645" s="61">
        <v>47.4</v>
      </c>
      <c r="G645" s="61">
        <v>23.9</v>
      </c>
      <c r="H645" s="61">
        <v>44.5</v>
      </c>
      <c r="I645" s="61">
        <v>15.8</v>
      </c>
      <c r="J645" s="61">
        <v>53.8</v>
      </c>
      <c r="K645" s="61">
        <v>31.5</v>
      </c>
      <c r="L645" s="61">
        <v>35.6</v>
      </c>
      <c r="M645" s="61">
        <v>41.4</v>
      </c>
      <c r="N645" s="61">
        <v>62.9</v>
      </c>
      <c r="O645" s="85">
        <v>20</v>
      </c>
      <c r="P645" s="105"/>
      <c r="Q645" s="87">
        <f t="shared" si="60"/>
        <v>1.9449032448468065E-3</v>
      </c>
      <c r="R645" s="87">
        <f t="shared" si="63"/>
        <v>-3.7008253262771622E-4</v>
      </c>
      <c r="S645" s="87">
        <f t="shared" si="63"/>
        <v>-3.8483741094523863E-4</v>
      </c>
      <c r="T645" s="87">
        <f t="shared" si="63"/>
        <v>-6.5146810211936419E-3</v>
      </c>
      <c r="U645" s="87">
        <f t="shared" si="63"/>
        <v>-1.8809331957496116E-2</v>
      </c>
      <c r="V645" s="87">
        <f t="shared" si="63"/>
        <v>4.1928782600359578E-3</v>
      </c>
      <c r="W645" s="87">
        <f t="shared" si="62"/>
        <v>0</v>
      </c>
      <c r="X645" s="87">
        <f t="shared" si="62"/>
        <v>-1.2578782206860073E-2</v>
      </c>
      <c r="Y645" s="87">
        <f t="shared" si="62"/>
        <v>0</v>
      </c>
      <c r="Z645" s="87">
        <f t="shared" si="62"/>
        <v>0</v>
      </c>
      <c r="AA645" s="87">
        <f t="shared" si="62"/>
        <v>2.8129413766146577E-3</v>
      </c>
      <c r="AB645" s="87">
        <f t="shared" si="62"/>
        <v>1.2150817782512528E-2</v>
      </c>
      <c r="AC645" s="87">
        <f t="shared" si="62"/>
        <v>0</v>
      </c>
      <c r="AD645" s="87">
        <f t="shared" si="62"/>
        <v>5.0125418235444138E-3</v>
      </c>
      <c r="AE645" s="90">
        <f t="shared" si="61"/>
        <v>-4.9926528083715487E-3</v>
      </c>
      <c r="AF645" s="89"/>
    </row>
    <row r="646" spans="1:32" ht="15.5" x14ac:dyDescent="0.35">
      <c r="A646" s="82">
        <v>40702</v>
      </c>
      <c r="B646" s="83">
        <v>8081.4</v>
      </c>
      <c r="C646" s="84">
        <v>2675.4</v>
      </c>
      <c r="D646" s="61">
        <v>258.2</v>
      </c>
      <c r="E646" s="61">
        <v>15.1</v>
      </c>
      <c r="F646" s="61">
        <v>47.2</v>
      </c>
      <c r="G646" s="61">
        <v>23.9</v>
      </c>
      <c r="H646" s="61">
        <v>44.1</v>
      </c>
      <c r="I646" s="61">
        <v>15.9</v>
      </c>
      <c r="J646" s="61">
        <v>52.6</v>
      </c>
      <c r="K646" s="61">
        <v>30.7</v>
      </c>
      <c r="L646" s="61">
        <v>35.5</v>
      </c>
      <c r="M646" s="61">
        <v>41</v>
      </c>
      <c r="N646" s="61">
        <v>62</v>
      </c>
      <c r="O646" s="85">
        <v>20</v>
      </c>
      <c r="P646" s="105"/>
      <c r="Q646" s="87">
        <f t="shared" si="60"/>
        <v>-6.2048789412579124E-3</v>
      </c>
      <c r="R646" s="87">
        <f t="shared" si="63"/>
        <v>-9.7452882098719475E-3</v>
      </c>
      <c r="S646" s="87">
        <f t="shared" si="63"/>
        <v>-6.1776258239571004E-3</v>
      </c>
      <c r="T646" s="87">
        <f t="shared" si="63"/>
        <v>-1.3158084577511199E-2</v>
      </c>
      <c r="U646" s="87">
        <f t="shared" si="63"/>
        <v>-4.2283361095210642E-3</v>
      </c>
      <c r="V646" s="87">
        <f t="shared" si="63"/>
        <v>0</v>
      </c>
      <c r="W646" s="87">
        <f t="shared" si="62"/>
        <v>-9.0294067193941521E-3</v>
      </c>
      <c r="X646" s="87">
        <f t="shared" si="62"/>
        <v>6.3091691932647556E-3</v>
      </c>
      <c r="Y646" s="87">
        <f t="shared" si="62"/>
        <v>-2.2557347424074514E-2</v>
      </c>
      <c r="Z646" s="87">
        <f t="shared" si="62"/>
        <v>-2.572489123843593E-2</v>
      </c>
      <c r="AA646" s="87">
        <f t="shared" si="62"/>
        <v>-2.8129413766147236E-3</v>
      </c>
      <c r="AB646" s="87">
        <f t="shared" si="62"/>
        <v>-9.7088141269608269E-3</v>
      </c>
      <c r="AC646" s="87">
        <f t="shared" si="62"/>
        <v>-1.4411778661303316E-2</v>
      </c>
      <c r="AD646" s="87">
        <f t="shared" si="62"/>
        <v>0</v>
      </c>
      <c r="AE646" s="90">
        <f t="shared" si="61"/>
        <v>-5.9387698819528319E-3</v>
      </c>
      <c r="AF646" s="89"/>
    </row>
    <row r="647" spans="1:32" ht="15.5" x14ac:dyDescent="0.35">
      <c r="A647" s="82">
        <v>40703</v>
      </c>
      <c r="B647" s="83">
        <v>8149.6</v>
      </c>
      <c r="C647" s="84">
        <v>2684.9</v>
      </c>
      <c r="D647" s="61">
        <v>258.10000000000002</v>
      </c>
      <c r="E647" s="61">
        <v>14.9</v>
      </c>
      <c r="F647" s="61">
        <v>47.3</v>
      </c>
      <c r="G647" s="61">
        <v>23.8</v>
      </c>
      <c r="H647" s="61">
        <v>44.3</v>
      </c>
      <c r="I647" s="61">
        <v>16</v>
      </c>
      <c r="J647" s="61">
        <v>54.1</v>
      </c>
      <c r="K647" s="61">
        <v>30.6</v>
      </c>
      <c r="L647" s="61">
        <v>35.799999999999997</v>
      </c>
      <c r="M647" s="61">
        <v>41</v>
      </c>
      <c r="N647" s="61">
        <v>62.2</v>
      </c>
      <c r="O647" s="85">
        <v>20.100000000000001</v>
      </c>
      <c r="P647" s="105"/>
      <c r="Q647" s="87">
        <f t="shared" si="60"/>
        <v>8.4037214430324764E-3</v>
      </c>
      <c r="R647" s="87">
        <f t="shared" si="63"/>
        <v>3.5445814400474891E-3</v>
      </c>
      <c r="S647" s="87">
        <f t="shared" si="63"/>
        <v>-3.8737168797382598E-4</v>
      </c>
      <c r="T647" s="87">
        <f t="shared" si="63"/>
        <v>-1.3333530869465144E-2</v>
      </c>
      <c r="U647" s="87">
        <f t="shared" si="63"/>
        <v>2.1164029063774721E-3</v>
      </c>
      <c r="V647" s="87">
        <f t="shared" si="63"/>
        <v>-4.1928782600359274E-3</v>
      </c>
      <c r="W647" s="87">
        <f t="shared" si="62"/>
        <v>4.5248945982895028E-3</v>
      </c>
      <c r="X647" s="87">
        <f t="shared" si="62"/>
        <v>6.269613013595395E-3</v>
      </c>
      <c r="Y647" s="87">
        <f t="shared" si="62"/>
        <v>2.8118066108771628E-2</v>
      </c>
      <c r="Z647" s="87">
        <f t="shared" si="62"/>
        <v>-3.2626456348162714E-3</v>
      </c>
      <c r="AA647" s="87">
        <f t="shared" si="62"/>
        <v>8.4151969252844981E-3</v>
      </c>
      <c r="AB647" s="87">
        <f t="shared" si="62"/>
        <v>0</v>
      </c>
      <c r="AC647" s="87">
        <f t="shared" si="62"/>
        <v>3.2206147000421572E-3</v>
      </c>
      <c r="AD647" s="87">
        <f t="shared" si="62"/>
        <v>4.9875415110391882E-3</v>
      </c>
      <c r="AE647" s="90">
        <f t="shared" si="61"/>
        <v>2.160463265465316E-3</v>
      </c>
      <c r="AF647" s="89"/>
    </row>
    <row r="648" spans="1:32" ht="15.5" x14ac:dyDescent="0.35">
      <c r="A648" s="82">
        <v>40704</v>
      </c>
      <c r="B648" s="83">
        <v>8016.4</v>
      </c>
      <c r="C648" s="84">
        <v>2643.7</v>
      </c>
      <c r="D648" s="61">
        <v>254.9</v>
      </c>
      <c r="E648" s="61">
        <v>15.1</v>
      </c>
      <c r="F648" s="61">
        <v>46.5</v>
      </c>
      <c r="G648" s="61">
        <v>23.7</v>
      </c>
      <c r="H648" s="61">
        <v>43.6</v>
      </c>
      <c r="I648" s="61">
        <v>14.9</v>
      </c>
      <c r="J648" s="61">
        <v>54.8</v>
      </c>
      <c r="K648" s="61">
        <v>29.8</v>
      </c>
      <c r="L648" s="61">
        <v>35.4</v>
      </c>
      <c r="M648" s="61">
        <v>40.4</v>
      </c>
      <c r="N648" s="61">
        <v>62</v>
      </c>
      <c r="O648" s="85">
        <v>19.899999999999999</v>
      </c>
      <c r="P648" s="105"/>
      <c r="Q648" s="87">
        <f t="shared" si="60"/>
        <v>-1.6479402996583382E-2</v>
      </c>
      <c r="R648" s="87">
        <f t="shared" si="63"/>
        <v>-1.5464032215340543E-2</v>
      </c>
      <c r="S648" s="87">
        <f t="shared" si="63"/>
        <v>-1.2475795342498543E-2</v>
      </c>
      <c r="T648" s="87">
        <f t="shared" si="63"/>
        <v>1.3333530869465168E-2</v>
      </c>
      <c r="U648" s="87">
        <f t="shared" si="63"/>
        <v>-1.7057982904576625E-2</v>
      </c>
      <c r="V648" s="87">
        <f t="shared" si="63"/>
        <v>-4.2105325363436053E-3</v>
      </c>
      <c r="W648" s="87">
        <f t="shared" si="62"/>
        <v>-1.5927526696101191E-2</v>
      </c>
      <c r="X648" s="87">
        <f t="shared" si="62"/>
        <v>-7.1227509288367755E-2</v>
      </c>
      <c r="Y648" s="87">
        <f t="shared" si="62"/>
        <v>1.2856008101533955E-2</v>
      </c>
      <c r="Z648" s="87">
        <f t="shared" si="62"/>
        <v>-2.6491615446976341E-2</v>
      </c>
      <c r="AA648" s="87">
        <f t="shared" si="62"/>
        <v>-1.1236073266925842E-2</v>
      </c>
      <c r="AB648" s="87">
        <f t="shared" si="62"/>
        <v>-1.4742281737203431E-2</v>
      </c>
      <c r="AC648" s="87">
        <f t="shared" si="62"/>
        <v>-3.2206147000422834E-3</v>
      </c>
      <c r="AD648" s="87">
        <f t="shared" si="62"/>
        <v>-1.0000083334583534E-2</v>
      </c>
      <c r="AE648" s="90">
        <f t="shared" si="61"/>
        <v>-1.4380822190975057E-2</v>
      </c>
      <c r="AF648" s="89"/>
    </row>
    <row r="649" spans="1:32" ht="15.5" x14ac:dyDescent="0.35">
      <c r="A649" s="82">
        <v>40707</v>
      </c>
      <c r="B649" s="83">
        <v>8017.1</v>
      </c>
      <c r="C649" s="84">
        <v>2639.7</v>
      </c>
      <c r="D649" s="61">
        <v>251.3</v>
      </c>
      <c r="E649" s="61">
        <v>15.1</v>
      </c>
      <c r="F649" s="61">
        <v>46.4</v>
      </c>
      <c r="G649" s="61">
        <v>23.7</v>
      </c>
      <c r="H649" s="61">
        <v>43.1</v>
      </c>
      <c r="I649" s="61">
        <v>14.6</v>
      </c>
      <c r="J649" s="61">
        <v>54</v>
      </c>
      <c r="K649" s="61">
        <v>30</v>
      </c>
      <c r="L649" s="61">
        <v>35</v>
      </c>
      <c r="M649" s="61">
        <v>40.700000000000003</v>
      </c>
      <c r="N649" s="61">
        <v>61.8</v>
      </c>
      <c r="O649" s="85">
        <v>19.899999999999999</v>
      </c>
      <c r="P649" s="105"/>
      <c r="Q649" s="87">
        <f t="shared" si="60"/>
        <v>8.7317179710616794E-5</v>
      </c>
      <c r="R649" s="87">
        <f t="shared" si="63"/>
        <v>-1.514176766568421E-3</v>
      </c>
      <c r="S649" s="87">
        <f t="shared" si="63"/>
        <v>-1.4223866832523274E-2</v>
      </c>
      <c r="T649" s="87">
        <f t="shared" si="63"/>
        <v>0</v>
      </c>
      <c r="U649" s="87">
        <f t="shared" si="63"/>
        <v>-2.1528533611010897E-3</v>
      </c>
      <c r="V649" s="87">
        <f t="shared" si="63"/>
        <v>0</v>
      </c>
      <c r="W649" s="87">
        <f t="shared" si="62"/>
        <v>-1.1534153245286519E-2</v>
      </c>
      <c r="X649" s="87">
        <f t="shared" si="62"/>
        <v>-2.0339684237122787E-2</v>
      </c>
      <c r="Y649" s="87">
        <f t="shared" si="62"/>
        <v>-1.4706147389695449E-2</v>
      </c>
      <c r="Z649" s="87">
        <f t="shared" si="62"/>
        <v>6.6889881507964889E-3</v>
      </c>
      <c r="AA649" s="87">
        <f t="shared" si="62"/>
        <v>-1.1363758650315095E-2</v>
      </c>
      <c r="AB649" s="87">
        <f t="shared" si="62"/>
        <v>7.3983074814449254E-3</v>
      </c>
      <c r="AC649" s="87">
        <f t="shared" si="62"/>
        <v>-3.2310205814465318E-3</v>
      </c>
      <c r="AD649" s="87">
        <f t="shared" si="62"/>
        <v>0</v>
      </c>
      <c r="AE649" s="90">
        <f t="shared" si="61"/>
        <v>-5.2336975866834369E-3</v>
      </c>
      <c r="AF649" s="89"/>
    </row>
    <row r="650" spans="1:32" ht="15.5" x14ac:dyDescent="0.35">
      <c r="A650" s="82">
        <v>40708</v>
      </c>
      <c r="B650" s="83">
        <v>8132.8</v>
      </c>
      <c r="C650" s="84">
        <v>2678.7</v>
      </c>
      <c r="D650" s="61">
        <v>253.8</v>
      </c>
      <c r="E650" s="61">
        <v>15.2</v>
      </c>
      <c r="F650" s="61">
        <v>47</v>
      </c>
      <c r="G650" s="61">
        <v>24.2</v>
      </c>
      <c r="H650" s="61">
        <v>43.7</v>
      </c>
      <c r="I650" s="61">
        <v>14.9</v>
      </c>
      <c r="J650" s="61">
        <v>54.5</v>
      </c>
      <c r="K650" s="61">
        <v>30.3</v>
      </c>
      <c r="L650" s="61">
        <v>35.299999999999997</v>
      </c>
      <c r="M650" s="61">
        <v>41.2</v>
      </c>
      <c r="N650" s="61">
        <v>62.5</v>
      </c>
      <c r="O650" s="85">
        <v>20.3</v>
      </c>
      <c r="P650" s="105"/>
      <c r="Q650" s="87">
        <f t="shared" si="60"/>
        <v>1.4328507233654105E-2</v>
      </c>
      <c r="R650" s="87">
        <f t="shared" si="63"/>
        <v>1.4666327871655749E-2</v>
      </c>
      <c r="S650" s="87">
        <f t="shared" si="63"/>
        <v>9.8991107307408316E-3</v>
      </c>
      <c r="T650" s="87">
        <f t="shared" si="63"/>
        <v>6.6006840313520927E-3</v>
      </c>
      <c r="U650" s="87">
        <f t="shared" si="63"/>
        <v>1.2848142477849059E-2</v>
      </c>
      <c r="V650" s="87">
        <f t="shared" si="63"/>
        <v>2.0877585021555178E-2</v>
      </c>
      <c r="W650" s="87">
        <f t="shared" si="62"/>
        <v>1.3825104991842335E-2</v>
      </c>
      <c r="X650" s="87">
        <f t="shared" si="62"/>
        <v>2.0339684237122783E-2</v>
      </c>
      <c r="Y650" s="87">
        <f t="shared" si="62"/>
        <v>9.2166551049240476E-3</v>
      </c>
      <c r="Z650" s="87">
        <f t="shared" si="62"/>
        <v>9.950330853168092E-3</v>
      </c>
      <c r="AA650" s="87">
        <f t="shared" si="62"/>
        <v>8.5349024498372859E-3</v>
      </c>
      <c r="AB650" s="87">
        <f t="shared" si="62"/>
        <v>1.2210163906931337E-2</v>
      </c>
      <c r="AC650" s="87">
        <f t="shared" si="62"/>
        <v>1.1263192278710869E-2</v>
      </c>
      <c r="AD650" s="87">
        <f t="shared" si="62"/>
        <v>1.9901154317295021E-2</v>
      </c>
      <c r="AE650" s="90">
        <f t="shared" si="61"/>
        <v>1.3387050762685527E-2</v>
      </c>
      <c r="AF650" s="89"/>
    </row>
    <row r="651" spans="1:32" ht="15.5" x14ac:dyDescent="0.35">
      <c r="A651" s="82">
        <v>40709</v>
      </c>
      <c r="B651" s="83">
        <v>7967.8</v>
      </c>
      <c r="C651" s="84">
        <v>2631.5</v>
      </c>
      <c r="D651" s="61">
        <v>250.6</v>
      </c>
      <c r="E651" s="61">
        <v>14.5</v>
      </c>
      <c r="F651" s="61">
        <v>46.4</v>
      </c>
      <c r="G651" s="61">
        <v>23.7</v>
      </c>
      <c r="H651" s="61">
        <v>42.7</v>
      </c>
      <c r="I651" s="61">
        <v>14.7</v>
      </c>
      <c r="J651" s="61">
        <v>53.4</v>
      </c>
      <c r="K651" s="61">
        <v>33.799999999999997</v>
      </c>
      <c r="L651" s="61">
        <v>35</v>
      </c>
      <c r="M651" s="61">
        <v>39.1</v>
      </c>
      <c r="N651" s="61">
        <v>61.5</v>
      </c>
      <c r="O651" s="85">
        <v>20</v>
      </c>
      <c r="P651" s="105"/>
      <c r="Q651" s="87">
        <f t="shared" si="60"/>
        <v>-2.0496848144830732E-2</v>
      </c>
      <c r="R651" s="87">
        <f t="shared" si="63"/>
        <v>-1.7777576397446683E-2</v>
      </c>
      <c r="S651" s="87">
        <f t="shared" si="63"/>
        <v>-1.2688512818319378E-2</v>
      </c>
      <c r="T651" s="87">
        <f t="shared" si="63"/>
        <v>-4.714677842570196E-2</v>
      </c>
      <c r="U651" s="87">
        <f t="shared" si="63"/>
        <v>-1.2848142477849024E-2</v>
      </c>
      <c r="V651" s="87">
        <f t="shared" si="63"/>
        <v>-2.0877585021555255E-2</v>
      </c>
      <c r="W651" s="87">
        <f t="shared" si="62"/>
        <v>-2.3149181866965636E-2</v>
      </c>
      <c r="X651" s="87">
        <f t="shared" si="62"/>
        <v>-1.3513719166722933E-2</v>
      </c>
      <c r="Y651" s="87">
        <f t="shared" si="62"/>
        <v>-2.0389955703049294E-2</v>
      </c>
      <c r="Z651" s="87">
        <f t="shared" si="62"/>
        <v>0.10931308997364959</v>
      </c>
      <c r="AA651" s="87">
        <f t="shared" si="62"/>
        <v>-8.534902449837331E-3</v>
      </c>
      <c r="AB651" s="87">
        <f t="shared" si="62"/>
        <v>-5.2315789364160592E-2</v>
      </c>
      <c r="AC651" s="87">
        <f t="shared" si="62"/>
        <v>-1.6129381929883644E-2</v>
      </c>
      <c r="AD651" s="87">
        <f t="shared" si="62"/>
        <v>-1.4888612493750637E-2</v>
      </c>
      <c r="AE651" s="90">
        <f t="shared" si="61"/>
        <v>-1.4527014595573082E-2</v>
      </c>
      <c r="AF651" s="89"/>
    </row>
    <row r="652" spans="1:32" ht="15.5" x14ac:dyDescent="0.35">
      <c r="A652" s="82">
        <v>40710</v>
      </c>
      <c r="B652" s="83">
        <v>7963.6</v>
      </c>
      <c r="C652" s="84">
        <v>2623.7</v>
      </c>
      <c r="D652" s="61">
        <v>248.6</v>
      </c>
      <c r="E652" s="61">
        <v>14.7</v>
      </c>
      <c r="F652" s="61">
        <v>45.5</v>
      </c>
      <c r="G652" s="61">
        <v>23.7</v>
      </c>
      <c r="H652" s="61">
        <v>42.2</v>
      </c>
      <c r="I652" s="61">
        <v>14.5</v>
      </c>
      <c r="J652" s="61">
        <v>51</v>
      </c>
      <c r="K652" s="61">
        <v>33.700000000000003</v>
      </c>
      <c r="L652" s="61">
        <v>35</v>
      </c>
      <c r="M652" s="61">
        <v>39.299999999999997</v>
      </c>
      <c r="N652" s="61">
        <v>60.6</v>
      </c>
      <c r="O652" s="85">
        <v>19.899999999999999</v>
      </c>
      <c r="P652" s="105"/>
      <c r="Q652" s="87">
        <f t="shared" si="60"/>
        <v>-5.2726064216590237E-4</v>
      </c>
      <c r="R652" s="87">
        <f t="shared" si="63"/>
        <v>-2.968490534235721E-3</v>
      </c>
      <c r="S652" s="87">
        <f t="shared" si="63"/>
        <v>-8.0128633853571475E-3</v>
      </c>
      <c r="T652" s="87">
        <f t="shared" si="63"/>
        <v>1.3698844358161927E-2</v>
      </c>
      <c r="U652" s="87">
        <f t="shared" si="63"/>
        <v>-1.9587133275304817E-2</v>
      </c>
      <c r="V652" s="87">
        <f t="shared" si="63"/>
        <v>0</v>
      </c>
      <c r="W652" s="87">
        <f t="shared" si="62"/>
        <v>-1.1778699192612763E-2</v>
      </c>
      <c r="X652" s="87">
        <f t="shared" si="62"/>
        <v>-1.3698844358161802E-2</v>
      </c>
      <c r="Y652" s="87">
        <f t="shared" si="62"/>
        <v>-4.5985113241823382E-2</v>
      </c>
      <c r="Z652" s="87">
        <f t="shared" si="62"/>
        <v>-2.9629651306568496E-3</v>
      </c>
      <c r="AA652" s="87">
        <f t="shared" si="62"/>
        <v>0</v>
      </c>
      <c r="AB652" s="87">
        <f t="shared" si="62"/>
        <v>5.1020518838953309E-3</v>
      </c>
      <c r="AC652" s="87">
        <f t="shared" si="62"/>
        <v>-1.4742281737203431E-2</v>
      </c>
      <c r="AD652" s="87">
        <f t="shared" si="62"/>
        <v>-5.0125418235443982E-3</v>
      </c>
      <c r="AE652" s="90">
        <f t="shared" si="61"/>
        <v>-9.4456706257226627E-3</v>
      </c>
      <c r="AF652" s="89"/>
    </row>
    <row r="653" spans="1:32" ht="15.5" x14ac:dyDescent="0.35">
      <c r="A653" s="82">
        <v>40711</v>
      </c>
      <c r="B653" s="83">
        <v>8000.1</v>
      </c>
      <c r="C653" s="84">
        <v>2616.5</v>
      </c>
      <c r="D653" s="61">
        <v>242.6</v>
      </c>
      <c r="E653" s="61">
        <v>14.6</v>
      </c>
      <c r="F653" s="61">
        <v>45.6</v>
      </c>
      <c r="G653" s="61">
        <v>24</v>
      </c>
      <c r="H653" s="61">
        <v>41.7</v>
      </c>
      <c r="I653" s="61">
        <v>14.5</v>
      </c>
      <c r="J653" s="61">
        <v>50.6</v>
      </c>
      <c r="K653" s="61">
        <v>34.1</v>
      </c>
      <c r="L653" s="61">
        <v>35.200000000000003</v>
      </c>
      <c r="M653" s="61">
        <v>40.1</v>
      </c>
      <c r="N653" s="61">
        <v>61.6</v>
      </c>
      <c r="O653" s="85">
        <v>20.2</v>
      </c>
      <c r="P653" s="105"/>
      <c r="Q653" s="87">
        <f t="shared" si="60"/>
        <v>4.5728826782071956E-3</v>
      </c>
      <c r="R653" s="87">
        <f t="shared" si="63"/>
        <v>-2.7479884473354389E-3</v>
      </c>
      <c r="S653" s="87">
        <f t="shared" si="63"/>
        <v>-2.4431182566661019E-2</v>
      </c>
      <c r="T653" s="87">
        <f t="shared" si="63"/>
        <v>-6.8259650703998706E-3</v>
      </c>
      <c r="U653" s="87">
        <f t="shared" si="63"/>
        <v>2.195390563435656E-3</v>
      </c>
      <c r="V653" s="87">
        <f t="shared" si="63"/>
        <v>1.2578782206860185E-2</v>
      </c>
      <c r="W653" s="87">
        <f t="shared" si="62"/>
        <v>-1.1919092237210311E-2</v>
      </c>
      <c r="X653" s="87">
        <f t="shared" si="62"/>
        <v>0</v>
      </c>
      <c r="Y653" s="87">
        <f t="shared" si="62"/>
        <v>-7.874056430905883E-3</v>
      </c>
      <c r="Z653" s="87">
        <f t="shared" si="62"/>
        <v>1.1799546931155031E-2</v>
      </c>
      <c r="AA653" s="87">
        <f t="shared" si="62"/>
        <v>5.6980211146377959E-3</v>
      </c>
      <c r="AB653" s="87">
        <f t="shared" si="62"/>
        <v>2.0151815437308127E-2</v>
      </c>
      <c r="AC653" s="87">
        <f t="shared" si="62"/>
        <v>1.6366977464205412E-2</v>
      </c>
      <c r="AD653" s="87">
        <f t="shared" si="62"/>
        <v>1.496287267671232E-2</v>
      </c>
      <c r="AE653" s="90">
        <f t="shared" si="61"/>
        <v>-5.5298255646152837E-3</v>
      </c>
      <c r="AF653" s="89"/>
    </row>
    <row r="654" spans="1:32" ht="15.5" x14ac:dyDescent="0.35">
      <c r="A654" s="82">
        <v>40714</v>
      </c>
      <c r="B654" s="83">
        <v>8032.2</v>
      </c>
      <c r="C654" s="84">
        <v>2629.7</v>
      </c>
      <c r="D654" s="61">
        <v>239.9</v>
      </c>
      <c r="E654" s="61">
        <v>14.7</v>
      </c>
      <c r="F654" s="61">
        <v>44.4</v>
      </c>
      <c r="G654" s="61">
        <v>24.2</v>
      </c>
      <c r="H654" s="61">
        <v>41.6</v>
      </c>
      <c r="I654" s="61">
        <v>14.6</v>
      </c>
      <c r="J654" s="61">
        <v>51</v>
      </c>
      <c r="K654" s="61">
        <v>34.299999999999997</v>
      </c>
      <c r="L654" s="61">
        <v>35.200000000000003</v>
      </c>
      <c r="M654" s="61">
        <v>40</v>
      </c>
      <c r="N654" s="61">
        <v>62.3</v>
      </c>
      <c r="O654" s="85">
        <v>20.2</v>
      </c>
      <c r="P654" s="105"/>
      <c r="Q654" s="87">
        <f t="shared" ref="Q654:Q717" si="64">+LN(B654/B653)</f>
        <v>4.004421436058443E-3</v>
      </c>
      <c r="R654" s="87">
        <f t="shared" si="63"/>
        <v>5.0322244121835408E-3</v>
      </c>
      <c r="S654" s="87">
        <f t="shared" si="63"/>
        <v>-1.1191826664300778E-2</v>
      </c>
      <c r="T654" s="87">
        <f t="shared" si="63"/>
        <v>6.8259650703998906E-3</v>
      </c>
      <c r="U654" s="87">
        <f t="shared" si="63"/>
        <v>-2.6668247082161409E-2</v>
      </c>
      <c r="V654" s="87">
        <f t="shared" si="63"/>
        <v>8.2988028146950641E-3</v>
      </c>
      <c r="W654" s="87">
        <f t="shared" si="62"/>
        <v>-2.4009615375381503E-3</v>
      </c>
      <c r="X654" s="87">
        <f t="shared" si="62"/>
        <v>6.8728792877620504E-3</v>
      </c>
      <c r="Y654" s="87">
        <f t="shared" si="62"/>
        <v>7.8740564309058656E-3</v>
      </c>
      <c r="Z654" s="87">
        <f t="shared" si="62"/>
        <v>5.8479698824228992E-3</v>
      </c>
      <c r="AA654" s="87">
        <f t="shared" si="62"/>
        <v>0</v>
      </c>
      <c r="AB654" s="87">
        <f t="shared" si="62"/>
        <v>-2.4968801985872659E-3</v>
      </c>
      <c r="AC654" s="87">
        <f t="shared" si="62"/>
        <v>1.1299555253933247E-2</v>
      </c>
      <c r="AD654" s="87">
        <f t="shared" si="62"/>
        <v>0</v>
      </c>
      <c r="AE654" s="90">
        <f t="shared" si="61"/>
        <v>-9.3936557350272707E-3</v>
      </c>
      <c r="AF654" s="89"/>
    </row>
    <row r="655" spans="1:32" ht="15.5" x14ac:dyDescent="0.35">
      <c r="A655" s="82">
        <v>40715</v>
      </c>
      <c r="B655" s="83">
        <v>8156.3</v>
      </c>
      <c r="C655" s="84">
        <v>2687.3</v>
      </c>
      <c r="D655" s="61">
        <v>242.6</v>
      </c>
      <c r="E655" s="61">
        <v>14.9</v>
      </c>
      <c r="F655" s="61">
        <v>45</v>
      </c>
      <c r="G655" s="61">
        <v>24.4</v>
      </c>
      <c r="H655" s="61">
        <v>42.1</v>
      </c>
      <c r="I655" s="61">
        <v>15</v>
      </c>
      <c r="J655" s="61">
        <v>51.8</v>
      </c>
      <c r="K655" s="61">
        <v>35</v>
      </c>
      <c r="L655" s="61">
        <v>35.6</v>
      </c>
      <c r="M655" s="61">
        <v>40.700000000000003</v>
      </c>
      <c r="N655" s="61">
        <v>64.900000000000006</v>
      </c>
      <c r="O655" s="85">
        <v>20.8</v>
      </c>
      <c r="P655" s="105"/>
      <c r="Q655" s="87">
        <f t="shared" si="64"/>
        <v>1.533217173460623E-2</v>
      </c>
      <c r="R655" s="87">
        <f t="shared" si="63"/>
        <v>2.1667200837619267E-2</v>
      </c>
      <c r="S655" s="87">
        <f t="shared" si="63"/>
        <v>1.1191826664300873E-2</v>
      </c>
      <c r="T655" s="87">
        <f t="shared" si="63"/>
        <v>1.3513719166722855E-2</v>
      </c>
      <c r="U655" s="87">
        <f t="shared" si="63"/>
        <v>1.3423020332140771E-2</v>
      </c>
      <c r="V655" s="87">
        <f t="shared" si="63"/>
        <v>8.2304991365154435E-3</v>
      </c>
      <c r="W655" s="87">
        <f t="shared" si="62"/>
        <v>1.1947573421118202E-2</v>
      </c>
      <c r="X655" s="87">
        <f t="shared" si="62"/>
        <v>2.7028672387919419E-2</v>
      </c>
      <c r="Y655" s="87">
        <f t="shared" si="62"/>
        <v>1.5564516541111548E-2</v>
      </c>
      <c r="Z655" s="87">
        <f t="shared" si="62"/>
        <v>2.0202707317519469E-2</v>
      </c>
      <c r="AA655" s="87">
        <f t="shared" si="62"/>
        <v>1.1299555253933247E-2</v>
      </c>
      <c r="AB655" s="87">
        <f t="shared" si="62"/>
        <v>1.7348638334613073E-2</v>
      </c>
      <c r="AC655" s="87">
        <f t="shared" si="62"/>
        <v>4.0886197916636981E-2</v>
      </c>
      <c r="AD655" s="87">
        <f t="shared" si="62"/>
        <v>2.9270382300113237E-2</v>
      </c>
      <c r="AE655" s="90">
        <f t="shared" ref="AE655:AE718" si="65">+SUMPRODUCT(Q655:AD655,$Q$8:$AD$8)</f>
        <v>1.7167206255337669E-2</v>
      </c>
      <c r="AF655" s="89"/>
    </row>
    <row r="656" spans="1:32" ht="15.5" x14ac:dyDescent="0.35">
      <c r="A656" s="82">
        <v>40716</v>
      </c>
      <c r="B656" s="83">
        <v>8101.8</v>
      </c>
      <c r="C656" s="84">
        <v>2669.2</v>
      </c>
      <c r="D656" s="61">
        <v>243.6</v>
      </c>
      <c r="E656" s="61">
        <v>15.2</v>
      </c>
      <c r="F656" s="61">
        <v>46.1</v>
      </c>
      <c r="G656" s="61">
        <v>24.6</v>
      </c>
      <c r="H656" s="61">
        <v>42.2</v>
      </c>
      <c r="I656" s="61">
        <v>15.4</v>
      </c>
      <c r="J656" s="61">
        <v>52.7</v>
      </c>
      <c r="K656" s="61">
        <v>34.9</v>
      </c>
      <c r="L656" s="61">
        <v>35.4</v>
      </c>
      <c r="M656" s="61">
        <v>41.4</v>
      </c>
      <c r="N656" s="61">
        <v>65.599999999999994</v>
      </c>
      <c r="O656" s="85">
        <v>20.5</v>
      </c>
      <c r="P656" s="105"/>
      <c r="Q656" s="87">
        <f t="shared" si="64"/>
        <v>-6.7043755594614115E-3</v>
      </c>
      <c r="R656" s="87">
        <f t="shared" si="63"/>
        <v>-6.7581700326140035E-3</v>
      </c>
      <c r="S656" s="87">
        <f t="shared" si="63"/>
        <v>4.1135393257921617E-3</v>
      </c>
      <c r="T656" s="87">
        <f t="shared" si="63"/>
        <v>1.9934214900817111E-2</v>
      </c>
      <c r="U656" s="87">
        <f t="shared" si="63"/>
        <v>2.4150460232283122E-2</v>
      </c>
      <c r="V656" s="87">
        <f t="shared" si="63"/>
        <v>8.1633106391610557E-3</v>
      </c>
      <c r="W656" s="87">
        <f t="shared" si="62"/>
        <v>2.3724803536303955E-3</v>
      </c>
      <c r="X656" s="87">
        <f t="shared" si="62"/>
        <v>2.6317308317373358E-2</v>
      </c>
      <c r="Y656" s="87">
        <f t="shared" si="62"/>
        <v>1.7225306281879342E-2</v>
      </c>
      <c r="Z656" s="87">
        <f t="shared" si="62"/>
        <v>-2.8612322810322348E-3</v>
      </c>
      <c r="AA656" s="87">
        <f t="shared" si="62"/>
        <v>-5.633817718256131E-3</v>
      </c>
      <c r="AB656" s="87">
        <f t="shared" si="62"/>
        <v>1.7052788382719262E-2</v>
      </c>
      <c r="AC656" s="87">
        <f t="shared" si="62"/>
        <v>1.0728072239998859E-2</v>
      </c>
      <c r="AD656" s="87">
        <f t="shared" si="62"/>
        <v>-1.4528100562909856E-2</v>
      </c>
      <c r="AE656" s="90">
        <f t="shared" si="65"/>
        <v>4.3182376648398203E-3</v>
      </c>
      <c r="AF656" s="89"/>
    </row>
    <row r="657" spans="1:32" ht="15.5" x14ac:dyDescent="0.35">
      <c r="A657" s="82">
        <v>40717</v>
      </c>
      <c r="B657" s="83">
        <v>8054.1</v>
      </c>
      <c r="C657" s="84">
        <v>2686.8</v>
      </c>
      <c r="D657" s="61">
        <v>237.1</v>
      </c>
      <c r="E657" s="61">
        <v>14.7</v>
      </c>
      <c r="F657" s="61">
        <v>45.5</v>
      </c>
      <c r="G657" s="61">
        <v>24.2</v>
      </c>
      <c r="H657" s="61">
        <v>41.7</v>
      </c>
      <c r="I657" s="61">
        <v>15.1</v>
      </c>
      <c r="J657" s="61">
        <v>51.5</v>
      </c>
      <c r="K657" s="61">
        <v>34.5</v>
      </c>
      <c r="L657" s="61">
        <v>34.5</v>
      </c>
      <c r="M657" s="61">
        <v>40.4</v>
      </c>
      <c r="N657" s="61">
        <v>63.5</v>
      </c>
      <c r="O657" s="85">
        <v>20.2</v>
      </c>
      <c r="P657" s="105"/>
      <c r="Q657" s="87">
        <f t="shared" si="64"/>
        <v>-5.9049806700197495E-3</v>
      </c>
      <c r="R657" s="87">
        <f t="shared" si="63"/>
        <v>6.5720923632580528E-3</v>
      </c>
      <c r="S657" s="87">
        <f t="shared" si="63"/>
        <v>-2.7045542764382216E-2</v>
      </c>
      <c r="T657" s="87">
        <f t="shared" si="63"/>
        <v>-3.3447934067540132E-2</v>
      </c>
      <c r="U657" s="87">
        <f t="shared" si="63"/>
        <v>-1.3100624045698093E-2</v>
      </c>
      <c r="V657" s="87">
        <f t="shared" si="63"/>
        <v>-1.6393809775676497E-2</v>
      </c>
      <c r="W657" s="87">
        <f t="shared" si="62"/>
        <v>-1.1919092237210311E-2</v>
      </c>
      <c r="X657" s="87">
        <f t="shared" si="62"/>
        <v>-1.9672765598704893E-2</v>
      </c>
      <c r="Y657" s="87">
        <f t="shared" si="62"/>
        <v>-2.3033647877626233E-2</v>
      </c>
      <c r="Z657" s="87">
        <f t="shared" si="62"/>
        <v>-1.1527505171067383E-2</v>
      </c>
      <c r="AA657" s="87">
        <f t="shared" si="62"/>
        <v>-2.5752496102414625E-2</v>
      </c>
      <c r="AB657" s="87">
        <f t="shared" si="62"/>
        <v>-2.4451095864164309E-2</v>
      </c>
      <c r="AC657" s="87">
        <f t="shared" si="62"/>
        <v>-3.253579005139725E-2</v>
      </c>
      <c r="AD657" s="87">
        <f t="shared" si="62"/>
        <v>-1.4742281737203431E-2</v>
      </c>
      <c r="AE657" s="90">
        <f t="shared" si="65"/>
        <v>-1.1485872130513204E-2</v>
      </c>
      <c r="AF657" s="89"/>
    </row>
    <row r="658" spans="1:32" ht="15.5" x14ac:dyDescent="0.35">
      <c r="A658" s="82">
        <v>40718</v>
      </c>
      <c r="B658" s="83">
        <v>7974.7</v>
      </c>
      <c r="C658" s="84">
        <v>2652.9</v>
      </c>
      <c r="D658" s="61">
        <v>236.8</v>
      </c>
      <c r="E658" s="61">
        <v>14.9</v>
      </c>
      <c r="F658" s="61">
        <v>46.4</v>
      </c>
      <c r="G658" s="61">
        <v>24.2</v>
      </c>
      <c r="H658" s="61">
        <v>41.9</v>
      </c>
      <c r="I658" s="61">
        <v>15.6</v>
      </c>
      <c r="J658" s="61">
        <v>52.3</v>
      </c>
      <c r="K658" s="61">
        <v>34.1</v>
      </c>
      <c r="L658" s="61">
        <v>34.5</v>
      </c>
      <c r="M658" s="61">
        <v>40.700000000000003</v>
      </c>
      <c r="N658" s="61">
        <v>64.7</v>
      </c>
      <c r="O658" s="85">
        <v>20.2</v>
      </c>
      <c r="P658" s="105"/>
      <c r="Q658" s="87">
        <f t="shared" si="64"/>
        <v>-9.9072481344035495E-3</v>
      </c>
      <c r="R658" s="87">
        <f t="shared" si="63"/>
        <v>-1.2697513142910323E-2</v>
      </c>
      <c r="S658" s="87">
        <f t="shared" si="63"/>
        <v>-1.2660900615091575E-3</v>
      </c>
      <c r="T658" s="87">
        <f t="shared" si="63"/>
        <v>1.3513719166722855E-2</v>
      </c>
      <c r="U658" s="87">
        <f t="shared" si="63"/>
        <v>1.9587133275304779E-2</v>
      </c>
      <c r="V658" s="87">
        <f t="shared" si="63"/>
        <v>0</v>
      </c>
      <c r="W658" s="87">
        <f t="shared" si="62"/>
        <v>4.7846981233362531E-3</v>
      </c>
      <c r="X658" s="87">
        <f t="shared" ref="X658:AD694" si="66">+LN(I658/I657)</f>
        <v>3.2576170434612667E-2</v>
      </c>
      <c r="Y658" s="87">
        <f t="shared" si="66"/>
        <v>1.5414563401186793E-2</v>
      </c>
      <c r="Z658" s="87">
        <f t="shared" si="66"/>
        <v>-1.1661939747842975E-2</v>
      </c>
      <c r="AA658" s="87">
        <f t="shared" si="66"/>
        <v>0</v>
      </c>
      <c r="AB658" s="87">
        <f t="shared" si="66"/>
        <v>7.3983074814449254E-3</v>
      </c>
      <c r="AC658" s="87">
        <f t="shared" si="66"/>
        <v>1.8721295608208972E-2</v>
      </c>
      <c r="AD658" s="87">
        <f t="shared" si="66"/>
        <v>0</v>
      </c>
      <c r="AE658" s="90">
        <f t="shared" si="65"/>
        <v>1.4239972592167026E-3</v>
      </c>
      <c r="AF658" s="89"/>
    </row>
    <row r="659" spans="1:32" ht="15.5" x14ac:dyDescent="0.35">
      <c r="A659" s="82">
        <v>40721</v>
      </c>
      <c r="B659" s="83">
        <v>8031.1</v>
      </c>
      <c r="C659" s="84">
        <v>2688.3</v>
      </c>
      <c r="D659" s="61">
        <v>237</v>
      </c>
      <c r="E659" s="61">
        <v>14.8</v>
      </c>
      <c r="F659" s="61">
        <v>46.8</v>
      </c>
      <c r="G659" s="61">
        <v>24.2</v>
      </c>
      <c r="H659" s="61">
        <v>41.3</v>
      </c>
      <c r="I659" s="61">
        <v>15.6</v>
      </c>
      <c r="J659" s="61">
        <v>52.3</v>
      </c>
      <c r="K659" s="61">
        <v>34.1</v>
      </c>
      <c r="L659" s="61">
        <v>34.4</v>
      </c>
      <c r="M659" s="61">
        <v>40.9</v>
      </c>
      <c r="N659" s="61">
        <v>64.599999999999994</v>
      </c>
      <c r="O659" s="85">
        <v>20.2</v>
      </c>
      <c r="P659" s="105"/>
      <c r="Q659" s="87">
        <f t="shared" si="64"/>
        <v>7.0474744697822788E-3</v>
      </c>
      <c r="R659" s="87">
        <f t="shared" si="63"/>
        <v>1.3255642308484474E-2</v>
      </c>
      <c r="S659" s="87">
        <f t="shared" si="63"/>
        <v>8.4423812528049082E-4</v>
      </c>
      <c r="T659" s="87">
        <f t="shared" si="63"/>
        <v>-6.7340321813440683E-3</v>
      </c>
      <c r="U659" s="87">
        <f t="shared" si="63"/>
        <v>8.583743691391435E-3</v>
      </c>
      <c r="V659" s="87">
        <f t="shared" si="63"/>
        <v>0</v>
      </c>
      <c r="W659" s="87">
        <f t="shared" si="63"/>
        <v>-1.4423326961105052E-2</v>
      </c>
      <c r="X659" s="87">
        <f t="shared" si="66"/>
        <v>0</v>
      </c>
      <c r="Y659" s="87">
        <f t="shared" si="66"/>
        <v>0</v>
      </c>
      <c r="Z659" s="87">
        <f t="shared" si="66"/>
        <v>0</v>
      </c>
      <c r="AA659" s="87">
        <f t="shared" si="66"/>
        <v>-2.9027596579614626E-3</v>
      </c>
      <c r="AB659" s="87">
        <f t="shared" si="66"/>
        <v>4.9019706002066876E-3</v>
      </c>
      <c r="AC659" s="87">
        <f t="shared" si="66"/>
        <v>-1.5467907182987934E-3</v>
      </c>
      <c r="AD659" s="87">
        <f t="shared" si="66"/>
        <v>0</v>
      </c>
      <c r="AE659" s="90">
        <f t="shared" si="65"/>
        <v>6.6749481611098095E-3</v>
      </c>
      <c r="AF659" s="89"/>
    </row>
    <row r="660" spans="1:32" ht="15.5" x14ac:dyDescent="0.35">
      <c r="A660" s="82">
        <v>40722</v>
      </c>
      <c r="B660" s="83">
        <v>8136</v>
      </c>
      <c r="C660" s="84">
        <v>2729.3</v>
      </c>
      <c r="D660" s="61">
        <v>242.3</v>
      </c>
      <c r="E660" s="61">
        <v>14.9</v>
      </c>
      <c r="F660" s="61">
        <v>47.6</v>
      </c>
      <c r="G660" s="61">
        <v>25.2</v>
      </c>
      <c r="H660" s="61">
        <v>41.9</v>
      </c>
      <c r="I660" s="61">
        <v>16</v>
      </c>
      <c r="J660" s="61">
        <v>54.4</v>
      </c>
      <c r="K660" s="61">
        <v>34.299999999999997</v>
      </c>
      <c r="L660" s="61">
        <v>34.5</v>
      </c>
      <c r="M660" s="61">
        <v>41.5</v>
      </c>
      <c r="N660" s="61">
        <v>65.8</v>
      </c>
      <c r="O660" s="85">
        <v>21.3</v>
      </c>
      <c r="P660" s="105"/>
      <c r="Q660" s="87">
        <f t="shared" si="64"/>
        <v>1.2977153867985246E-2</v>
      </c>
      <c r="R660" s="87">
        <f t="shared" si="63"/>
        <v>1.5136142485581502E-2</v>
      </c>
      <c r="S660" s="87">
        <f t="shared" si="63"/>
        <v>2.2116486687348835E-2</v>
      </c>
      <c r="T660" s="87">
        <f t="shared" si="63"/>
        <v>6.7340321813441194E-3</v>
      </c>
      <c r="U660" s="87">
        <f t="shared" si="63"/>
        <v>1.6949558313773424E-2</v>
      </c>
      <c r="V660" s="87">
        <f t="shared" si="63"/>
        <v>4.0491361354736993E-2</v>
      </c>
      <c r="W660" s="87">
        <f t="shared" si="63"/>
        <v>1.4423326961104906E-2</v>
      </c>
      <c r="X660" s="87">
        <f t="shared" si="66"/>
        <v>2.5317807984290001E-2</v>
      </c>
      <c r="Y660" s="87">
        <f t="shared" si="66"/>
        <v>3.9367782791019809E-2</v>
      </c>
      <c r="Z660" s="87">
        <f t="shared" si="66"/>
        <v>5.8479698824228992E-3</v>
      </c>
      <c r="AA660" s="87">
        <f t="shared" si="66"/>
        <v>2.9027596579614102E-3</v>
      </c>
      <c r="AB660" s="87">
        <f t="shared" si="66"/>
        <v>1.456336418789651E-2</v>
      </c>
      <c r="AC660" s="87">
        <f t="shared" si="66"/>
        <v>1.8405427542715343E-2</v>
      </c>
      <c r="AD660" s="87">
        <f t="shared" si="66"/>
        <v>5.3024468308220399E-2</v>
      </c>
      <c r="AE660" s="90">
        <f t="shared" si="65"/>
        <v>2.2303524042301223E-2</v>
      </c>
      <c r="AF660" s="89"/>
    </row>
    <row r="661" spans="1:32" ht="15.5" x14ac:dyDescent="0.35">
      <c r="A661" s="82">
        <v>40723</v>
      </c>
      <c r="B661" s="83">
        <v>8228.5</v>
      </c>
      <c r="C661" s="84">
        <v>2740.5</v>
      </c>
      <c r="D661" s="61">
        <v>246.4</v>
      </c>
      <c r="E661" s="61">
        <v>14.7</v>
      </c>
      <c r="F661" s="61">
        <v>47.4</v>
      </c>
      <c r="G661" s="61">
        <v>25.4</v>
      </c>
      <c r="H661" s="61">
        <v>42.7</v>
      </c>
      <c r="I661" s="61">
        <v>16.2</v>
      </c>
      <c r="J661" s="61">
        <v>55.6</v>
      </c>
      <c r="K661" s="61">
        <v>34.700000000000003</v>
      </c>
      <c r="L661" s="61">
        <v>34.799999999999997</v>
      </c>
      <c r="M661" s="61">
        <v>42.5</v>
      </c>
      <c r="N661" s="61">
        <v>66</v>
      </c>
      <c r="O661" s="85">
        <v>22</v>
      </c>
      <c r="P661" s="105"/>
      <c r="Q661" s="87">
        <f t="shared" si="64"/>
        <v>1.1305079307041719E-2</v>
      </c>
      <c r="R661" s="87">
        <f t="shared" si="63"/>
        <v>4.0952194423061455E-3</v>
      </c>
      <c r="S661" s="87">
        <f t="shared" si="63"/>
        <v>1.6779603836884708E-2</v>
      </c>
      <c r="T661" s="87">
        <f t="shared" si="63"/>
        <v>-1.3513719166722933E-2</v>
      </c>
      <c r="U661" s="87">
        <f t="shared" si="63"/>
        <v>-4.2105325363436053E-3</v>
      </c>
      <c r="V661" s="87">
        <f t="shared" si="63"/>
        <v>7.9051795071132473E-3</v>
      </c>
      <c r="W661" s="87">
        <f t="shared" si="63"/>
        <v>1.8913093306486994E-2</v>
      </c>
      <c r="X661" s="87">
        <f t="shared" si="66"/>
        <v>1.242251999855711E-2</v>
      </c>
      <c r="Y661" s="87">
        <f t="shared" si="66"/>
        <v>2.1819047394639888E-2</v>
      </c>
      <c r="Z661" s="87">
        <f t="shared" si="66"/>
        <v>1.1594332780919446E-2</v>
      </c>
      <c r="AA661" s="87">
        <f t="shared" si="66"/>
        <v>8.6580627431145311E-3</v>
      </c>
      <c r="AB661" s="87">
        <f t="shared" si="66"/>
        <v>2.3810648693718607E-2</v>
      </c>
      <c r="AC661" s="87">
        <f t="shared" si="66"/>
        <v>3.0349036951541112E-3</v>
      </c>
      <c r="AD661" s="87">
        <f t="shared" si="66"/>
        <v>3.2335380642936451E-2</v>
      </c>
      <c r="AE661" s="90">
        <f t="shared" si="65"/>
        <v>8.8663590306824157E-3</v>
      </c>
      <c r="AF661" s="89"/>
    </row>
    <row r="662" spans="1:32" ht="15.5" x14ac:dyDescent="0.35">
      <c r="A662" s="82">
        <v>40724</v>
      </c>
      <c r="B662" s="83">
        <v>8319.1</v>
      </c>
      <c r="C662" s="84">
        <v>2773.5</v>
      </c>
      <c r="D662" s="61">
        <v>251</v>
      </c>
      <c r="E662" s="61">
        <v>14.6</v>
      </c>
      <c r="F662" s="61">
        <v>47.6</v>
      </c>
      <c r="G662" s="61">
        <v>25.7</v>
      </c>
      <c r="H662" s="61">
        <v>42.9</v>
      </c>
      <c r="I662" s="61">
        <v>16.5</v>
      </c>
      <c r="J662" s="61">
        <v>55.6</v>
      </c>
      <c r="K662" s="61">
        <v>34.4</v>
      </c>
      <c r="L662" s="61">
        <v>35.1</v>
      </c>
      <c r="M662" s="61">
        <v>43.4</v>
      </c>
      <c r="N662" s="61">
        <v>66.599999999999994</v>
      </c>
      <c r="O662" s="85">
        <v>22.3</v>
      </c>
      <c r="P662" s="105"/>
      <c r="Q662" s="87">
        <f t="shared" si="64"/>
        <v>1.0950337851764596E-2</v>
      </c>
      <c r="R662" s="87">
        <f t="shared" si="63"/>
        <v>1.1969675009118044E-2</v>
      </c>
      <c r="S662" s="87">
        <f t="shared" si="63"/>
        <v>1.8496707472419226E-2</v>
      </c>
      <c r="T662" s="87">
        <f t="shared" si="63"/>
        <v>-6.8259650703998706E-3</v>
      </c>
      <c r="U662" s="87">
        <f t="shared" si="63"/>
        <v>4.210532536343679E-3</v>
      </c>
      <c r="V662" s="87">
        <f t="shared" si="63"/>
        <v>1.1741817876683195E-2</v>
      </c>
      <c r="W662" s="87">
        <f t="shared" si="63"/>
        <v>4.6729056993924231E-3</v>
      </c>
      <c r="X662" s="87">
        <f t="shared" si="66"/>
        <v>1.8349138668196617E-2</v>
      </c>
      <c r="Y662" s="87">
        <f t="shared" si="66"/>
        <v>0</v>
      </c>
      <c r="Z662" s="87">
        <f t="shared" si="66"/>
        <v>-8.6831225734609937E-3</v>
      </c>
      <c r="AA662" s="87">
        <f t="shared" si="66"/>
        <v>8.5837436913916553E-3</v>
      </c>
      <c r="AB662" s="87">
        <f t="shared" si="66"/>
        <v>2.0955365175988089E-2</v>
      </c>
      <c r="AC662" s="87">
        <f t="shared" si="66"/>
        <v>9.0498355199178562E-3</v>
      </c>
      <c r="AD662" s="87">
        <f t="shared" si="66"/>
        <v>1.3544225107757253E-2</v>
      </c>
      <c r="AE662" s="90">
        <f t="shared" si="65"/>
        <v>1.1853300232447697E-2</v>
      </c>
      <c r="AF662" s="89"/>
    </row>
    <row r="663" spans="1:32" ht="15.5" x14ac:dyDescent="0.35">
      <c r="A663" s="82">
        <v>40725</v>
      </c>
      <c r="B663" s="83">
        <v>8425.5</v>
      </c>
      <c r="C663" s="84">
        <v>2816</v>
      </c>
      <c r="D663" s="61">
        <v>253.4</v>
      </c>
      <c r="E663" s="61">
        <v>15</v>
      </c>
      <c r="F663" s="61">
        <v>47.7</v>
      </c>
      <c r="G663" s="61">
        <v>25.8</v>
      </c>
      <c r="H663" s="61">
        <v>45.6</v>
      </c>
      <c r="I663" s="61">
        <v>16.5</v>
      </c>
      <c r="J663" s="61">
        <v>55.7</v>
      </c>
      <c r="K663" s="61">
        <v>34.200000000000003</v>
      </c>
      <c r="L663" s="61">
        <v>35.200000000000003</v>
      </c>
      <c r="M663" s="61">
        <v>43.7</v>
      </c>
      <c r="N663" s="61">
        <v>67.5</v>
      </c>
      <c r="O663" s="85">
        <v>22.4</v>
      </c>
      <c r="P663" s="105"/>
      <c r="Q663" s="87">
        <f t="shared" si="64"/>
        <v>1.2708745753395123E-2</v>
      </c>
      <c r="R663" s="87">
        <f t="shared" si="63"/>
        <v>1.5207377782643883E-2</v>
      </c>
      <c r="S663" s="87">
        <f t="shared" si="63"/>
        <v>9.5163287552548267E-3</v>
      </c>
      <c r="T663" s="87">
        <f t="shared" si="63"/>
        <v>2.7028672387919419E-2</v>
      </c>
      <c r="U663" s="87">
        <f t="shared" si="63"/>
        <v>2.0986366569212054E-3</v>
      </c>
      <c r="V663" s="87">
        <f t="shared" si="63"/>
        <v>3.8835000263976122E-3</v>
      </c>
      <c r="W663" s="87">
        <f t="shared" si="63"/>
        <v>6.1035890586369088E-2</v>
      </c>
      <c r="X663" s="87">
        <f t="shared" si="66"/>
        <v>0</v>
      </c>
      <c r="Y663" s="87">
        <f t="shared" si="66"/>
        <v>1.7969456767016347E-3</v>
      </c>
      <c r="Z663" s="87">
        <f t="shared" si="66"/>
        <v>-5.8309203107930986E-3</v>
      </c>
      <c r="AA663" s="87">
        <f t="shared" si="66"/>
        <v>2.8449521322313448E-3</v>
      </c>
      <c r="AB663" s="87">
        <f t="shared" si="66"/>
        <v>6.8886609951853157E-3</v>
      </c>
      <c r="AC663" s="87">
        <f t="shared" si="66"/>
        <v>1.3423020332140771E-2</v>
      </c>
      <c r="AD663" s="87">
        <f t="shared" si="66"/>
        <v>4.4742803949211069E-3</v>
      </c>
      <c r="AE663" s="90">
        <f t="shared" si="65"/>
        <v>8.4883531372878743E-3</v>
      </c>
      <c r="AF663" s="89"/>
    </row>
    <row r="664" spans="1:32" ht="15.5" x14ac:dyDescent="0.35">
      <c r="A664" s="82">
        <v>40729</v>
      </c>
      <c r="B664" s="83">
        <v>8404.6</v>
      </c>
      <c r="C664" s="84">
        <v>2825.8</v>
      </c>
      <c r="D664" s="61">
        <v>262.89999999999998</v>
      </c>
      <c r="E664" s="61">
        <v>15.3</v>
      </c>
      <c r="F664" s="61">
        <v>48.9</v>
      </c>
      <c r="G664" s="61">
        <v>25.9</v>
      </c>
      <c r="H664" s="61">
        <v>46</v>
      </c>
      <c r="I664" s="61">
        <v>17.2</v>
      </c>
      <c r="J664" s="61">
        <v>57</v>
      </c>
      <c r="K664" s="61">
        <v>34.1</v>
      </c>
      <c r="L664" s="61">
        <v>35.4</v>
      </c>
      <c r="M664" s="61">
        <v>43.4</v>
      </c>
      <c r="N664" s="61">
        <v>68.8</v>
      </c>
      <c r="O664" s="85">
        <v>22.7</v>
      </c>
      <c r="P664" s="105"/>
      <c r="Q664" s="87">
        <f t="shared" si="64"/>
        <v>-2.4836466501649192E-3</v>
      </c>
      <c r="R664" s="87">
        <f t="shared" si="63"/>
        <v>3.4740720537745876E-3</v>
      </c>
      <c r="S664" s="87">
        <f t="shared" si="63"/>
        <v>3.6804463848796765E-2</v>
      </c>
      <c r="T664" s="87">
        <f t="shared" si="63"/>
        <v>1.980262729617973E-2</v>
      </c>
      <c r="U664" s="87">
        <f t="shared" si="63"/>
        <v>2.4845998586530804E-2</v>
      </c>
      <c r="V664" s="87">
        <f t="shared" si="63"/>
        <v>3.8684767779203319E-3</v>
      </c>
      <c r="W664" s="87">
        <f t="shared" si="63"/>
        <v>8.7336799687546315E-3</v>
      </c>
      <c r="X664" s="87">
        <f t="shared" si="66"/>
        <v>4.1549002912872481E-2</v>
      </c>
      <c r="Y664" s="87">
        <f t="shared" si="66"/>
        <v>2.3071120901311835E-2</v>
      </c>
      <c r="Z664" s="87">
        <f t="shared" si="66"/>
        <v>-2.9282597790884456E-3</v>
      </c>
      <c r="AA664" s="87">
        <f t="shared" si="66"/>
        <v>5.6657375356772999E-3</v>
      </c>
      <c r="AB664" s="87">
        <f t="shared" si="66"/>
        <v>-6.8886609951853799E-3</v>
      </c>
      <c r="AC664" s="87">
        <f t="shared" si="66"/>
        <v>1.9076147060813887E-2</v>
      </c>
      <c r="AD664" s="87">
        <f t="shared" si="66"/>
        <v>1.3303965626362886E-2</v>
      </c>
      <c r="AE664" s="90">
        <f t="shared" si="65"/>
        <v>2.0537893775283825E-2</v>
      </c>
      <c r="AF664" s="89"/>
    </row>
    <row r="665" spans="1:32" ht="15.5" x14ac:dyDescent="0.35">
      <c r="A665" s="82">
        <v>40730</v>
      </c>
      <c r="B665" s="83">
        <v>8396.5</v>
      </c>
      <c r="C665" s="84">
        <v>2834</v>
      </c>
      <c r="D665" s="61">
        <v>266.8</v>
      </c>
      <c r="E665" s="61">
        <v>15.5</v>
      </c>
      <c r="F665" s="61">
        <v>49.5</v>
      </c>
      <c r="G665" s="61">
        <v>26</v>
      </c>
      <c r="H665" s="61">
        <v>46.7</v>
      </c>
      <c r="I665" s="61">
        <v>17.2</v>
      </c>
      <c r="J665" s="61">
        <v>56.8</v>
      </c>
      <c r="K665" s="61">
        <v>34</v>
      </c>
      <c r="L665" s="61">
        <v>35.4</v>
      </c>
      <c r="M665" s="61">
        <v>43.1</v>
      </c>
      <c r="N665" s="61">
        <v>69.099999999999994</v>
      </c>
      <c r="O665" s="85">
        <v>22.8</v>
      </c>
      <c r="P665" s="105"/>
      <c r="Q665" s="87">
        <f t="shared" si="64"/>
        <v>-9.6422265536957083E-4</v>
      </c>
      <c r="R665" s="87">
        <f t="shared" si="63"/>
        <v>2.8976309189181777E-3</v>
      </c>
      <c r="S665" s="87">
        <f t="shared" si="63"/>
        <v>1.4725582305633188E-2</v>
      </c>
      <c r="T665" s="87">
        <f t="shared" si="63"/>
        <v>1.2987195526811112E-2</v>
      </c>
      <c r="U665" s="87">
        <f t="shared" si="63"/>
        <v>1.2195273093818206E-2</v>
      </c>
      <c r="V665" s="87">
        <f t="shared" si="63"/>
        <v>3.8535693159899723E-3</v>
      </c>
      <c r="W665" s="87">
        <f t="shared" si="63"/>
        <v>1.510276818575665E-2</v>
      </c>
      <c r="X665" s="87">
        <f t="shared" si="66"/>
        <v>0</v>
      </c>
      <c r="Y665" s="87">
        <f t="shared" si="66"/>
        <v>-3.5149421074444969E-3</v>
      </c>
      <c r="Z665" s="87">
        <f t="shared" si="66"/>
        <v>-2.9368596733097135E-3</v>
      </c>
      <c r="AA665" s="87">
        <f t="shared" si="66"/>
        <v>0</v>
      </c>
      <c r="AB665" s="87">
        <f t="shared" si="66"/>
        <v>-6.9364439966569866E-3</v>
      </c>
      <c r="AC665" s="87">
        <f t="shared" si="66"/>
        <v>4.3509858343261324E-3</v>
      </c>
      <c r="AD665" s="87">
        <f t="shared" si="66"/>
        <v>4.3956114730381293E-3</v>
      </c>
      <c r="AE665" s="90">
        <f t="shared" si="65"/>
        <v>9.2010678504053402E-3</v>
      </c>
      <c r="AF665" s="89"/>
    </row>
    <row r="666" spans="1:32" ht="15.5" x14ac:dyDescent="0.35">
      <c r="A666" s="82">
        <v>40731</v>
      </c>
      <c r="B666" s="83">
        <v>8476.1</v>
      </c>
      <c r="C666" s="84">
        <v>2872.7</v>
      </c>
      <c r="D666" s="61">
        <v>268.2</v>
      </c>
      <c r="E666" s="61">
        <v>15.7</v>
      </c>
      <c r="F666" s="61">
        <v>50.6</v>
      </c>
      <c r="G666" s="61">
        <v>26.4</v>
      </c>
      <c r="H666" s="61">
        <v>47.8</v>
      </c>
      <c r="I666" s="61">
        <v>17.399999999999999</v>
      </c>
      <c r="J666" s="61">
        <v>57.5</v>
      </c>
      <c r="K666" s="61">
        <v>32.799999999999997</v>
      </c>
      <c r="L666" s="61">
        <v>35.5</v>
      </c>
      <c r="M666" s="61">
        <v>43.8</v>
      </c>
      <c r="N666" s="61">
        <v>70.599999999999994</v>
      </c>
      <c r="O666" s="85">
        <v>23.2</v>
      </c>
      <c r="P666" s="105"/>
      <c r="Q666" s="87">
        <f t="shared" si="64"/>
        <v>9.4354860014640822E-3</v>
      </c>
      <c r="R666" s="87">
        <f t="shared" si="63"/>
        <v>1.3563212810055951E-2</v>
      </c>
      <c r="S666" s="87">
        <f t="shared" si="63"/>
        <v>5.2336568061093292E-3</v>
      </c>
      <c r="T666" s="87">
        <f t="shared" si="63"/>
        <v>1.2820688429061469E-2</v>
      </c>
      <c r="U666" s="87">
        <f t="shared" si="63"/>
        <v>2.1978906718775167E-2</v>
      </c>
      <c r="V666" s="87">
        <f t="shared" si="63"/>
        <v>1.5267472130788381E-2</v>
      </c>
      <c r="W666" s="87">
        <f t="shared" si="63"/>
        <v>2.3281474822558622E-2</v>
      </c>
      <c r="X666" s="87">
        <f t="shared" si="66"/>
        <v>1.1560822401076006E-2</v>
      </c>
      <c r="Y666" s="87">
        <f t="shared" si="66"/>
        <v>1.2248622076199239E-2</v>
      </c>
      <c r="Z666" s="87">
        <f t="shared" si="66"/>
        <v>-3.593200922606344E-2</v>
      </c>
      <c r="AA666" s="87">
        <f t="shared" si="66"/>
        <v>2.8208763416414846E-3</v>
      </c>
      <c r="AB666" s="87">
        <f t="shared" si="66"/>
        <v>1.6110820272698272E-2</v>
      </c>
      <c r="AC666" s="87">
        <f t="shared" si="66"/>
        <v>2.1475413725572181E-2</v>
      </c>
      <c r="AD666" s="87">
        <f t="shared" si="66"/>
        <v>1.739174271186902E-2</v>
      </c>
      <c r="AE666" s="90">
        <f t="shared" si="65"/>
        <v>1.3996341513680897E-2</v>
      </c>
      <c r="AF666" s="89"/>
    </row>
    <row r="667" spans="1:32" ht="15.5" x14ac:dyDescent="0.35">
      <c r="A667" s="82">
        <v>40732</v>
      </c>
      <c r="B667" s="83">
        <v>8410.2000000000007</v>
      </c>
      <c r="C667" s="84">
        <v>2859.8</v>
      </c>
      <c r="D667" s="61">
        <v>263.89999999999998</v>
      </c>
      <c r="E667" s="61">
        <v>15.4</v>
      </c>
      <c r="F667" s="61">
        <v>50.3</v>
      </c>
      <c r="G667" s="61">
        <v>26.5</v>
      </c>
      <c r="H667" s="61">
        <v>47.8</v>
      </c>
      <c r="I667" s="61">
        <v>16.899999999999999</v>
      </c>
      <c r="J667" s="61">
        <v>56.9</v>
      </c>
      <c r="K667" s="61">
        <v>32.799999999999997</v>
      </c>
      <c r="L667" s="61">
        <v>35.799999999999997</v>
      </c>
      <c r="M667" s="61">
        <v>43.3</v>
      </c>
      <c r="N667" s="61">
        <v>69.900000000000006</v>
      </c>
      <c r="O667" s="85">
        <v>23.1</v>
      </c>
      <c r="P667" s="105"/>
      <c r="Q667" s="87">
        <f t="shared" si="64"/>
        <v>-7.8051834394595836E-3</v>
      </c>
      <c r="R667" s="87">
        <f t="shared" si="63"/>
        <v>-4.5006617619346842E-3</v>
      </c>
      <c r="S667" s="87">
        <f t="shared" si="63"/>
        <v>-1.6162727338299824E-2</v>
      </c>
      <c r="T667" s="87">
        <f t="shared" si="63"/>
        <v>-1.9293202934678781E-2</v>
      </c>
      <c r="U667" s="87">
        <f t="shared" si="63"/>
        <v>-5.9464991877264152E-3</v>
      </c>
      <c r="V667" s="87">
        <f t="shared" si="63"/>
        <v>3.7807228399061523E-3</v>
      </c>
      <c r="W667" s="87">
        <f t="shared" si="63"/>
        <v>0</v>
      </c>
      <c r="X667" s="87">
        <f t="shared" si="66"/>
        <v>-2.9156584291455578E-2</v>
      </c>
      <c r="Y667" s="87">
        <f t="shared" si="66"/>
        <v>-1.0489606671019547E-2</v>
      </c>
      <c r="Z667" s="87">
        <f t="shared" si="66"/>
        <v>0</v>
      </c>
      <c r="AA667" s="87">
        <f t="shared" si="66"/>
        <v>8.4151969252844981E-3</v>
      </c>
      <c r="AB667" s="87">
        <f t="shared" si="66"/>
        <v>-1.1481182373956254E-2</v>
      </c>
      <c r="AC667" s="87">
        <f t="shared" si="66"/>
        <v>-9.964495259431605E-3</v>
      </c>
      <c r="AD667" s="87">
        <f t="shared" si="66"/>
        <v>-4.3196611445162842E-3</v>
      </c>
      <c r="AE667" s="90">
        <f t="shared" si="65"/>
        <v>-8.3063194279269573E-3</v>
      </c>
      <c r="AF667" s="89"/>
    </row>
    <row r="668" spans="1:32" ht="15.5" x14ac:dyDescent="0.35">
      <c r="A668" s="82">
        <v>40735</v>
      </c>
      <c r="B668" s="83">
        <v>8228.7000000000007</v>
      </c>
      <c r="C668" s="84">
        <v>2802.6</v>
      </c>
      <c r="D668" s="61">
        <v>263</v>
      </c>
      <c r="E668" s="61">
        <v>15</v>
      </c>
      <c r="F668" s="61">
        <v>50.4</v>
      </c>
      <c r="G668" s="61">
        <v>26.5</v>
      </c>
      <c r="H668" s="61">
        <v>47.5</v>
      </c>
      <c r="I668" s="61">
        <v>16.600000000000001</v>
      </c>
      <c r="J668" s="61">
        <v>57.4</v>
      </c>
      <c r="K668" s="61">
        <v>31.7</v>
      </c>
      <c r="L668" s="61">
        <v>35.5</v>
      </c>
      <c r="M668" s="61">
        <v>41.9</v>
      </c>
      <c r="N668" s="61">
        <v>69.400000000000006</v>
      </c>
      <c r="O668" s="85">
        <v>22.8</v>
      </c>
      <c r="P668" s="105"/>
      <c r="Q668" s="87">
        <f t="shared" si="64"/>
        <v>-2.1817211390466797E-2</v>
      </c>
      <c r="R668" s="87">
        <f t="shared" si="63"/>
        <v>-2.0204134562629601E-2</v>
      </c>
      <c r="S668" s="87">
        <f t="shared" si="63"/>
        <v>-3.4162113315137519E-3</v>
      </c>
      <c r="T668" s="87">
        <f t="shared" si="63"/>
        <v>-2.6317308317373417E-2</v>
      </c>
      <c r="U668" s="87">
        <f t="shared" si="63"/>
        <v>1.986097971629546E-3</v>
      </c>
      <c r="V668" s="87">
        <f t="shared" si="63"/>
        <v>0</v>
      </c>
      <c r="W668" s="87">
        <f t="shared" si="63"/>
        <v>-6.2959284568146999E-3</v>
      </c>
      <c r="X668" s="87">
        <f t="shared" si="66"/>
        <v>-1.7910926566530105E-2</v>
      </c>
      <c r="Y668" s="87">
        <f t="shared" si="66"/>
        <v>8.7489621932355446E-3</v>
      </c>
      <c r="Z668" s="87">
        <f t="shared" si="66"/>
        <v>-3.4111834506863031E-2</v>
      </c>
      <c r="AA668" s="87">
        <f t="shared" si="66"/>
        <v>-8.4151969252844721E-3</v>
      </c>
      <c r="AB668" s="87">
        <f t="shared" si="66"/>
        <v>-3.2866808080352104E-2</v>
      </c>
      <c r="AC668" s="87">
        <f t="shared" si="66"/>
        <v>-7.1787817270057511E-3</v>
      </c>
      <c r="AD668" s="87">
        <f t="shared" si="66"/>
        <v>-1.3072081567352775E-2</v>
      </c>
      <c r="AE668" s="90">
        <f t="shared" si="65"/>
        <v>-8.0772897703166105E-3</v>
      </c>
      <c r="AF668" s="89"/>
    </row>
    <row r="669" spans="1:32" ht="15.5" x14ac:dyDescent="0.35">
      <c r="A669" s="82">
        <v>40736</v>
      </c>
      <c r="B669" s="83">
        <v>8192.7999999999993</v>
      </c>
      <c r="C669" s="84">
        <v>2781.9</v>
      </c>
      <c r="D669" s="61">
        <v>263.3</v>
      </c>
      <c r="E669" s="61">
        <v>14.9</v>
      </c>
      <c r="F669" s="61">
        <v>49.8</v>
      </c>
      <c r="G669" s="61">
        <v>26.3</v>
      </c>
      <c r="H669" s="61">
        <v>47.9</v>
      </c>
      <c r="I669" s="61">
        <v>16.600000000000001</v>
      </c>
      <c r="J669" s="61">
        <v>57</v>
      </c>
      <c r="K669" s="61">
        <v>31.2</v>
      </c>
      <c r="L669" s="61">
        <v>35.6</v>
      </c>
      <c r="M669" s="61">
        <v>41.5</v>
      </c>
      <c r="N669" s="61">
        <v>68.8</v>
      </c>
      <c r="O669" s="85">
        <v>22.7</v>
      </c>
      <c r="P669" s="105"/>
      <c r="Q669" s="87">
        <f t="shared" si="64"/>
        <v>-4.3723237453725675E-3</v>
      </c>
      <c r="R669" s="87">
        <f t="shared" si="63"/>
        <v>-7.4134102618272487E-3</v>
      </c>
      <c r="S669" s="87">
        <f t="shared" si="63"/>
        <v>1.1400343244992988E-3</v>
      </c>
      <c r="T669" s="87">
        <f t="shared" si="63"/>
        <v>-6.6889881507965401E-3</v>
      </c>
      <c r="U669" s="87">
        <f t="shared" si="63"/>
        <v>-1.1976191046715762E-2</v>
      </c>
      <c r="V669" s="87">
        <f t="shared" si="63"/>
        <v>-7.5757938084576558E-3</v>
      </c>
      <c r="W669" s="87">
        <f t="shared" si="63"/>
        <v>8.3857933762739641E-3</v>
      </c>
      <c r="X669" s="87">
        <f t="shared" si="66"/>
        <v>0</v>
      </c>
      <c r="Y669" s="87">
        <f t="shared" si="66"/>
        <v>-6.9930354909705254E-3</v>
      </c>
      <c r="Z669" s="87">
        <f t="shared" si="66"/>
        <v>-1.5898586067798273E-2</v>
      </c>
      <c r="AA669" s="87">
        <f t="shared" si="66"/>
        <v>2.8129413766146577E-3</v>
      </c>
      <c r="AB669" s="87">
        <f t="shared" si="66"/>
        <v>-9.5923996914394089E-3</v>
      </c>
      <c r="AC669" s="87">
        <f t="shared" si="66"/>
        <v>-8.6831225734609937E-3</v>
      </c>
      <c r="AD669" s="87">
        <f t="shared" si="66"/>
        <v>-4.3956114730381093E-3</v>
      </c>
      <c r="AE669" s="90">
        <f t="shared" si="65"/>
        <v>-5.8471352876751734E-3</v>
      </c>
      <c r="AF669" s="89"/>
    </row>
    <row r="670" spans="1:32" ht="15.5" x14ac:dyDescent="0.35">
      <c r="A670" s="82">
        <v>40737</v>
      </c>
      <c r="B670" s="83">
        <v>8246.7999999999993</v>
      </c>
      <c r="C670" s="84">
        <v>2796.9</v>
      </c>
      <c r="D670" s="61">
        <v>268.5</v>
      </c>
      <c r="E670" s="61">
        <v>14.9</v>
      </c>
      <c r="F670" s="61">
        <v>50.9</v>
      </c>
      <c r="G670" s="61">
        <v>26.5</v>
      </c>
      <c r="H670" s="61">
        <v>49.6</v>
      </c>
      <c r="I670" s="61">
        <v>17.2</v>
      </c>
      <c r="J670" s="61">
        <v>57.7</v>
      </c>
      <c r="K670" s="61">
        <v>32</v>
      </c>
      <c r="L670" s="61">
        <v>35.6</v>
      </c>
      <c r="M670" s="61">
        <v>41.4</v>
      </c>
      <c r="N670" s="61">
        <v>69.099999999999994</v>
      </c>
      <c r="O670" s="85">
        <v>22.7</v>
      </c>
      <c r="P670" s="105"/>
      <c r="Q670" s="87">
        <f t="shared" si="64"/>
        <v>6.569526535185187E-3</v>
      </c>
      <c r="R670" s="87">
        <f t="shared" si="63"/>
        <v>5.3775134964675828E-3</v>
      </c>
      <c r="S670" s="87">
        <f t="shared" si="63"/>
        <v>1.9556847446655687E-2</v>
      </c>
      <c r="T670" s="87">
        <f t="shared" si="63"/>
        <v>0</v>
      </c>
      <c r="U670" s="87">
        <f t="shared" si="63"/>
        <v>2.1847939525869869E-2</v>
      </c>
      <c r="V670" s="87">
        <f t="shared" si="63"/>
        <v>7.5757938084577226E-3</v>
      </c>
      <c r="W670" s="87">
        <f t="shared" si="63"/>
        <v>3.4875329314012403E-2</v>
      </c>
      <c r="X670" s="87">
        <f t="shared" si="66"/>
        <v>3.5506688456909602E-2</v>
      </c>
      <c r="Y670" s="87">
        <f t="shared" si="66"/>
        <v>1.2205905679503764E-2</v>
      </c>
      <c r="Z670" s="87">
        <f t="shared" si="66"/>
        <v>2.5317807984290001E-2</v>
      </c>
      <c r="AA670" s="87">
        <f t="shared" si="66"/>
        <v>0</v>
      </c>
      <c r="AB670" s="87">
        <f t="shared" si="66"/>
        <v>-2.4125464053839896E-3</v>
      </c>
      <c r="AC670" s="87">
        <f t="shared" si="66"/>
        <v>4.3509858343261324E-3</v>
      </c>
      <c r="AD670" s="87">
        <f t="shared" si="66"/>
        <v>0</v>
      </c>
      <c r="AE670" s="90">
        <f t="shared" si="65"/>
        <v>1.3584625201020394E-2</v>
      </c>
      <c r="AF670" s="89"/>
    </row>
    <row r="671" spans="1:32" ht="15.5" x14ac:dyDescent="0.35">
      <c r="A671" s="82">
        <v>40738</v>
      </c>
      <c r="B671" s="83">
        <v>8191.1</v>
      </c>
      <c r="C671" s="84">
        <v>2762.7</v>
      </c>
      <c r="D671" s="61">
        <v>263.60000000000002</v>
      </c>
      <c r="E671" s="61">
        <v>14.6</v>
      </c>
      <c r="F671" s="61">
        <v>50.9</v>
      </c>
      <c r="G671" s="61">
        <v>26.4</v>
      </c>
      <c r="H671" s="61">
        <v>49</v>
      </c>
      <c r="I671" s="61">
        <v>17.2</v>
      </c>
      <c r="J671" s="61">
        <v>57.7</v>
      </c>
      <c r="K671" s="61">
        <v>31.6</v>
      </c>
      <c r="L671" s="61">
        <v>36</v>
      </c>
      <c r="M671" s="61">
        <v>41.5</v>
      </c>
      <c r="N671" s="61">
        <v>68.099999999999994</v>
      </c>
      <c r="O671" s="85">
        <v>22.8</v>
      </c>
      <c r="P671" s="105"/>
      <c r="Q671" s="87">
        <f t="shared" si="64"/>
        <v>-6.7770473337861875E-3</v>
      </c>
      <c r="R671" s="87">
        <f t="shared" si="63"/>
        <v>-1.230319857532677E-2</v>
      </c>
      <c r="S671" s="87">
        <f t="shared" si="63"/>
        <v>-1.8418111320567147E-2</v>
      </c>
      <c r="T671" s="87">
        <f t="shared" si="63"/>
        <v>-2.0339684237122787E-2</v>
      </c>
      <c r="U671" s="87">
        <f t="shared" si="63"/>
        <v>0</v>
      </c>
      <c r="V671" s="87">
        <f t="shared" si="63"/>
        <v>-3.7807228399060443E-3</v>
      </c>
      <c r="W671" s="87">
        <f t="shared" si="63"/>
        <v>-1.2170535620255179E-2</v>
      </c>
      <c r="X671" s="87">
        <f t="shared" si="66"/>
        <v>0</v>
      </c>
      <c r="Y671" s="87">
        <f t="shared" si="66"/>
        <v>0</v>
      </c>
      <c r="Z671" s="87">
        <f t="shared" si="66"/>
        <v>-1.2578782206860073E-2</v>
      </c>
      <c r="AA671" s="87">
        <f t="shared" si="66"/>
        <v>1.1173300598125255E-2</v>
      </c>
      <c r="AB671" s="87">
        <f t="shared" si="66"/>
        <v>2.4125464053839259E-3</v>
      </c>
      <c r="AC671" s="87">
        <f t="shared" si="66"/>
        <v>-1.457751761815753E-2</v>
      </c>
      <c r="AD671" s="87">
        <f t="shared" si="66"/>
        <v>4.3956114730381293E-3</v>
      </c>
      <c r="AE671" s="90">
        <f t="shared" si="65"/>
        <v>-8.5457524285679574E-3</v>
      </c>
      <c r="AF671" s="89"/>
    </row>
    <row r="672" spans="1:32" ht="15.5" x14ac:dyDescent="0.35">
      <c r="A672" s="82">
        <v>40739</v>
      </c>
      <c r="B672" s="83">
        <v>8227</v>
      </c>
      <c r="C672" s="84">
        <v>2789.8</v>
      </c>
      <c r="D672" s="61">
        <v>294.39999999999998</v>
      </c>
      <c r="E672" s="61">
        <v>14.6</v>
      </c>
      <c r="F672" s="61">
        <v>51.3</v>
      </c>
      <c r="G672" s="61">
        <v>26.5</v>
      </c>
      <c r="H672" s="61">
        <v>49</v>
      </c>
      <c r="I672" s="61">
        <v>17.5</v>
      </c>
      <c r="J672" s="61">
        <v>58.3</v>
      </c>
      <c r="K672" s="61">
        <v>31.4</v>
      </c>
      <c r="L672" s="61">
        <v>35.700000000000003</v>
      </c>
      <c r="M672" s="61">
        <v>41.3</v>
      </c>
      <c r="N672" s="61">
        <v>68.5</v>
      </c>
      <c r="O672" s="85">
        <v>22.7</v>
      </c>
      <c r="P672" s="105"/>
      <c r="Q672" s="87">
        <f t="shared" si="64"/>
        <v>4.3732292063035343E-3</v>
      </c>
      <c r="R672" s="87">
        <f t="shared" si="63"/>
        <v>9.7614462627039558E-3</v>
      </c>
      <c r="S672" s="87">
        <f t="shared" si="63"/>
        <v>0.1105065842263689</v>
      </c>
      <c r="T672" s="87">
        <f t="shared" si="63"/>
        <v>0</v>
      </c>
      <c r="U672" s="87">
        <f t="shared" si="63"/>
        <v>7.8278286202466962E-3</v>
      </c>
      <c r="V672" s="87">
        <f t="shared" si="63"/>
        <v>3.7807228399061523E-3</v>
      </c>
      <c r="W672" s="87">
        <f t="shared" si="63"/>
        <v>0</v>
      </c>
      <c r="X672" s="87">
        <f t="shared" si="66"/>
        <v>1.7291497110061043E-2</v>
      </c>
      <c r="Y672" s="87">
        <f t="shared" si="66"/>
        <v>1.034491984239273E-2</v>
      </c>
      <c r="Z672" s="87">
        <f t="shared" si="66"/>
        <v>-6.3492276786588919E-3</v>
      </c>
      <c r="AA672" s="87">
        <f t="shared" si="66"/>
        <v>-8.3682496705165792E-3</v>
      </c>
      <c r="AB672" s="87">
        <f t="shared" si="66"/>
        <v>-4.8309272696655803E-3</v>
      </c>
      <c r="AC672" s="87">
        <f t="shared" si="66"/>
        <v>5.8565321127129685E-3</v>
      </c>
      <c r="AD672" s="87">
        <f t="shared" si="66"/>
        <v>-4.3956114730381093E-3</v>
      </c>
      <c r="AE672" s="90">
        <f t="shared" si="65"/>
        <v>3.6982366639709725E-2</v>
      </c>
      <c r="AF672" s="89"/>
    </row>
    <row r="673" spans="1:32" ht="15.5" x14ac:dyDescent="0.35">
      <c r="A673" s="82">
        <v>40742</v>
      </c>
      <c r="B673" s="83">
        <v>8135.5</v>
      </c>
      <c r="C673" s="84">
        <v>2765.1</v>
      </c>
      <c r="D673" s="61">
        <v>296.3</v>
      </c>
      <c r="E673" s="61">
        <v>14.4</v>
      </c>
      <c r="F673" s="61">
        <v>52.2</v>
      </c>
      <c r="G673" s="61">
        <v>26.3</v>
      </c>
      <c r="H673" s="61">
        <v>49.1</v>
      </c>
      <c r="I673" s="61">
        <v>17.100000000000001</v>
      </c>
      <c r="J673" s="61">
        <v>57.9</v>
      </c>
      <c r="K673" s="61">
        <v>31.1</v>
      </c>
      <c r="L673" s="61">
        <v>35.299999999999997</v>
      </c>
      <c r="M673" s="61">
        <v>40</v>
      </c>
      <c r="N673" s="61">
        <v>68.099999999999994</v>
      </c>
      <c r="O673" s="85">
        <v>22.6</v>
      </c>
      <c r="P673" s="105"/>
      <c r="Q673" s="87">
        <f t="shared" si="64"/>
        <v>-1.1184226589556668E-2</v>
      </c>
      <c r="R673" s="87">
        <f t="shared" si="63"/>
        <v>-8.8931079904066533E-3</v>
      </c>
      <c r="S673" s="87">
        <f t="shared" si="63"/>
        <v>6.4330677247984615E-3</v>
      </c>
      <c r="T673" s="87">
        <f t="shared" si="63"/>
        <v>-1.3793322132335761E-2</v>
      </c>
      <c r="U673" s="87">
        <f t="shared" si="63"/>
        <v>1.7391742711869239E-2</v>
      </c>
      <c r="V673" s="87">
        <f t="shared" si="63"/>
        <v>-7.5757938084576558E-3</v>
      </c>
      <c r="W673" s="87">
        <f t="shared" si="63"/>
        <v>2.0387366898483089E-3</v>
      </c>
      <c r="X673" s="87">
        <f t="shared" si="66"/>
        <v>-2.3122417420854149E-2</v>
      </c>
      <c r="Y673" s="87">
        <f t="shared" si="66"/>
        <v>-6.8847087774971437E-3</v>
      </c>
      <c r="Z673" s="87">
        <f t="shared" si="66"/>
        <v>-9.6000737290191183E-3</v>
      </c>
      <c r="AA673" s="87">
        <f t="shared" si="66"/>
        <v>-1.1267724846342494E-2</v>
      </c>
      <c r="AB673" s="87">
        <f t="shared" si="66"/>
        <v>-3.1983045853050653E-2</v>
      </c>
      <c r="AC673" s="87">
        <f t="shared" si="66"/>
        <v>-5.8565321127129833E-3</v>
      </c>
      <c r="AD673" s="87">
        <f t="shared" si="66"/>
        <v>-4.4150182091167202E-3</v>
      </c>
      <c r="AE673" s="90">
        <f t="shared" si="65"/>
        <v>3.6540154077440755E-3</v>
      </c>
      <c r="AF673" s="89"/>
    </row>
    <row r="674" spans="1:32" ht="15.5" x14ac:dyDescent="0.35">
      <c r="A674" s="82">
        <v>40743</v>
      </c>
      <c r="B674" s="83">
        <v>8254.4</v>
      </c>
      <c r="C674" s="84">
        <v>2826.5</v>
      </c>
      <c r="D674" s="61">
        <v>298.10000000000002</v>
      </c>
      <c r="E674" s="61">
        <v>14.5</v>
      </c>
      <c r="F674" s="61">
        <v>53.3</v>
      </c>
      <c r="G674" s="61">
        <v>26.8</v>
      </c>
      <c r="H674" s="61">
        <v>49.5</v>
      </c>
      <c r="I674" s="61">
        <v>17.2</v>
      </c>
      <c r="J674" s="61">
        <v>59.8</v>
      </c>
      <c r="K674" s="61">
        <v>31.2</v>
      </c>
      <c r="L674" s="61">
        <v>35.299999999999997</v>
      </c>
      <c r="M674" s="61">
        <v>40.1</v>
      </c>
      <c r="N674" s="61">
        <v>69.099999999999994</v>
      </c>
      <c r="O674" s="85">
        <v>22.6</v>
      </c>
      <c r="P674" s="105"/>
      <c r="Q674" s="87">
        <f t="shared" si="64"/>
        <v>1.4509189911011735E-2</v>
      </c>
      <c r="R674" s="87">
        <f t="shared" si="63"/>
        <v>2.1962396447617352E-2</v>
      </c>
      <c r="S674" s="87">
        <f t="shared" si="63"/>
        <v>6.0565461045062234E-3</v>
      </c>
      <c r="T674" s="87">
        <f t="shared" si="63"/>
        <v>6.920442844573757E-3</v>
      </c>
      <c r="U674" s="87">
        <f t="shared" si="63"/>
        <v>2.0853836283205779E-2</v>
      </c>
      <c r="V674" s="87">
        <f t="shared" si="63"/>
        <v>1.8832948333092178E-2</v>
      </c>
      <c r="W674" s="87">
        <f t="shared" si="63"/>
        <v>8.113634774169631E-3</v>
      </c>
      <c r="X674" s="87">
        <f t="shared" si="66"/>
        <v>5.8309203107931437E-3</v>
      </c>
      <c r="Y674" s="87">
        <f t="shared" si="66"/>
        <v>3.2288276377636461E-2</v>
      </c>
      <c r="Z674" s="87">
        <f t="shared" si="66"/>
        <v>3.2102756302481894E-3</v>
      </c>
      <c r="AA674" s="87">
        <f t="shared" si="66"/>
        <v>0</v>
      </c>
      <c r="AB674" s="87">
        <f t="shared" si="66"/>
        <v>2.4968801985871458E-3</v>
      </c>
      <c r="AC674" s="87">
        <f t="shared" si="66"/>
        <v>1.4577517618157424E-2</v>
      </c>
      <c r="AD674" s="87">
        <f t="shared" si="66"/>
        <v>0</v>
      </c>
      <c r="AE674" s="90">
        <f t="shared" si="65"/>
        <v>1.4319259574885616E-2</v>
      </c>
      <c r="AF674" s="89"/>
    </row>
    <row r="675" spans="1:32" ht="15.5" x14ac:dyDescent="0.35">
      <c r="A675" s="82">
        <v>40744</v>
      </c>
      <c r="B675" s="83">
        <v>8281.7999999999993</v>
      </c>
      <c r="C675" s="84">
        <v>2814.2</v>
      </c>
      <c r="D675" s="61">
        <v>298</v>
      </c>
      <c r="E675" s="61">
        <v>13.5</v>
      </c>
      <c r="F675" s="61">
        <v>55.1</v>
      </c>
      <c r="G675" s="61">
        <v>27</v>
      </c>
      <c r="H675" s="61">
        <v>50.1</v>
      </c>
      <c r="I675" s="61">
        <v>17.2</v>
      </c>
      <c r="J675" s="61">
        <v>60.2</v>
      </c>
      <c r="K675" s="61">
        <v>31.2</v>
      </c>
      <c r="L675" s="61">
        <v>35.5</v>
      </c>
      <c r="M675" s="61">
        <v>40.4</v>
      </c>
      <c r="N675" s="61">
        <v>68.900000000000006</v>
      </c>
      <c r="O675" s="85">
        <v>22.5</v>
      </c>
      <c r="P675" s="105"/>
      <c r="Q675" s="87">
        <f t="shared" si="64"/>
        <v>3.3139445672020662E-3</v>
      </c>
      <c r="R675" s="87">
        <f t="shared" si="63"/>
        <v>-4.3611677611902367E-3</v>
      </c>
      <c r="S675" s="87">
        <f t="shared" si="63"/>
        <v>-3.3551417862140616E-4</v>
      </c>
      <c r="T675" s="87">
        <f t="shared" si="63"/>
        <v>-7.1458963982144977E-2</v>
      </c>
      <c r="U675" s="87">
        <f t="shared" si="63"/>
        <v>3.3213384987070008E-2</v>
      </c>
      <c r="V675" s="87">
        <f t="shared" si="63"/>
        <v>7.4349784875179905E-3</v>
      </c>
      <c r="W675" s="87">
        <f t="shared" si="63"/>
        <v>1.2048338516174574E-2</v>
      </c>
      <c r="X675" s="87">
        <f t="shared" si="66"/>
        <v>0</v>
      </c>
      <c r="Y675" s="87">
        <f t="shared" si="66"/>
        <v>6.6666913581892974E-3</v>
      </c>
      <c r="Z675" s="87">
        <f t="shared" si="66"/>
        <v>0</v>
      </c>
      <c r="AA675" s="87">
        <f t="shared" si="66"/>
        <v>5.6497325421191276E-3</v>
      </c>
      <c r="AB675" s="87">
        <f t="shared" si="66"/>
        <v>7.4534506545807519E-3</v>
      </c>
      <c r="AC675" s="87">
        <f t="shared" si="66"/>
        <v>-2.8985527540111929E-3</v>
      </c>
      <c r="AD675" s="87">
        <f t="shared" si="66"/>
        <v>-4.4345970678658642E-3</v>
      </c>
      <c r="AE675" s="90">
        <f t="shared" si="65"/>
        <v>7.5525019641678511E-3</v>
      </c>
      <c r="AF675" s="89"/>
    </row>
    <row r="676" spans="1:32" ht="15.5" x14ac:dyDescent="0.35">
      <c r="A676" s="82">
        <v>40745</v>
      </c>
      <c r="B676" s="83">
        <v>8411.5</v>
      </c>
      <c r="C676" s="84">
        <v>2834.4</v>
      </c>
      <c r="D676" s="61">
        <v>297.3</v>
      </c>
      <c r="E676" s="61">
        <v>13.4</v>
      </c>
      <c r="F676" s="61">
        <v>54.8</v>
      </c>
      <c r="G676" s="61">
        <v>26.7</v>
      </c>
      <c r="H676" s="61">
        <v>49</v>
      </c>
      <c r="I676" s="61">
        <v>17.3</v>
      </c>
      <c r="J676" s="61">
        <v>60.2</v>
      </c>
      <c r="K676" s="61">
        <v>31.5</v>
      </c>
      <c r="L676" s="61">
        <v>35.700000000000003</v>
      </c>
      <c r="M676" s="61">
        <v>41.7</v>
      </c>
      <c r="N676" s="61">
        <v>69.400000000000006</v>
      </c>
      <c r="O676" s="85">
        <v>22.6</v>
      </c>
      <c r="P676" s="105"/>
      <c r="Q676" s="87">
        <f t="shared" si="64"/>
        <v>1.5539481101627518E-2</v>
      </c>
      <c r="R676" s="87">
        <f t="shared" si="63"/>
        <v>7.1522451971070579E-3</v>
      </c>
      <c r="S676" s="87">
        <f t="shared" si="63"/>
        <v>-2.3517565013524665E-3</v>
      </c>
      <c r="T676" s="87">
        <f t="shared" si="63"/>
        <v>-7.4349784875180902E-3</v>
      </c>
      <c r="U676" s="87">
        <f t="shared" ref="U676:Z727" si="67">+LN(F676/F675)</f>
        <v>-5.459522204898982E-3</v>
      </c>
      <c r="V676" s="87">
        <f t="shared" si="67"/>
        <v>-1.1173300598125302E-2</v>
      </c>
      <c r="W676" s="87">
        <f t="shared" si="67"/>
        <v>-2.220070998019253E-2</v>
      </c>
      <c r="X676" s="87">
        <f t="shared" si="66"/>
        <v>5.7971176843259146E-3</v>
      </c>
      <c r="Y676" s="87">
        <f t="shared" si="66"/>
        <v>0</v>
      </c>
      <c r="Z676" s="87">
        <f t="shared" si="66"/>
        <v>9.5694510161506725E-3</v>
      </c>
      <c r="AA676" s="87">
        <f t="shared" si="66"/>
        <v>5.6179923042232738E-3</v>
      </c>
      <c r="AB676" s="87">
        <f t="shared" si="66"/>
        <v>3.1671343837651404E-2</v>
      </c>
      <c r="AC676" s="87">
        <f t="shared" si="66"/>
        <v>7.2306894931459809E-3</v>
      </c>
      <c r="AD676" s="87">
        <f t="shared" si="66"/>
        <v>4.4345970678657748E-3</v>
      </c>
      <c r="AE676" s="90">
        <f t="shared" si="65"/>
        <v>4.3329197459782251E-4</v>
      </c>
      <c r="AF676" s="89"/>
    </row>
    <row r="677" spans="1:32" ht="15.5" x14ac:dyDescent="0.35">
      <c r="A677" s="82">
        <v>40746</v>
      </c>
      <c r="B677" s="83">
        <v>8408.2000000000007</v>
      </c>
      <c r="C677" s="84">
        <v>2858.8</v>
      </c>
      <c r="D677" s="61">
        <v>302.39999999999998</v>
      </c>
      <c r="E677" s="61">
        <v>13.6</v>
      </c>
      <c r="F677" s="61">
        <v>55.4</v>
      </c>
      <c r="G677" s="61">
        <v>26.7</v>
      </c>
      <c r="H677" s="61">
        <v>51</v>
      </c>
      <c r="I677" s="61">
        <v>17.7</v>
      </c>
      <c r="J677" s="61">
        <v>61.2</v>
      </c>
      <c r="K677" s="61">
        <v>31.2</v>
      </c>
      <c r="L677" s="61">
        <v>35.9</v>
      </c>
      <c r="M677" s="61">
        <v>41.4</v>
      </c>
      <c r="N677" s="61">
        <v>69.599999999999994</v>
      </c>
      <c r="O677" s="85">
        <v>22.9</v>
      </c>
      <c r="P677" s="105"/>
      <c r="Q677" s="87">
        <f t="shared" si="64"/>
        <v>-3.9239701568304525E-4</v>
      </c>
      <c r="R677" s="87">
        <f t="shared" ref="R677:Z732" si="68">+LN(C677/C676)</f>
        <v>8.5716817945615757E-3</v>
      </c>
      <c r="S677" s="87">
        <f t="shared" si="68"/>
        <v>1.7008914301325916E-2</v>
      </c>
      <c r="T677" s="87">
        <f t="shared" si="68"/>
        <v>1.4815085785140682E-2</v>
      </c>
      <c r="U677" s="87">
        <f t="shared" si="67"/>
        <v>1.0889399799268317E-2</v>
      </c>
      <c r="V677" s="87">
        <f t="shared" si="67"/>
        <v>0</v>
      </c>
      <c r="W677" s="87">
        <f t="shared" si="67"/>
        <v>4.0005334613699206E-2</v>
      </c>
      <c r="X677" s="87">
        <f t="shared" si="66"/>
        <v>2.2858138076050184E-2</v>
      </c>
      <c r="Y677" s="87">
        <f t="shared" si="66"/>
        <v>1.6474837203505042E-2</v>
      </c>
      <c r="Z677" s="87">
        <f t="shared" si="66"/>
        <v>-9.5694510161507852E-3</v>
      </c>
      <c r="AA677" s="87">
        <f t="shared" si="66"/>
        <v>5.5866067086397762E-3</v>
      </c>
      <c r="AB677" s="87">
        <f t="shared" si="66"/>
        <v>-7.220247973487132E-3</v>
      </c>
      <c r="AC677" s="87">
        <f t="shared" si="66"/>
        <v>2.877699827614974E-3</v>
      </c>
      <c r="AD677" s="87">
        <f t="shared" si="66"/>
        <v>1.3187004281953681E-2</v>
      </c>
      <c r="AE677" s="90">
        <f t="shared" si="65"/>
        <v>1.2265512641727209E-2</v>
      </c>
      <c r="AF677" s="89"/>
    </row>
    <row r="678" spans="1:32" ht="15.5" x14ac:dyDescent="0.35">
      <c r="A678" s="82">
        <v>40749</v>
      </c>
      <c r="B678" s="83">
        <v>8357.6</v>
      </c>
      <c r="C678" s="84">
        <v>2842.8</v>
      </c>
      <c r="D678" s="61">
        <v>306.8</v>
      </c>
      <c r="E678" s="61">
        <v>13.7</v>
      </c>
      <c r="F678" s="61">
        <v>55.7</v>
      </c>
      <c r="G678" s="61">
        <v>27.2</v>
      </c>
      <c r="H678" s="61">
        <v>51.1</v>
      </c>
      <c r="I678" s="61">
        <v>17.5</v>
      </c>
      <c r="J678" s="61">
        <v>60.9</v>
      </c>
      <c r="K678" s="61">
        <v>30.9</v>
      </c>
      <c r="L678" s="61">
        <v>35.700000000000003</v>
      </c>
      <c r="M678" s="61">
        <v>40.9</v>
      </c>
      <c r="N678" s="61">
        <v>69.5</v>
      </c>
      <c r="O678" s="85">
        <v>22.6</v>
      </c>
      <c r="P678" s="105"/>
      <c r="Q678" s="87">
        <f t="shared" si="64"/>
        <v>-6.0361156202337219E-3</v>
      </c>
      <c r="R678" s="87">
        <f t="shared" si="68"/>
        <v>-5.6124743930837532E-3</v>
      </c>
      <c r="S678" s="87">
        <f t="shared" si="68"/>
        <v>1.4445425187723283E-2</v>
      </c>
      <c r="T678" s="87">
        <f t="shared" si="68"/>
        <v>7.3260400920728812E-3</v>
      </c>
      <c r="U678" s="87">
        <f t="shared" si="67"/>
        <v>5.4005531800002888E-3</v>
      </c>
      <c r="V678" s="87">
        <f t="shared" si="67"/>
        <v>1.8553407895747834E-2</v>
      </c>
      <c r="W678" s="87">
        <f t="shared" si="67"/>
        <v>1.9588644853329716E-3</v>
      </c>
      <c r="X678" s="87">
        <f t="shared" si="66"/>
        <v>-1.1363758650315095E-2</v>
      </c>
      <c r="Y678" s="87">
        <f t="shared" si="66"/>
        <v>-4.9140148024291522E-3</v>
      </c>
      <c r="Z678" s="87">
        <f t="shared" si="66"/>
        <v>-9.6619109117369716E-3</v>
      </c>
      <c r="AA678" s="87">
        <f t="shared" si="66"/>
        <v>-5.5866067086397121E-3</v>
      </c>
      <c r="AB678" s="87">
        <f t="shared" si="66"/>
        <v>-1.2150817782512691E-2</v>
      </c>
      <c r="AC678" s="87">
        <f t="shared" si="66"/>
        <v>-1.4378147696274715E-3</v>
      </c>
      <c r="AD678" s="87">
        <f t="shared" si="66"/>
        <v>-1.3187004281953688E-2</v>
      </c>
      <c r="AE678" s="90">
        <f t="shared" si="65"/>
        <v>2.4881454871459032E-3</v>
      </c>
      <c r="AF678" s="89"/>
    </row>
    <row r="679" spans="1:32" ht="15.5" x14ac:dyDescent="0.35">
      <c r="A679" s="82">
        <v>40750</v>
      </c>
      <c r="B679" s="83">
        <v>8331.7000000000007</v>
      </c>
      <c r="C679" s="84">
        <v>2840</v>
      </c>
      <c r="D679" s="61">
        <v>308.89999999999998</v>
      </c>
      <c r="E679" s="61">
        <v>13.7</v>
      </c>
      <c r="F679" s="61">
        <v>57.1</v>
      </c>
      <c r="G679" s="61">
        <v>27.8</v>
      </c>
      <c r="H679" s="61">
        <v>51.5</v>
      </c>
      <c r="I679" s="61">
        <v>17.2</v>
      </c>
      <c r="J679" s="61">
        <v>60.9</v>
      </c>
      <c r="K679" s="61">
        <v>30.8</v>
      </c>
      <c r="L679" s="61">
        <v>35.6</v>
      </c>
      <c r="M679" s="61">
        <v>41</v>
      </c>
      <c r="N679" s="61">
        <v>70.900000000000006</v>
      </c>
      <c r="O679" s="85">
        <v>22.6</v>
      </c>
      <c r="P679" s="105"/>
      <c r="Q679" s="87">
        <f t="shared" si="64"/>
        <v>-3.1037875515802951E-3</v>
      </c>
      <c r="R679" s="87">
        <f t="shared" si="68"/>
        <v>-9.8542979748848228E-4</v>
      </c>
      <c r="S679" s="87">
        <f t="shared" si="68"/>
        <v>6.8215304314348316E-3</v>
      </c>
      <c r="T679" s="87">
        <f t="shared" si="68"/>
        <v>0</v>
      </c>
      <c r="U679" s="87">
        <f t="shared" si="67"/>
        <v>2.4823969728726199E-2</v>
      </c>
      <c r="V679" s="87">
        <f t="shared" si="67"/>
        <v>2.1819047394639888E-2</v>
      </c>
      <c r="W679" s="87">
        <f t="shared" si="67"/>
        <v>7.7973104600317106E-3</v>
      </c>
      <c r="X679" s="87">
        <f t="shared" si="66"/>
        <v>-1.7291497110061109E-2</v>
      </c>
      <c r="Y679" s="87">
        <f t="shared" si="66"/>
        <v>0</v>
      </c>
      <c r="Z679" s="87">
        <f t="shared" si="66"/>
        <v>-3.2414939241709557E-3</v>
      </c>
      <c r="AA679" s="87">
        <f t="shared" si="66"/>
        <v>-2.8050509276086096E-3</v>
      </c>
      <c r="AB679" s="87">
        <f t="shared" si="66"/>
        <v>2.4420036555518089E-3</v>
      </c>
      <c r="AC679" s="87">
        <f t="shared" si="66"/>
        <v>1.994368096733555E-2</v>
      </c>
      <c r="AD679" s="87">
        <f t="shared" si="66"/>
        <v>0</v>
      </c>
      <c r="AE679" s="90">
        <f t="shared" si="65"/>
        <v>8.7998588426080708E-3</v>
      </c>
      <c r="AF679" s="89"/>
    </row>
    <row r="680" spans="1:32" ht="15.5" x14ac:dyDescent="0.35">
      <c r="A680" s="82">
        <v>40751</v>
      </c>
      <c r="B680" s="83">
        <v>8153.2</v>
      </c>
      <c r="C680" s="84">
        <v>2764.8</v>
      </c>
      <c r="D680" s="61">
        <v>302.7</v>
      </c>
      <c r="E680" s="61">
        <v>13.6</v>
      </c>
      <c r="F680" s="61">
        <v>56</v>
      </c>
      <c r="G680" s="61">
        <v>27.2</v>
      </c>
      <c r="H680" s="61">
        <v>52.1</v>
      </c>
      <c r="I680" s="61">
        <v>17</v>
      </c>
      <c r="J680" s="61">
        <v>59</v>
      </c>
      <c r="K680" s="61">
        <v>30.9</v>
      </c>
      <c r="L680" s="61">
        <v>35.1</v>
      </c>
      <c r="M680" s="61">
        <v>39.5</v>
      </c>
      <c r="N680" s="61">
        <v>60.8</v>
      </c>
      <c r="O680" s="85">
        <v>22.1</v>
      </c>
      <c r="P680" s="105"/>
      <c r="Q680" s="87">
        <f t="shared" si="64"/>
        <v>-2.1657028762142778E-2</v>
      </c>
      <c r="R680" s="87">
        <f t="shared" si="68"/>
        <v>-2.6835752545515158E-2</v>
      </c>
      <c r="S680" s="87">
        <f t="shared" si="68"/>
        <v>-2.0275383896863033E-2</v>
      </c>
      <c r="T680" s="87">
        <f t="shared" si="68"/>
        <v>-7.3260400920728977E-3</v>
      </c>
      <c r="U680" s="87">
        <f t="shared" si="67"/>
        <v>-1.9452425926815294E-2</v>
      </c>
      <c r="V680" s="87">
        <f t="shared" si="67"/>
        <v>-2.1819047394639839E-2</v>
      </c>
      <c r="W680" s="87">
        <f t="shared" si="67"/>
        <v>1.1583141089630855E-2</v>
      </c>
      <c r="X680" s="87">
        <f t="shared" si="66"/>
        <v>-1.1696039763191187E-2</v>
      </c>
      <c r="Y680" s="87">
        <f t="shared" si="66"/>
        <v>-3.1695730810131849E-2</v>
      </c>
      <c r="Z680" s="87">
        <f t="shared" si="66"/>
        <v>3.2414939241710229E-3</v>
      </c>
      <c r="AA680" s="87">
        <f t="shared" si="66"/>
        <v>-1.4144507386164625E-2</v>
      </c>
      <c r="AB680" s="87">
        <f t="shared" si="66"/>
        <v>-3.7271394797231655E-2</v>
      </c>
      <c r="AC680" s="87">
        <f t="shared" si="66"/>
        <v>-0.15368064456596062</v>
      </c>
      <c r="AD680" s="87">
        <f t="shared" si="66"/>
        <v>-2.2372297754533099E-2</v>
      </c>
      <c r="AE680" s="90">
        <f t="shared" si="65"/>
        <v>-2.2261405059965846E-2</v>
      </c>
      <c r="AF680" s="89"/>
    </row>
    <row r="681" spans="1:32" ht="15.5" x14ac:dyDescent="0.35">
      <c r="A681" s="82">
        <v>40752</v>
      </c>
      <c r="B681" s="83">
        <v>8124</v>
      </c>
      <c r="C681" s="84">
        <v>2766.3</v>
      </c>
      <c r="D681" s="61">
        <v>301.8</v>
      </c>
      <c r="E681" s="61">
        <v>13.4</v>
      </c>
      <c r="F681" s="61">
        <v>55.5</v>
      </c>
      <c r="G681" s="61">
        <v>27.2</v>
      </c>
      <c r="H681" s="61">
        <v>50.7</v>
      </c>
      <c r="I681" s="61">
        <v>15.7</v>
      </c>
      <c r="J681" s="61">
        <v>59.1</v>
      </c>
      <c r="K681" s="61">
        <v>30.9</v>
      </c>
      <c r="L681" s="61">
        <v>34.9</v>
      </c>
      <c r="M681" s="61">
        <v>39.5</v>
      </c>
      <c r="N681" s="61">
        <v>62.4</v>
      </c>
      <c r="O681" s="85">
        <v>22.2</v>
      </c>
      <c r="P681" s="105"/>
      <c r="Q681" s="87">
        <f t="shared" si="64"/>
        <v>-3.5878445092999787E-3</v>
      </c>
      <c r="R681" s="87">
        <f t="shared" si="68"/>
        <v>5.4238760346886209E-4</v>
      </c>
      <c r="S681" s="87">
        <f t="shared" si="68"/>
        <v>-2.977669693924392E-3</v>
      </c>
      <c r="T681" s="87">
        <f t="shared" si="68"/>
        <v>-1.4815085785140587E-2</v>
      </c>
      <c r="U681" s="87">
        <f t="shared" si="67"/>
        <v>-8.9686699827603751E-3</v>
      </c>
      <c r="V681" s="87">
        <f t="shared" si="67"/>
        <v>0</v>
      </c>
      <c r="W681" s="87">
        <f t="shared" si="67"/>
        <v>-2.7239038162183721E-2</v>
      </c>
      <c r="X681" s="87">
        <f t="shared" si="66"/>
        <v>-7.9552631701953772E-2</v>
      </c>
      <c r="Y681" s="87">
        <f t="shared" si="66"/>
        <v>1.6934805063331477E-3</v>
      </c>
      <c r="Z681" s="87">
        <f t="shared" si="66"/>
        <v>0</v>
      </c>
      <c r="AA681" s="87">
        <f t="shared" si="66"/>
        <v>-5.7143012634387758E-3</v>
      </c>
      <c r="AB681" s="87">
        <f t="shared" si="66"/>
        <v>0</v>
      </c>
      <c r="AC681" s="87">
        <f t="shared" si="66"/>
        <v>2.5975486403260736E-2</v>
      </c>
      <c r="AD681" s="87">
        <f t="shared" si="66"/>
        <v>4.514680354526613E-3</v>
      </c>
      <c r="AE681" s="90">
        <f t="shared" si="65"/>
        <v>-2.724915946199287E-3</v>
      </c>
      <c r="AF681" s="89"/>
    </row>
    <row r="682" spans="1:32" ht="15.5" x14ac:dyDescent="0.35">
      <c r="A682" s="82">
        <v>40753</v>
      </c>
      <c r="B682" s="83">
        <v>8079.4</v>
      </c>
      <c r="C682" s="84">
        <v>2756.4</v>
      </c>
      <c r="D682" s="61">
        <v>302.2</v>
      </c>
      <c r="E682" s="61">
        <v>13</v>
      </c>
      <c r="F682" s="61">
        <v>54.9</v>
      </c>
      <c r="G682" s="61">
        <v>27.3</v>
      </c>
      <c r="H682" s="61">
        <v>50</v>
      </c>
      <c r="I682" s="61">
        <v>15.5</v>
      </c>
      <c r="J682" s="61">
        <v>57</v>
      </c>
      <c r="K682" s="61">
        <v>30.4</v>
      </c>
      <c r="L682" s="61">
        <v>34.1</v>
      </c>
      <c r="M682" s="61">
        <v>40.1</v>
      </c>
      <c r="N682" s="61">
        <v>60.9</v>
      </c>
      <c r="O682" s="85">
        <v>22.3</v>
      </c>
      <c r="P682" s="105"/>
      <c r="Q682" s="87">
        <f t="shared" si="64"/>
        <v>-5.5050313680960056E-3</v>
      </c>
      <c r="R682" s="87">
        <f t="shared" si="68"/>
        <v>-3.5852067301524017E-3</v>
      </c>
      <c r="S682" s="87">
        <f t="shared" si="68"/>
        <v>1.3245035048906884E-3</v>
      </c>
      <c r="T682" s="87">
        <f t="shared" si="68"/>
        <v>-3.0305349495328922E-2</v>
      </c>
      <c r="U682" s="87">
        <f t="shared" si="67"/>
        <v>-1.0869672236903879E-2</v>
      </c>
      <c r="V682" s="87">
        <f t="shared" si="67"/>
        <v>3.6697288889624017E-3</v>
      </c>
      <c r="W682" s="87">
        <f t="shared" si="67"/>
        <v>-1.3902905168991493E-2</v>
      </c>
      <c r="X682" s="87">
        <f t="shared" si="66"/>
        <v>-1.2820688429061434E-2</v>
      </c>
      <c r="Y682" s="87">
        <f t="shared" si="66"/>
        <v>-3.6179656577502356E-2</v>
      </c>
      <c r="Z682" s="87">
        <f t="shared" si="66"/>
        <v>-1.6313575491523794E-2</v>
      </c>
      <c r="AA682" s="87">
        <f t="shared" si="66"/>
        <v>-2.3189444918910326E-2</v>
      </c>
      <c r="AB682" s="87">
        <f t="shared" si="66"/>
        <v>1.5075662405447396E-2</v>
      </c>
      <c r="AC682" s="87">
        <f t="shared" si="66"/>
        <v>-2.4332100659530669E-2</v>
      </c>
      <c r="AD682" s="87">
        <f t="shared" si="66"/>
        <v>4.4943895878392674E-3</v>
      </c>
      <c r="AE682" s="90">
        <f t="shared" si="65"/>
        <v>-3.2486701694480315E-3</v>
      </c>
      <c r="AF682" s="89"/>
    </row>
    <row r="683" spans="1:32" ht="15.5" x14ac:dyDescent="0.35">
      <c r="A683" s="82">
        <v>40756</v>
      </c>
      <c r="B683" s="83">
        <v>8040.9</v>
      </c>
      <c r="C683" s="84">
        <v>2744.6</v>
      </c>
      <c r="D683" s="61">
        <v>299.89999999999998</v>
      </c>
      <c r="E683" s="61">
        <v>13</v>
      </c>
      <c r="F683" s="61">
        <v>56.1</v>
      </c>
      <c r="G683" s="61">
        <v>26.8</v>
      </c>
      <c r="H683" s="61">
        <v>49.9</v>
      </c>
      <c r="I683" s="61">
        <v>15.6</v>
      </c>
      <c r="J683" s="61">
        <v>57.8</v>
      </c>
      <c r="K683" s="61">
        <v>30.1</v>
      </c>
      <c r="L683" s="61">
        <v>32.799999999999997</v>
      </c>
      <c r="M683" s="61">
        <v>40.5</v>
      </c>
      <c r="N683" s="61">
        <v>61.8</v>
      </c>
      <c r="O683" s="85">
        <v>22</v>
      </c>
      <c r="P683" s="105"/>
      <c r="Q683" s="87">
        <f t="shared" si="64"/>
        <v>-4.7765951255075061E-3</v>
      </c>
      <c r="R683" s="87">
        <f t="shared" si="68"/>
        <v>-4.2901356475201161E-3</v>
      </c>
      <c r="S683" s="87">
        <f t="shared" si="68"/>
        <v>-7.6399640836757841E-3</v>
      </c>
      <c r="T683" s="87">
        <f t="shared" si="68"/>
        <v>0</v>
      </c>
      <c r="U683" s="87">
        <f t="shared" si="67"/>
        <v>2.1622464013165709E-2</v>
      </c>
      <c r="V683" s="87">
        <f t="shared" si="67"/>
        <v>-1.8484814674103102E-2</v>
      </c>
      <c r="W683" s="87">
        <f t="shared" si="67"/>
        <v>-2.0020026706730793E-3</v>
      </c>
      <c r="X683" s="87">
        <f t="shared" si="66"/>
        <v>6.4308903302903314E-3</v>
      </c>
      <c r="Y683" s="87">
        <f t="shared" si="66"/>
        <v>1.3937507843781678E-2</v>
      </c>
      <c r="Z683" s="87">
        <f t="shared" si="66"/>
        <v>-9.9174366573459155E-3</v>
      </c>
      <c r="AA683" s="87">
        <f t="shared" si="66"/>
        <v>-3.8868868899373139E-2</v>
      </c>
      <c r="AB683" s="87">
        <f t="shared" si="66"/>
        <v>9.9256397999699982E-3</v>
      </c>
      <c r="AC683" s="87">
        <f t="shared" si="66"/>
        <v>1.4670189747793621E-2</v>
      </c>
      <c r="AD683" s="87">
        <f t="shared" si="66"/>
        <v>-1.354422510775726E-2</v>
      </c>
      <c r="AE683" s="90">
        <f t="shared" si="65"/>
        <v>1.0137565818456242E-3</v>
      </c>
      <c r="AF683" s="89"/>
    </row>
    <row r="684" spans="1:32" ht="15.5" x14ac:dyDescent="0.35">
      <c r="A684" s="82">
        <v>40757</v>
      </c>
      <c r="B684" s="83">
        <v>7832</v>
      </c>
      <c r="C684" s="84">
        <v>2669.2</v>
      </c>
      <c r="D684" s="61">
        <v>292.10000000000002</v>
      </c>
      <c r="E684" s="61">
        <v>12.5</v>
      </c>
      <c r="F684" s="61">
        <v>54.6</v>
      </c>
      <c r="G684" s="61">
        <v>26.5</v>
      </c>
      <c r="H684" s="61">
        <v>49</v>
      </c>
      <c r="I684" s="61">
        <v>15.1</v>
      </c>
      <c r="J684" s="61">
        <v>56.8</v>
      </c>
      <c r="K684" s="61">
        <v>29.9</v>
      </c>
      <c r="L684" s="61">
        <v>32.6</v>
      </c>
      <c r="M684" s="61">
        <v>39.6</v>
      </c>
      <c r="N684" s="61">
        <v>60.7</v>
      </c>
      <c r="O684" s="85">
        <v>21.2</v>
      </c>
      <c r="P684" s="105"/>
      <c r="Q684" s="87">
        <f t="shared" si="64"/>
        <v>-2.6323111996325459E-2</v>
      </c>
      <c r="R684" s="87">
        <f t="shared" si="68"/>
        <v>-2.7856542806081352E-2</v>
      </c>
      <c r="S684" s="87">
        <f t="shared" si="68"/>
        <v>-2.6352876361267985E-2</v>
      </c>
      <c r="T684" s="87">
        <f t="shared" si="68"/>
        <v>-3.9220713153281267E-2</v>
      </c>
      <c r="U684" s="87">
        <f t="shared" si="67"/>
        <v>-2.7101929777791269E-2</v>
      </c>
      <c r="V684" s="87">
        <f t="shared" si="67"/>
        <v>-1.1257154524634447E-2</v>
      </c>
      <c r="W684" s="87">
        <f t="shared" si="67"/>
        <v>-1.8200704646846391E-2</v>
      </c>
      <c r="X684" s="87">
        <f t="shared" si="66"/>
        <v>-3.2576170434612715E-2</v>
      </c>
      <c r="Y684" s="87">
        <f t="shared" si="66"/>
        <v>-1.7452449951226166E-2</v>
      </c>
      <c r="Z684" s="87">
        <f t="shared" si="66"/>
        <v>-6.6666913581893451E-3</v>
      </c>
      <c r="AA684" s="87">
        <f t="shared" si="66"/>
        <v>-6.1162270174359825E-3</v>
      </c>
      <c r="AB684" s="87">
        <f t="shared" si="66"/>
        <v>-2.2472855852058514E-2</v>
      </c>
      <c r="AC684" s="87">
        <f t="shared" si="66"/>
        <v>-1.7959666398192464E-2</v>
      </c>
      <c r="AD684" s="87">
        <f t="shared" si="66"/>
        <v>-3.7041271680349097E-2</v>
      </c>
      <c r="AE684" s="90">
        <f t="shared" si="65"/>
        <v>-2.8316937375981798E-2</v>
      </c>
      <c r="AF684" s="89"/>
    </row>
    <row r="685" spans="1:32" ht="15.5" x14ac:dyDescent="0.35">
      <c r="A685" s="82">
        <v>40758</v>
      </c>
      <c r="B685" s="83">
        <v>7853.2</v>
      </c>
      <c r="C685" s="84">
        <v>2693.1</v>
      </c>
      <c r="D685" s="61">
        <v>292.10000000000002</v>
      </c>
      <c r="E685" s="61">
        <v>12.5</v>
      </c>
      <c r="F685" s="61">
        <v>54.6</v>
      </c>
      <c r="G685" s="61">
        <v>26.5</v>
      </c>
      <c r="H685" s="61">
        <v>49</v>
      </c>
      <c r="I685" s="61">
        <v>14.8</v>
      </c>
      <c r="J685" s="61">
        <v>54.1</v>
      </c>
      <c r="K685" s="61">
        <v>29.9</v>
      </c>
      <c r="L685" s="61">
        <v>32.200000000000003</v>
      </c>
      <c r="M685" s="61">
        <v>38.6</v>
      </c>
      <c r="N685" s="61">
        <v>59</v>
      </c>
      <c r="O685" s="85">
        <v>20.7</v>
      </c>
      <c r="P685" s="105"/>
      <c r="Q685" s="87">
        <f t="shared" si="64"/>
        <v>2.7031868142476925E-3</v>
      </c>
      <c r="R685" s="87">
        <f t="shared" si="68"/>
        <v>8.9141444013009323E-3</v>
      </c>
      <c r="S685" s="87">
        <f t="shared" si="68"/>
        <v>0</v>
      </c>
      <c r="T685" s="87">
        <f t="shared" si="68"/>
        <v>0</v>
      </c>
      <c r="U685" s="87">
        <f t="shared" si="67"/>
        <v>0</v>
      </c>
      <c r="V685" s="87">
        <f t="shared" si="67"/>
        <v>0</v>
      </c>
      <c r="W685" s="87">
        <f t="shared" si="67"/>
        <v>0</v>
      </c>
      <c r="X685" s="87">
        <f t="shared" si="66"/>
        <v>-2.0067563050809142E-2</v>
      </c>
      <c r="Y685" s="87">
        <f t="shared" si="66"/>
        <v>-4.8702139874669703E-2</v>
      </c>
      <c r="Z685" s="87">
        <f t="shared" si="66"/>
        <v>0</v>
      </c>
      <c r="AA685" s="87">
        <f t="shared" si="66"/>
        <v>-1.2345835822299266E-2</v>
      </c>
      <c r="AB685" s="87">
        <f t="shared" si="66"/>
        <v>-2.5576841789649737E-2</v>
      </c>
      <c r="AC685" s="87">
        <f t="shared" si="66"/>
        <v>-2.8406254159733205E-2</v>
      </c>
      <c r="AD685" s="87">
        <f t="shared" si="66"/>
        <v>-2.386748140664343E-2</v>
      </c>
      <c r="AE685" s="90">
        <f t="shared" si="65"/>
        <v>-2.2904911505387772E-4</v>
      </c>
      <c r="AF685" s="89"/>
    </row>
    <row r="686" spans="1:32" ht="15.5" x14ac:dyDescent="0.35">
      <c r="A686" s="82">
        <v>40759</v>
      </c>
      <c r="B686" s="83">
        <v>7428.4</v>
      </c>
      <c r="C686" s="84">
        <v>2556.4</v>
      </c>
      <c r="D686" s="61">
        <v>289</v>
      </c>
      <c r="E686" s="61">
        <v>12</v>
      </c>
      <c r="F686" s="61">
        <v>53.9</v>
      </c>
      <c r="G686" s="61">
        <v>25.9</v>
      </c>
      <c r="H686" s="61">
        <v>47.9</v>
      </c>
      <c r="I686" s="61">
        <v>14</v>
      </c>
      <c r="J686" s="61">
        <v>52.6</v>
      </c>
      <c r="K686" s="61">
        <v>28.5</v>
      </c>
      <c r="L686" s="61">
        <v>31.4</v>
      </c>
      <c r="M686" s="61">
        <v>36.799999999999997</v>
      </c>
      <c r="N686" s="61">
        <v>56.8</v>
      </c>
      <c r="O686" s="85">
        <v>20.399999999999999</v>
      </c>
      <c r="P686" s="105"/>
      <c r="Q686" s="87">
        <f t="shared" si="64"/>
        <v>-5.5610599705696123E-2</v>
      </c>
      <c r="R686" s="87">
        <f t="shared" si="68"/>
        <v>-5.2092927654625712E-2</v>
      </c>
      <c r="S686" s="87">
        <f t="shared" si="68"/>
        <v>-1.0669521281263208E-2</v>
      </c>
      <c r="T686" s="87">
        <f t="shared" si="68"/>
        <v>-4.0821994520255166E-2</v>
      </c>
      <c r="U686" s="87">
        <f t="shared" si="67"/>
        <v>-1.2903404835907954E-2</v>
      </c>
      <c r="V686" s="87">
        <f t="shared" si="67"/>
        <v>-2.2901764286684567E-2</v>
      </c>
      <c r="W686" s="87">
        <f t="shared" si="67"/>
        <v>-2.2704793693757108E-2</v>
      </c>
      <c r="X686" s="87">
        <f t="shared" si="66"/>
        <v>-5.5569851154810765E-2</v>
      </c>
      <c r="Y686" s="87">
        <f t="shared" si="66"/>
        <v>-2.811806610877168E-2</v>
      </c>
      <c r="Z686" s="87">
        <f t="shared" si="66"/>
        <v>-4.7954393122035865E-2</v>
      </c>
      <c r="AA686" s="87">
        <f t="shared" si="66"/>
        <v>-2.5158559636155101E-2</v>
      </c>
      <c r="AB686" s="87">
        <f t="shared" si="66"/>
        <v>-4.7754431295899992E-2</v>
      </c>
      <c r="AC686" s="87">
        <f t="shared" si="66"/>
        <v>-3.8001118178613867E-2</v>
      </c>
      <c r="AD686" s="87">
        <f t="shared" si="66"/>
        <v>-1.4598799421152749E-2</v>
      </c>
      <c r="AE686" s="90">
        <f t="shared" si="65"/>
        <v>-2.4202476415447188E-2</v>
      </c>
      <c r="AF686" s="89"/>
    </row>
    <row r="687" spans="1:32" ht="15.5" x14ac:dyDescent="0.35">
      <c r="A687" s="82">
        <v>40760</v>
      </c>
      <c r="B687" s="83">
        <v>7419.1</v>
      </c>
      <c r="C687" s="84">
        <v>2532.4</v>
      </c>
      <c r="D687" s="61">
        <v>281.3</v>
      </c>
      <c r="E687" s="61">
        <v>11.4</v>
      </c>
      <c r="F687" s="61">
        <v>51.8</v>
      </c>
      <c r="G687" s="61">
        <v>25.2</v>
      </c>
      <c r="H687" s="61">
        <v>45.3</v>
      </c>
      <c r="I687" s="61">
        <v>13</v>
      </c>
      <c r="J687" s="61">
        <v>50.8</v>
      </c>
      <c r="K687" s="61">
        <v>27.3</v>
      </c>
      <c r="L687" s="61">
        <v>30.8</v>
      </c>
      <c r="M687" s="61">
        <v>34.9</v>
      </c>
      <c r="N687" s="61">
        <v>55</v>
      </c>
      <c r="O687" s="85">
        <v>20.100000000000001</v>
      </c>
      <c r="P687" s="105"/>
      <c r="Q687" s="87">
        <f t="shared" si="64"/>
        <v>-1.2527363146986358E-3</v>
      </c>
      <c r="R687" s="87">
        <f t="shared" si="68"/>
        <v>-9.4325491061552341E-3</v>
      </c>
      <c r="S687" s="87">
        <f t="shared" si="68"/>
        <v>-2.7004972616620958E-2</v>
      </c>
      <c r="T687" s="87">
        <f t="shared" si="68"/>
        <v>-5.129329438755046E-2</v>
      </c>
      <c r="U687" s="87">
        <f t="shared" si="67"/>
        <v>-3.9740328649514108E-2</v>
      </c>
      <c r="V687" s="87">
        <f t="shared" si="67"/>
        <v>-2.7398974188114388E-2</v>
      </c>
      <c r="W687" s="87">
        <f t="shared" si="67"/>
        <v>-5.5808471927881229E-2</v>
      </c>
      <c r="X687" s="87">
        <f t="shared" si="66"/>
        <v>-7.4107972153721849E-2</v>
      </c>
      <c r="Y687" s="87">
        <f t="shared" si="66"/>
        <v>-3.4819765159228043E-2</v>
      </c>
      <c r="Z687" s="87">
        <f t="shared" si="66"/>
        <v>-4.3017385083690816E-2</v>
      </c>
      <c r="AA687" s="87">
        <f t="shared" si="66"/>
        <v>-1.9293202934678781E-2</v>
      </c>
      <c r="AB687" s="87">
        <f t="shared" si="66"/>
        <v>-5.3011015966503712E-2</v>
      </c>
      <c r="AC687" s="87">
        <f t="shared" si="66"/>
        <v>-3.2203140494634706E-2</v>
      </c>
      <c r="AD687" s="87">
        <f t="shared" si="66"/>
        <v>-1.4815085785140474E-2</v>
      </c>
      <c r="AE687" s="90">
        <f t="shared" si="65"/>
        <v>-2.3897539605991301E-2</v>
      </c>
      <c r="AF687" s="89"/>
    </row>
    <row r="688" spans="1:32" ht="15.5" x14ac:dyDescent="0.35">
      <c r="A688" s="82">
        <v>40763</v>
      </c>
      <c r="B688" s="83">
        <v>6896</v>
      </c>
      <c r="C688" s="84">
        <v>2357.6999999999998</v>
      </c>
      <c r="D688" s="61">
        <v>272.5</v>
      </c>
      <c r="E688" s="61">
        <v>11.1</v>
      </c>
      <c r="F688" s="61">
        <v>50.4</v>
      </c>
      <c r="G688" s="61">
        <v>24.4</v>
      </c>
      <c r="H688" s="61">
        <v>43.5</v>
      </c>
      <c r="I688" s="61">
        <v>11.2</v>
      </c>
      <c r="J688" s="61">
        <v>48.9</v>
      </c>
      <c r="K688" s="61">
        <v>25.1</v>
      </c>
      <c r="L688" s="61">
        <v>29.9</v>
      </c>
      <c r="M688" s="61">
        <v>32.299999999999997</v>
      </c>
      <c r="N688" s="61">
        <v>52.5</v>
      </c>
      <c r="O688" s="85">
        <v>19.3</v>
      </c>
      <c r="P688" s="105"/>
      <c r="Q688" s="87">
        <f t="shared" si="64"/>
        <v>-7.3116222660670221E-2</v>
      </c>
      <c r="R688" s="87">
        <f t="shared" si="68"/>
        <v>-7.148090212973264E-2</v>
      </c>
      <c r="S688" s="87">
        <f t="shared" si="68"/>
        <v>-3.178310139251242E-2</v>
      </c>
      <c r="T688" s="87">
        <f t="shared" si="68"/>
        <v>-2.6668247082161409E-2</v>
      </c>
      <c r="U688" s="87">
        <f t="shared" si="67"/>
        <v>-2.7398974188114388E-2</v>
      </c>
      <c r="V688" s="87">
        <f t="shared" si="67"/>
        <v>-3.2260862218221435E-2</v>
      </c>
      <c r="W688" s="87">
        <f t="shared" si="67"/>
        <v>-4.0546094394349905E-2</v>
      </c>
      <c r="X688" s="87">
        <f t="shared" si="66"/>
        <v>-0.14903557916048796</v>
      </c>
      <c r="Y688" s="87">
        <f t="shared" si="66"/>
        <v>-3.8118958103609796E-2</v>
      </c>
      <c r="Z688" s="87">
        <f t="shared" si="66"/>
        <v>-8.4018856053175772E-2</v>
      </c>
      <c r="AA688" s="87">
        <f t="shared" si="66"/>
        <v>-2.9656209582888081E-2</v>
      </c>
      <c r="AB688" s="87">
        <f t="shared" si="66"/>
        <v>-7.7419598979770701E-2</v>
      </c>
      <c r="AC688" s="87">
        <f t="shared" si="66"/>
        <v>-4.6520015634892817E-2</v>
      </c>
      <c r="AD688" s="87">
        <f t="shared" si="66"/>
        <v>-4.0614719154190244E-2</v>
      </c>
      <c r="AE688" s="90">
        <f t="shared" si="65"/>
        <v>-4.3502332740754095E-2</v>
      </c>
      <c r="AF688" s="89"/>
    </row>
    <row r="689" spans="1:32" ht="15.5" x14ac:dyDescent="0.35">
      <c r="A689" s="82">
        <v>40764</v>
      </c>
      <c r="B689" s="83">
        <v>7258</v>
      </c>
      <c r="C689" s="84">
        <v>2482.5</v>
      </c>
      <c r="D689" s="61">
        <v>270.8</v>
      </c>
      <c r="E689" s="61">
        <v>11.3</v>
      </c>
      <c r="F689" s="61">
        <v>50.7</v>
      </c>
      <c r="G689" s="61">
        <v>24</v>
      </c>
      <c r="H689" s="61">
        <v>42.6</v>
      </c>
      <c r="I689" s="61">
        <v>11.6</v>
      </c>
      <c r="J689" s="61">
        <v>49.3</v>
      </c>
      <c r="K689" s="61">
        <v>24.8</v>
      </c>
      <c r="L689" s="61">
        <v>29.5</v>
      </c>
      <c r="M689" s="61">
        <v>31.9</v>
      </c>
      <c r="N689" s="61">
        <v>53.4</v>
      </c>
      <c r="O689" s="85">
        <v>19.2</v>
      </c>
      <c r="P689" s="105"/>
      <c r="Q689" s="87">
        <f t="shared" si="64"/>
        <v>5.1162775429486641E-2</v>
      </c>
      <c r="R689" s="87">
        <f t="shared" si="68"/>
        <v>5.1579549379088763E-2</v>
      </c>
      <c r="S689" s="87">
        <f t="shared" si="68"/>
        <v>-6.258073065178827E-3</v>
      </c>
      <c r="T689" s="87">
        <f t="shared" si="68"/>
        <v>1.7857617400006472E-2</v>
      </c>
      <c r="U689" s="87">
        <f t="shared" si="67"/>
        <v>5.9347355198145265E-3</v>
      </c>
      <c r="V689" s="87">
        <f t="shared" si="67"/>
        <v>-1.6529301951210471E-2</v>
      </c>
      <c r="W689" s="87">
        <f t="shared" si="67"/>
        <v>-2.0906684819313601E-2</v>
      </c>
      <c r="X689" s="87">
        <f t="shared" si="66"/>
        <v>3.5091319811270193E-2</v>
      </c>
      <c r="Y689" s="87">
        <f t="shared" si="66"/>
        <v>8.146684567818108E-3</v>
      </c>
      <c r="Z689" s="87">
        <f t="shared" si="66"/>
        <v>-1.2024192966801701E-2</v>
      </c>
      <c r="AA689" s="87">
        <f t="shared" si="66"/>
        <v>-1.3468217050866593E-2</v>
      </c>
      <c r="AB689" s="87">
        <f t="shared" si="66"/>
        <v>-1.2461220437811889E-2</v>
      </c>
      <c r="AC689" s="87">
        <f t="shared" si="66"/>
        <v>1.6997576368571077E-2</v>
      </c>
      <c r="AD689" s="87">
        <f t="shared" si="66"/>
        <v>-5.1948168771040228E-3</v>
      </c>
      <c r="AE689" s="90">
        <f t="shared" si="65"/>
        <v>1.4694303102458166E-2</v>
      </c>
      <c r="AF689" s="89"/>
    </row>
    <row r="690" spans="1:32" ht="15.5" x14ac:dyDescent="0.35">
      <c r="A690" s="82">
        <v>40765</v>
      </c>
      <c r="B690" s="83">
        <v>7101.2</v>
      </c>
      <c r="C690" s="84">
        <v>2381.1</v>
      </c>
      <c r="D690" s="61">
        <v>274.10000000000002</v>
      </c>
      <c r="E690" s="61">
        <v>11.6</v>
      </c>
      <c r="F690" s="61">
        <v>51.8</v>
      </c>
      <c r="G690" s="61">
        <v>24.1</v>
      </c>
      <c r="H690" s="61">
        <v>43.3</v>
      </c>
      <c r="I690" s="61">
        <v>11.8</v>
      </c>
      <c r="J690" s="61">
        <v>50.5</v>
      </c>
      <c r="K690" s="61">
        <v>25.2</v>
      </c>
      <c r="L690" s="61">
        <v>29.7</v>
      </c>
      <c r="M690" s="61">
        <v>31.7</v>
      </c>
      <c r="N690" s="61">
        <v>57.3</v>
      </c>
      <c r="O690" s="85">
        <v>19.8</v>
      </c>
      <c r="P690" s="105"/>
      <c r="Q690" s="87">
        <f t="shared" si="64"/>
        <v>-2.184052494037312E-2</v>
      </c>
      <c r="R690" s="87">
        <f t="shared" si="68"/>
        <v>-4.170355115438814E-2</v>
      </c>
      <c r="S690" s="87">
        <f t="shared" si="68"/>
        <v>1.2112462270620199E-2</v>
      </c>
      <c r="T690" s="87">
        <f t="shared" si="68"/>
        <v>2.6202372394023902E-2</v>
      </c>
      <c r="U690" s="87">
        <f t="shared" si="67"/>
        <v>2.1464238668299787E-2</v>
      </c>
      <c r="V690" s="87">
        <f t="shared" si="67"/>
        <v>4.158010148663677E-3</v>
      </c>
      <c r="W690" s="87">
        <f t="shared" si="67"/>
        <v>1.629838173311933E-2</v>
      </c>
      <c r="X690" s="87">
        <f t="shared" si="66"/>
        <v>1.7094433359300255E-2</v>
      </c>
      <c r="Y690" s="87">
        <f t="shared" si="66"/>
        <v>2.4049255232669882E-2</v>
      </c>
      <c r="Z690" s="87">
        <f t="shared" si="66"/>
        <v>1.600034134644112E-2</v>
      </c>
      <c r="AA690" s="87">
        <f t="shared" si="66"/>
        <v>6.7567824628796871E-3</v>
      </c>
      <c r="AB690" s="87">
        <f t="shared" si="66"/>
        <v>-6.2893289075639904E-3</v>
      </c>
      <c r="AC690" s="87">
        <f t="shared" si="66"/>
        <v>7.0489877754544794E-2</v>
      </c>
      <c r="AD690" s="87">
        <f t="shared" si="66"/>
        <v>3.0771658666753687E-2</v>
      </c>
      <c r="AE690" s="90">
        <f t="shared" si="65"/>
        <v>9.2322237539444732E-4</v>
      </c>
      <c r="AF690" s="89"/>
    </row>
    <row r="691" spans="1:32" ht="15.5" x14ac:dyDescent="0.35">
      <c r="A691" s="82">
        <v>40766</v>
      </c>
      <c r="B691" s="83">
        <v>7257.6</v>
      </c>
      <c r="C691" s="84">
        <v>2492.6999999999998</v>
      </c>
      <c r="D691" s="61">
        <v>274.5</v>
      </c>
      <c r="E691" s="61">
        <v>11.9</v>
      </c>
      <c r="F691" s="61">
        <v>52.1</v>
      </c>
      <c r="G691" s="61">
        <v>24.4</v>
      </c>
      <c r="H691" s="61">
        <v>43.3</v>
      </c>
      <c r="I691" s="61">
        <v>11.7</v>
      </c>
      <c r="J691" s="61">
        <v>52.6</v>
      </c>
      <c r="K691" s="61">
        <v>25.7</v>
      </c>
      <c r="L691" s="61">
        <v>29.7</v>
      </c>
      <c r="M691" s="61">
        <v>31.6</v>
      </c>
      <c r="N691" s="61">
        <v>59.1</v>
      </c>
      <c r="O691" s="85">
        <v>19.8</v>
      </c>
      <c r="P691" s="105"/>
      <c r="Q691" s="87">
        <f t="shared" si="64"/>
        <v>2.1785411820681094E-2</v>
      </c>
      <c r="R691" s="87">
        <f t="shared" si="68"/>
        <v>4.5803894574105691E-2</v>
      </c>
      <c r="S691" s="87">
        <f t="shared" si="68"/>
        <v>1.4582576408450564E-3</v>
      </c>
      <c r="T691" s="87">
        <f t="shared" si="68"/>
        <v>2.5533302005164845E-2</v>
      </c>
      <c r="U691" s="87">
        <f t="shared" si="67"/>
        <v>5.7747994938839578E-3</v>
      </c>
      <c r="V691" s="87">
        <f t="shared" si="67"/>
        <v>1.2371291802546829E-2</v>
      </c>
      <c r="W691" s="87">
        <f t="shared" si="67"/>
        <v>0</v>
      </c>
      <c r="X691" s="87">
        <f t="shared" si="66"/>
        <v>-8.5106896679087302E-3</v>
      </c>
      <c r="Y691" s="87">
        <f t="shared" si="66"/>
        <v>4.0742783462350073E-2</v>
      </c>
      <c r="Z691" s="87">
        <f t="shared" si="66"/>
        <v>1.9646997383796421E-2</v>
      </c>
      <c r="AA691" s="87">
        <f t="shared" si="66"/>
        <v>0</v>
      </c>
      <c r="AB691" s="87">
        <f t="shared" si="66"/>
        <v>-3.1595602903684815E-3</v>
      </c>
      <c r="AC691" s="87">
        <f t="shared" si="66"/>
        <v>3.0930300691358773E-2</v>
      </c>
      <c r="AD691" s="87">
        <f t="shared" si="66"/>
        <v>0</v>
      </c>
      <c r="AE691" s="90">
        <f t="shared" si="65"/>
        <v>1.580781454536178E-2</v>
      </c>
      <c r="AF691" s="89"/>
    </row>
    <row r="692" spans="1:32" ht="15.5" x14ac:dyDescent="0.35">
      <c r="A692" s="82">
        <v>40767</v>
      </c>
      <c r="B692" s="83">
        <v>7303.9</v>
      </c>
      <c r="C692" s="84">
        <v>2508</v>
      </c>
      <c r="D692" s="61">
        <v>280.5</v>
      </c>
      <c r="E692" s="61">
        <v>12.8</v>
      </c>
      <c r="F692" s="61">
        <v>53.5</v>
      </c>
      <c r="G692" s="61">
        <v>24.7</v>
      </c>
      <c r="H692" s="61">
        <v>43</v>
      </c>
      <c r="I692" s="61">
        <v>12.8</v>
      </c>
      <c r="J692" s="61">
        <v>54.2</v>
      </c>
      <c r="K692" s="61">
        <v>25.8</v>
      </c>
      <c r="L692" s="61">
        <v>31.2</v>
      </c>
      <c r="M692" s="61">
        <v>33.200000000000003</v>
      </c>
      <c r="N692" s="61">
        <v>62.7</v>
      </c>
      <c r="O692" s="85">
        <v>20.9</v>
      </c>
      <c r="P692" s="105"/>
      <c r="Q692" s="87">
        <f t="shared" si="64"/>
        <v>6.3592563996074407E-3</v>
      </c>
      <c r="R692" s="87">
        <f t="shared" si="68"/>
        <v>6.119162413766077E-3</v>
      </c>
      <c r="S692" s="87">
        <f t="shared" si="68"/>
        <v>2.1622464013165709E-2</v>
      </c>
      <c r="T692" s="87">
        <f t="shared" si="68"/>
        <v>7.2906770808087731E-2</v>
      </c>
      <c r="U692" s="87">
        <f t="shared" si="67"/>
        <v>2.6516705142639707E-2</v>
      </c>
      <c r="V692" s="87">
        <f t="shared" si="67"/>
        <v>1.2220111334775397E-2</v>
      </c>
      <c r="W692" s="87">
        <f t="shared" si="67"/>
        <v>-6.9525193148816406E-3</v>
      </c>
      <c r="X692" s="87">
        <f t="shared" si="66"/>
        <v>8.9856329121861145E-2</v>
      </c>
      <c r="Y692" s="87">
        <f t="shared" si="66"/>
        <v>2.9964788701936387E-2</v>
      </c>
      <c r="Z692" s="87">
        <f t="shared" si="66"/>
        <v>3.8835000263976122E-3</v>
      </c>
      <c r="AA692" s="87">
        <f t="shared" si="66"/>
        <v>4.9271049006782835E-2</v>
      </c>
      <c r="AB692" s="87">
        <f t="shared" si="66"/>
        <v>4.9392755329576474E-2</v>
      </c>
      <c r="AC692" s="87">
        <f t="shared" si="66"/>
        <v>5.9130523226822461E-2</v>
      </c>
      <c r="AD692" s="87">
        <f t="shared" si="66"/>
        <v>5.4067221270275578E-2</v>
      </c>
      <c r="AE692" s="90">
        <f t="shared" si="65"/>
        <v>2.231843002071885E-2</v>
      </c>
      <c r="AF692" s="89"/>
    </row>
    <row r="693" spans="1:32" ht="15.5" x14ac:dyDescent="0.35">
      <c r="A693" s="82">
        <v>40770</v>
      </c>
      <c r="B693" s="83">
        <v>7482.7</v>
      </c>
      <c r="C693" s="84">
        <v>2555.1999999999998</v>
      </c>
      <c r="D693" s="61">
        <v>273.3</v>
      </c>
      <c r="E693" s="61">
        <v>13.3</v>
      </c>
      <c r="F693" s="61">
        <v>54</v>
      </c>
      <c r="G693" s="61">
        <v>25.2</v>
      </c>
      <c r="H693" s="61">
        <v>44.9</v>
      </c>
      <c r="I693" s="61">
        <v>13.7</v>
      </c>
      <c r="J693" s="61">
        <v>54.1</v>
      </c>
      <c r="K693" s="61">
        <v>26.6</v>
      </c>
      <c r="L693" s="61">
        <v>31.5</v>
      </c>
      <c r="M693" s="61">
        <v>33.4</v>
      </c>
      <c r="N693" s="61">
        <v>64.3</v>
      </c>
      <c r="O693" s="85">
        <v>20.7</v>
      </c>
      <c r="P693" s="105"/>
      <c r="Q693" s="87">
        <f t="shared" si="64"/>
        <v>2.4185237351122279E-2</v>
      </c>
      <c r="R693" s="87">
        <f t="shared" si="68"/>
        <v>1.8644875707936631E-2</v>
      </c>
      <c r="S693" s="87">
        <f t="shared" si="68"/>
        <v>-2.6003632028728647E-2</v>
      </c>
      <c r="T693" s="87">
        <f t="shared" si="68"/>
        <v>3.8318864302136602E-2</v>
      </c>
      <c r="U693" s="87">
        <f t="shared" si="67"/>
        <v>9.3023926623134103E-3</v>
      </c>
      <c r="V693" s="87">
        <f t="shared" si="67"/>
        <v>2.0040750883446191E-2</v>
      </c>
      <c r="W693" s="87">
        <f t="shared" si="67"/>
        <v>4.3237679054646219E-2</v>
      </c>
      <c r="X693" s="87">
        <f t="shared" si="66"/>
        <v>6.7950661908507543E-2</v>
      </c>
      <c r="Y693" s="87">
        <f t="shared" si="66"/>
        <v>-1.8467225931646629E-3</v>
      </c>
      <c r="Z693" s="87">
        <f t="shared" si="66"/>
        <v>3.0536723860081702E-2</v>
      </c>
      <c r="AA693" s="87">
        <f t="shared" si="66"/>
        <v>9.5694510161506725E-3</v>
      </c>
      <c r="AB693" s="87">
        <f t="shared" si="66"/>
        <v>6.0060240602117284E-3</v>
      </c>
      <c r="AC693" s="87">
        <f t="shared" si="66"/>
        <v>2.5198183604698533E-2</v>
      </c>
      <c r="AD693" s="87">
        <f t="shared" si="66"/>
        <v>-9.6154586994418693E-3</v>
      </c>
      <c r="AE693" s="90">
        <f t="shared" si="65"/>
        <v>-5.3298827440744151E-4</v>
      </c>
      <c r="AF693" s="89"/>
    </row>
    <row r="694" spans="1:32" ht="15.5" x14ac:dyDescent="0.35">
      <c r="A694" s="82">
        <v>40771</v>
      </c>
      <c r="B694" s="83">
        <v>7394.5</v>
      </c>
      <c r="C694" s="84">
        <v>2523.4</v>
      </c>
      <c r="D694" s="61">
        <v>265.39999999999998</v>
      </c>
      <c r="E694" s="61">
        <v>13.2</v>
      </c>
      <c r="F694" s="61">
        <v>53.7</v>
      </c>
      <c r="G694" s="61">
        <v>25.1</v>
      </c>
      <c r="H694" s="61">
        <v>44.8</v>
      </c>
      <c r="I694" s="61">
        <v>13.5</v>
      </c>
      <c r="J694" s="61">
        <v>54.3</v>
      </c>
      <c r="K694" s="61">
        <v>26.1</v>
      </c>
      <c r="L694" s="61">
        <v>31.7</v>
      </c>
      <c r="M694" s="61">
        <v>33.299999999999997</v>
      </c>
      <c r="N694" s="61">
        <v>64</v>
      </c>
      <c r="O694" s="85">
        <v>20.8</v>
      </c>
      <c r="P694" s="105"/>
      <c r="Q694" s="87">
        <f t="shared" si="64"/>
        <v>-1.1857208797229601E-2</v>
      </c>
      <c r="R694" s="87">
        <f t="shared" si="68"/>
        <v>-1.252329996710707E-2</v>
      </c>
      <c r="S694" s="87">
        <f t="shared" si="68"/>
        <v>-2.9331971035915332E-2</v>
      </c>
      <c r="T694" s="87">
        <f t="shared" si="68"/>
        <v>-7.5472056353829663E-3</v>
      </c>
      <c r="U694" s="87">
        <f t="shared" si="67"/>
        <v>-5.5710450494553601E-3</v>
      </c>
      <c r="V694" s="87">
        <f t="shared" si="67"/>
        <v>-3.9761483796392945E-3</v>
      </c>
      <c r="W694" s="87">
        <f t="shared" si="67"/>
        <v>-2.2296553272692031E-3</v>
      </c>
      <c r="X694" s="87">
        <f t="shared" si="66"/>
        <v>-1.4706147389695449E-2</v>
      </c>
      <c r="Y694" s="87">
        <f t="shared" si="66"/>
        <v>3.690041087453742E-3</v>
      </c>
      <c r="Z694" s="87">
        <f t="shared" si="66"/>
        <v>-1.8975901459005691E-2</v>
      </c>
      <c r="AA694" s="87">
        <f t="shared" ref="AA694:AD757" si="69">+LN(L694/L693)</f>
        <v>6.3291350516475296E-3</v>
      </c>
      <c r="AB694" s="87">
        <f t="shared" si="69"/>
        <v>-2.9985029962566689E-3</v>
      </c>
      <c r="AC694" s="87">
        <f t="shared" si="69"/>
        <v>-4.6765478839017934E-3</v>
      </c>
      <c r="AD694" s="87">
        <f t="shared" si="69"/>
        <v>4.8192864359489218E-3</v>
      </c>
      <c r="AE694" s="90">
        <f t="shared" si="65"/>
        <v>-1.3348397957974769E-2</v>
      </c>
      <c r="AF694" s="89"/>
    </row>
    <row r="695" spans="1:32" ht="15.5" x14ac:dyDescent="0.35">
      <c r="A695" s="82">
        <v>40772</v>
      </c>
      <c r="B695" s="83">
        <v>7418.9</v>
      </c>
      <c r="C695" s="84">
        <v>2511.5</v>
      </c>
      <c r="D695" s="61">
        <v>265.7</v>
      </c>
      <c r="E695" s="61">
        <v>13.3</v>
      </c>
      <c r="F695" s="61">
        <v>54</v>
      </c>
      <c r="G695" s="61">
        <v>24.9</v>
      </c>
      <c r="H695" s="61">
        <v>46.4</v>
      </c>
      <c r="I695" s="61">
        <v>13.1</v>
      </c>
      <c r="J695" s="61">
        <v>55</v>
      </c>
      <c r="K695" s="61">
        <v>25.3</v>
      </c>
      <c r="L695" s="61">
        <v>31.9</v>
      </c>
      <c r="M695" s="61">
        <v>33.4</v>
      </c>
      <c r="N695" s="61">
        <v>63.4</v>
      </c>
      <c r="O695" s="85">
        <v>20.5</v>
      </c>
      <c r="P695" s="105"/>
      <c r="Q695" s="87">
        <f t="shared" si="64"/>
        <v>3.2943175863480198E-3</v>
      </c>
      <c r="R695" s="87">
        <f t="shared" si="68"/>
        <v>-4.7270143035414366E-3</v>
      </c>
      <c r="S695" s="87">
        <f t="shared" si="68"/>
        <v>1.1297308676607694E-3</v>
      </c>
      <c r="T695" s="87">
        <f t="shared" si="68"/>
        <v>7.5472056353831241E-3</v>
      </c>
      <c r="U695" s="87">
        <f t="shared" si="67"/>
        <v>5.5710450494554295E-3</v>
      </c>
      <c r="V695" s="87">
        <f t="shared" si="67"/>
        <v>-8.0000426670763757E-3</v>
      </c>
      <c r="W695" s="87">
        <f t="shared" si="67"/>
        <v>3.5091319811270193E-2</v>
      </c>
      <c r="X695" s="87">
        <f t="shared" si="67"/>
        <v>-3.007745523727795E-2</v>
      </c>
      <c r="Y695" s="87">
        <f t="shared" si="67"/>
        <v>1.2808958292581241E-2</v>
      </c>
      <c r="Z695" s="87">
        <f t="shared" si="67"/>
        <v>-3.1130918595173213E-2</v>
      </c>
      <c r="AA695" s="87">
        <f t="shared" si="69"/>
        <v>6.2893289075639184E-3</v>
      </c>
      <c r="AB695" s="87">
        <f t="shared" si="69"/>
        <v>2.9985029962566329E-3</v>
      </c>
      <c r="AC695" s="87">
        <f t="shared" si="69"/>
        <v>-9.4192219164916397E-3</v>
      </c>
      <c r="AD695" s="87">
        <f t="shared" si="69"/>
        <v>-1.4528100562909856E-2</v>
      </c>
      <c r="AE695" s="90">
        <f t="shared" si="65"/>
        <v>-1.259057101453841E-3</v>
      </c>
      <c r="AF695" s="89"/>
    </row>
    <row r="696" spans="1:32" ht="15.5" x14ac:dyDescent="0.35">
      <c r="A696" s="82">
        <v>40773</v>
      </c>
      <c r="B696" s="83">
        <v>7079.4</v>
      </c>
      <c r="C696" s="84">
        <v>2380.4</v>
      </c>
      <c r="D696" s="61">
        <v>250.5</v>
      </c>
      <c r="E696" s="61">
        <v>12.8</v>
      </c>
      <c r="F696" s="61">
        <v>51.6</v>
      </c>
      <c r="G696" s="61">
        <v>24</v>
      </c>
      <c r="H696" s="61">
        <v>45</v>
      </c>
      <c r="I696" s="61">
        <v>11.6</v>
      </c>
      <c r="J696" s="61">
        <v>51.5</v>
      </c>
      <c r="K696" s="61">
        <v>23.5</v>
      </c>
      <c r="L696" s="61">
        <v>30.8</v>
      </c>
      <c r="M696" s="61">
        <v>31.5</v>
      </c>
      <c r="N696" s="61">
        <v>60.9</v>
      </c>
      <c r="O696" s="85">
        <v>19.7</v>
      </c>
      <c r="P696" s="105"/>
      <c r="Q696" s="87">
        <f t="shared" si="64"/>
        <v>-4.6841639859243223E-2</v>
      </c>
      <c r="R696" s="87">
        <f t="shared" si="68"/>
        <v>-5.3611643419402423E-2</v>
      </c>
      <c r="S696" s="87">
        <f t="shared" si="68"/>
        <v>-5.8908932240848338E-2</v>
      </c>
      <c r="T696" s="87">
        <f t="shared" si="68"/>
        <v>-3.8318864302136657E-2</v>
      </c>
      <c r="U696" s="87">
        <f t="shared" si="67"/>
        <v>-4.5462374076757288E-2</v>
      </c>
      <c r="V696" s="87">
        <f t="shared" si="67"/>
        <v>-3.6813973122716198E-2</v>
      </c>
      <c r="W696" s="87">
        <f t="shared" si="67"/>
        <v>-3.0636969461889801E-2</v>
      </c>
      <c r="X696" s="87">
        <f t="shared" si="67"/>
        <v>-0.12160713209478687</v>
      </c>
      <c r="Y696" s="87">
        <f t="shared" si="67"/>
        <v>-6.5751377562780419E-2</v>
      </c>
      <c r="Z696" s="87">
        <f t="shared" si="67"/>
        <v>-7.3803974583361312E-2</v>
      </c>
      <c r="AA696" s="87">
        <f t="shared" si="69"/>
        <v>-3.5091319811270061E-2</v>
      </c>
      <c r="AB696" s="87">
        <f t="shared" si="69"/>
        <v>-5.8568354151067301E-2</v>
      </c>
      <c r="AC696" s="87">
        <f t="shared" si="69"/>
        <v>-4.0230686727328879E-2</v>
      </c>
      <c r="AD696" s="87">
        <f t="shared" si="69"/>
        <v>-3.9806250400419706E-2</v>
      </c>
      <c r="AE696" s="90">
        <f t="shared" si="65"/>
        <v>-5.1154285978763044E-2</v>
      </c>
      <c r="AF696" s="89"/>
    </row>
    <row r="697" spans="1:32" ht="15.5" x14ac:dyDescent="0.35">
      <c r="A697" s="82">
        <v>40774</v>
      </c>
      <c r="B697" s="83">
        <v>6970.1</v>
      </c>
      <c r="C697" s="84">
        <v>2341.8000000000002</v>
      </c>
      <c r="D697" s="61">
        <v>245.7</v>
      </c>
      <c r="E697" s="61">
        <v>12.7</v>
      </c>
      <c r="F697" s="61">
        <v>50.9</v>
      </c>
      <c r="G697" s="61">
        <v>23.9</v>
      </c>
      <c r="H697" s="61">
        <v>44.7</v>
      </c>
      <c r="I697" s="61">
        <v>10.8</v>
      </c>
      <c r="J697" s="61">
        <v>50.6</v>
      </c>
      <c r="K697" s="61">
        <v>23.4</v>
      </c>
      <c r="L697" s="61">
        <v>30.8</v>
      </c>
      <c r="M697" s="61">
        <v>31.1</v>
      </c>
      <c r="N697" s="61">
        <v>59</v>
      </c>
      <c r="O697" s="85">
        <v>19.600000000000001</v>
      </c>
      <c r="P697" s="105"/>
      <c r="Q697" s="87">
        <f t="shared" si="64"/>
        <v>-1.5559586479983482E-2</v>
      </c>
      <c r="R697" s="87">
        <f t="shared" si="68"/>
        <v>-1.6348676356072629E-2</v>
      </c>
      <c r="S697" s="87">
        <f t="shared" si="68"/>
        <v>-1.934764099778612E-2</v>
      </c>
      <c r="T697" s="87">
        <f t="shared" si="68"/>
        <v>-7.8431774610260054E-3</v>
      </c>
      <c r="U697" s="87">
        <f t="shared" si="67"/>
        <v>-1.3658748931040016E-2</v>
      </c>
      <c r="V697" s="87">
        <f t="shared" si="67"/>
        <v>-4.1753714104807334E-3</v>
      </c>
      <c r="W697" s="87">
        <f t="shared" si="67"/>
        <v>-6.6889881507965401E-3</v>
      </c>
      <c r="X697" s="87">
        <f t="shared" si="67"/>
        <v>-7.1458963982144866E-2</v>
      </c>
      <c r="Y697" s="87">
        <f t="shared" si="67"/>
        <v>-1.7630231376270615E-2</v>
      </c>
      <c r="Z697" s="87">
        <f t="shared" si="67"/>
        <v>-4.2643987864575397E-3</v>
      </c>
      <c r="AA697" s="87">
        <f t="shared" si="69"/>
        <v>0</v>
      </c>
      <c r="AB697" s="87">
        <f t="shared" si="69"/>
        <v>-1.2779726646398882E-2</v>
      </c>
      <c r="AC697" s="87">
        <f t="shared" si="69"/>
        <v>-3.1695730810131849E-2</v>
      </c>
      <c r="AD697" s="87">
        <f t="shared" si="69"/>
        <v>-5.0890695074711813E-3</v>
      </c>
      <c r="AE697" s="90">
        <f t="shared" si="65"/>
        <v>-1.5088925784255891E-2</v>
      </c>
      <c r="AF697" s="89"/>
    </row>
    <row r="698" spans="1:32" ht="15.5" x14ac:dyDescent="0.35">
      <c r="A698" s="82">
        <v>40777</v>
      </c>
      <c r="B698" s="83">
        <v>6980.6</v>
      </c>
      <c r="C698" s="84">
        <v>2345.4</v>
      </c>
      <c r="D698" s="61">
        <v>247.5</v>
      </c>
      <c r="E698" s="61">
        <v>12.8</v>
      </c>
      <c r="F698" s="61">
        <v>50.7</v>
      </c>
      <c r="G698" s="61">
        <v>23.8</v>
      </c>
      <c r="H698" s="61">
        <v>44.8</v>
      </c>
      <c r="I698" s="61">
        <v>10.8</v>
      </c>
      <c r="J698" s="61">
        <v>51</v>
      </c>
      <c r="K698" s="61">
        <v>24.5</v>
      </c>
      <c r="L698" s="61">
        <v>31.2</v>
      </c>
      <c r="M698" s="61">
        <v>30.5</v>
      </c>
      <c r="N698" s="61">
        <v>59.2</v>
      </c>
      <c r="O698" s="85">
        <v>19.8</v>
      </c>
      <c r="P698" s="105"/>
      <c r="Q698" s="87">
        <f t="shared" si="64"/>
        <v>1.5053010935206497E-3</v>
      </c>
      <c r="R698" s="87">
        <f t="shared" si="68"/>
        <v>1.5360986123398375E-3</v>
      </c>
      <c r="S698" s="87">
        <f t="shared" si="68"/>
        <v>7.2993024816115351E-3</v>
      </c>
      <c r="T698" s="87">
        <f t="shared" si="68"/>
        <v>7.843177461026099E-3</v>
      </c>
      <c r="U698" s="87">
        <f t="shared" si="67"/>
        <v>-3.9370129593395316E-3</v>
      </c>
      <c r="V698" s="87">
        <f t="shared" si="67"/>
        <v>-4.1928782600359274E-3</v>
      </c>
      <c r="W698" s="87">
        <f t="shared" si="67"/>
        <v>2.2346378014161412E-3</v>
      </c>
      <c r="X698" s="87">
        <f t="shared" si="67"/>
        <v>0</v>
      </c>
      <c r="Y698" s="87">
        <f t="shared" si="67"/>
        <v>7.8740564309058656E-3</v>
      </c>
      <c r="Z698" s="87">
        <f t="shared" si="67"/>
        <v>4.5937095187025608E-2</v>
      </c>
      <c r="AA698" s="87">
        <f t="shared" si="69"/>
        <v>1.2903404835907782E-2</v>
      </c>
      <c r="AB698" s="87">
        <f t="shared" si="69"/>
        <v>-1.9481135571822541E-2</v>
      </c>
      <c r="AC698" s="87">
        <f t="shared" si="69"/>
        <v>3.3840979842404942E-3</v>
      </c>
      <c r="AD698" s="87">
        <f t="shared" si="69"/>
        <v>1.0152371464017908E-2</v>
      </c>
      <c r="AE698" s="90">
        <f t="shared" si="65"/>
        <v>2.7056763490234332E-3</v>
      </c>
      <c r="AF698" s="89"/>
    </row>
    <row r="699" spans="1:32" ht="15.5" x14ac:dyDescent="0.35">
      <c r="A699" s="82">
        <v>40778</v>
      </c>
      <c r="B699" s="83">
        <v>7209.6</v>
      </c>
      <c r="C699" s="84">
        <v>2446.1</v>
      </c>
      <c r="D699" s="61">
        <v>249.8</v>
      </c>
      <c r="E699" s="61">
        <v>12.8</v>
      </c>
      <c r="F699" s="61">
        <v>51</v>
      </c>
      <c r="G699" s="61">
        <v>24</v>
      </c>
      <c r="H699" s="61">
        <v>43.9</v>
      </c>
      <c r="I699" s="61">
        <v>10.7</v>
      </c>
      <c r="J699" s="61">
        <v>51.1</v>
      </c>
      <c r="K699" s="61">
        <v>25</v>
      </c>
      <c r="L699" s="61">
        <v>31.4</v>
      </c>
      <c r="M699" s="61">
        <v>30.1</v>
      </c>
      <c r="N699" s="61">
        <v>60</v>
      </c>
      <c r="O699" s="85">
        <v>19.8</v>
      </c>
      <c r="P699" s="105"/>
      <c r="Q699" s="87">
        <f t="shared" si="64"/>
        <v>3.2278598290459641E-2</v>
      </c>
      <c r="R699" s="87">
        <f t="shared" si="68"/>
        <v>4.2038956458870597E-2</v>
      </c>
      <c r="S699" s="87">
        <f t="shared" si="68"/>
        <v>9.2500156827323675E-3</v>
      </c>
      <c r="T699" s="87">
        <f t="shared" si="68"/>
        <v>0</v>
      </c>
      <c r="U699" s="87">
        <f t="shared" si="67"/>
        <v>5.899722127188322E-3</v>
      </c>
      <c r="V699" s="87">
        <f t="shared" si="67"/>
        <v>8.3682496705165792E-3</v>
      </c>
      <c r="W699" s="87">
        <f t="shared" si="67"/>
        <v>-2.0293819339813796E-2</v>
      </c>
      <c r="X699" s="87">
        <f t="shared" si="67"/>
        <v>-9.302392662313674E-3</v>
      </c>
      <c r="Y699" s="87">
        <f t="shared" si="67"/>
        <v>1.9588644853329716E-3</v>
      </c>
      <c r="Z699" s="87">
        <f t="shared" si="67"/>
        <v>2.0202707317519469E-2</v>
      </c>
      <c r="AA699" s="87">
        <f t="shared" si="69"/>
        <v>6.3897980987709883E-3</v>
      </c>
      <c r="AB699" s="87">
        <f t="shared" si="69"/>
        <v>-1.3201511858535842E-2</v>
      </c>
      <c r="AC699" s="87">
        <f t="shared" si="69"/>
        <v>1.342302033214055E-2</v>
      </c>
      <c r="AD699" s="87">
        <f t="shared" si="69"/>
        <v>0</v>
      </c>
      <c r="AE699" s="90">
        <f t="shared" si="65"/>
        <v>1.6996149026160663E-2</v>
      </c>
      <c r="AF699" s="89"/>
    </row>
    <row r="700" spans="1:32" ht="15.5" x14ac:dyDescent="0.35">
      <c r="A700" s="82">
        <v>40779</v>
      </c>
      <c r="B700" s="83">
        <v>7273.1</v>
      </c>
      <c r="C700" s="84">
        <v>2467.6999999999998</v>
      </c>
      <c r="D700" s="61">
        <v>258.89999999999998</v>
      </c>
      <c r="E700" s="61">
        <v>12.8</v>
      </c>
      <c r="F700" s="61">
        <v>52.9</v>
      </c>
      <c r="G700" s="61">
        <v>24.4</v>
      </c>
      <c r="H700" s="61">
        <v>45.1</v>
      </c>
      <c r="I700" s="61">
        <v>11.5</v>
      </c>
      <c r="J700" s="61">
        <v>54.1</v>
      </c>
      <c r="K700" s="61">
        <v>25.7</v>
      </c>
      <c r="L700" s="61">
        <v>31.7</v>
      </c>
      <c r="M700" s="61">
        <v>31.3</v>
      </c>
      <c r="N700" s="61">
        <v>62.1</v>
      </c>
      <c r="O700" s="85">
        <v>20.7</v>
      </c>
      <c r="P700" s="105"/>
      <c r="Q700" s="87">
        <f t="shared" si="64"/>
        <v>8.7691393064864773E-3</v>
      </c>
      <c r="R700" s="87">
        <f t="shared" si="68"/>
        <v>8.7916232352034142E-3</v>
      </c>
      <c r="S700" s="87">
        <f t="shared" si="68"/>
        <v>3.5781289066014459E-2</v>
      </c>
      <c r="T700" s="87">
        <f t="shared" si="68"/>
        <v>0</v>
      </c>
      <c r="U700" s="87">
        <f t="shared" si="67"/>
        <v>3.65777061399278E-2</v>
      </c>
      <c r="V700" s="87">
        <f t="shared" si="67"/>
        <v>1.6529301951210506E-2</v>
      </c>
      <c r="W700" s="87">
        <f t="shared" si="67"/>
        <v>2.696792642750697E-2</v>
      </c>
      <c r="X700" s="87">
        <f t="shared" si="67"/>
        <v>7.2103293901343901E-2</v>
      </c>
      <c r="Y700" s="87">
        <f t="shared" si="67"/>
        <v>5.7049688642777187E-2</v>
      </c>
      <c r="Z700" s="87">
        <f t="shared" si="67"/>
        <v>2.7615167032973391E-2</v>
      </c>
      <c r="AA700" s="87">
        <f t="shared" si="69"/>
        <v>9.5087879690273561E-3</v>
      </c>
      <c r="AB700" s="87">
        <f t="shared" si="69"/>
        <v>3.9092925791277523E-2</v>
      </c>
      <c r="AC700" s="87">
        <f t="shared" si="69"/>
        <v>3.4401426717332317E-2</v>
      </c>
      <c r="AD700" s="87">
        <f t="shared" si="69"/>
        <v>4.4451762570833796E-2</v>
      </c>
      <c r="AE700" s="90">
        <f t="shared" si="65"/>
        <v>2.8972784670810471E-2</v>
      </c>
      <c r="AF700" s="89"/>
    </row>
    <row r="701" spans="1:32" ht="15.5" x14ac:dyDescent="0.35">
      <c r="A701" s="82">
        <v>40780</v>
      </c>
      <c r="B701" s="83">
        <v>7149.7</v>
      </c>
      <c r="C701" s="84">
        <v>2419.6</v>
      </c>
      <c r="D701" s="61">
        <v>259.39999999999998</v>
      </c>
      <c r="E701" s="61">
        <v>12.8</v>
      </c>
      <c r="F701" s="61">
        <v>52.1</v>
      </c>
      <c r="G701" s="61">
        <v>24.5</v>
      </c>
      <c r="H701" s="61">
        <v>44.3</v>
      </c>
      <c r="I701" s="61">
        <v>11.4</v>
      </c>
      <c r="J701" s="61">
        <v>53.8</v>
      </c>
      <c r="K701" s="61">
        <v>26</v>
      </c>
      <c r="L701" s="61">
        <v>31.7</v>
      </c>
      <c r="M701" s="61">
        <v>31.2</v>
      </c>
      <c r="N701" s="61">
        <v>62.3</v>
      </c>
      <c r="O701" s="85">
        <v>20.9</v>
      </c>
      <c r="P701" s="105"/>
      <c r="Q701" s="87">
        <f t="shared" si="64"/>
        <v>-1.7112212778579775E-2</v>
      </c>
      <c r="R701" s="87">
        <f t="shared" si="68"/>
        <v>-1.9684305488278903E-2</v>
      </c>
      <c r="S701" s="87">
        <f t="shared" si="68"/>
        <v>1.9293851248515801E-3</v>
      </c>
      <c r="T701" s="87">
        <f t="shared" si="68"/>
        <v>0</v>
      </c>
      <c r="U701" s="87">
        <f t="shared" si="67"/>
        <v>-1.5238390104932385E-2</v>
      </c>
      <c r="V701" s="87">
        <f t="shared" si="67"/>
        <v>4.0899852515250664E-3</v>
      </c>
      <c r="W701" s="87">
        <f t="shared" si="67"/>
        <v>-1.7897569457542787E-2</v>
      </c>
      <c r="X701" s="87">
        <f t="shared" si="67"/>
        <v>-8.7336799687545534E-3</v>
      </c>
      <c r="Y701" s="87">
        <f t="shared" si="67"/>
        <v>-5.5607186846971766E-3</v>
      </c>
      <c r="Z701" s="87">
        <f t="shared" si="67"/>
        <v>1.160554612030789E-2</v>
      </c>
      <c r="AA701" s="87">
        <f t="shared" si="69"/>
        <v>0</v>
      </c>
      <c r="AB701" s="87">
        <f t="shared" si="69"/>
        <v>-3.2000027306709027E-3</v>
      </c>
      <c r="AC701" s="87">
        <f t="shared" si="69"/>
        <v>3.2154368539743928E-3</v>
      </c>
      <c r="AD701" s="87">
        <f t="shared" si="69"/>
        <v>9.6154586994419734E-3</v>
      </c>
      <c r="AE701" s="90">
        <f t="shared" si="65"/>
        <v>-8.5239926504840635E-3</v>
      </c>
      <c r="AF701" s="89"/>
    </row>
    <row r="702" spans="1:32" ht="15.5" x14ac:dyDescent="0.35">
      <c r="A702" s="82">
        <v>40781</v>
      </c>
      <c r="B702" s="83">
        <v>7245.8</v>
      </c>
      <c r="C702" s="84">
        <v>2479.9</v>
      </c>
      <c r="D702" s="61">
        <v>256.8</v>
      </c>
      <c r="E702" s="61">
        <v>12.5</v>
      </c>
      <c r="F702" s="61">
        <v>53</v>
      </c>
      <c r="G702" s="61">
        <v>24.4</v>
      </c>
      <c r="H702" s="61">
        <v>43.5</v>
      </c>
      <c r="I702" s="61">
        <v>11</v>
      </c>
      <c r="J702" s="61">
        <v>53.8</v>
      </c>
      <c r="K702" s="61">
        <v>25.8</v>
      </c>
      <c r="L702" s="61">
        <v>31</v>
      </c>
      <c r="M702" s="61">
        <v>30.4</v>
      </c>
      <c r="N702" s="61">
        <v>61.5</v>
      </c>
      <c r="O702" s="85">
        <v>20.6</v>
      </c>
      <c r="P702" s="105"/>
      <c r="Q702" s="87">
        <f t="shared" si="64"/>
        <v>1.3351592872989303E-2</v>
      </c>
      <c r="R702" s="87">
        <f t="shared" si="68"/>
        <v>2.4615999532646447E-2</v>
      </c>
      <c r="S702" s="87">
        <f t="shared" si="68"/>
        <v>-1.0073700066537282E-2</v>
      </c>
      <c r="T702" s="87">
        <f t="shared" si="68"/>
        <v>-2.3716526617316044E-2</v>
      </c>
      <c r="U702" s="87">
        <f t="shared" si="67"/>
        <v>1.7126964792800636E-2</v>
      </c>
      <c r="V702" s="87">
        <f t="shared" si="67"/>
        <v>-4.0899852515251661E-3</v>
      </c>
      <c r="W702" s="87">
        <f t="shared" si="67"/>
        <v>-1.8223738956451498E-2</v>
      </c>
      <c r="X702" s="87">
        <f t="shared" si="67"/>
        <v>-3.5718082602079232E-2</v>
      </c>
      <c r="Y702" s="87">
        <f t="shared" si="67"/>
        <v>0</v>
      </c>
      <c r="Z702" s="87">
        <f t="shared" si="67"/>
        <v>-7.7220460939102778E-3</v>
      </c>
      <c r="AA702" s="87">
        <f t="shared" si="69"/>
        <v>-2.2329476398088657E-2</v>
      </c>
      <c r="AB702" s="87">
        <f t="shared" si="69"/>
        <v>-2.5975486403260677E-2</v>
      </c>
      <c r="AC702" s="87">
        <f t="shared" si="69"/>
        <v>-1.2924250980935177E-2</v>
      </c>
      <c r="AD702" s="87">
        <f t="shared" si="69"/>
        <v>-1.4458083175229775E-2</v>
      </c>
      <c r="AE702" s="90">
        <f t="shared" si="65"/>
        <v>7.5693001649522499E-3</v>
      </c>
      <c r="AF702" s="89"/>
    </row>
    <row r="703" spans="1:32" ht="15.5" x14ac:dyDescent="0.35">
      <c r="A703" s="82">
        <v>40784</v>
      </c>
      <c r="B703" s="83">
        <v>7450.3</v>
      </c>
      <c r="C703" s="84">
        <v>2562.1</v>
      </c>
      <c r="D703" s="61">
        <v>267.10000000000002</v>
      </c>
      <c r="E703" s="61">
        <v>12.7</v>
      </c>
      <c r="F703" s="61">
        <v>55.4</v>
      </c>
      <c r="G703" s="61">
        <v>25.4</v>
      </c>
      <c r="H703" s="61">
        <v>45.2</v>
      </c>
      <c r="I703" s="61">
        <v>12</v>
      </c>
      <c r="J703" s="61">
        <v>58.1</v>
      </c>
      <c r="K703" s="61">
        <v>26.9</v>
      </c>
      <c r="L703" s="61">
        <v>32.1</v>
      </c>
      <c r="M703" s="61">
        <v>32.1</v>
      </c>
      <c r="N703" s="61">
        <v>65</v>
      </c>
      <c r="O703" s="85">
        <v>21.7</v>
      </c>
      <c r="P703" s="105"/>
      <c r="Q703" s="87">
        <f t="shared" si="64"/>
        <v>2.7832309380407299E-2</v>
      </c>
      <c r="R703" s="87">
        <f t="shared" si="68"/>
        <v>3.2608997935789988E-2</v>
      </c>
      <c r="S703" s="87">
        <f t="shared" si="68"/>
        <v>3.9325548300109203E-2</v>
      </c>
      <c r="T703" s="87">
        <f t="shared" si="68"/>
        <v>1.5873349156290163E-2</v>
      </c>
      <c r="U703" s="87">
        <f t="shared" si="67"/>
        <v>4.4287680201116279E-2</v>
      </c>
      <c r="V703" s="87">
        <f t="shared" si="67"/>
        <v>4.0166041725334653E-2</v>
      </c>
      <c r="W703" s="87">
        <f t="shared" si="67"/>
        <v>3.8336148743547238E-2</v>
      </c>
      <c r="X703" s="87">
        <f t="shared" si="67"/>
        <v>8.7011376989629699E-2</v>
      </c>
      <c r="Y703" s="87">
        <f t="shared" si="67"/>
        <v>7.6892196690126896E-2</v>
      </c>
      <c r="Z703" s="87">
        <f t="shared" si="67"/>
        <v>4.1751794680221541E-2</v>
      </c>
      <c r="AA703" s="87">
        <f t="shared" si="69"/>
        <v>3.4868825650824074E-2</v>
      </c>
      <c r="AB703" s="87">
        <f t="shared" si="69"/>
        <v>5.4413421723794202E-2</v>
      </c>
      <c r="AC703" s="87">
        <f t="shared" si="69"/>
        <v>5.5350095083164901E-2</v>
      </c>
      <c r="AD703" s="87">
        <f t="shared" si="69"/>
        <v>5.2021184750878448E-2</v>
      </c>
      <c r="AE703" s="90">
        <f t="shared" si="65"/>
        <v>4.0274271410843408E-2</v>
      </c>
      <c r="AF703" s="89"/>
    </row>
    <row r="704" spans="1:32" ht="15.5" x14ac:dyDescent="0.35">
      <c r="A704" s="82">
        <v>40785</v>
      </c>
      <c r="B704" s="83">
        <v>7464</v>
      </c>
      <c r="C704" s="84">
        <v>2576.1</v>
      </c>
      <c r="D704" s="61">
        <v>265.7</v>
      </c>
      <c r="E704" s="61">
        <v>13.2</v>
      </c>
      <c r="F704" s="61">
        <v>55.2</v>
      </c>
      <c r="G704" s="61">
        <v>25.7</v>
      </c>
      <c r="H704" s="61">
        <v>45.8</v>
      </c>
      <c r="I704" s="61">
        <v>12.1</v>
      </c>
      <c r="J704" s="61">
        <v>58</v>
      </c>
      <c r="K704" s="61">
        <v>26.7</v>
      </c>
      <c r="L704" s="61">
        <v>32.1</v>
      </c>
      <c r="M704" s="61">
        <v>32.4</v>
      </c>
      <c r="N704" s="61">
        <v>64.5</v>
      </c>
      <c r="O704" s="85">
        <v>21.6</v>
      </c>
      <c r="P704" s="105"/>
      <c r="Q704" s="87">
        <f t="shared" si="64"/>
        <v>1.8371635079512921E-3</v>
      </c>
      <c r="R704" s="87">
        <f t="shared" si="68"/>
        <v>5.4493926453530106E-3</v>
      </c>
      <c r="S704" s="87">
        <f t="shared" si="68"/>
        <v>-5.2552673501474459E-3</v>
      </c>
      <c r="T704" s="87">
        <f t="shared" si="68"/>
        <v>3.8614836127779516E-2</v>
      </c>
      <c r="U704" s="87">
        <f t="shared" si="67"/>
        <v>-3.6166404701884389E-3</v>
      </c>
      <c r="V704" s="87">
        <f t="shared" si="67"/>
        <v>1.1741817876683195E-2</v>
      </c>
      <c r="W704" s="87">
        <f t="shared" si="67"/>
        <v>1.3187004281953681E-2</v>
      </c>
      <c r="X704" s="87">
        <f t="shared" si="67"/>
        <v>8.2988028146950641E-3</v>
      </c>
      <c r="Y704" s="87">
        <f t="shared" si="67"/>
        <v>-1.7226533114461818E-3</v>
      </c>
      <c r="Z704" s="87">
        <f t="shared" si="67"/>
        <v>-7.4627212015896003E-3</v>
      </c>
      <c r="AA704" s="87">
        <f t="shared" si="69"/>
        <v>0</v>
      </c>
      <c r="AB704" s="87">
        <f t="shared" si="69"/>
        <v>9.3023926623134103E-3</v>
      </c>
      <c r="AC704" s="87">
        <f t="shared" si="69"/>
        <v>-7.7220460939102778E-3</v>
      </c>
      <c r="AD704" s="87">
        <f t="shared" si="69"/>
        <v>-4.6189458562944166E-3</v>
      </c>
      <c r="AE704" s="90">
        <f t="shared" si="65"/>
        <v>-1.5006705847750469E-3</v>
      </c>
      <c r="AF704" s="89"/>
    </row>
    <row r="705" spans="1:32" ht="15.5" x14ac:dyDescent="0.35">
      <c r="A705" s="82">
        <v>40786</v>
      </c>
      <c r="B705" s="83">
        <v>7528.4</v>
      </c>
      <c r="C705" s="84">
        <v>2579.5</v>
      </c>
      <c r="D705" s="61">
        <v>268.3</v>
      </c>
      <c r="E705" s="61">
        <v>13.5</v>
      </c>
      <c r="F705" s="61">
        <v>54.6</v>
      </c>
      <c r="G705" s="61">
        <v>26.3</v>
      </c>
      <c r="H705" s="61">
        <v>46.3</v>
      </c>
      <c r="I705" s="61">
        <v>12.3</v>
      </c>
      <c r="J705" s="61">
        <v>57</v>
      </c>
      <c r="K705" s="61">
        <v>26.4</v>
      </c>
      <c r="L705" s="61">
        <v>32.9</v>
      </c>
      <c r="M705" s="61">
        <v>33.1</v>
      </c>
      <c r="N705" s="61">
        <v>65.599999999999994</v>
      </c>
      <c r="O705" s="85">
        <v>21.5</v>
      </c>
      <c r="P705" s="105"/>
      <c r="Q705" s="87">
        <f t="shared" si="64"/>
        <v>8.5910722892291128E-3</v>
      </c>
      <c r="R705" s="87">
        <f t="shared" si="68"/>
        <v>1.3189543381559603E-3</v>
      </c>
      <c r="S705" s="87">
        <f t="shared" si="68"/>
        <v>9.7379046658108009E-3</v>
      </c>
      <c r="T705" s="87">
        <f t="shared" si="68"/>
        <v>2.2472855852058576E-2</v>
      </c>
      <c r="U705" s="87">
        <f t="shared" si="67"/>
        <v>-1.0929070532190317E-2</v>
      </c>
      <c r="V705" s="87">
        <f t="shared" si="67"/>
        <v>2.3077947282544888E-2</v>
      </c>
      <c r="W705" s="87">
        <f t="shared" si="67"/>
        <v>1.0857869972049086E-2</v>
      </c>
      <c r="X705" s="87">
        <f t="shared" si="67"/>
        <v>1.639380977567657E-2</v>
      </c>
      <c r="Y705" s="87">
        <f t="shared" si="67"/>
        <v>-1.7391742711869222E-2</v>
      </c>
      <c r="Z705" s="87">
        <f t="shared" si="67"/>
        <v>-1.1299555253933394E-2</v>
      </c>
      <c r="AA705" s="87">
        <f t="shared" si="69"/>
        <v>2.461662763535603E-2</v>
      </c>
      <c r="AB705" s="87">
        <f t="shared" si="69"/>
        <v>2.1374859584733612E-2</v>
      </c>
      <c r="AC705" s="87">
        <f t="shared" si="69"/>
        <v>1.6910472148316539E-2</v>
      </c>
      <c r="AD705" s="87">
        <f t="shared" si="69"/>
        <v>-4.6403795565022254E-3</v>
      </c>
      <c r="AE705" s="90">
        <f t="shared" si="65"/>
        <v>-4.4281097834464257E-4</v>
      </c>
      <c r="AF705" s="89"/>
    </row>
    <row r="706" spans="1:32" ht="15.5" x14ac:dyDescent="0.35">
      <c r="A706" s="82">
        <v>40787</v>
      </c>
      <c r="B706" s="83">
        <v>7443.5</v>
      </c>
      <c r="C706" s="84">
        <v>2546</v>
      </c>
      <c r="D706" s="61">
        <v>265.89999999999998</v>
      </c>
      <c r="E706" s="61">
        <v>13.3</v>
      </c>
      <c r="F706" s="61">
        <v>54.4</v>
      </c>
      <c r="G706" s="61">
        <v>26.2</v>
      </c>
      <c r="H706" s="61">
        <v>45.7</v>
      </c>
      <c r="I706" s="61">
        <v>12</v>
      </c>
      <c r="J706" s="61">
        <v>57.5</v>
      </c>
      <c r="K706" s="61">
        <v>26</v>
      </c>
      <c r="L706" s="61">
        <v>32.9</v>
      </c>
      <c r="M706" s="61">
        <v>32.4</v>
      </c>
      <c r="N706" s="61">
        <v>64.900000000000006</v>
      </c>
      <c r="O706" s="85">
        <v>21.5</v>
      </c>
      <c r="P706" s="105"/>
      <c r="Q706" s="87">
        <f t="shared" si="64"/>
        <v>-1.1341367499296961E-2</v>
      </c>
      <c r="R706" s="87">
        <f t="shared" si="68"/>
        <v>-1.3072081567352775E-2</v>
      </c>
      <c r="S706" s="87">
        <f t="shared" si="68"/>
        <v>-8.9854591826044206E-3</v>
      </c>
      <c r="T706" s="87">
        <f t="shared" si="68"/>
        <v>-1.4925650216675593E-2</v>
      </c>
      <c r="U706" s="87">
        <f t="shared" si="67"/>
        <v>-3.6697288889625131E-3</v>
      </c>
      <c r="V706" s="87">
        <f t="shared" si="67"/>
        <v>-3.8095284166677302E-3</v>
      </c>
      <c r="W706" s="87">
        <f t="shared" si="67"/>
        <v>-1.3043663192029226E-2</v>
      </c>
      <c r="X706" s="87">
        <f t="shared" si="67"/>
        <v>-2.4692612590371522E-2</v>
      </c>
      <c r="Y706" s="87">
        <f t="shared" si="67"/>
        <v>8.7336799687546315E-3</v>
      </c>
      <c r="Z706" s="87">
        <f t="shared" si="67"/>
        <v>-1.5267472130788421E-2</v>
      </c>
      <c r="AA706" s="87">
        <f t="shared" si="69"/>
        <v>0</v>
      </c>
      <c r="AB706" s="87">
        <f t="shared" si="69"/>
        <v>-2.1374859584733563E-2</v>
      </c>
      <c r="AC706" s="87">
        <f t="shared" si="69"/>
        <v>-1.0728072239998889E-2</v>
      </c>
      <c r="AD706" s="87">
        <f t="shared" si="69"/>
        <v>0</v>
      </c>
      <c r="AE706" s="90">
        <f t="shared" si="65"/>
        <v>-7.5982771022459067E-3</v>
      </c>
      <c r="AF706" s="89"/>
    </row>
    <row r="707" spans="1:32" ht="15.5" x14ac:dyDescent="0.35">
      <c r="A707" s="82">
        <v>40788</v>
      </c>
      <c r="B707" s="83">
        <v>7250.7</v>
      </c>
      <c r="C707" s="84">
        <v>2480.3000000000002</v>
      </c>
      <c r="D707" s="61">
        <v>260.60000000000002</v>
      </c>
      <c r="E707" s="61">
        <v>12.9</v>
      </c>
      <c r="F707" s="61">
        <v>53.1</v>
      </c>
      <c r="G707" s="61">
        <v>25.7</v>
      </c>
      <c r="H707" s="61">
        <v>44.1</v>
      </c>
      <c r="I707" s="61">
        <v>11.3</v>
      </c>
      <c r="J707" s="61">
        <v>56.1</v>
      </c>
      <c r="K707" s="61">
        <v>25</v>
      </c>
      <c r="L707" s="61">
        <v>32.299999999999997</v>
      </c>
      <c r="M707" s="61">
        <v>30.8</v>
      </c>
      <c r="N707" s="61">
        <v>63.3</v>
      </c>
      <c r="O707" s="85">
        <v>21</v>
      </c>
      <c r="P707" s="105"/>
      <c r="Q707" s="87">
        <f t="shared" si="64"/>
        <v>-2.624315240507126E-2</v>
      </c>
      <c r="R707" s="87">
        <f t="shared" si="68"/>
        <v>-2.614397953239566E-2</v>
      </c>
      <c r="S707" s="87">
        <f t="shared" si="68"/>
        <v>-2.0133633558229166E-2</v>
      </c>
      <c r="T707" s="87">
        <f t="shared" si="68"/>
        <v>-3.053672386008165E-2</v>
      </c>
      <c r="U707" s="87">
        <f t="shared" si="67"/>
        <v>-2.4187225614003709E-2</v>
      </c>
      <c r="V707" s="87">
        <f t="shared" si="67"/>
        <v>-1.9268418865877032E-2</v>
      </c>
      <c r="W707" s="87">
        <f t="shared" si="67"/>
        <v>-3.5638515447358736E-2</v>
      </c>
      <c r="X707" s="87">
        <f t="shared" si="67"/>
        <v>-6.0103924069705321E-2</v>
      </c>
      <c r="Y707" s="87">
        <f t="shared" si="67"/>
        <v>-2.4649135274654118E-2</v>
      </c>
      <c r="Z707" s="87">
        <f t="shared" si="67"/>
        <v>-3.9220713153281267E-2</v>
      </c>
      <c r="AA707" s="87">
        <f t="shared" si="69"/>
        <v>-1.8405427542715409E-2</v>
      </c>
      <c r="AB707" s="87">
        <f t="shared" si="69"/>
        <v>-5.0643732818754797E-2</v>
      </c>
      <c r="AC707" s="87">
        <f t="shared" si="69"/>
        <v>-2.4962294559913948E-2</v>
      </c>
      <c r="AD707" s="87">
        <f t="shared" si="69"/>
        <v>-2.3530497410194161E-2</v>
      </c>
      <c r="AE707" s="90">
        <f t="shared" si="65"/>
        <v>-2.350718835806451E-2</v>
      </c>
      <c r="AF707" s="89"/>
    </row>
    <row r="708" spans="1:32" ht="15.5" x14ac:dyDescent="0.35">
      <c r="A708" s="82">
        <v>40792</v>
      </c>
      <c r="B708" s="83">
        <v>7148.1</v>
      </c>
      <c r="C708" s="84">
        <v>2473.8000000000002</v>
      </c>
      <c r="D708" s="61">
        <v>255.5</v>
      </c>
      <c r="E708" s="61">
        <v>12.5</v>
      </c>
      <c r="F708" s="61">
        <v>52.4</v>
      </c>
      <c r="G708" s="61">
        <v>25.1</v>
      </c>
      <c r="H708" s="61">
        <v>43.5</v>
      </c>
      <c r="I708" s="61">
        <v>10.6</v>
      </c>
      <c r="J708" s="61">
        <v>55.9</v>
      </c>
      <c r="K708" s="61">
        <v>24.1</v>
      </c>
      <c r="L708" s="61">
        <v>31.5</v>
      </c>
      <c r="M708" s="61">
        <v>28.8</v>
      </c>
      <c r="N708" s="61">
        <v>61.6</v>
      </c>
      <c r="O708" s="85">
        <v>20.100000000000001</v>
      </c>
      <c r="P708" s="105"/>
      <c r="Q708" s="87">
        <f t="shared" si="64"/>
        <v>-1.4251428803327693E-2</v>
      </c>
      <c r="R708" s="87">
        <f t="shared" si="68"/>
        <v>-2.6240906440467074E-3</v>
      </c>
      <c r="S708" s="87">
        <f t="shared" si="68"/>
        <v>-1.9764255046985726E-2</v>
      </c>
      <c r="T708" s="87">
        <f t="shared" si="68"/>
        <v>-3.1498667059371051E-2</v>
      </c>
      <c r="U708" s="87">
        <f t="shared" si="67"/>
        <v>-1.3270336920896698E-2</v>
      </c>
      <c r="V708" s="87">
        <f t="shared" si="67"/>
        <v>-2.3623145763435827E-2</v>
      </c>
      <c r="W708" s="87">
        <f t="shared" si="67"/>
        <v>-1.3698844358161915E-2</v>
      </c>
      <c r="X708" s="87">
        <f t="shared" si="67"/>
        <v>-6.3948724600273524E-2</v>
      </c>
      <c r="Y708" s="87">
        <f t="shared" si="67"/>
        <v>-3.5714323675972446E-3</v>
      </c>
      <c r="Z708" s="87">
        <f t="shared" si="67"/>
        <v>-3.6663984371591359E-2</v>
      </c>
      <c r="AA708" s="87">
        <f t="shared" si="69"/>
        <v>-2.5079684397023429E-2</v>
      </c>
      <c r="AB708" s="87">
        <f t="shared" si="69"/>
        <v>-6.7139302837628562E-2</v>
      </c>
      <c r="AC708" s="87">
        <f t="shared" si="69"/>
        <v>-2.7223458610656313E-2</v>
      </c>
      <c r="AD708" s="87">
        <f t="shared" si="69"/>
        <v>-4.3802622658392888E-2</v>
      </c>
      <c r="AE708" s="90">
        <f t="shared" si="65"/>
        <v>-1.5691473950080709E-2</v>
      </c>
      <c r="AF708" s="89"/>
    </row>
    <row r="709" spans="1:32" ht="15.5" x14ac:dyDescent="0.35">
      <c r="A709" s="82">
        <v>40793</v>
      </c>
      <c r="B709" s="83">
        <v>7355.2</v>
      </c>
      <c r="C709" s="84">
        <v>2548.9</v>
      </c>
      <c r="D709" s="61">
        <v>264</v>
      </c>
      <c r="E709" s="61">
        <v>13.2</v>
      </c>
      <c r="F709" s="61">
        <v>54.6</v>
      </c>
      <c r="G709" s="61">
        <v>25.6</v>
      </c>
      <c r="H709" s="61">
        <v>45.2</v>
      </c>
      <c r="I709" s="61">
        <v>11.2</v>
      </c>
      <c r="J709" s="61">
        <v>58.8</v>
      </c>
      <c r="K709" s="61">
        <v>26</v>
      </c>
      <c r="L709" s="61">
        <v>32.5</v>
      </c>
      <c r="M709" s="61">
        <v>30.1</v>
      </c>
      <c r="N709" s="61">
        <v>64.599999999999994</v>
      </c>
      <c r="O709" s="85">
        <v>21</v>
      </c>
      <c r="P709" s="105"/>
      <c r="Q709" s="87">
        <f t="shared" si="64"/>
        <v>2.8560958943250538E-2</v>
      </c>
      <c r="R709" s="87">
        <f t="shared" si="68"/>
        <v>2.9906463594639339E-2</v>
      </c>
      <c r="S709" s="87">
        <f t="shared" si="68"/>
        <v>3.2726693502556983E-2</v>
      </c>
      <c r="T709" s="87">
        <f t="shared" si="68"/>
        <v>5.4488185284069776E-2</v>
      </c>
      <c r="U709" s="87">
        <f t="shared" si="67"/>
        <v>4.1127291423862997E-2</v>
      </c>
      <c r="V709" s="87">
        <f t="shared" si="67"/>
        <v>1.9724505347778573E-2</v>
      </c>
      <c r="W709" s="87">
        <f t="shared" si="67"/>
        <v>3.8336148743547238E-2</v>
      </c>
      <c r="X709" s="87">
        <f t="shared" si="67"/>
        <v>5.5059777183027389E-2</v>
      </c>
      <c r="Y709" s="87">
        <f t="shared" si="67"/>
        <v>5.0577474743527764E-2</v>
      </c>
      <c r="Z709" s="87">
        <f t="shared" si="67"/>
        <v>7.5884697524872674E-2</v>
      </c>
      <c r="AA709" s="87">
        <f t="shared" si="69"/>
        <v>3.125254350410453E-2</v>
      </c>
      <c r="AB709" s="87">
        <f t="shared" si="69"/>
        <v>4.4149784612929753E-2</v>
      </c>
      <c r="AC709" s="87">
        <f t="shared" si="69"/>
        <v>4.7552540249082058E-2</v>
      </c>
      <c r="AD709" s="87">
        <f t="shared" si="69"/>
        <v>4.380262265839284E-2</v>
      </c>
      <c r="AE709" s="90">
        <f t="shared" si="65"/>
        <v>3.5629651521903366E-2</v>
      </c>
      <c r="AF709" s="89"/>
    </row>
    <row r="710" spans="1:32" ht="15.5" x14ac:dyDescent="0.35">
      <c r="A710" s="82">
        <v>40794</v>
      </c>
      <c r="B710" s="83">
        <v>7257.4</v>
      </c>
      <c r="C710" s="84">
        <v>2529.1</v>
      </c>
      <c r="D710" s="61">
        <v>266.2</v>
      </c>
      <c r="E710" s="61">
        <v>13.4</v>
      </c>
      <c r="F710" s="61">
        <v>54.6</v>
      </c>
      <c r="G710" s="61">
        <v>26</v>
      </c>
      <c r="H710" s="61">
        <v>45.6</v>
      </c>
      <c r="I710" s="61">
        <v>11.2</v>
      </c>
      <c r="J710" s="61">
        <v>58.2</v>
      </c>
      <c r="K710" s="61">
        <v>25.8</v>
      </c>
      <c r="L710" s="61">
        <v>32.700000000000003</v>
      </c>
      <c r="M710" s="61">
        <v>30</v>
      </c>
      <c r="N710" s="61">
        <v>64.8</v>
      </c>
      <c r="O710" s="85">
        <v>21.2</v>
      </c>
      <c r="P710" s="105"/>
      <c r="Q710" s="87">
        <f t="shared" si="64"/>
        <v>-1.338590809757389E-2</v>
      </c>
      <c r="R710" s="87">
        <f t="shared" si="68"/>
        <v>-7.7983853266408096E-3</v>
      </c>
      <c r="S710" s="87">
        <f t="shared" si="68"/>
        <v>8.2988028146950641E-3</v>
      </c>
      <c r="T710" s="87">
        <f t="shared" si="68"/>
        <v>1.5037877364540502E-2</v>
      </c>
      <c r="U710" s="87">
        <f t="shared" si="67"/>
        <v>0</v>
      </c>
      <c r="V710" s="87">
        <f t="shared" si="67"/>
        <v>1.5504186535965254E-2</v>
      </c>
      <c r="W710" s="87">
        <f t="shared" si="67"/>
        <v>8.8106296821549059E-3</v>
      </c>
      <c r="X710" s="87">
        <f t="shared" si="67"/>
        <v>0</v>
      </c>
      <c r="Y710" s="87">
        <f t="shared" si="67"/>
        <v>-1.0256500167188997E-2</v>
      </c>
      <c r="Z710" s="87">
        <f t="shared" si="67"/>
        <v>-7.7220460939102778E-3</v>
      </c>
      <c r="AA710" s="87">
        <f t="shared" si="69"/>
        <v>6.1349885675159293E-3</v>
      </c>
      <c r="AB710" s="87">
        <f t="shared" si="69"/>
        <v>-3.327790092674691E-3</v>
      </c>
      <c r="AC710" s="87">
        <f t="shared" si="69"/>
        <v>3.0911925696728796E-3</v>
      </c>
      <c r="AD710" s="87">
        <f t="shared" si="69"/>
        <v>9.4787439545437387E-3</v>
      </c>
      <c r="AE710" s="90">
        <f t="shared" si="65"/>
        <v>1.2441638192295737E-3</v>
      </c>
      <c r="AF710" s="89"/>
    </row>
    <row r="711" spans="1:32" ht="15.5" x14ac:dyDescent="0.35">
      <c r="A711" s="82">
        <v>40795</v>
      </c>
      <c r="B711" s="83">
        <v>7045</v>
      </c>
      <c r="C711" s="84">
        <v>2468</v>
      </c>
      <c r="D711" s="61">
        <v>260.89999999999998</v>
      </c>
      <c r="E711" s="61">
        <v>14.1</v>
      </c>
      <c r="F711" s="61">
        <v>53.6</v>
      </c>
      <c r="G711" s="61">
        <v>25.5</v>
      </c>
      <c r="H711" s="61">
        <v>45.4</v>
      </c>
      <c r="I711" s="61">
        <v>10.6</v>
      </c>
      <c r="J711" s="61">
        <v>57</v>
      </c>
      <c r="K711" s="61">
        <v>25.1</v>
      </c>
      <c r="L711" s="61">
        <v>31.6</v>
      </c>
      <c r="M711" s="61">
        <v>29.1</v>
      </c>
      <c r="N711" s="61">
        <v>61.3</v>
      </c>
      <c r="O711" s="85">
        <v>20.6</v>
      </c>
      <c r="P711" s="105"/>
      <c r="Q711" s="87">
        <f t="shared" si="64"/>
        <v>-2.9703492621608971E-2</v>
      </c>
      <c r="R711" s="87">
        <f t="shared" si="68"/>
        <v>-2.4455402183629342E-2</v>
      </c>
      <c r="S711" s="87">
        <f t="shared" si="68"/>
        <v>-2.0110713818328504E-2</v>
      </c>
      <c r="T711" s="87">
        <f t="shared" si="68"/>
        <v>5.0920090427256946E-2</v>
      </c>
      <c r="U711" s="87">
        <f t="shared" si="67"/>
        <v>-1.8484814674103102E-2</v>
      </c>
      <c r="V711" s="87">
        <f t="shared" si="67"/>
        <v>-1.9418085857101627E-2</v>
      </c>
      <c r="W711" s="87">
        <f t="shared" si="67"/>
        <v>-4.3956114730381093E-3</v>
      </c>
      <c r="X711" s="87">
        <f t="shared" si="67"/>
        <v>-5.5059777183027313E-2</v>
      </c>
      <c r="Y711" s="87">
        <f t="shared" si="67"/>
        <v>-2.0834086902842025E-2</v>
      </c>
      <c r="Z711" s="87">
        <f t="shared" si="67"/>
        <v>-2.7506645789833473E-2</v>
      </c>
      <c r="AA711" s="87">
        <f t="shared" si="69"/>
        <v>-3.4217957310341378E-2</v>
      </c>
      <c r="AB711" s="87">
        <f t="shared" si="69"/>
        <v>-3.0459207484708459E-2</v>
      </c>
      <c r="AC711" s="87">
        <f t="shared" si="69"/>
        <v>-5.5525760416063316E-2</v>
      </c>
      <c r="AD711" s="87">
        <f t="shared" si="69"/>
        <v>-2.8710105882431253E-2</v>
      </c>
      <c r="AE711" s="90">
        <f t="shared" si="65"/>
        <v>-2.1993360833262279E-2</v>
      </c>
      <c r="AF711" s="89"/>
    </row>
    <row r="712" spans="1:32" ht="15.5" x14ac:dyDescent="0.35">
      <c r="A712" s="82">
        <v>40798</v>
      </c>
      <c r="B712" s="83">
        <v>7047.1</v>
      </c>
      <c r="C712" s="84">
        <v>2495.1</v>
      </c>
      <c r="D712" s="61">
        <v>259</v>
      </c>
      <c r="E712" s="61">
        <v>13.9</v>
      </c>
      <c r="F712" s="61">
        <v>53.1</v>
      </c>
      <c r="G712" s="61">
        <v>25.3</v>
      </c>
      <c r="H712" s="61">
        <v>44.3</v>
      </c>
      <c r="I712" s="61">
        <v>10</v>
      </c>
      <c r="J712" s="61">
        <v>55.2</v>
      </c>
      <c r="K712" s="61">
        <v>24.8</v>
      </c>
      <c r="L712" s="61">
        <v>31.4</v>
      </c>
      <c r="M712" s="61">
        <v>29</v>
      </c>
      <c r="N712" s="61">
        <v>59.5</v>
      </c>
      <c r="O712" s="85">
        <v>20.399999999999999</v>
      </c>
      <c r="P712" s="105"/>
      <c r="Q712" s="87">
        <f t="shared" si="64"/>
        <v>2.9803932920497849E-4</v>
      </c>
      <c r="R712" s="87">
        <f t="shared" si="68"/>
        <v>1.0920702517473091E-2</v>
      </c>
      <c r="S712" s="87">
        <f t="shared" si="68"/>
        <v>-7.3091304431449587E-3</v>
      </c>
      <c r="T712" s="87">
        <f t="shared" si="68"/>
        <v>-1.4285957247476428E-2</v>
      </c>
      <c r="U712" s="87">
        <f t="shared" si="67"/>
        <v>-9.3721398288632105E-3</v>
      </c>
      <c r="V712" s="87">
        <f t="shared" si="67"/>
        <v>-7.874056430905883E-3</v>
      </c>
      <c r="W712" s="87">
        <f t="shared" si="67"/>
        <v>-2.4527427996212426E-2</v>
      </c>
      <c r="X712" s="87">
        <f t="shared" si="67"/>
        <v>-5.8268908123975761E-2</v>
      </c>
      <c r="Y712" s="87">
        <f t="shared" si="67"/>
        <v>-3.2088314551500512E-2</v>
      </c>
      <c r="Z712" s="87">
        <f t="shared" si="67"/>
        <v>-1.2024192966801701E-2</v>
      </c>
      <c r="AA712" s="87">
        <f t="shared" si="69"/>
        <v>-6.3492276786588919E-3</v>
      </c>
      <c r="AB712" s="87">
        <f t="shared" si="69"/>
        <v>-3.4423441909729015E-3</v>
      </c>
      <c r="AC712" s="87">
        <f t="shared" si="69"/>
        <v>-2.9803530390581614E-2</v>
      </c>
      <c r="AD712" s="87">
        <f t="shared" si="69"/>
        <v>-9.756174945364798E-3</v>
      </c>
      <c r="AE712" s="90">
        <f t="shared" si="65"/>
        <v>-2.7320939789119074E-3</v>
      </c>
      <c r="AF712" s="89"/>
    </row>
    <row r="713" spans="1:32" ht="15.5" x14ac:dyDescent="0.35">
      <c r="A713" s="82">
        <v>40799</v>
      </c>
      <c r="B713" s="83">
        <v>7110</v>
      </c>
      <c r="C713" s="84">
        <v>2532.1</v>
      </c>
      <c r="D713" s="61">
        <v>262</v>
      </c>
      <c r="E713" s="61">
        <v>14.1</v>
      </c>
      <c r="F713" s="61">
        <v>54.3</v>
      </c>
      <c r="G713" s="61">
        <v>25.8</v>
      </c>
      <c r="H713" s="61">
        <v>44.8</v>
      </c>
      <c r="I713" s="61">
        <v>10.3</v>
      </c>
      <c r="J713" s="61">
        <v>56.1</v>
      </c>
      <c r="K713" s="61">
        <v>25.4</v>
      </c>
      <c r="L713" s="61">
        <v>31.5</v>
      </c>
      <c r="M713" s="61">
        <v>30.1</v>
      </c>
      <c r="N713" s="61">
        <v>61.2</v>
      </c>
      <c r="O713" s="85">
        <v>21</v>
      </c>
      <c r="P713" s="105"/>
      <c r="Q713" s="87">
        <f t="shared" si="64"/>
        <v>8.8860591353010152E-3</v>
      </c>
      <c r="R713" s="87">
        <f t="shared" si="68"/>
        <v>1.4720189412203263E-2</v>
      </c>
      <c r="S713" s="87">
        <f t="shared" si="68"/>
        <v>1.1516442061559081E-2</v>
      </c>
      <c r="T713" s="87">
        <f t="shared" si="68"/>
        <v>1.4285957247476434E-2</v>
      </c>
      <c r="U713" s="87">
        <f t="shared" si="67"/>
        <v>2.2347298691996618E-2</v>
      </c>
      <c r="V713" s="87">
        <f t="shared" si="67"/>
        <v>1.9570096194097296E-2</v>
      </c>
      <c r="W713" s="87">
        <f t="shared" si="67"/>
        <v>1.1223462369849576E-2</v>
      </c>
      <c r="X713" s="87">
        <f t="shared" si="67"/>
        <v>2.9558802241544429E-2</v>
      </c>
      <c r="Y713" s="87">
        <f t="shared" si="67"/>
        <v>1.6172859245600968E-2</v>
      </c>
      <c r="Z713" s="87">
        <f t="shared" si="67"/>
        <v>2.3905520853554386E-2</v>
      </c>
      <c r="AA713" s="87">
        <f t="shared" si="69"/>
        <v>3.1796529173798056E-3</v>
      </c>
      <c r="AB713" s="87">
        <f t="shared" si="69"/>
        <v>3.7229341768355982E-2</v>
      </c>
      <c r="AC713" s="87">
        <f t="shared" si="69"/>
        <v>2.8170876966696439E-2</v>
      </c>
      <c r="AD713" s="87">
        <f t="shared" si="69"/>
        <v>2.8987536873252406E-2</v>
      </c>
      <c r="AE713" s="90">
        <f t="shared" si="65"/>
        <v>1.7697304978677914E-2</v>
      </c>
      <c r="AF713" s="89"/>
    </row>
    <row r="714" spans="1:32" ht="15.5" x14ac:dyDescent="0.35">
      <c r="A714" s="82">
        <v>40800</v>
      </c>
      <c r="B714" s="83">
        <v>7199.1</v>
      </c>
      <c r="C714" s="84">
        <v>2572.6</v>
      </c>
      <c r="D714" s="61">
        <v>263.2</v>
      </c>
      <c r="E714" s="61">
        <v>14.3</v>
      </c>
      <c r="F714" s="61">
        <v>55.1</v>
      </c>
      <c r="G714" s="61">
        <v>25.9</v>
      </c>
      <c r="H714" s="61">
        <v>45.3</v>
      </c>
      <c r="I714" s="61">
        <v>10.5</v>
      </c>
      <c r="J714" s="61">
        <v>56.4</v>
      </c>
      <c r="K714" s="61">
        <v>26.3</v>
      </c>
      <c r="L714" s="61">
        <v>31.5</v>
      </c>
      <c r="M714" s="61">
        <v>30.1</v>
      </c>
      <c r="N714" s="61">
        <v>61.1</v>
      </c>
      <c r="O714" s="85">
        <v>21.4</v>
      </c>
      <c r="P714" s="105"/>
      <c r="Q714" s="87">
        <f t="shared" si="64"/>
        <v>1.2453774393709037E-2</v>
      </c>
      <c r="R714" s="87">
        <f t="shared" si="68"/>
        <v>1.5868062689660182E-2</v>
      </c>
      <c r="S714" s="87">
        <f t="shared" si="68"/>
        <v>4.5696956900652683E-3</v>
      </c>
      <c r="T714" s="87">
        <f t="shared" si="68"/>
        <v>1.4084739881739023E-2</v>
      </c>
      <c r="U714" s="87">
        <f t="shared" si="67"/>
        <v>1.4625489218979231E-2</v>
      </c>
      <c r="V714" s="87">
        <f t="shared" si="67"/>
        <v>3.8684767779203319E-3</v>
      </c>
      <c r="W714" s="87">
        <f t="shared" si="67"/>
        <v>1.1098893068048765E-2</v>
      </c>
      <c r="X714" s="87">
        <f t="shared" si="67"/>
        <v>1.9231361927887592E-2</v>
      </c>
      <c r="Y714" s="87">
        <f t="shared" si="67"/>
        <v>5.3333459753626029E-3</v>
      </c>
      <c r="Z714" s="87">
        <f t="shared" si="67"/>
        <v>3.4819765159228119E-2</v>
      </c>
      <c r="AA714" s="87">
        <f t="shared" si="69"/>
        <v>0</v>
      </c>
      <c r="AB714" s="87">
        <f t="shared" si="69"/>
        <v>0</v>
      </c>
      <c r="AC714" s="87">
        <f t="shared" si="69"/>
        <v>-1.6353233407307532E-3</v>
      </c>
      <c r="AD714" s="87">
        <f t="shared" si="69"/>
        <v>1.8868484304382736E-2</v>
      </c>
      <c r="AE714" s="90">
        <f t="shared" si="65"/>
        <v>1.2569699751223171E-2</v>
      </c>
      <c r="AF714" s="89"/>
    </row>
    <row r="715" spans="1:32" ht="15.5" x14ac:dyDescent="0.35">
      <c r="A715" s="82">
        <v>40801</v>
      </c>
      <c r="B715" s="83">
        <v>7329.1</v>
      </c>
      <c r="C715" s="84">
        <v>2607.1</v>
      </c>
      <c r="D715" s="61">
        <v>267.60000000000002</v>
      </c>
      <c r="E715" s="61">
        <v>14.5</v>
      </c>
      <c r="F715" s="61">
        <v>55.7</v>
      </c>
      <c r="G715" s="61">
        <v>26.3</v>
      </c>
      <c r="H715" s="61">
        <v>46.4</v>
      </c>
      <c r="I715" s="61">
        <v>10.9</v>
      </c>
      <c r="J715" s="61">
        <v>56.6</v>
      </c>
      <c r="K715" s="61">
        <v>26.4</v>
      </c>
      <c r="L715" s="61">
        <v>32</v>
      </c>
      <c r="M715" s="61">
        <v>31.4</v>
      </c>
      <c r="N715" s="61">
        <v>61</v>
      </c>
      <c r="O715" s="85">
        <v>21.7</v>
      </c>
      <c r="P715" s="105"/>
      <c r="Q715" s="87">
        <f t="shared" si="64"/>
        <v>1.7896707068022145E-2</v>
      </c>
      <c r="R715" s="87">
        <f t="shared" si="68"/>
        <v>1.3321431819433455E-2</v>
      </c>
      <c r="S715" s="87">
        <f t="shared" si="68"/>
        <v>1.6579128802911482E-2</v>
      </c>
      <c r="T715" s="87">
        <f t="shared" si="68"/>
        <v>1.3889112160667093E-2</v>
      </c>
      <c r="U715" s="87">
        <f t="shared" si="67"/>
        <v>1.0830430774369591E-2</v>
      </c>
      <c r="V715" s="87">
        <f t="shared" si="67"/>
        <v>1.5325970478226991E-2</v>
      </c>
      <c r="W715" s="87">
        <f t="shared" si="67"/>
        <v>2.3992426743221367E-2</v>
      </c>
      <c r="X715" s="87">
        <f t="shared" si="67"/>
        <v>3.7387532071620412E-2</v>
      </c>
      <c r="Y715" s="87">
        <f t="shared" si="67"/>
        <v>3.5398267051239868E-3</v>
      </c>
      <c r="Z715" s="87">
        <f t="shared" si="67"/>
        <v>3.7950709685515343E-3</v>
      </c>
      <c r="AA715" s="87">
        <f t="shared" si="69"/>
        <v>1.5748356968139112E-2</v>
      </c>
      <c r="AB715" s="87">
        <f t="shared" si="69"/>
        <v>4.228272115937759E-2</v>
      </c>
      <c r="AC715" s="87">
        <f t="shared" si="69"/>
        <v>-1.6380020042383583E-3</v>
      </c>
      <c r="AD715" s="87">
        <f t="shared" si="69"/>
        <v>1.3921338518608014E-2</v>
      </c>
      <c r="AE715" s="90">
        <f t="shared" si="65"/>
        <v>1.3635812734042706E-2</v>
      </c>
      <c r="AF715" s="89"/>
    </row>
    <row r="716" spans="1:32" ht="15.5" x14ac:dyDescent="0.35">
      <c r="A716" s="82">
        <v>40802</v>
      </c>
      <c r="B716" s="83">
        <v>7348.2</v>
      </c>
      <c r="C716" s="84">
        <v>2622.3</v>
      </c>
      <c r="D716" s="61">
        <v>271.8</v>
      </c>
      <c r="E716" s="61">
        <v>14.9</v>
      </c>
      <c r="F716" s="61">
        <v>56.4</v>
      </c>
      <c r="G716" s="61">
        <v>26.8</v>
      </c>
      <c r="H716" s="61">
        <v>47</v>
      </c>
      <c r="I716" s="61">
        <v>11</v>
      </c>
      <c r="J716" s="61">
        <v>56</v>
      </c>
      <c r="K716" s="61">
        <v>27.4</v>
      </c>
      <c r="L716" s="61">
        <v>32.4</v>
      </c>
      <c r="M716" s="61">
        <v>32.299999999999997</v>
      </c>
      <c r="N716" s="61">
        <v>60.9</v>
      </c>
      <c r="O716" s="85">
        <v>22.1</v>
      </c>
      <c r="P716" s="105"/>
      <c r="Q716" s="87">
        <f t="shared" si="64"/>
        <v>2.6026599962788682E-3</v>
      </c>
      <c r="R716" s="87">
        <f t="shared" si="68"/>
        <v>5.8133027905033748E-3</v>
      </c>
      <c r="S716" s="87">
        <f t="shared" si="68"/>
        <v>1.5573173462969887E-2</v>
      </c>
      <c r="T716" s="87">
        <f t="shared" si="68"/>
        <v>2.7212563524884794E-2</v>
      </c>
      <c r="U716" s="87">
        <f t="shared" si="67"/>
        <v>1.2489011570774767E-2</v>
      </c>
      <c r="V716" s="87">
        <f t="shared" si="67"/>
        <v>1.8832948333092178E-2</v>
      </c>
      <c r="W716" s="87">
        <f t="shared" si="67"/>
        <v>1.2848142477849059E-2</v>
      </c>
      <c r="X716" s="87">
        <f t="shared" si="67"/>
        <v>9.1324835632724723E-3</v>
      </c>
      <c r="Y716" s="87">
        <f t="shared" si="67"/>
        <v>-1.0657294473988093E-2</v>
      </c>
      <c r="Z716" s="87">
        <f t="shared" si="67"/>
        <v>3.7179003241754029E-2</v>
      </c>
      <c r="AA716" s="87">
        <f t="shared" si="69"/>
        <v>1.242251999855711E-2</v>
      </c>
      <c r="AB716" s="87">
        <f t="shared" si="69"/>
        <v>2.8259337314403058E-2</v>
      </c>
      <c r="AC716" s="87">
        <f t="shared" si="69"/>
        <v>-1.6406894574598886E-3</v>
      </c>
      <c r="AD716" s="87">
        <f t="shared" si="69"/>
        <v>1.8265347977293404E-2</v>
      </c>
      <c r="AE716" s="90">
        <f t="shared" si="65"/>
        <v>1.2093014013933043E-2</v>
      </c>
      <c r="AF716" s="89"/>
    </row>
    <row r="717" spans="1:32" ht="15.5" x14ac:dyDescent="0.35">
      <c r="A717" s="82">
        <v>40805</v>
      </c>
      <c r="B717" s="83">
        <v>7234.6</v>
      </c>
      <c r="C717" s="84">
        <v>2612.8000000000002</v>
      </c>
      <c r="D717" s="61">
        <v>268</v>
      </c>
      <c r="E717" s="61">
        <v>14.4</v>
      </c>
      <c r="F717" s="61">
        <v>56.5</v>
      </c>
      <c r="G717" s="61">
        <v>26.6</v>
      </c>
      <c r="H717" s="61">
        <v>45</v>
      </c>
      <c r="I717" s="61">
        <v>10.7</v>
      </c>
      <c r="J717" s="61">
        <v>53.3</v>
      </c>
      <c r="K717" s="61">
        <v>26.9</v>
      </c>
      <c r="L717" s="61">
        <v>31.9</v>
      </c>
      <c r="M717" s="61">
        <v>30.5</v>
      </c>
      <c r="N717" s="61">
        <v>59.6</v>
      </c>
      <c r="O717" s="85">
        <v>22</v>
      </c>
      <c r="P717" s="105"/>
      <c r="Q717" s="87">
        <f t="shared" si="64"/>
        <v>-1.5580313518360261E-2</v>
      </c>
      <c r="R717" s="87">
        <f t="shared" si="68"/>
        <v>-3.6293520383512924E-3</v>
      </c>
      <c r="S717" s="87">
        <f t="shared" si="68"/>
        <v>-1.4079521206186656E-2</v>
      </c>
      <c r="T717" s="87">
        <f t="shared" si="68"/>
        <v>-3.4133006369458471E-2</v>
      </c>
      <c r="U717" s="87">
        <f t="shared" si="67"/>
        <v>1.7714796483820209E-3</v>
      </c>
      <c r="V717" s="87">
        <f t="shared" si="67"/>
        <v>-7.4906717291576257E-3</v>
      </c>
      <c r="W717" s="87">
        <f t="shared" si="67"/>
        <v>-4.348511193973878E-2</v>
      </c>
      <c r="X717" s="87">
        <f t="shared" si="67"/>
        <v>-2.7651531330510123E-2</v>
      </c>
      <c r="Y717" s="87">
        <f t="shared" si="67"/>
        <v>-4.9415359563350428E-2</v>
      </c>
      <c r="Z717" s="87">
        <f t="shared" si="67"/>
        <v>-1.8416726786231151E-2</v>
      </c>
      <c r="AA717" s="87">
        <f t="shared" si="69"/>
        <v>-1.5552413007484771E-2</v>
      </c>
      <c r="AB717" s="87">
        <f t="shared" si="69"/>
        <v>-5.7340546615244778E-2</v>
      </c>
      <c r="AC717" s="87">
        <f t="shared" si="69"/>
        <v>-2.1577600644547237E-2</v>
      </c>
      <c r="AD717" s="87">
        <f t="shared" si="69"/>
        <v>-4.5351551653913741E-3</v>
      </c>
      <c r="AE717" s="90">
        <f t="shared" si="65"/>
        <v>-5.254579562704218E-3</v>
      </c>
      <c r="AF717" s="89"/>
    </row>
    <row r="718" spans="1:32" ht="15.5" x14ac:dyDescent="0.35">
      <c r="A718" s="82">
        <v>40806</v>
      </c>
      <c r="B718" s="83">
        <v>7217.1</v>
      </c>
      <c r="C718" s="84">
        <v>2590.1999999999998</v>
      </c>
      <c r="D718" s="61">
        <v>271.60000000000002</v>
      </c>
      <c r="E718" s="61">
        <v>14.3</v>
      </c>
      <c r="F718" s="61">
        <v>58.7</v>
      </c>
      <c r="G718" s="61">
        <v>26.9</v>
      </c>
      <c r="H718" s="61">
        <v>44.8</v>
      </c>
      <c r="I718" s="61">
        <v>10.7</v>
      </c>
      <c r="J718" s="61">
        <v>51.8</v>
      </c>
      <c r="K718" s="61">
        <v>27</v>
      </c>
      <c r="L718" s="61">
        <v>32.200000000000003</v>
      </c>
      <c r="M718" s="61">
        <v>31.1</v>
      </c>
      <c r="N718" s="61">
        <v>60.4</v>
      </c>
      <c r="O718" s="85">
        <v>22.3</v>
      </c>
      <c r="P718" s="105"/>
      <c r="Q718" s="87">
        <f t="shared" ref="Q718:Q781" si="70">+LN(B718/B717)</f>
        <v>-2.4218615877339257E-3</v>
      </c>
      <c r="R718" s="87">
        <f t="shared" si="68"/>
        <v>-8.6873504267140217E-3</v>
      </c>
      <c r="S718" s="87">
        <f t="shared" si="68"/>
        <v>1.3343415173684574E-2</v>
      </c>
      <c r="T718" s="87">
        <f t="shared" si="68"/>
        <v>-6.9686693160933158E-3</v>
      </c>
      <c r="U718" s="87">
        <f t="shared" si="67"/>
        <v>3.8199088681655481E-2</v>
      </c>
      <c r="V718" s="87">
        <f t="shared" si="67"/>
        <v>1.1215070820140003E-2</v>
      </c>
      <c r="W718" s="87">
        <f t="shared" si="67"/>
        <v>-4.4543503493803087E-3</v>
      </c>
      <c r="X718" s="87">
        <f t="shared" si="67"/>
        <v>0</v>
      </c>
      <c r="Y718" s="87">
        <f t="shared" si="67"/>
        <v>-2.8546181906361497E-2</v>
      </c>
      <c r="Z718" s="87">
        <f t="shared" si="67"/>
        <v>3.7105793965357746E-3</v>
      </c>
      <c r="AA718" s="87">
        <f t="shared" si="69"/>
        <v>9.3604427595638928E-3</v>
      </c>
      <c r="AB718" s="87">
        <f t="shared" si="69"/>
        <v>1.9481135571822489E-2</v>
      </c>
      <c r="AC718" s="87">
        <f t="shared" si="69"/>
        <v>1.3333530869465168E-2</v>
      </c>
      <c r="AD718" s="87">
        <f t="shared" si="69"/>
        <v>1.3544225107757253E-2</v>
      </c>
      <c r="AE718" s="90">
        <f t="shared" si="65"/>
        <v>1.3871338814577402E-2</v>
      </c>
      <c r="AF718" s="89"/>
    </row>
    <row r="719" spans="1:32" ht="15.5" x14ac:dyDescent="0.35">
      <c r="A719" s="82">
        <v>40807</v>
      </c>
      <c r="B719" s="83">
        <v>6981.3</v>
      </c>
      <c r="C719" s="84">
        <v>2538.1999999999998</v>
      </c>
      <c r="D719" s="61">
        <v>269.7</v>
      </c>
      <c r="E719" s="61">
        <v>14</v>
      </c>
      <c r="F719" s="61">
        <v>58.9</v>
      </c>
      <c r="G719" s="61">
        <v>26</v>
      </c>
      <c r="H719" s="61">
        <v>43.4</v>
      </c>
      <c r="I719" s="61">
        <v>10</v>
      </c>
      <c r="J719" s="61">
        <v>50.1</v>
      </c>
      <c r="K719" s="61">
        <v>26.2</v>
      </c>
      <c r="L719" s="61">
        <v>31.8</v>
      </c>
      <c r="M719" s="61">
        <v>29</v>
      </c>
      <c r="N719" s="61">
        <v>56.9</v>
      </c>
      <c r="O719" s="85">
        <v>21.4</v>
      </c>
      <c r="P719" s="105"/>
      <c r="Q719" s="87">
        <f t="shared" si="70"/>
        <v>-3.3218064316157106E-2</v>
      </c>
      <c r="R719" s="87">
        <f t="shared" si="68"/>
        <v>-2.0279924413422822E-2</v>
      </c>
      <c r="S719" s="87">
        <f t="shared" si="68"/>
        <v>-7.0201655388568681E-3</v>
      </c>
      <c r="T719" s="87">
        <f t="shared" si="68"/>
        <v>-2.1202207650603051E-2</v>
      </c>
      <c r="U719" s="87">
        <f t="shared" si="67"/>
        <v>3.4013638234902605E-3</v>
      </c>
      <c r="V719" s="87">
        <f t="shared" si="67"/>
        <v>-3.4029748586311373E-2</v>
      </c>
      <c r="W719" s="87">
        <f t="shared" si="67"/>
        <v>-3.1748698314580298E-2</v>
      </c>
      <c r="X719" s="87">
        <f t="shared" si="67"/>
        <v>-6.7658648473814698E-2</v>
      </c>
      <c r="Y719" s="87">
        <f t="shared" si="67"/>
        <v>-3.3369141174618193E-2</v>
      </c>
      <c r="Z719" s="87">
        <f t="shared" si="67"/>
        <v>-3.007745523727795E-2</v>
      </c>
      <c r="AA719" s="87">
        <f t="shared" si="69"/>
        <v>-1.2500162764231494E-2</v>
      </c>
      <c r="AB719" s="87">
        <f t="shared" si="69"/>
        <v>-6.9911989198714414E-2</v>
      </c>
      <c r="AC719" s="87">
        <f t="shared" si="69"/>
        <v>-5.9693763808484047E-2</v>
      </c>
      <c r="AD719" s="87">
        <f t="shared" si="69"/>
        <v>-4.1195756438267395E-2</v>
      </c>
      <c r="AE719" s="90">
        <f t="shared" ref="AE719:AE782" si="71">+SUMPRODUCT(Q719:AD719,$Q$8:$AD$8)</f>
        <v>-1.2168820699841798E-2</v>
      </c>
      <c r="AF719" s="89"/>
    </row>
    <row r="720" spans="1:32" ht="15.5" x14ac:dyDescent="0.35">
      <c r="A720" s="82">
        <v>40808</v>
      </c>
      <c r="B720" s="83">
        <v>6726.6</v>
      </c>
      <c r="C720" s="84">
        <v>2455.6999999999998</v>
      </c>
      <c r="D720" s="61">
        <v>257.3</v>
      </c>
      <c r="E720" s="61">
        <v>13.7</v>
      </c>
      <c r="F720" s="61">
        <v>56.7</v>
      </c>
      <c r="G720" s="61">
        <v>24.6</v>
      </c>
      <c r="H720" s="61">
        <v>39.5</v>
      </c>
      <c r="I720" s="61">
        <v>9.1999999999999993</v>
      </c>
      <c r="J720" s="61">
        <v>46.4</v>
      </c>
      <c r="K720" s="61">
        <v>25</v>
      </c>
      <c r="L720" s="61">
        <v>30.8</v>
      </c>
      <c r="M720" s="61">
        <v>26.4</v>
      </c>
      <c r="N720" s="61">
        <v>53.9</v>
      </c>
      <c r="O720" s="85">
        <v>20.6</v>
      </c>
      <c r="P720" s="105"/>
      <c r="Q720" s="87">
        <f t="shared" si="70"/>
        <v>-3.7165330445442291E-2</v>
      </c>
      <c r="R720" s="87">
        <f t="shared" si="68"/>
        <v>-3.3043315407063428E-2</v>
      </c>
      <c r="S720" s="87">
        <f t="shared" si="68"/>
        <v>-4.7067510857985738E-2</v>
      </c>
      <c r="T720" s="87">
        <f t="shared" si="68"/>
        <v>-2.1661496781179419E-2</v>
      </c>
      <c r="U720" s="87">
        <f t="shared" si="67"/>
        <v>-3.8066879923834541E-2</v>
      </c>
      <c r="V720" s="87">
        <f t="shared" si="67"/>
        <v>-5.5350095083164838E-2</v>
      </c>
      <c r="W720" s="87">
        <f t="shared" si="67"/>
        <v>-9.4158769199282996E-2</v>
      </c>
      <c r="X720" s="87">
        <f t="shared" si="67"/>
        <v>-8.3381608939051138E-2</v>
      </c>
      <c r="Y720" s="87">
        <f t="shared" si="67"/>
        <v>-7.6721548858609601E-2</v>
      </c>
      <c r="Z720" s="87">
        <f t="shared" si="67"/>
        <v>-4.6883585898850381E-2</v>
      </c>
      <c r="AA720" s="87">
        <f t="shared" si="69"/>
        <v>-3.1951599806602358E-2</v>
      </c>
      <c r="AB720" s="87">
        <f t="shared" si="69"/>
        <v>-9.3931819834203623E-2</v>
      </c>
      <c r="AC720" s="87">
        <f t="shared" si="69"/>
        <v>-5.4164863217333714E-2</v>
      </c>
      <c r="AD720" s="87">
        <f t="shared" si="69"/>
        <v>-3.8099846232270293E-2</v>
      </c>
      <c r="AE720" s="90">
        <f t="shared" si="71"/>
        <v>-3.9200144638500981E-2</v>
      </c>
      <c r="AF720" s="89"/>
    </row>
    <row r="721" spans="1:32" ht="15.5" x14ac:dyDescent="0.35">
      <c r="A721" s="82">
        <v>40809</v>
      </c>
      <c r="B721" s="83">
        <v>6770.7</v>
      </c>
      <c r="C721" s="84">
        <v>2483.1999999999998</v>
      </c>
      <c r="D721" s="61">
        <v>257.5</v>
      </c>
      <c r="E721" s="61">
        <v>14.1</v>
      </c>
      <c r="F721" s="61">
        <v>57.1</v>
      </c>
      <c r="G721" s="61">
        <v>24.7</v>
      </c>
      <c r="H721" s="61">
        <v>40.200000000000003</v>
      </c>
      <c r="I721" s="61">
        <v>9.3000000000000007</v>
      </c>
      <c r="J721" s="61">
        <v>45.6</v>
      </c>
      <c r="K721" s="61">
        <v>24.7</v>
      </c>
      <c r="L721" s="61">
        <v>30.7</v>
      </c>
      <c r="M721" s="61">
        <v>26.7</v>
      </c>
      <c r="N721" s="61">
        <v>54.2</v>
      </c>
      <c r="O721" s="85">
        <v>21.7</v>
      </c>
      <c r="P721" s="105"/>
      <c r="Q721" s="87">
        <f t="shared" si="70"/>
        <v>6.5346635147923247E-3</v>
      </c>
      <c r="R721" s="87">
        <f t="shared" si="68"/>
        <v>1.1136198019899081E-2</v>
      </c>
      <c r="S721" s="87">
        <f t="shared" si="68"/>
        <v>7.770008160922242E-4</v>
      </c>
      <c r="T721" s="87">
        <f t="shared" si="68"/>
        <v>2.8778964550043327E-2</v>
      </c>
      <c r="U721" s="87">
        <f t="shared" si="67"/>
        <v>7.0299059282581461E-3</v>
      </c>
      <c r="V721" s="87">
        <f t="shared" si="67"/>
        <v>4.0568006956142478E-3</v>
      </c>
      <c r="W721" s="87">
        <f t="shared" si="67"/>
        <v>1.7566323717899283E-2</v>
      </c>
      <c r="X721" s="87">
        <f t="shared" si="67"/>
        <v>1.0810916104215676E-2</v>
      </c>
      <c r="Y721" s="87">
        <f t="shared" si="67"/>
        <v>-1.7391742711869107E-2</v>
      </c>
      <c r="Z721" s="87">
        <f t="shared" si="67"/>
        <v>-1.2072581234269249E-2</v>
      </c>
      <c r="AA721" s="87">
        <f t="shared" si="69"/>
        <v>-3.2520353863773432E-3</v>
      </c>
      <c r="AB721" s="87">
        <f t="shared" si="69"/>
        <v>1.1299555253933466E-2</v>
      </c>
      <c r="AC721" s="87">
        <f t="shared" si="69"/>
        <v>5.5504305306490415E-3</v>
      </c>
      <c r="AD721" s="87">
        <f t="shared" si="69"/>
        <v>5.2021184750878448E-2</v>
      </c>
      <c r="AE721" s="90">
        <f t="shared" si="71"/>
        <v>1.189874438334149E-2</v>
      </c>
      <c r="AF721" s="89"/>
    </row>
    <row r="722" spans="1:32" ht="15.5" x14ac:dyDescent="0.35">
      <c r="A722" s="82">
        <v>40812</v>
      </c>
      <c r="B722" s="83">
        <v>6940.8</v>
      </c>
      <c r="C722" s="84">
        <v>2516.6999999999998</v>
      </c>
      <c r="D722" s="61">
        <v>256.89999999999998</v>
      </c>
      <c r="E722" s="61">
        <v>14.2</v>
      </c>
      <c r="F722" s="61">
        <v>55.9</v>
      </c>
      <c r="G722" s="61">
        <v>24.7</v>
      </c>
      <c r="H722" s="61">
        <v>40.1</v>
      </c>
      <c r="I722" s="61">
        <v>9.5</v>
      </c>
      <c r="J722" s="61">
        <v>44.5</v>
      </c>
      <c r="K722" s="61">
        <v>25.9</v>
      </c>
      <c r="L722" s="61">
        <v>31</v>
      </c>
      <c r="M722" s="61">
        <v>26.9</v>
      </c>
      <c r="N722" s="61">
        <v>55.6</v>
      </c>
      <c r="O722" s="85">
        <v>21.8</v>
      </c>
      <c r="P722" s="105"/>
      <c r="Q722" s="87">
        <f t="shared" si="70"/>
        <v>2.4812562730160127E-2</v>
      </c>
      <c r="R722" s="87">
        <f t="shared" si="68"/>
        <v>1.3400468531458928E-2</v>
      </c>
      <c r="S722" s="87">
        <f t="shared" si="68"/>
        <v>-2.332815987953049E-3</v>
      </c>
      <c r="T722" s="87">
        <f t="shared" si="68"/>
        <v>7.0671672230923528E-3</v>
      </c>
      <c r="U722" s="87">
        <f t="shared" si="67"/>
        <v>-2.1239736500911141E-2</v>
      </c>
      <c r="V722" s="87">
        <f t="shared" si="67"/>
        <v>0</v>
      </c>
      <c r="W722" s="87">
        <f t="shared" si="67"/>
        <v>-2.4906613124519189E-3</v>
      </c>
      <c r="X722" s="87">
        <f t="shared" si="67"/>
        <v>2.1277398447284879E-2</v>
      </c>
      <c r="Y722" s="87">
        <f t="shared" si="67"/>
        <v>-2.4418527348145886E-2</v>
      </c>
      <c r="Z722" s="87">
        <f t="shared" si="67"/>
        <v>4.7439725071560565E-2</v>
      </c>
      <c r="AA722" s="87">
        <f t="shared" si="69"/>
        <v>9.7245498919947809E-3</v>
      </c>
      <c r="AB722" s="87">
        <f t="shared" si="69"/>
        <v>7.4627212015895943E-3</v>
      </c>
      <c r="AC722" s="87">
        <f t="shared" si="69"/>
        <v>2.5502292810936043E-2</v>
      </c>
      <c r="AD722" s="87">
        <f t="shared" si="69"/>
        <v>4.5977092486295494E-3</v>
      </c>
      <c r="AE722" s="90">
        <f t="shared" si="71"/>
        <v>-2.1806188255126982E-3</v>
      </c>
      <c r="AF722" s="89"/>
    </row>
    <row r="723" spans="1:32" ht="15.5" x14ac:dyDescent="0.35">
      <c r="A723" s="82">
        <v>40813</v>
      </c>
      <c r="B723" s="83">
        <v>7043.1</v>
      </c>
      <c r="C723" s="84">
        <v>2546.8000000000002</v>
      </c>
      <c r="D723" s="61">
        <v>268.3</v>
      </c>
      <c r="E723" s="61">
        <v>14.4</v>
      </c>
      <c r="F723" s="61">
        <v>56.9</v>
      </c>
      <c r="G723" s="61">
        <v>25.5</v>
      </c>
      <c r="H723" s="61">
        <v>41.9</v>
      </c>
      <c r="I723" s="61">
        <v>10.5</v>
      </c>
      <c r="J723" s="61">
        <v>48.1</v>
      </c>
      <c r="K723" s="61">
        <v>27.2</v>
      </c>
      <c r="L723" s="61">
        <v>32</v>
      </c>
      <c r="M723" s="61">
        <v>28.9</v>
      </c>
      <c r="N723" s="61">
        <v>57.5</v>
      </c>
      <c r="O723" s="85">
        <v>22.5</v>
      </c>
      <c r="P723" s="105"/>
      <c r="Q723" s="87">
        <f t="shared" si="70"/>
        <v>1.4631372507017022E-2</v>
      </c>
      <c r="R723" s="87">
        <f t="shared" si="68"/>
        <v>1.1889149622511747E-2</v>
      </c>
      <c r="S723" s="87">
        <f t="shared" si="68"/>
        <v>4.3418853315740795E-2</v>
      </c>
      <c r="T723" s="87">
        <f t="shared" si="68"/>
        <v>1.398624197473987E-2</v>
      </c>
      <c r="U723" s="87">
        <f t="shared" si="67"/>
        <v>1.7730960971231658E-2</v>
      </c>
      <c r="V723" s="87">
        <f t="shared" si="67"/>
        <v>3.1875208530449034E-2</v>
      </c>
      <c r="W723" s="87">
        <f t="shared" si="67"/>
        <v>4.3909492615568417E-2</v>
      </c>
      <c r="X723" s="87">
        <f t="shared" si="67"/>
        <v>0.10008345855698263</v>
      </c>
      <c r="Y723" s="87">
        <f t="shared" si="67"/>
        <v>7.7792987939521024E-2</v>
      </c>
      <c r="Z723" s="87">
        <f t="shared" si="67"/>
        <v>4.8974004596459682E-2</v>
      </c>
      <c r="AA723" s="87">
        <f t="shared" si="69"/>
        <v>3.174869831458027E-2</v>
      </c>
      <c r="AB723" s="87">
        <f t="shared" si="69"/>
        <v>7.1715308510593073E-2</v>
      </c>
      <c r="AC723" s="87">
        <f t="shared" si="69"/>
        <v>3.360174654676807E-2</v>
      </c>
      <c r="AD723" s="87">
        <f t="shared" si="69"/>
        <v>3.1605339415331044E-2</v>
      </c>
      <c r="AE723" s="90">
        <f t="shared" si="71"/>
        <v>2.5186791667809245E-2</v>
      </c>
      <c r="AF723" s="89"/>
    </row>
    <row r="724" spans="1:32" ht="15.5" x14ac:dyDescent="0.35">
      <c r="A724" s="82">
        <v>40814</v>
      </c>
      <c r="B724" s="83">
        <v>6876.9</v>
      </c>
      <c r="C724" s="84">
        <v>2491.6</v>
      </c>
      <c r="D724" s="61">
        <v>264.10000000000002</v>
      </c>
      <c r="E724" s="61">
        <v>14.2</v>
      </c>
      <c r="F724" s="61">
        <v>56.6</v>
      </c>
      <c r="G724" s="61">
        <v>25.5</v>
      </c>
      <c r="H724" s="61">
        <v>41.7</v>
      </c>
      <c r="I724" s="61">
        <v>9.9</v>
      </c>
      <c r="J724" s="61">
        <v>45.3</v>
      </c>
      <c r="K724" s="61">
        <v>27.5</v>
      </c>
      <c r="L724" s="61">
        <v>31.9</v>
      </c>
      <c r="M724" s="61">
        <v>28.2</v>
      </c>
      <c r="N724" s="61">
        <v>55.7</v>
      </c>
      <c r="O724" s="85">
        <v>22.1</v>
      </c>
      <c r="P724" s="105"/>
      <c r="Q724" s="87">
        <f t="shared" si="70"/>
        <v>-2.3880445149831963E-2</v>
      </c>
      <c r="R724" s="87">
        <f t="shared" si="68"/>
        <v>-2.1912594762879933E-2</v>
      </c>
      <c r="S724" s="87">
        <f t="shared" si="68"/>
        <v>-1.5777938128491861E-2</v>
      </c>
      <c r="T724" s="87">
        <f t="shared" si="68"/>
        <v>-1.3986241974739952E-2</v>
      </c>
      <c r="U724" s="87">
        <f t="shared" si="67"/>
        <v>-5.2863559231479491E-3</v>
      </c>
      <c r="V724" s="87">
        <f t="shared" si="67"/>
        <v>0</v>
      </c>
      <c r="W724" s="87">
        <f t="shared" si="67"/>
        <v>-4.7846981233361585E-3</v>
      </c>
      <c r="X724" s="87">
        <f t="shared" si="67"/>
        <v>-5.8840500022933465E-2</v>
      </c>
      <c r="Y724" s="87">
        <f t="shared" si="67"/>
        <v>-5.9975144622727281E-2</v>
      </c>
      <c r="Z724" s="87">
        <f t="shared" si="67"/>
        <v>1.0969031370573937E-2</v>
      </c>
      <c r="AA724" s="87">
        <f t="shared" si="69"/>
        <v>-3.1298930089277044E-3</v>
      </c>
      <c r="AB724" s="87">
        <f t="shared" si="69"/>
        <v>-2.4519617174318498E-2</v>
      </c>
      <c r="AC724" s="87">
        <f t="shared" si="69"/>
        <v>-3.1804800870066395E-2</v>
      </c>
      <c r="AD724" s="87">
        <f t="shared" si="69"/>
        <v>-1.7937700686667207E-2</v>
      </c>
      <c r="AE724" s="90">
        <f t="shared" si="71"/>
        <v>-1.4879355895828715E-2</v>
      </c>
      <c r="AF724" s="89"/>
    </row>
    <row r="725" spans="1:32" ht="15.5" x14ac:dyDescent="0.35">
      <c r="A725" s="82">
        <v>40815</v>
      </c>
      <c r="B725" s="83">
        <v>6974.9</v>
      </c>
      <c r="C725" s="84">
        <v>2480.8000000000002</v>
      </c>
      <c r="D725" s="61">
        <v>260</v>
      </c>
      <c r="E725" s="61">
        <v>13.2</v>
      </c>
      <c r="F725" s="61">
        <v>55.2</v>
      </c>
      <c r="G725" s="61">
        <v>25.1</v>
      </c>
      <c r="H725" s="61">
        <v>39.5</v>
      </c>
      <c r="I725" s="61">
        <v>10.199999999999999</v>
      </c>
      <c r="J725" s="61">
        <v>44.5</v>
      </c>
      <c r="K725" s="61">
        <v>26.7</v>
      </c>
      <c r="L725" s="61">
        <v>32.200000000000003</v>
      </c>
      <c r="M725" s="61">
        <v>28.5</v>
      </c>
      <c r="N725" s="61">
        <v>55.4</v>
      </c>
      <c r="O725" s="85">
        <v>21.4</v>
      </c>
      <c r="P725" s="105"/>
      <c r="Q725" s="87">
        <f t="shared" si="70"/>
        <v>1.4150021679488652E-2</v>
      </c>
      <c r="R725" s="87">
        <f t="shared" si="68"/>
        <v>-4.3439855937511635E-3</v>
      </c>
      <c r="S725" s="87">
        <f t="shared" si="68"/>
        <v>-1.5646188287558843E-2</v>
      </c>
      <c r="T725" s="87">
        <f t="shared" si="68"/>
        <v>-7.30251350148899E-2</v>
      </c>
      <c r="U725" s="87">
        <f t="shared" si="67"/>
        <v>-2.5046031926087575E-2</v>
      </c>
      <c r="V725" s="87">
        <f t="shared" si="67"/>
        <v>-1.5810606026642204E-2</v>
      </c>
      <c r="W725" s="87">
        <f t="shared" si="67"/>
        <v>-5.4200456897679702E-2</v>
      </c>
      <c r="X725" s="87">
        <f t="shared" si="67"/>
        <v>2.9852963149681128E-2</v>
      </c>
      <c r="Y725" s="87">
        <f t="shared" si="67"/>
        <v>-1.7817843316793786E-2</v>
      </c>
      <c r="Z725" s="87">
        <f t="shared" si="67"/>
        <v>-2.9522439266321841E-2</v>
      </c>
      <c r="AA725" s="87">
        <f t="shared" si="69"/>
        <v>9.3604427595638928E-3</v>
      </c>
      <c r="AB725" s="87">
        <f t="shared" si="69"/>
        <v>1.0582109330537008E-2</v>
      </c>
      <c r="AC725" s="87">
        <f t="shared" si="69"/>
        <v>-5.4005531800002775E-3</v>
      </c>
      <c r="AD725" s="87">
        <f t="shared" si="69"/>
        <v>-3.2186686495901444E-2</v>
      </c>
      <c r="AE725" s="90">
        <f t="shared" si="71"/>
        <v>-1.6956619709770578E-2</v>
      </c>
      <c r="AF725" s="89"/>
    </row>
    <row r="726" spans="1:32" ht="15.5" x14ac:dyDescent="0.35">
      <c r="A726" s="82">
        <v>40816</v>
      </c>
      <c r="B726" s="83">
        <v>6791.6</v>
      </c>
      <c r="C726" s="84">
        <v>2415.4</v>
      </c>
      <c r="D726" s="61">
        <v>257.5</v>
      </c>
      <c r="E726" s="61">
        <v>13.1</v>
      </c>
      <c r="F726" s="61">
        <v>54.5</v>
      </c>
      <c r="G726" s="61">
        <v>24.9</v>
      </c>
      <c r="H726" s="61">
        <v>39.6</v>
      </c>
      <c r="I726" s="61">
        <v>10</v>
      </c>
      <c r="J726" s="61">
        <v>43.1</v>
      </c>
      <c r="K726" s="61">
        <v>26.7</v>
      </c>
      <c r="L726" s="61">
        <v>32.4</v>
      </c>
      <c r="M726" s="61">
        <v>28</v>
      </c>
      <c r="N726" s="61">
        <v>53.7</v>
      </c>
      <c r="O726" s="85">
        <v>21.4</v>
      </c>
      <c r="P726" s="105"/>
      <c r="Q726" s="87">
        <f t="shared" si="70"/>
        <v>-2.663143622737223E-2</v>
      </c>
      <c r="R726" s="87">
        <f t="shared" si="68"/>
        <v>-2.6716183944964288E-2</v>
      </c>
      <c r="S726" s="87">
        <f t="shared" si="68"/>
        <v>-9.6619109117368589E-3</v>
      </c>
      <c r="T726" s="87">
        <f t="shared" si="68"/>
        <v>-7.6045993852193036E-3</v>
      </c>
      <c r="U726" s="87">
        <f t="shared" si="67"/>
        <v>-1.2762251613851293E-2</v>
      </c>
      <c r="V726" s="87">
        <f t="shared" si="67"/>
        <v>-8.0000426670763757E-3</v>
      </c>
      <c r="W726" s="87">
        <f t="shared" si="67"/>
        <v>2.5284463533586906E-3</v>
      </c>
      <c r="X726" s="87">
        <f t="shared" si="67"/>
        <v>-1.9802627296179643E-2</v>
      </c>
      <c r="Y726" s="87">
        <f t="shared" si="67"/>
        <v>-3.1966192062492411E-2</v>
      </c>
      <c r="Z726" s="87">
        <f t="shared" si="67"/>
        <v>0</v>
      </c>
      <c r="AA726" s="87">
        <f t="shared" si="69"/>
        <v>6.1919702479209804E-3</v>
      </c>
      <c r="AB726" s="87">
        <f t="shared" si="69"/>
        <v>-1.7699577099400975E-2</v>
      </c>
      <c r="AC726" s="87">
        <f t="shared" si="69"/>
        <v>-3.1166592238419E-2</v>
      </c>
      <c r="AD726" s="87">
        <f t="shared" si="69"/>
        <v>0</v>
      </c>
      <c r="AE726" s="90">
        <f t="shared" si="71"/>
        <v>-1.4486023445001574E-2</v>
      </c>
      <c r="AF726" s="89"/>
    </row>
    <row r="727" spans="1:32" ht="15.5" x14ac:dyDescent="0.35">
      <c r="A727" s="82">
        <v>40819</v>
      </c>
      <c r="B727" s="83">
        <v>6571.5</v>
      </c>
      <c r="C727" s="84">
        <v>2335.8000000000002</v>
      </c>
      <c r="D727" s="61">
        <v>247.8</v>
      </c>
      <c r="E727" s="61">
        <v>13.4</v>
      </c>
      <c r="F727" s="61">
        <v>53.3</v>
      </c>
      <c r="G727" s="61">
        <v>24.5</v>
      </c>
      <c r="H727" s="61">
        <v>37.9</v>
      </c>
      <c r="I727" s="61">
        <v>9.4</v>
      </c>
      <c r="J727" s="61">
        <v>41.7</v>
      </c>
      <c r="K727" s="61">
        <v>26.1</v>
      </c>
      <c r="L727" s="61">
        <v>31.6</v>
      </c>
      <c r="M727" s="61">
        <v>26.6</v>
      </c>
      <c r="N727" s="61">
        <v>51</v>
      </c>
      <c r="O727" s="85">
        <v>20.8</v>
      </c>
      <c r="P727" s="105"/>
      <c r="Q727" s="87">
        <f t="shared" si="70"/>
        <v>-3.2944437519793979E-2</v>
      </c>
      <c r="R727" s="87">
        <f t="shared" si="68"/>
        <v>-3.3510459996809787E-2</v>
      </c>
      <c r="S727" s="87">
        <f t="shared" si="68"/>
        <v>-3.8397750908748689E-2</v>
      </c>
      <c r="T727" s="87">
        <f t="shared" si="68"/>
        <v>2.2642476749759971E-2</v>
      </c>
      <c r="U727" s="87">
        <f t="shared" si="67"/>
        <v>-2.2264370497399537E-2</v>
      </c>
      <c r="V727" s="87">
        <f t="shared" si="67"/>
        <v>-1.6194685919980606E-2</v>
      </c>
      <c r="W727" s="87">
        <f t="shared" si="67"/>
        <v>-4.3878006172054312E-2</v>
      </c>
      <c r="X727" s="87">
        <f t="shared" si="67"/>
        <v>-6.1875403718087411E-2</v>
      </c>
      <c r="Y727" s="87">
        <f t="shared" si="67"/>
        <v>-3.3021868304946307E-2</v>
      </c>
      <c r="Z727" s="87">
        <f t="shared" si="67"/>
        <v>-2.2728251077556064E-2</v>
      </c>
      <c r="AA727" s="87">
        <f t="shared" si="69"/>
        <v>-2.5001302205417155E-2</v>
      </c>
      <c r="AB727" s="87">
        <f t="shared" si="69"/>
        <v>-5.129329438755046E-2</v>
      </c>
      <c r="AC727" s="87">
        <f t="shared" si="69"/>
        <v>-5.1587368790493235E-2</v>
      </c>
      <c r="AD727" s="87">
        <f t="shared" si="69"/>
        <v>-2.8437935320533399E-2</v>
      </c>
      <c r="AE727" s="90">
        <f t="shared" si="71"/>
        <v>-3.1109033217396043E-2</v>
      </c>
      <c r="AF727" s="89"/>
    </row>
    <row r="728" spans="1:32" ht="15.5" x14ac:dyDescent="0.35">
      <c r="A728" s="82">
        <v>40820</v>
      </c>
      <c r="B728" s="83">
        <v>6723</v>
      </c>
      <c r="C728" s="84">
        <v>2404.8000000000002</v>
      </c>
      <c r="D728" s="61">
        <v>240.5</v>
      </c>
      <c r="E728" s="61">
        <v>13.9</v>
      </c>
      <c r="F728" s="61">
        <v>50.6</v>
      </c>
      <c r="G728" s="61">
        <v>24.3</v>
      </c>
      <c r="H728" s="61">
        <v>37.1</v>
      </c>
      <c r="I728" s="61">
        <v>8.5</v>
      </c>
      <c r="J728" s="61">
        <v>39.5</v>
      </c>
      <c r="K728" s="61">
        <v>25.4</v>
      </c>
      <c r="L728" s="61">
        <v>30.5</v>
      </c>
      <c r="M728" s="61">
        <v>25.6</v>
      </c>
      <c r="N728" s="61">
        <v>49.9</v>
      </c>
      <c r="O728" s="85">
        <v>20.3</v>
      </c>
      <c r="P728" s="105"/>
      <c r="Q728" s="87">
        <f t="shared" si="70"/>
        <v>2.279236654697385E-2</v>
      </c>
      <c r="R728" s="87">
        <f t="shared" si="68"/>
        <v>2.9112295154245071E-2</v>
      </c>
      <c r="S728" s="87">
        <f t="shared" si="68"/>
        <v>-2.990187964922629E-2</v>
      </c>
      <c r="T728" s="87">
        <f t="shared" si="68"/>
        <v>3.6634133179780384E-2</v>
      </c>
      <c r="U728" s="87">
        <f t="shared" si="68"/>
        <v>-5.1984754878378864E-2</v>
      </c>
      <c r="V728" s="87">
        <f t="shared" si="68"/>
        <v>-8.196767204178515E-3</v>
      </c>
      <c r="W728" s="87">
        <f t="shared" si="68"/>
        <v>-2.1334142474991172E-2</v>
      </c>
      <c r="X728" s="87">
        <f t="shared" si="68"/>
        <v>-0.10064352577968753</v>
      </c>
      <c r="Y728" s="87">
        <f t="shared" si="68"/>
        <v>-5.4200456897679702E-2</v>
      </c>
      <c r="Z728" s="87">
        <f t="shared" si="68"/>
        <v>-2.7186140304156947E-2</v>
      </c>
      <c r="AA728" s="87">
        <f t="shared" si="69"/>
        <v>-3.5430436979500567E-2</v>
      </c>
      <c r="AB728" s="87">
        <f t="shared" si="69"/>
        <v>-3.8318864302136657E-2</v>
      </c>
      <c r="AC728" s="87">
        <f t="shared" si="69"/>
        <v>-2.1804629966852826E-2</v>
      </c>
      <c r="AD728" s="87">
        <f t="shared" si="69"/>
        <v>-2.4332100659530669E-2</v>
      </c>
      <c r="AE728" s="90">
        <f t="shared" si="71"/>
        <v>-1.7849825860349295E-2</v>
      </c>
      <c r="AF728" s="89"/>
    </row>
    <row r="729" spans="1:32" ht="15.5" x14ac:dyDescent="0.35">
      <c r="A729" s="82">
        <v>40821</v>
      </c>
      <c r="B729" s="83">
        <v>6844.2</v>
      </c>
      <c r="C729" s="84">
        <v>2460.5</v>
      </c>
      <c r="D729" s="61">
        <v>240.6</v>
      </c>
      <c r="E729" s="61">
        <v>14.4</v>
      </c>
      <c r="F729" s="61">
        <v>51.5</v>
      </c>
      <c r="G729" s="61">
        <v>25.2</v>
      </c>
      <c r="H729" s="61">
        <v>40.1</v>
      </c>
      <c r="I729" s="61">
        <v>9.6</v>
      </c>
      <c r="J729" s="61">
        <v>41.9</v>
      </c>
      <c r="K729" s="61">
        <v>27</v>
      </c>
      <c r="L729" s="61">
        <v>31</v>
      </c>
      <c r="M729" s="61">
        <v>27.2</v>
      </c>
      <c r="N729" s="61">
        <v>51.6</v>
      </c>
      <c r="O729" s="85">
        <v>21.3</v>
      </c>
      <c r="P729" s="105"/>
      <c r="Q729" s="87">
        <f t="shared" si="70"/>
        <v>1.7867094792870474E-2</v>
      </c>
      <c r="R729" s="87">
        <f t="shared" si="68"/>
        <v>2.2897841307322735E-2</v>
      </c>
      <c r="S729" s="87">
        <f t="shared" si="68"/>
        <v>4.1571399476257619E-4</v>
      </c>
      <c r="T729" s="87">
        <f t="shared" si="68"/>
        <v>3.5339366445308863E-2</v>
      </c>
      <c r="U729" s="87">
        <f t="shared" si="68"/>
        <v>1.7630231376270501E-2</v>
      </c>
      <c r="V729" s="87">
        <f t="shared" si="68"/>
        <v>3.6367644170874791E-2</v>
      </c>
      <c r="W729" s="87">
        <f t="shared" si="68"/>
        <v>7.7759364699134123E-2</v>
      </c>
      <c r="X729" s="87">
        <f t="shared" si="68"/>
        <v>0.12169693497751977</v>
      </c>
      <c r="Y729" s="87">
        <f t="shared" si="68"/>
        <v>5.8985155021015749E-2</v>
      </c>
      <c r="Z729" s="87">
        <f t="shared" si="68"/>
        <v>6.1087691979838279E-2</v>
      </c>
      <c r="AA729" s="87">
        <f t="shared" si="69"/>
        <v>1.6260520871780326E-2</v>
      </c>
      <c r="AB729" s="87">
        <f t="shared" si="69"/>
        <v>6.062462181643484E-2</v>
      </c>
      <c r="AC729" s="87">
        <f t="shared" si="69"/>
        <v>3.3500669730044209E-2</v>
      </c>
      <c r="AD729" s="87">
        <f t="shared" si="69"/>
        <v>4.8086186667637726E-2</v>
      </c>
      <c r="AE729" s="90">
        <f t="shared" si="71"/>
        <v>1.7871260971496793E-2</v>
      </c>
      <c r="AF729" s="89"/>
    </row>
    <row r="730" spans="1:32" ht="15.5" x14ac:dyDescent="0.35">
      <c r="A730" s="82">
        <v>40822</v>
      </c>
      <c r="B730" s="83">
        <v>6997.6</v>
      </c>
      <c r="C730" s="84">
        <v>2506.8000000000002</v>
      </c>
      <c r="D730" s="61">
        <v>251.6</v>
      </c>
      <c r="E730" s="61">
        <v>14.9</v>
      </c>
      <c r="F730" s="61">
        <v>53.1</v>
      </c>
      <c r="G730" s="61">
        <v>25.7</v>
      </c>
      <c r="H730" s="61">
        <v>41.4</v>
      </c>
      <c r="I730" s="61">
        <v>10.1</v>
      </c>
      <c r="J730" s="61">
        <v>45.2</v>
      </c>
      <c r="K730" s="61">
        <v>27</v>
      </c>
      <c r="L730" s="61">
        <v>31</v>
      </c>
      <c r="M730" s="61">
        <v>28.6</v>
      </c>
      <c r="N730" s="61">
        <v>52.4</v>
      </c>
      <c r="O730" s="85">
        <v>21.8</v>
      </c>
      <c r="P730" s="105"/>
      <c r="Q730" s="87">
        <f t="shared" si="70"/>
        <v>2.2165654843737968E-2</v>
      </c>
      <c r="R730" s="87">
        <f t="shared" si="68"/>
        <v>1.8642458044487685E-2</v>
      </c>
      <c r="S730" s="87">
        <f t="shared" si="68"/>
        <v>4.4704721285706961E-2</v>
      </c>
      <c r="T730" s="87">
        <f t="shared" si="68"/>
        <v>3.4133006369458617E-2</v>
      </c>
      <c r="U730" s="87">
        <f t="shared" si="68"/>
        <v>3.059512057820276E-2</v>
      </c>
      <c r="V730" s="87">
        <f t="shared" si="68"/>
        <v>1.9646997383796421E-2</v>
      </c>
      <c r="W730" s="87">
        <f t="shared" si="68"/>
        <v>3.1904546518745067E-2</v>
      </c>
      <c r="X730" s="87">
        <f t="shared" si="68"/>
        <v>5.077232537342314E-2</v>
      </c>
      <c r="Y730" s="87">
        <f t="shared" si="68"/>
        <v>7.5811259910093631E-2</v>
      </c>
      <c r="Z730" s="87">
        <f t="shared" si="68"/>
        <v>0</v>
      </c>
      <c r="AA730" s="87">
        <f t="shared" si="69"/>
        <v>0</v>
      </c>
      <c r="AB730" s="87">
        <f t="shared" si="69"/>
        <v>5.0189744523855308E-2</v>
      </c>
      <c r="AC730" s="87">
        <f t="shared" si="69"/>
        <v>1.5384918839479456E-2</v>
      </c>
      <c r="AD730" s="87">
        <f t="shared" si="69"/>
        <v>2.3202897079663793E-2</v>
      </c>
      <c r="AE730" s="90">
        <f t="shared" si="71"/>
        <v>3.0244603828336193E-2</v>
      </c>
      <c r="AF730" s="89"/>
    </row>
    <row r="731" spans="1:32" ht="15.5" x14ac:dyDescent="0.35">
      <c r="A731" s="82">
        <v>40823</v>
      </c>
      <c r="B731" s="83">
        <v>6925.8</v>
      </c>
      <c r="C731" s="84">
        <v>2479.4</v>
      </c>
      <c r="D731" s="61">
        <v>255.4</v>
      </c>
      <c r="E731" s="61">
        <v>15.4</v>
      </c>
      <c r="F731" s="61">
        <v>52.6</v>
      </c>
      <c r="G731" s="61">
        <v>26.2</v>
      </c>
      <c r="H731" s="61">
        <v>42.1</v>
      </c>
      <c r="I731" s="61">
        <v>10.3</v>
      </c>
      <c r="J731" s="61">
        <v>44.4</v>
      </c>
      <c r="K731" s="61">
        <v>28.3</v>
      </c>
      <c r="L731" s="61">
        <v>31.6</v>
      </c>
      <c r="M731" s="61">
        <v>28.8</v>
      </c>
      <c r="N731" s="61">
        <v>52.1</v>
      </c>
      <c r="O731" s="85">
        <v>21.9</v>
      </c>
      <c r="P731" s="105"/>
      <c r="Q731" s="87">
        <f t="shared" si="70"/>
        <v>-1.0313664256723677E-2</v>
      </c>
      <c r="R731" s="87">
        <f t="shared" si="68"/>
        <v>-1.0990443946473961E-2</v>
      </c>
      <c r="S731" s="87">
        <f t="shared" si="68"/>
        <v>1.4990418772153433E-2</v>
      </c>
      <c r="T731" s="87">
        <f t="shared" si="68"/>
        <v>3.3006296468170077E-2</v>
      </c>
      <c r="U731" s="87">
        <f t="shared" si="68"/>
        <v>-9.46080850422896E-3</v>
      </c>
      <c r="V731" s="87">
        <f t="shared" si="68"/>
        <v>1.9268418865876987E-2</v>
      </c>
      <c r="W731" s="87">
        <f t="shared" si="68"/>
        <v>1.6766859857067107E-2</v>
      </c>
      <c r="X731" s="87">
        <f t="shared" si="68"/>
        <v>1.9608471388376337E-2</v>
      </c>
      <c r="Y731" s="87">
        <f t="shared" si="68"/>
        <v>-1.7857617400006572E-2</v>
      </c>
      <c r="Z731" s="87">
        <f t="shared" si="68"/>
        <v>4.7024938644862985E-2</v>
      </c>
      <c r="AA731" s="87">
        <f t="shared" si="69"/>
        <v>1.9169916107720123E-2</v>
      </c>
      <c r="AB731" s="87">
        <f t="shared" si="69"/>
        <v>6.9686693160932152E-3</v>
      </c>
      <c r="AC731" s="87">
        <f t="shared" si="69"/>
        <v>-5.7416425676751707E-3</v>
      </c>
      <c r="AD731" s="87">
        <f t="shared" si="69"/>
        <v>4.5766670274116732E-3</v>
      </c>
      <c r="AE731" s="90">
        <f t="shared" si="71"/>
        <v>-1.0546367907989273E-3</v>
      </c>
      <c r="AF731" s="89"/>
    </row>
    <row r="732" spans="1:32" ht="15.5" x14ac:dyDescent="0.35">
      <c r="A732" s="82">
        <v>40826</v>
      </c>
      <c r="B732" s="83">
        <v>7173.5</v>
      </c>
      <c r="C732" s="84">
        <v>2566.1</v>
      </c>
      <c r="D732" s="61">
        <v>261.89999999999998</v>
      </c>
      <c r="E732" s="61">
        <v>15.6</v>
      </c>
      <c r="F732" s="61">
        <v>54</v>
      </c>
      <c r="G732" s="61">
        <v>26.5</v>
      </c>
      <c r="H732" s="61">
        <v>42.2</v>
      </c>
      <c r="I732" s="61">
        <v>10.6</v>
      </c>
      <c r="J732" s="61">
        <v>46.1</v>
      </c>
      <c r="K732" s="61">
        <v>29.3</v>
      </c>
      <c r="L732" s="61">
        <v>32</v>
      </c>
      <c r="M732" s="61">
        <v>29.6</v>
      </c>
      <c r="N732" s="61">
        <v>53.2</v>
      </c>
      <c r="O732" s="85">
        <v>22.3</v>
      </c>
      <c r="P732" s="105"/>
      <c r="Q732" s="87">
        <f t="shared" si="70"/>
        <v>3.514011168952301E-2</v>
      </c>
      <c r="R732" s="87">
        <f t="shared" si="68"/>
        <v>3.4370641173519803E-2</v>
      </c>
      <c r="S732" s="87">
        <f t="shared" si="68"/>
        <v>2.513180791522714E-2</v>
      </c>
      <c r="T732" s="87">
        <f t="shared" si="68"/>
        <v>1.2903404835907782E-2</v>
      </c>
      <c r="U732" s="87">
        <f t="shared" si="68"/>
        <v>2.6267926820610105E-2</v>
      </c>
      <c r="V732" s="87">
        <f t="shared" si="68"/>
        <v>1.1385322225125429E-2</v>
      </c>
      <c r="W732" s="87">
        <f t="shared" si="68"/>
        <v>2.3724803536303955E-3</v>
      </c>
      <c r="X732" s="87">
        <f t="shared" si="68"/>
        <v>2.871010588243136E-2</v>
      </c>
      <c r="Y732" s="87">
        <f t="shared" si="68"/>
        <v>3.7573480564423924E-2</v>
      </c>
      <c r="Z732" s="87">
        <f t="shared" si="68"/>
        <v>3.472571137382971E-2</v>
      </c>
      <c r="AA732" s="87">
        <f t="shared" si="69"/>
        <v>1.2578782206859965E-2</v>
      </c>
      <c r="AB732" s="87">
        <f t="shared" si="69"/>
        <v>2.7398974188114562E-2</v>
      </c>
      <c r="AC732" s="87">
        <f t="shared" si="69"/>
        <v>2.0893447588277388E-2</v>
      </c>
      <c r="AD732" s="87">
        <f t="shared" si="69"/>
        <v>1.8100041643617937E-2</v>
      </c>
      <c r="AE732" s="90">
        <f t="shared" si="71"/>
        <v>2.7371296090836224E-2</v>
      </c>
      <c r="AF732" s="89"/>
    </row>
    <row r="733" spans="1:32" ht="15.5" x14ac:dyDescent="0.35">
      <c r="A733" s="82">
        <v>40827</v>
      </c>
      <c r="B733" s="83">
        <v>7161.3</v>
      </c>
      <c r="C733" s="84">
        <v>2583</v>
      </c>
      <c r="D733" s="61">
        <v>267</v>
      </c>
      <c r="E733" s="61">
        <v>15.6</v>
      </c>
      <c r="F733" s="61">
        <v>55.9</v>
      </c>
      <c r="G733" s="61">
        <v>26.7</v>
      </c>
      <c r="H733" s="61">
        <v>42.4</v>
      </c>
      <c r="I733" s="61">
        <v>10.8</v>
      </c>
      <c r="J733" s="61">
        <v>46.2</v>
      </c>
      <c r="K733" s="61">
        <v>29.4</v>
      </c>
      <c r="L733" s="61">
        <v>31.8</v>
      </c>
      <c r="M733" s="61">
        <v>29.8</v>
      </c>
      <c r="N733" s="61">
        <v>53.4</v>
      </c>
      <c r="O733" s="85">
        <v>22.4</v>
      </c>
      <c r="P733" s="105"/>
      <c r="Q733" s="87">
        <f t="shared" si="70"/>
        <v>-1.7021518187360697E-3</v>
      </c>
      <c r="R733" s="87">
        <f t="shared" ref="R733:AC760" si="72">+LN(C733/C732)</f>
        <v>6.5642775182742164E-3</v>
      </c>
      <c r="S733" s="87">
        <f t="shared" si="72"/>
        <v>1.9285906886583468E-2</v>
      </c>
      <c r="T733" s="87">
        <f t="shared" si="72"/>
        <v>0</v>
      </c>
      <c r="U733" s="87">
        <f t="shared" si="72"/>
        <v>3.4580333596779117E-2</v>
      </c>
      <c r="V733" s="87">
        <f t="shared" si="72"/>
        <v>7.518832414027319E-3</v>
      </c>
      <c r="W733" s="87">
        <f t="shared" si="72"/>
        <v>4.7281411959458957E-3</v>
      </c>
      <c r="X733" s="87">
        <f t="shared" si="72"/>
        <v>1.8692133012152546E-2</v>
      </c>
      <c r="Y733" s="87">
        <f t="shared" si="72"/>
        <v>2.1668480850902932E-3</v>
      </c>
      <c r="Z733" s="87">
        <f t="shared" si="72"/>
        <v>3.4071583216141346E-3</v>
      </c>
      <c r="AA733" s="87">
        <f t="shared" si="69"/>
        <v>-6.2696130135953742E-3</v>
      </c>
      <c r="AB733" s="87">
        <f t="shared" si="69"/>
        <v>6.7340321813441194E-3</v>
      </c>
      <c r="AC733" s="87">
        <f t="shared" si="69"/>
        <v>3.7523496185503718E-3</v>
      </c>
      <c r="AD733" s="87">
        <f t="shared" si="69"/>
        <v>4.4742803949211069E-3</v>
      </c>
      <c r="AE733" s="90">
        <f t="shared" si="71"/>
        <v>1.8045562205872577E-2</v>
      </c>
      <c r="AF733" s="89"/>
    </row>
    <row r="734" spans="1:32" ht="15.5" x14ac:dyDescent="0.35">
      <c r="A734" s="82">
        <v>40828</v>
      </c>
      <c r="B734" s="83">
        <v>7263.7</v>
      </c>
      <c r="C734" s="84">
        <v>2604.6999999999998</v>
      </c>
      <c r="D734" s="61">
        <v>272.60000000000002</v>
      </c>
      <c r="E734" s="61">
        <v>15.7</v>
      </c>
      <c r="F734" s="61">
        <v>57.2</v>
      </c>
      <c r="G734" s="61">
        <v>26.9</v>
      </c>
      <c r="H734" s="61">
        <v>43.2</v>
      </c>
      <c r="I734" s="61">
        <v>11.6</v>
      </c>
      <c r="J734" s="61">
        <v>47.4</v>
      </c>
      <c r="K734" s="61">
        <v>29.8</v>
      </c>
      <c r="L734" s="61">
        <v>32.200000000000003</v>
      </c>
      <c r="M734" s="61">
        <v>30.6</v>
      </c>
      <c r="N734" s="61">
        <v>54.9</v>
      </c>
      <c r="O734" s="85">
        <v>22.5</v>
      </c>
      <c r="P734" s="105"/>
      <c r="Q734" s="87">
        <f t="shared" si="70"/>
        <v>1.4197812149099017E-2</v>
      </c>
      <c r="R734" s="87">
        <f t="shared" si="72"/>
        <v>8.3659913120494624E-3</v>
      </c>
      <c r="S734" s="87">
        <f t="shared" si="72"/>
        <v>2.0756860862182848E-2</v>
      </c>
      <c r="T734" s="87">
        <f t="shared" si="72"/>
        <v>6.3897980987709883E-3</v>
      </c>
      <c r="U734" s="87">
        <f t="shared" si="72"/>
        <v>2.2989518224698781E-2</v>
      </c>
      <c r="V734" s="87">
        <f t="shared" si="72"/>
        <v>7.4627212015895943E-3</v>
      </c>
      <c r="W734" s="87">
        <f t="shared" si="72"/>
        <v>1.8692133012152546E-2</v>
      </c>
      <c r="X734" s="87">
        <f t="shared" si="72"/>
        <v>7.1458963982144852E-2</v>
      </c>
      <c r="Y734" s="87">
        <f t="shared" si="72"/>
        <v>2.5642430613337652E-2</v>
      </c>
      <c r="Z734" s="87">
        <f t="shared" si="72"/>
        <v>1.3513719166722855E-2</v>
      </c>
      <c r="AA734" s="87">
        <f t="shared" si="69"/>
        <v>1.2500162764231468E-2</v>
      </c>
      <c r="AB734" s="87">
        <f t="shared" si="69"/>
        <v>2.6491615446976285E-2</v>
      </c>
      <c r="AC734" s="87">
        <f t="shared" si="69"/>
        <v>2.770260254933575E-2</v>
      </c>
      <c r="AD734" s="87">
        <f t="shared" si="69"/>
        <v>4.4543503493803746E-3</v>
      </c>
      <c r="AE734" s="90">
        <f t="shared" si="71"/>
        <v>1.569957833318093E-2</v>
      </c>
      <c r="AF734" s="89"/>
    </row>
    <row r="735" spans="1:32" ht="15.5" x14ac:dyDescent="0.35">
      <c r="A735" s="82">
        <v>40829</v>
      </c>
      <c r="B735" s="83">
        <v>7229.1</v>
      </c>
      <c r="C735" s="84">
        <v>2620.1999999999998</v>
      </c>
      <c r="D735" s="61">
        <v>274.3</v>
      </c>
      <c r="E735" s="61">
        <v>15.5</v>
      </c>
      <c r="F735" s="61">
        <v>57.6</v>
      </c>
      <c r="G735" s="61">
        <v>26.6</v>
      </c>
      <c r="H735" s="61">
        <v>42.7</v>
      </c>
      <c r="I735" s="61">
        <v>11.4</v>
      </c>
      <c r="J735" s="61">
        <v>48.3</v>
      </c>
      <c r="K735" s="61">
        <v>29.4</v>
      </c>
      <c r="L735" s="61">
        <v>32.299999999999997</v>
      </c>
      <c r="M735" s="61">
        <v>30.5</v>
      </c>
      <c r="N735" s="61">
        <v>55.6</v>
      </c>
      <c r="O735" s="85">
        <v>22.7</v>
      </c>
      <c r="P735" s="105"/>
      <c r="Q735" s="87">
        <f t="shared" si="70"/>
        <v>-4.7747937922414255E-3</v>
      </c>
      <c r="R735" s="87">
        <f t="shared" si="72"/>
        <v>5.933145311680231E-3</v>
      </c>
      <c r="S735" s="87">
        <f t="shared" si="72"/>
        <v>6.2168786811251826E-3</v>
      </c>
      <c r="T735" s="87">
        <f t="shared" si="72"/>
        <v>-1.2820688429061434E-2</v>
      </c>
      <c r="U735" s="87">
        <f t="shared" si="72"/>
        <v>6.9686693160932152E-3</v>
      </c>
      <c r="V735" s="87">
        <f t="shared" si="72"/>
        <v>-1.1215070820139957E-2</v>
      </c>
      <c r="W735" s="87">
        <f t="shared" si="72"/>
        <v>-1.1641575015485755E-2</v>
      </c>
      <c r="X735" s="87">
        <f t="shared" si="72"/>
        <v>-1.7391742711869107E-2</v>
      </c>
      <c r="Y735" s="87">
        <f t="shared" si="72"/>
        <v>1.8809331957496074E-2</v>
      </c>
      <c r="Z735" s="87">
        <f t="shared" si="72"/>
        <v>-1.3513719166722933E-2</v>
      </c>
      <c r="AA735" s="87">
        <f t="shared" si="69"/>
        <v>3.1007776782479642E-3</v>
      </c>
      <c r="AB735" s="87">
        <f t="shared" si="69"/>
        <v>-3.273325344969249E-3</v>
      </c>
      <c r="AC735" s="87">
        <f t="shared" si="69"/>
        <v>1.2669852741051904E-2</v>
      </c>
      <c r="AD735" s="87">
        <f t="shared" si="69"/>
        <v>8.8496152769826E-3</v>
      </c>
      <c r="AE735" s="90">
        <f t="shared" si="71"/>
        <v>6.6668007538304005E-3</v>
      </c>
      <c r="AF735" s="89"/>
    </row>
    <row r="736" spans="1:32" ht="15.5" x14ac:dyDescent="0.35">
      <c r="A736" s="82">
        <v>40830</v>
      </c>
      <c r="B736" s="83">
        <v>7350.5</v>
      </c>
      <c r="C736" s="84">
        <v>2667.9</v>
      </c>
      <c r="D736" s="61">
        <v>294.10000000000002</v>
      </c>
      <c r="E736" s="61">
        <v>15.7</v>
      </c>
      <c r="F736" s="61">
        <v>59.3</v>
      </c>
      <c r="G736" s="61">
        <v>27</v>
      </c>
      <c r="H736" s="61">
        <v>43.3</v>
      </c>
      <c r="I736" s="61">
        <v>11.9</v>
      </c>
      <c r="J736" s="61">
        <v>49.4</v>
      </c>
      <c r="K736" s="61">
        <v>29.4</v>
      </c>
      <c r="L736" s="61">
        <v>32.700000000000003</v>
      </c>
      <c r="M736" s="61">
        <v>31.4</v>
      </c>
      <c r="N736" s="61">
        <v>57</v>
      </c>
      <c r="O736" s="85">
        <v>23</v>
      </c>
      <c r="P736" s="105"/>
      <c r="Q736" s="87">
        <f t="shared" si="70"/>
        <v>1.6653791027454755E-2</v>
      </c>
      <c r="R736" s="87">
        <f t="shared" si="72"/>
        <v>1.8040995354133928E-2</v>
      </c>
      <c r="S736" s="87">
        <f t="shared" si="72"/>
        <v>6.9697447616391808E-2</v>
      </c>
      <c r="T736" s="87">
        <f t="shared" si="72"/>
        <v>1.2820688429061469E-2</v>
      </c>
      <c r="U736" s="87">
        <f t="shared" si="72"/>
        <v>2.9086738301834166E-2</v>
      </c>
      <c r="V736" s="87">
        <f t="shared" si="72"/>
        <v>1.4925650216675574E-2</v>
      </c>
      <c r="W736" s="87">
        <f t="shared" si="72"/>
        <v>1.3953714773865089E-2</v>
      </c>
      <c r="X736" s="87">
        <f t="shared" si="72"/>
        <v>4.2925044717033844E-2</v>
      </c>
      <c r="Y736" s="87">
        <f t="shared" si="72"/>
        <v>2.2518863535349824E-2</v>
      </c>
      <c r="Z736" s="87">
        <f t="shared" si="72"/>
        <v>0</v>
      </c>
      <c r="AA736" s="87">
        <f t="shared" si="69"/>
        <v>1.2307847674596993E-2</v>
      </c>
      <c r="AB736" s="87">
        <f t="shared" si="69"/>
        <v>2.9081209300841602E-2</v>
      </c>
      <c r="AC736" s="87">
        <f t="shared" si="69"/>
        <v>2.4868066578013524E-2</v>
      </c>
      <c r="AD736" s="87">
        <f t="shared" si="69"/>
        <v>1.3129291441792802E-2</v>
      </c>
      <c r="AE736" s="90">
        <f t="shared" si="71"/>
        <v>3.5725560666171649E-2</v>
      </c>
      <c r="AF736" s="89"/>
    </row>
    <row r="737" spans="1:32" ht="15.5" x14ac:dyDescent="0.35">
      <c r="A737" s="82">
        <v>40833</v>
      </c>
      <c r="B737" s="83">
        <v>7188.7</v>
      </c>
      <c r="C737" s="84">
        <v>2614.9</v>
      </c>
      <c r="D737" s="61">
        <v>289.3</v>
      </c>
      <c r="E737" s="61">
        <v>15.7</v>
      </c>
      <c r="F737" s="61">
        <v>59.4</v>
      </c>
      <c r="G737" s="61">
        <v>26.9</v>
      </c>
      <c r="H737" s="61">
        <v>41.9</v>
      </c>
      <c r="I737" s="61">
        <v>11.8</v>
      </c>
      <c r="J737" s="61">
        <v>48.5</v>
      </c>
      <c r="K737" s="61">
        <v>29.8</v>
      </c>
      <c r="L737" s="61">
        <v>32.299999999999997</v>
      </c>
      <c r="M737" s="61">
        <v>30.8</v>
      </c>
      <c r="N737" s="61">
        <v>56</v>
      </c>
      <c r="O737" s="85">
        <v>22.7</v>
      </c>
      <c r="P737" s="105"/>
      <c r="Q737" s="87">
        <f t="shared" si="70"/>
        <v>-2.2257989412364967E-2</v>
      </c>
      <c r="R737" s="87">
        <f t="shared" si="72"/>
        <v>-2.0065790223665392E-2</v>
      </c>
      <c r="S737" s="87">
        <f t="shared" si="72"/>
        <v>-1.6455633577859938E-2</v>
      </c>
      <c r="T737" s="87">
        <f t="shared" si="72"/>
        <v>0</v>
      </c>
      <c r="U737" s="87">
        <f t="shared" si="72"/>
        <v>1.6849203649194455E-3</v>
      </c>
      <c r="V737" s="87">
        <f t="shared" si="72"/>
        <v>-3.710579396535713E-3</v>
      </c>
      <c r="W737" s="87">
        <f t="shared" si="72"/>
        <v>-3.2866808080352104E-2</v>
      </c>
      <c r="X737" s="87">
        <f t="shared" si="72"/>
        <v>-8.4388686458645949E-3</v>
      </c>
      <c r="Y737" s="87">
        <f t="shared" si="72"/>
        <v>-1.8386626250439315E-2</v>
      </c>
      <c r="Z737" s="87">
        <f t="shared" si="72"/>
        <v>1.3513719166722855E-2</v>
      </c>
      <c r="AA737" s="87">
        <f t="shared" si="69"/>
        <v>-1.230784767459704E-2</v>
      </c>
      <c r="AB737" s="87">
        <f t="shared" si="69"/>
        <v>-1.9293202934678781E-2</v>
      </c>
      <c r="AC737" s="87">
        <f t="shared" si="69"/>
        <v>-1.7699577099400975E-2</v>
      </c>
      <c r="AD737" s="87">
        <f t="shared" si="69"/>
        <v>-1.3129291441792736E-2</v>
      </c>
      <c r="AE737" s="90">
        <f t="shared" si="71"/>
        <v>-1.1946371097426097E-2</v>
      </c>
      <c r="AF737" s="89"/>
    </row>
    <row r="738" spans="1:32" ht="15.5" x14ac:dyDescent="0.35">
      <c r="A738" s="82">
        <v>40834</v>
      </c>
      <c r="B738" s="83">
        <v>7341.7</v>
      </c>
      <c r="C738" s="84">
        <v>2657.4</v>
      </c>
      <c r="D738" s="61">
        <v>289</v>
      </c>
      <c r="E738" s="61">
        <v>15.1</v>
      </c>
      <c r="F738" s="61">
        <v>59.4</v>
      </c>
      <c r="G738" s="61">
        <v>26.8</v>
      </c>
      <c r="H738" s="61">
        <v>41.5</v>
      </c>
      <c r="I738" s="61">
        <v>11.7</v>
      </c>
      <c r="J738" s="61">
        <v>48</v>
      </c>
      <c r="K738" s="61">
        <v>29.5</v>
      </c>
      <c r="L738" s="61">
        <v>32.200000000000003</v>
      </c>
      <c r="M738" s="61">
        <v>30.2</v>
      </c>
      <c r="N738" s="61">
        <v>55</v>
      </c>
      <c r="O738" s="85">
        <v>22</v>
      </c>
      <c r="P738" s="105"/>
      <c r="Q738" s="87">
        <f t="shared" si="70"/>
        <v>2.1060074729426607E-2</v>
      </c>
      <c r="R738" s="87">
        <f t="shared" si="72"/>
        <v>1.6122345307168898E-2</v>
      </c>
      <c r="S738" s="87">
        <f t="shared" si="72"/>
        <v>-1.0375238696572796E-3</v>
      </c>
      <c r="T738" s="87">
        <f t="shared" si="72"/>
        <v>-3.8965968533383723E-2</v>
      </c>
      <c r="U738" s="87">
        <f t="shared" si="72"/>
        <v>0</v>
      </c>
      <c r="V738" s="87">
        <f t="shared" si="72"/>
        <v>-3.7243990909823282E-3</v>
      </c>
      <c r="W738" s="87">
        <f t="shared" si="72"/>
        <v>-9.5923996914394089E-3</v>
      </c>
      <c r="X738" s="87">
        <f t="shared" si="72"/>
        <v>-8.5106896679087302E-3</v>
      </c>
      <c r="Y738" s="87">
        <f t="shared" si="72"/>
        <v>-1.0362787035546547E-2</v>
      </c>
      <c r="Z738" s="87">
        <f t="shared" si="72"/>
        <v>-1.0118130165584667E-2</v>
      </c>
      <c r="AA738" s="87">
        <f t="shared" si="69"/>
        <v>-3.1007776782480479E-3</v>
      </c>
      <c r="AB738" s="87">
        <f t="shared" si="69"/>
        <v>-1.9672765598704893E-2</v>
      </c>
      <c r="AC738" s="87">
        <f t="shared" si="69"/>
        <v>-1.8018505502678365E-2</v>
      </c>
      <c r="AD738" s="87">
        <f t="shared" si="69"/>
        <v>-3.1322471129041157E-2</v>
      </c>
      <c r="AE738" s="90">
        <f t="shared" si="71"/>
        <v>7.2170739216558368E-4</v>
      </c>
      <c r="AF738" s="89"/>
    </row>
    <row r="739" spans="1:32" ht="15.5" x14ac:dyDescent="0.35">
      <c r="A739" s="82">
        <v>40835</v>
      </c>
      <c r="B739" s="83">
        <v>7240.3</v>
      </c>
      <c r="C739" s="84">
        <v>2604</v>
      </c>
      <c r="D739" s="61">
        <v>289.89999999999998</v>
      </c>
      <c r="E739" s="61">
        <v>15.7</v>
      </c>
      <c r="F739" s="61">
        <v>56.8</v>
      </c>
      <c r="G739" s="61">
        <v>27</v>
      </c>
      <c r="H739" s="61">
        <v>46.2</v>
      </c>
      <c r="I739" s="61">
        <v>11.8</v>
      </c>
      <c r="J739" s="61">
        <v>47.6</v>
      </c>
      <c r="K739" s="61">
        <v>31.1</v>
      </c>
      <c r="L739" s="61">
        <v>32.4</v>
      </c>
      <c r="M739" s="61">
        <v>31.3</v>
      </c>
      <c r="N739" s="61">
        <v>54.2</v>
      </c>
      <c r="O739" s="85">
        <v>22.8</v>
      </c>
      <c r="P739" s="105"/>
      <c r="Q739" s="87">
        <f t="shared" si="70"/>
        <v>-1.3907781435698712E-2</v>
      </c>
      <c r="R739" s="87">
        <f t="shared" si="72"/>
        <v>-2.0299476828747644E-2</v>
      </c>
      <c r="S739" s="87">
        <f t="shared" si="72"/>
        <v>3.109347815177587E-3</v>
      </c>
      <c r="T739" s="87">
        <f t="shared" si="72"/>
        <v>3.8965968533383709E-2</v>
      </c>
      <c r="U739" s="87">
        <f t="shared" si="72"/>
        <v>-4.4757900641493605E-2</v>
      </c>
      <c r="V739" s="87">
        <f t="shared" si="72"/>
        <v>7.4349784875179905E-3</v>
      </c>
      <c r="W739" s="87">
        <f t="shared" si="72"/>
        <v>0.1072863708510407</v>
      </c>
      <c r="X739" s="87">
        <f t="shared" si="72"/>
        <v>8.5106896679088308E-3</v>
      </c>
      <c r="Y739" s="87">
        <f t="shared" si="72"/>
        <v>-8.3682496705165792E-3</v>
      </c>
      <c r="Z739" s="87">
        <f t="shared" si="72"/>
        <v>5.2817555839414339E-2</v>
      </c>
      <c r="AA739" s="87">
        <f t="shared" si="69"/>
        <v>6.1919702479209804E-3</v>
      </c>
      <c r="AB739" s="87">
        <f t="shared" si="69"/>
        <v>3.5776173165283649E-2</v>
      </c>
      <c r="AC739" s="87">
        <f t="shared" si="69"/>
        <v>-1.4652276786870375E-2</v>
      </c>
      <c r="AD739" s="87">
        <f t="shared" si="69"/>
        <v>3.5718082602079246E-2</v>
      </c>
      <c r="AE739" s="90">
        <f t="shared" si="71"/>
        <v>-1.3630987225463735E-2</v>
      </c>
      <c r="AF739" s="89"/>
    </row>
    <row r="740" spans="1:32" ht="15.5" x14ac:dyDescent="0.35">
      <c r="A740" s="82">
        <v>40836</v>
      </c>
      <c r="B740" s="83">
        <v>7273.9</v>
      </c>
      <c r="C740" s="84">
        <v>2598.6</v>
      </c>
      <c r="D740" s="61">
        <v>290</v>
      </c>
      <c r="E740" s="61">
        <v>16</v>
      </c>
      <c r="F740" s="61">
        <v>56.3</v>
      </c>
      <c r="G740" s="61">
        <v>26.4</v>
      </c>
      <c r="H740" s="61">
        <v>46.1</v>
      </c>
      <c r="I740" s="61">
        <v>11.7</v>
      </c>
      <c r="J740" s="61">
        <v>47.1</v>
      </c>
      <c r="K740" s="61">
        <v>30.7</v>
      </c>
      <c r="L740" s="61">
        <v>32.299999999999997</v>
      </c>
      <c r="M740" s="61">
        <v>30.6</v>
      </c>
      <c r="N740" s="61">
        <v>54.2</v>
      </c>
      <c r="O740" s="85">
        <v>22.7</v>
      </c>
      <c r="P740" s="105"/>
      <c r="Q740" s="87">
        <f t="shared" si="70"/>
        <v>4.6299568728803992E-3</v>
      </c>
      <c r="R740" s="87">
        <f t="shared" si="72"/>
        <v>-2.07588587982386E-3</v>
      </c>
      <c r="S740" s="87">
        <f t="shared" si="72"/>
        <v>3.4488705290998688E-4</v>
      </c>
      <c r="T740" s="87">
        <f t="shared" si="72"/>
        <v>1.8928009885518859E-2</v>
      </c>
      <c r="U740" s="87">
        <f t="shared" si="72"/>
        <v>-8.8417905814610117E-3</v>
      </c>
      <c r="V740" s="87">
        <f t="shared" si="72"/>
        <v>-2.2472855852058628E-2</v>
      </c>
      <c r="W740" s="87">
        <f t="shared" si="72"/>
        <v>-2.166848085090314E-3</v>
      </c>
      <c r="X740" s="87">
        <f t="shared" si="72"/>
        <v>-8.5106896679087302E-3</v>
      </c>
      <c r="Y740" s="87">
        <f t="shared" si="72"/>
        <v>-1.0559760215002217E-2</v>
      </c>
      <c r="Z740" s="87">
        <f t="shared" si="72"/>
        <v>-1.2945164592037076E-2</v>
      </c>
      <c r="AA740" s="87">
        <f t="shared" si="69"/>
        <v>-3.0911925696728579E-3</v>
      </c>
      <c r="AB740" s="87">
        <f t="shared" si="69"/>
        <v>-2.2618088587772402E-2</v>
      </c>
      <c r="AC740" s="87">
        <f t="shared" si="69"/>
        <v>0</v>
      </c>
      <c r="AD740" s="87">
        <f t="shared" si="69"/>
        <v>-4.3956114730381093E-3</v>
      </c>
      <c r="AE740" s="90">
        <f t="shared" si="71"/>
        <v>-3.5837640109639478E-3</v>
      </c>
      <c r="AF740" s="89"/>
    </row>
    <row r="741" spans="1:32" ht="15.5" x14ac:dyDescent="0.35">
      <c r="A741" s="82">
        <v>40837</v>
      </c>
      <c r="B741" s="83">
        <v>7431.1</v>
      </c>
      <c r="C741" s="84">
        <v>2637.5</v>
      </c>
      <c r="D741" s="61">
        <v>293.60000000000002</v>
      </c>
      <c r="E741" s="61">
        <v>16.100000000000001</v>
      </c>
      <c r="F741" s="61">
        <v>55.8</v>
      </c>
      <c r="G741" s="61">
        <v>26.8</v>
      </c>
      <c r="H741" s="61">
        <v>46.8</v>
      </c>
      <c r="I741" s="61">
        <v>12.3</v>
      </c>
      <c r="J741" s="61">
        <v>48.8</v>
      </c>
      <c r="K741" s="61">
        <v>32.299999999999997</v>
      </c>
      <c r="L741" s="61">
        <v>33.1</v>
      </c>
      <c r="M741" s="61">
        <v>32.5</v>
      </c>
      <c r="N741" s="61">
        <v>55.6</v>
      </c>
      <c r="O741" s="85">
        <v>23.1</v>
      </c>
      <c r="P741" s="105"/>
      <c r="Q741" s="87">
        <f t="shared" si="70"/>
        <v>2.138129734767083E-2</v>
      </c>
      <c r="R741" s="87">
        <f t="shared" si="72"/>
        <v>1.485866033568597E-2</v>
      </c>
      <c r="S741" s="87">
        <f t="shared" si="72"/>
        <v>1.2337373759840784E-2</v>
      </c>
      <c r="T741" s="87">
        <f t="shared" si="72"/>
        <v>6.2305497506361628E-3</v>
      </c>
      <c r="U741" s="87">
        <f t="shared" si="72"/>
        <v>-8.9206657583794889E-3</v>
      </c>
      <c r="V741" s="87">
        <f t="shared" si="72"/>
        <v>1.5037877364540502E-2</v>
      </c>
      <c r="W741" s="87">
        <f t="shared" si="72"/>
        <v>1.5070252920998173E-2</v>
      </c>
      <c r="X741" s="87">
        <f t="shared" si="72"/>
        <v>5.0010420574661416E-2</v>
      </c>
      <c r="Y741" s="87">
        <f t="shared" si="72"/>
        <v>3.545731183672942E-2</v>
      </c>
      <c r="Z741" s="87">
        <f t="shared" si="72"/>
        <v>5.0804575635459412E-2</v>
      </c>
      <c r="AA741" s="87">
        <f t="shared" si="69"/>
        <v>2.4466052154406424E-2</v>
      </c>
      <c r="AB741" s="87">
        <f t="shared" si="69"/>
        <v>6.0240080377356717E-2</v>
      </c>
      <c r="AC741" s="87">
        <f t="shared" si="69"/>
        <v>2.5502292810936043E-2</v>
      </c>
      <c r="AD741" s="87">
        <f t="shared" si="69"/>
        <v>1.7467693040390999E-2</v>
      </c>
      <c r="AE741" s="90">
        <f t="shared" si="71"/>
        <v>7.6382060149127219E-3</v>
      </c>
    </row>
    <row r="742" spans="1:32" ht="15.5" x14ac:dyDescent="0.35">
      <c r="A742" s="82">
        <v>40840</v>
      </c>
      <c r="B742" s="83">
        <v>7547.6</v>
      </c>
      <c r="C742" s="84">
        <v>2699.4</v>
      </c>
      <c r="D742" s="61">
        <v>293.5</v>
      </c>
      <c r="E742" s="61">
        <v>16.3</v>
      </c>
      <c r="F742" s="61">
        <v>56.5</v>
      </c>
      <c r="G742" s="61">
        <v>27</v>
      </c>
      <c r="H742" s="61">
        <v>47.6</v>
      </c>
      <c r="I742" s="61">
        <v>13</v>
      </c>
      <c r="J742" s="61">
        <v>49.3</v>
      </c>
      <c r="K742" s="61">
        <v>32.9</v>
      </c>
      <c r="L742" s="61">
        <v>33.1</v>
      </c>
      <c r="M742" s="61">
        <v>33.4</v>
      </c>
      <c r="N742" s="61">
        <v>56.5</v>
      </c>
      <c r="O742" s="85">
        <v>23.5</v>
      </c>
      <c r="P742" s="105"/>
      <c r="Q742" s="87">
        <f t="shared" si="70"/>
        <v>1.5555735707623952E-2</v>
      </c>
      <c r="R742" s="87">
        <f t="shared" si="72"/>
        <v>2.3198027290859721E-2</v>
      </c>
      <c r="S742" s="87">
        <f t="shared" si="72"/>
        <v>-3.4065747220945141E-4</v>
      </c>
      <c r="T742" s="87">
        <f t="shared" si="72"/>
        <v>1.2345835822299362E-2</v>
      </c>
      <c r="U742" s="87">
        <f t="shared" si="72"/>
        <v>1.2466768765130067E-2</v>
      </c>
      <c r="V742" s="87">
        <f t="shared" si="72"/>
        <v>7.4349784875179905E-3</v>
      </c>
      <c r="W742" s="87">
        <f t="shared" si="72"/>
        <v>1.6949558313773424E-2</v>
      </c>
      <c r="X742" s="87">
        <f t="shared" si="72"/>
        <v>5.5350095083164901E-2</v>
      </c>
      <c r="Y742" s="87">
        <f t="shared" si="72"/>
        <v>1.0193768189543024E-2</v>
      </c>
      <c r="Z742" s="87">
        <f t="shared" si="72"/>
        <v>1.8405427542715343E-2</v>
      </c>
      <c r="AA742" s="87">
        <f t="shared" si="69"/>
        <v>0</v>
      </c>
      <c r="AB742" s="87">
        <f t="shared" si="69"/>
        <v>2.7315810646962924E-2</v>
      </c>
      <c r="AC742" s="87">
        <f t="shared" si="69"/>
        <v>1.6057436895858469E-2</v>
      </c>
      <c r="AD742" s="87">
        <f t="shared" si="69"/>
        <v>1.716780362236528E-2</v>
      </c>
      <c r="AE742" s="90">
        <f t="shared" si="71"/>
        <v>1.2505292461598717E-2</v>
      </c>
    </row>
    <row r="743" spans="1:32" ht="15.5" x14ac:dyDescent="0.35">
      <c r="A743" s="82">
        <v>40841</v>
      </c>
      <c r="B743" s="83">
        <v>7400.8</v>
      </c>
      <c r="C743" s="84">
        <v>2638.4</v>
      </c>
      <c r="D743" s="61">
        <v>291.7</v>
      </c>
      <c r="E743" s="61">
        <v>16.2</v>
      </c>
      <c r="F743" s="61">
        <v>56.8</v>
      </c>
      <c r="G743" s="61">
        <v>26.7</v>
      </c>
      <c r="H743" s="61">
        <v>47.3</v>
      </c>
      <c r="I743" s="61">
        <v>13</v>
      </c>
      <c r="J743" s="61">
        <v>48.4</v>
      </c>
      <c r="K743" s="61">
        <v>32.9</v>
      </c>
      <c r="L743" s="61">
        <v>32.799999999999997</v>
      </c>
      <c r="M743" s="61">
        <v>32.700000000000003</v>
      </c>
      <c r="N743" s="61">
        <v>56</v>
      </c>
      <c r="O743" s="85">
        <v>23.4</v>
      </c>
      <c r="P743" s="105"/>
      <c r="Q743" s="87">
        <f t="shared" si="70"/>
        <v>-1.9641529456450077E-2</v>
      </c>
      <c r="R743" s="87">
        <f t="shared" si="72"/>
        <v>-2.28568532698472E-2</v>
      </c>
      <c r="S743" s="87">
        <f t="shared" si="72"/>
        <v>-6.1517623944754981E-3</v>
      </c>
      <c r="T743" s="87">
        <f t="shared" si="72"/>
        <v>-6.1538655743783354E-3</v>
      </c>
      <c r="U743" s="87">
        <f t="shared" si="72"/>
        <v>5.2956875747102823E-3</v>
      </c>
      <c r="V743" s="87">
        <f t="shared" si="72"/>
        <v>-1.1173300598125302E-2</v>
      </c>
      <c r="W743" s="87">
        <f t="shared" si="72"/>
        <v>-6.3224657394871263E-3</v>
      </c>
      <c r="X743" s="87">
        <f t="shared" si="72"/>
        <v>0</v>
      </c>
      <c r="Y743" s="87">
        <f t="shared" si="72"/>
        <v>-1.8424267326058359E-2</v>
      </c>
      <c r="Z743" s="87">
        <f t="shared" si="72"/>
        <v>0</v>
      </c>
      <c r="AA743" s="87">
        <f t="shared" si="69"/>
        <v>-9.1047669929193165E-3</v>
      </c>
      <c r="AB743" s="87">
        <f t="shared" si="69"/>
        <v>-2.1180822079446909E-2</v>
      </c>
      <c r="AC743" s="87">
        <f t="shared" si="69"/>
        <v>-8.8889474172460393E-3</v>
      </c>
      <c r="AD743" s="87">
        <f t="shared" si="69"/>
        <v>-4.2643987864575397E-3</v>
      </c>
      <c r="AE743" s="90">
        <f t="shared" si="71"/>
        <v>-7.6564110957885734E-3</v>
      </c>
    </row>
    <row r="744" spans="1:32" ht="15.5" x14ac:dyDescent="0.35">
      <c r="A744" s="82">
        <v>40842</v>
      </c>
      <c r="B744" s="83">
        <v>7506.1</v>
      </c>
      <c r="C744" s="84">
        <v>2650.7</v>
      </c>
      <c r="D744" s="61">
        <v>286.7</v>
      </c>
      <c r="E744" s="61">
        <v>15.9</v>
      </c>
      <c r="F744" s="61">
        <v>56.2</v>
      </c>
      <c r="G744" s="61">
        <v>26.1</v>
      </c>
      <c r="H744" s="61">
        <v>45.8</v>
      </c>
      <c r="I744" s="61">
        <v>13.1</v>
      </c>
      <c r="J744" s="61">
        <v>47.7</v>
      </c>
      <c r="K744" s="61">
        <v>32.4</v>
      </c>
      <c r="L744" s="61">
        <v>33.1</v>
      </c>
      <c r="M744" s="61">
        <v>31.3</v>
      </c>
      <c r="N744" s="61">
        <v>56.3</v>
      </c>
      <c r="O744" s="85">
        <v>23.2</v>
      </c>
      <c r="P744" s="105"/>
      <c r="Q744" s="87">
        <f t="shared" si="70"/>
        <v>1.4127920824304465E-2</v>
      </c>
      <c r="R744" s="87">
        <f t="shared" si="72"/>
        <v>4.6510832366117557E-3</v>
      </c>
      <c r="S744" s="87">
        <f t="shared" si="72"/>
        <v>-1.7289503984351536E-2</v>
      </c>
      <c r="T744" s="87">
        <f t="shared" si="72"/>
        <v>-1.8692133012152522E-2</v>
      </c>
      <c r="U744" s="87">
        <f t="shared" si="72"/>
        <v>-1.0619568827460148E-2</v>
      </c>
      <c r="V744" s="87">
        <f t="shared" si="72"/>
        <v>-2.2728251077556064E-2</v>
      </c>
      <c r="W744" s="87">
        <f t="shared" si="72"/>
        <v>-3.2226204377748036E-2</v>
      </c>
      <c r="X744" s="87">
        <f t="shared" si="72"/>
        <v>7.6628727455690972E-3</v>
      </c>
      <c r="Y744" s="87">
        <f t="shared" si="72"/>
        <v>-1.4568415828290385E-2</v>
      </c>
      <c r="Z744" s="87">
        <f t="shared" si="72"/>
        <v>-1.5314234973042481E-2</v>
      </c>
      <c r="AA744" s="87">
        <f t="shared" si="69"/>
        <v>9.104766992919287E-3</v>
      </c>
      <c r="AB744" s="87">
        <f t="shared" si="69"/>
        <v>-4.3756980357100218E-2</v>
      </c>
      <c r="AC744" s="87">
        <f t="shared" si="69"/>
        <v>5.342844410495446E-3</v>
      </c>
      <c r="AD744" s="87">
        <f t="shared" si="69"/>
        <v>-8.5837436913914419E-3</v>
      </c>
      <c r="AE744" s="90">
        <f t="shared" si="71"/>
        <v>-7.7474818462918557E-3</v>
      </c>
    </row>
    <row r="745" spans="1:32" ht="15.5" x14ac:dyDescent="0.35">
      <c r="A745" s="82">
        <v>40843</v>
      </c>
      <c r="B745" s="83">
        <v>7814</v>
      </c>
      <c r="C745" s="84">
        <v>2738.6</v>
      </c>
      <c r="D745" s="61">
        <v>297</v>
      </c>
      <c r="E745" s="61">
        <v>16.5</v>
      </c>
      <c r="F745" s="61">
        <v>57.4</v>
      </c>
      <c r="G745" s="61">
        <v>26.7</v>
      </c>
      <c r="H745" s="61">
        <v>48.2</v>
      </c>
      <c r="I745" s="61">
        <v>13.9</v>
      </c>
      <c r="J745" s="61">
        <v>49.4</v>
      </c>
      <c r="K745" s="61">
        <v>33</v>
      </c>
      <c r="L745" s="61">
        <v>33.799999999999997</v>
      </c>
      <c r="M745" s="61">
        <v>34.299999999999997</v>
      </c>
      <c r="N745" s="61">
        <v>59</v>
      </c>
      <c r="O745" s="85">
        <v>23.9</v>
      </c>
      <c r="P745" s="105"/>
      <c r="Q745" s="87">
        <f t="shared" si="70"/>
        <v>4.0200973333602556E-2</v>
      </c>
      <c r="R745" s="87">
        <f t="shared" si="72"/>
        <v>3.2623084856187097E-2</v>
      </c>
      <c r="S745" s="87">
        <f t="shared" si="72"/>
        <v>3.5295765913375535E-2</v>
      </c>
      <c r="T745" s="87">
        <f t="shared" si="72"/>
        <v>3.7041271680349076E-2</v>
      </c>
      <c r="U745" s="87">
        <f t="shared" si="72"/>
        <v>2.1127546425875277E-2</v>
      </c>
      <c r="V745" s="87">
        <f t="shared" si="72"/>
        <v>2.2728251077556091E-2</v>
      </c>
      <c r="W745" s="87">
        <f t="shared" si="72"/>
        <v>5.1074929936415464E-2</v>
      </c>
      <c r="X745" s="87">
        <f t="shared" si="72"/>
        <v>5.9276609929540307E-2</v>
      </c>
      <c r="Y745" s="87">
        <f t="shared" si="72"/>
        <v>3.5019026299581139E-2</v>
      </c>
      <c r="Z745" s="87">
        <f t="shared" si="72"/>
        <v>1.8349138668196617E-2</v>
      </c>
      <c r="AA745" s="87">
        <f t="shared" si="69"/>
        <v>2.0927520105955819E-2</v>
      </c>
      <c r="AB745" s="87">
        <f t="shared" si="69"/>
        <v>9.1527256625786618E-2</v>
      </c>
      <c r="AC745" s="87">
        <f t="shared" si="69"/>
        <v>4.6842908760074894E-2</v>
      </c>
      <c r="AD745" s="87">
        <f t="shared" si="69"/>
        <v>2.9726180265200689E-2</v>
      </c>
      <c r="AE745" s="90">
        <f t="shared" si="71"/>
        <v>2.9766414964168188E-2</v>
      </c>
    </row>
    <row r="746" spans="1:32" ht="15.5" x14ac:dyDescent="0.35">
      <c r="A746" s="82">
        <v>40844</v>
      </c>
      <c r="B746" s="83">
        <v>7803.9</v>
      </c>
      <c r="C746" s="84">
        <v>2737.1</v>
      </c>
      <c r="D746" s="61">
        <v>297.39999999999998</v>
      </c>
      <c r="E746" s="61">
        <v>16.3</v>
      </c>
      <c r="F746" s="61">
        <v>57.5</v>
      </c>
      <c r="G746" s="61">
        <v>26.8</v>
      </c>
      <c r="H746" s="61">
        <v>47.8</v>
      </c>
      <c r="I746" s="61">
        <v>14.6</v>
      </c>
      <c r="J746" s="61">
        <v>49.5</v>
      </c>
      <c r="K746" s="61">
        <v>32.700000000000003</v>
      </c>
      <c r="L746" s="61">
        <v>34.6</v>
      </c>
      <c r="M746" s="61">
        <v>36.1</v>
      </c>
      <c r="N746" s="61">
        <v>58.9</v>
      </c>
      <c r="O746" s="85">
        <v>23.7</v>
      </c>
      <c r="P746" s="105"/>
      <c r="Q746" s="87">
        <f t="shared" si="70"/>
        <v>-1.2933878956818382E-3</v>
      </c>
      <c r="R746" s="87">
        <f t="shared" si="72"/>
        <v>-5.4787517121867029E-4</v>
      </c>
      <c r="S746" s="87">
        <f t="shared" si="72"/>
        <v>1.3458952233549413E-3</v>
      </c>
      <c r="T746" s="87">
        <f t="shared" si="72"/>
        <v>-1.2195273093818243E-2</v>
      </c>
      <c r="U746" s="87">
        <f t="shared" si="72"/>
        <v>1.7406444777841182E-3</v>
      </c>
      <c r="V746" s="87">
        <f t="shared" si="72"/>
        <v>3.7383221106071581E-3</v>
      </c>
      <c r="W746" s="87">
        <f t="shared" si="72"/>
        <v>-8.3333815591444104E-3</v>
      </c>
      <c r="X746" s="87">
        <f t="shared" si="72"/>
        <v>4.9132688577644593E-2</v>
      </c>
      <c r="Y746" s="87">
        <f t="shared" si="72"/>
        <v>2.0222453807678706E-3</v>
      </c>
      <c r="Z746" s="87">
        <f t="shared" si="72"/>
        <v>-9.1324835632724741E-3</v>
      </c>
      <c r="AA746" s="87">
        <f t="shared" si="69"/>
        <v>2.3392879574705594E-2</v>
      </c>
      <c r="AB746" s="87">
        <f t="shared" si="69"/>
        <v>5.1147511166941211E-2</v>
      </c>
      <c r="AC746" s="87">
        <f t="shared" si="69"/>
        <v>-1.6963532481784019E-3</v>
      </c>
      <c r="AD746" s="87">
        <f t="shared" si="69"/>
        <v>-8.4034107963795041E-3</v>
      </c>
      <c r="AE746" s="90">
        <f t="shared" si="71"/>
        <v>-2.9389650243063126E-4</v>
      </c>
    </row>
    <row r="747" spans="1:32" ht="15.5" x14ac:dyDescent="0.35">
      <c r="A747" s="82">
        <v>40847</v>
      </c>
      <c r="B747" s="83">
        <v>7563.4</v>
      </c>
      <c r="C747" s="84">
        <v>2684.4</v>
      </c>
      <c r="D747" s="61">
        <v>296.10000000000002</v>
      </c>
      <c r="E747" s="61">
        <v>15.5</v>
      </c>
      <c r="F747" s="61">
        <v>57.3</v>
      </c>
      <c r="G747" s="61">
        <v>26.6</v>
      </c>
      <c r="H747" s="61">
        <v>47.2</v>
      </c>
      <c r="I747" s="61">
        <v>14.1</v>
      </c>
      <c r="J747" s="61">
        <v>47.3</v>
      </c>
      <c r="K747" s="61">
        <v>32.1</v>
      </c>
      <c r="L747" s="61">
        <v>34.5</v>
      </c>
      <c r="M747" s="61">
        <v>35.1</v>
      </c>
      <c r="N747" s="61">
        <v>56.5</v>
      </c>
      <c r="O747" s="85">
        <v>23.9</v>
      </c>
      <c r="P747" s="105"/>
      <c r="Q747" s="87">
        <f t="shared" si="70"/>
        <v>-3.1302784196696118E-2</v>
      </c>
      <c r="R747" s="87">
        <f t="shared" si="72"/>
        <v>-1.9441726442830393E-2</v>
      </c>
      <c r="S747" s="87">
        <f t="shared" si="72"/>
        <v>-4.3807989185089746E-3</v>
      </c>
      <c r="T747" s="87">
        <f t="shared" si="72"/>
        <v>-5.0325083887515769E-2</v>
      </c>
      <c r="U747" s="87">
        <f t="shared" si="72"/>
        <v>-3.4843240826109225E-3</v>
      </c>
      <c r="V747" s="87">
        <f t="shared" si="72"/>
        <v>-7.4906717291576257E-3</v>
      </c>
      <c r="W747" s="87">
        <f t="shared" si="72"/>
        <v>-1.2631746905900462E-2</v>
      </c>
      <c r="X747" s="87">
        <f t="shared" si="72"/>
        <v>-3.484673133016819E-2</v>
      </c>
      <c r="Y747" s="87">
        <f t="shared" si="72"/>
        <v>-4.5462374076757399E-2</v>
      </c>
      <c r="Z747" s="87">
        <f t="shared" si="72"/>
        <v>-1.8519047767237527E-2</v>
      </c>
      <c r="AA747" s="87">
        <f t="shared" si="69"/>
        <v>-2.8943580263645261E-3</v>
      </c>
      <c r="AB747" s="87">
        <f t="shared" si="69"/>
        <v>-2.8091734867015068E-2</v>
      </c>
      <c r="AC747" s="87">
        <f t="shared" si="69"/>
        <v>-4.1600452505145699E-2</v>
      </c>
      <c r="AD747" s="87">
        <f t="shared" si="69"/>
        <v>8.4034107963793792E-3</v>
      </c>
      <c r="AE747" s="90">
        <f t="shared" si="71"/>
        <v>-7.0850540403076369E-3</v>
      </c>
    </row>
    <row r="748" spans="1:32" ht="15.5" x14ac:dyDescent="0.35">
      <c r="A748" s="82">
        <v>40848</v>
      </c>
      <c r="B748" s="83">
        <v>7337.1</v>
      </c>
      <c r="C748" s="84">
        <v>2607</v>
      </c>
      <c r="D748" s="61">
        <v>288.7</v>
      </c>
      <c r="E748" s="61">
        <v>14.8</v>
      </c>
      <c r="F748" s="61">
        <v>56.2</v>
      </c>
      <c r="G748" s="61">
        <v>25.9</v>
      </c>
      <c r="H748" s="61">
        <v>45.6</v>
      </c>
      <c r="I748" s="61">
        <v>13</v>
      </c>
      <c r="J748" s="61">
        <v>44.6</v>
      </c>
      <c r="K748" s="61">
        <v>30.3</v>
      </c>
      <c r="L748" s="61">
        <v>33.700000000000003</v>
      </c>
      <c r="M748" s="61">
        <v>32.6</v>
      </c>
      <c r="N748" s="61">
        <v>53.6</v>
      </c>
      <c r="O748" s="85">
        <v>23.4</v>
      </c>
      <c r="P748" s="105"/>
      <c r="Q748" s="87">
        <f t="shared" si="70"/>
        <v>-3.037715535266319E-2</v>
      </c>
      <c r="R748" s="87">
        <f t="shared" si="72"/>
        <v>-2.9257104350582572E-2</v>
      </c>
      <c r="S748" s="87">
        <f t="shared" si="72"/>
        <v>-2.5309148438656268E-2</v>
      </c>
      <c r="T748" s="87">
        <f t="shared" si="72"/>
        <v>-4.6212843155131564E-2</v>
      </c>
      <c r="U748" s="87">
        <f t="shared" si="72"/>
        <v>-1.9383866821048416E-2</v>
      </c>
      <c r="V748" s="87">
        <f t="shared" si="72"/>
        <v>-2.6668247082161409E-2</v>
      </c>
      <c r="W748" s="87">
        <f t="shared" si="72"/>
        <v>-3.4486176071169321E-2</v>
      </c>
      <c r="X748" s="87">
        <f t="shared" si="72"/>
        <v>-8.1225439922585865E-2</v>
      </c>
      <c r="Y748" s="87">
        <f t="shared" si="72"/>
        <v>-5.8776436471868761E-2</v>
      </c>
      <c r="Z748" s="87">
        <f t="shared" si="72"/>
        <v>-5.770831762064673E-2</v>
      </c>
      <c r="AA748" s="87">
        <f t="shared" si="69"/>
        <v>-2.3461486678997934E-2</v>
      </c>
      <c r="AB748" s="87">
        <f t="shared" si="69"/>
        <v>-7.388884209915822E-2</v>
      </c>
      <c r="AC748" s="87">
        <f t="shared" si="69"/>
        <v>-5.2691570075638967E-2</v>
      </c>
      <c r="AD748" s="87">
        <f t="shared" si="69"/>
        <v>-2.1142436573809237E-2</v>
      </c>
      <c r="AE748" s="90">
        <f t="shared" si="71"/>
        <v>-2.429181713446504E-2</v>
      </c>
    </row>
    <row r="749" spans="1:32" ht="15.5" x14ac:dyDescent="0.35">
      <c r="A749" s="82">
        <v>40849</v>
      </c>
      <c r="B749" s="83">
        <v>7461.1</v>
      </c>
      <c r="C749" s="84">
        <v>2640</v>
      </c>
      <c r="D749" s="61">
        <v>290.5</v>
      </c>
      <c r="E749" s="61">
        <v>15</v>
      </c>
      <c r="F749" s="61">
        <v>56.4</v>
      </c>
      <c r="G749" s="61">
        <v>25.7</v>
      </c>
      <c r="H749" s="61">
        <v>44.5</v>
      </c>
      <c r="I749" s="61">
        <v>13.6</v>
      </c>
      <c r="J749" s="61">
        <v>46.4</v>
      </c>
      <c r="K749" s="61">
        <v>32</v>
      </c>
      <c r="L749" s="61">
        <v>34</v>
      </c>
      <c r="M749" s="61">
        <v>33.700000000000003</v>
      </c>
      <c r="N749" s="61">
        <v>54.4</v>
      </c>
      <c r="O749" s="85">
        <v>23.5</v>
      </c>
      <c r="P749" s="105"/>
      <c r="Q749" s="87">
        <f t="shared" si="70"/>
        <v>1.6759187240804364E-2</v>
      </c>
      <c r="R749" s="87">
        <f t="shared" si="72"/>
        <v>1.2578782206860185E-2</v>
      </c>
      <c r="S749" s="87">
        <f t="shared" si="72"/>
        <v>6.2154896230764674E-3</v>
      </c>
      <c r="T749" s="87">
        <f t="shared" si="72"/>
        <v>1.342302033214055E-2</v>
      </c>
      <c r="U749" s="87">
        <f t="shared" si="72"/>
        <v>3.5524016043677006E-3</v>
      </c>
      <c r="V749" s="87">
        <f t="shared" si="72"/>
        <v>-7.7519768043179359E-3</v>
      </c>
      <c r="W749" s="87">
        <f t="shared" si="72"/>
        <v>-2.4418527348145886E-2</v>
      </c>
      <c r="X749" s="87">
        <f t="shared" si="72"/>
        <v>4.5120435280469641E-2</v>
      </c>
      <c r="Y749" s="87">
        <f t="shared" si="72"/>
        <v>3.9565600206191098E-2</v>
      </c>
      <c r="Z749" s="87">
        <f t="shared" si="72"/>
        <v>5.4588190284402996E-2</v>
      </c>
      <c r="AA749" s="87">
        <f t="shared" si="69"/>
        <v>8.8626872578453243E-3</v>
      </c>
      <c r="AB749" s="87">
        <f t="shared" si="69"/>
        <v>3.3185548985654109E-2</v>
      </c>
      <c r="AC749" s="87">
        <f t="shared" si="69"/>
        <v>1.4815085785140682E-2</v>
      </c>
      <c r="AD749" s="87">
        <f t="shared" si="69"/>
        <v>4.264398786457518E-3</v>
      </c>
      <c r="AE749" s="90">
        <f t="shared" si="71"/>
        <v>7.1242448478345509E-3</v>
      </c>
    </row>
    <row r="750" spans="1:32" ht="15.5" x14ac:dyDescent="0.35">
      <c r="A750" s="82">
        <v>40850</v>
      </c>
      <c r="B750" s="83">
        <v>7605.1</v>
      </c>
      <c r="C750" s="84">
        <v>2698</v>
      </c>
      <c r="D750" s="61">
        <v>292.2</v>
      </c>
      <c r="E750" s="61">
        <v>15</v>
      </c>
      <c r="F750" s="61">
        <v>56.5</v>
      </c>
      <c r="G750" s="61">
        <v>26</v>
      </c>
      <c r="H750" s="61">
        <v>45.6</v>
      </c>
      <c r="I750" s="61">
        <v>13.6</v>
      </c>
      <c r="J750" s="61">
        <v>46</v>
      </c>
      <c r="K750" s="61">
        <v>31.7</v>
      </c>
      <c r="L750" s="61">
        <v>34.299999999999997</v>
      </c>
      <c r="M750" s="61">
        <v>33.700000000000003</v>
      </c>
      <c r="N750" s="61">
        <v>55</v>
      </c>
      <c r="O750" s="85">
        <v>23.4</v>
      </c>
      <c r="P750" s="105"/>
      <c r="Q750" s="87">
        <f t="shared" si="70"/>
        <v>1.911621844008193E-2</v>
      </c>
      <c r="R750" s="87">
        <f t="shared" si="72"/>
        <v>2.1731840627339346E-2</v>
      </c>
      <c r="S750" s="87">
        <f t="shared" si="72"/>
        <v>5.8349230246332101E-3</v>
      </c>
      <c r="T750" s="87">
        <f t="shared" si="72"/>
        <v>0</v>
      </c>
      <c r="U750" s="87">
        <f t="shared" si="72"/>
        <v>1.7714796483820209E-3</v>
      </c>
      <c r="V750" s="87">
        <f t="shared" si="72"/>
        <v>1.160554612030789E-2</v>
      </c>
      <c r="W750" s="87">
        <f t="shared" si="72"/>
        <v>2.4418527348145796E-2</v>
      </c>
      <c r="X750" s="87">
        <f t="shared" si="72"/>
        <v>0</v>
      </c>
      <c r="Y750" s="87">
        <f t="shared" si="72"/>
        <v>-8.6580627431145415E-3</v>
      </c>
      <c r="Z750" s="87">
        <f t="shared" si="72"/>
        <v>-9.4192219164916397E-3</v>
      </c>
      <c r="AA750" s="87">
        <f t="shared" si="69"/>
        <v>8.7848295557328114E-3</v>
      </c>
      <c r="AB750" s="87">
        <f t="shared" si="69"/>
        <v>0</v>
      </c>
      <c r="AC750" s="87">
        <f t="shared" si="69"/>
        <v>1.0969031370573937E-2</v>
      </c>
      <c r="AD750" s="87">
        <f t="shared" si="69"/>
        <v>-4.2643987864575397E-3</v>
      </c>
      <c r="AE750" s="90">
        <f t="shared" si="71"/>
        <v>8.2105487647098421E-3</v>
      </c>
    </row>
    <row r="751" spans="1:32" ht="15.5" x14ac:dyDescent="0.35">
      <c r="A751" s="82">
        <v>40851</v>
      </c>
      <c r="B751" s="83">
        <v>7552.2</v>
      </c>
      <c r="C751" s="84">
        <v>2686.1</v>
      </c>
      <c r="D751" s="61">
        <v>296.5</v>
      </c>
      <c r="E751" s="61">
        <v>15</v>
      </c>
      <c r="F751" s="61">
        <v>57</v>
      </c>
      <c r="G751" s="61">
        <v>26</v>
      </c>
      <c r="H751" s="61">
        <v>46.1</v>
      </c>
      <c r="I751" s="61">
        <v>13.8</v>
      </c>
      <c r="J751" s="61">
        <v>47.1</v>
      </c>
      <c r="K751" s="61">
        <v>33</v>
      </c>
      <c r="L751" s="61">
        <v>33.799999999999997</v>
      </c>
      <c r="M751" s="61">
        <v>33.799999999999997</v>
      </c>
      <c r="N751" s="61">
        <v>55.1</v>
      </c>
      <c r="O751" s="85">
        <v>23.4</v>
      </c>
      <c r="P751" s="105"/>
      <c r="Q751" s="87">
        <f t="shared" si="70"/>
        <v>-6.9801633253469058E-3</v>
      </c>
      <c r="R751" s="87">
        <f t="shared" si="72"/>
        <v>-4.4204302956344079E-3</v>
      </c>
      <c r="S751" s="87">
        <f t="shared" si="72"/>
        <v>1.4608719121180967E-2</v>
      </c>
      <c r="T751" s="87">
        <f t="shared" si="72"/>
        <v>0</v>
      </c>
      <c r="U751" s="87">
        <f t="shared" si="72"/>
        <v>8.8106296821549059E-3</v>
      </c>
      <c r="V751" s="87">
        <f t="shared" si="72"/>
        <v>0</v>
      </c>
      <c r="W751" s="87">
        <f t="shared" si="72"/>
        <v>1.0905233482262527E-2</v>
      </c>
      <c r="X751" s="87">
        <f t="shared" si="72"/>
        <v>1.4598799421152851E-2</v>
      </c>
      <c r="Y751" s="87">
        <f t="shared" si="72"/>
        <v>2.3631604533277038E-2</v>
      </c>
      <c r="Z751" s="87">
        <f t="shared" si="72"/>
        <v>4.0190880583245277E-2</v>
      </c>
      <c r="AA751" s="87">
        <f t="shared" si="69"/>
        <v>-1.4684551682921182E-2</v>
      </c>
      <c r="AB751" s="87">
        <f t="shared" si="69"/>
        <v>2.9629651306568271E-3</v>
      </c>
      <c r="AC751" s="87">
        <f t="shared" si="69"/>
        <v>1.8165309263980069E-3</v>
      </c>
      <c r="AD751" s="87">
        <f t="shared" si="69"/>
        <v>0</v>
      </c>
      <c r="AE751" s="90">
        <f t="shared" si="71"/>
        <v>5.4711964268059649E-3</v>
      </c>
    </row>
    <row r="752" spans="1:32" ht="15.5" x14ac:dyDescent="0.35">
      <c r="A752" s="82">
        <v>40854</v>
      </c>
      <c r="B752" s="83">
        <v>7590.4</v>
      </c>
      <c r="C752" s="84">
        <v>2695.3</v>
      </c>
      <c r="D752" s="61">
        <v>296.39999999999998</v>
      </c>
      <c r="E752" s="61">
        <v>15.3</v>
      </c>
      <c r="F752" s="61">
        <v>56.6</v>
      </c>
      <c r="G752" s="61">
        <v>26.1</v>
      </c>
      <c r="H752" s="61">
        <v>46.9</v>
      </c>
      <c r="I752" s="61">
        <v>13.8</v>
      </c>
      <c r="J752" s="61">
        <v>47.9</v>
      </c>
      <c r="K752" s="61">
        <v>33</v>
      </c>
      <c r="L752" s="61">
        <v>33.799999999999997</v>
      </c>
      <c r="M752" s="61">
        <v>33.1</v>
      </c>
      <c r="N752" s="61">
        <v>54</v>
      </c>
      <c r="O752" s="85">
        <v>23.4</v>
      </c>
      <c r="P752" s="105"/>
      <c r="Q752" s="87">
        <f t="shared" si="70"/>
        <v>5.0453793977826896E-3</v>
      </c>
      <c r="R752" s="87">
        <f t="shared" si="72"/>
        <v>3.419187929899513E-3</v>
      </c>
      <c r="S752" s="87">
        <f t="shared" si="72"/>
        <v>-3.3732501584835938E-4</v>
      </c>
      <c r="T752" s="87">
        <f t="shared" si="72"/>
        <v>1.980262729617973E-2</v>
      </c>
      <c r="U752" s="87">
        <f t="shared" si="72"/>
        <v>-7.0422826254129232E-3</v>
      </c>
      <c r="V752" s="87">
        <f t="shared" si="72"/>
        <v>3.8387763071656669E-3</v>
      </c>
      <c r="W752" s="87">
        <f t="shared" si="72"/>
        <v>1.720472544963076E-2</v>
      </c>
      <c r="X752" s="87">
        <f t="shared" si="72"/>
        <v>0</v>
      </c>
      <c r="Y752" s="87">
        <f t="shared" si="72"/>
        <v>1.6842503394497482E-2</v>
      </c>
      <c r="Z752" s="87">
        <f t="shared" si="72"/>
        <v>0</v>
      </c>
      <c r="AA752" s="87">
        <f t="shared" si="69"/>
        <v>0</v>
      </c>
      <c r="AB752" s="87">
        <f t="shared" si="69"/>
        <v>-2.0927520105955763E-2</v>
      </c>
      <c r="AC752" s="87">
        <f t="shared" si="69"/>
        <v>-2.0165669594594413E-2</v>
      </c>
      <c r="AD752" s="87">
        <f t="shared" si="69"/>
        <v>0</v>
      </c>
      <c r="AE752" s="90">
        <f t="shared" si="71"/>
        <v>-1.0875229853274579E-3</v>
      </c>
    </row>
    <row r="753" spans="1:31" ht="15.5" x14ac:dyDescent="0.35">
      <c r="A753" s="82">
        <v>40855</v>
      </c>
      <c r="B753" s="83">
        <v>7671.9</v>
      </c>
      <c r="C753" s="84">
        <v>2727.5</v>
      </c>
      <c r="D753" s="61">
        <v>302.10000000000002</v>
      </c>
      <c r="E753" s="61">
        <v>15.8</v>
      </c>
      <c r="F753" s="61">
        <v>57.4</v>
      </c>
      <c r="G753" s="61">
        <v>26.7</v>
      </c>
      <c r="H753" s="61">
        <v>46.7</v>
      </c>
      <c r="I753" s="61">
        <v>13.9</v>
      </c>
      <c r="J753" s="61">
        <v>48.7</v>
      </c>
      <c r="K753" s="61">
        <v>32.9</v>
      </c>
      <c r="L753" s="61">
        <v>34</v>
      </c>
      <c r="M753" s="61">
        <v>33.5</v>
      </c>
      <c r="N753" s="61">
        <v>53</v>
      </c>
      <c r="O753" s="85">
        <v>23.4</v>
      </c>
      <c r="P753" s="105"/>
      <c r="Q753" s="87">
        <f t="shared" si="70"/>
        <v>1.0680012144183812E-2</v>
      </c>
      <c r="R753" s="87">
        <f t="shared" si="72"/>
        <v>1.1875923305259604E-2</v>
      </c>
      <c r="S753" s="87">
        <f t="shared" si="72"/>
        <v>1.904819497069463E-2</v>
      </c>
      <c r="T753" s="87">
        <f t="shared" si="72"/>
        <v>3.2157111634531443E-2</v>
      </c>
      <c r="U753" s="87">
        <f t="shared" si="72"/>
        <v>1.4035318116383365E-2</v>
      </c>
      <c r="V753" s="87">
        <f t="shared" si="72"/>
        <v>2.2728251077556091E-2</v>
      </c>
      <c r="W753" s="87">
        <f t="shared" si="72"/>
        <v>-4.2735107773819378E-3</v>
      </c>
      <c r="X753" s="87">
        <f t="shared" si="72"/>
        <v>7.2202479734870973E-3</v>
      </c>
      <c r="Y753" s="87">
        <f t="shared" si="72"/>
        <v>1.6563525671674642E-2</v>
      </c>
      <c r="Z753" s="87">
        <f t="shared" si="72"/>
        <v>-3.034903695154047E-3</v>
      </c>
      <c r="AA753" s="87">
        <f t="shared" si="69"/>
        <v>5.899722127188322E-3</v>
      </c>
      <c r="AB753" s="87">
        <f t="shared" si="69"/>
        <v>1.2012156448003434E-2</v>
      </c>
      <c r="AC753" s="87">
        <f t="shared" si="69"/>
        <v>-1.8692133012152522E-2</v>
      </c>
      <c r="AD753" s="87">
        <f t="shared" si="69"/>
        <v>0</v>
      </c>
      <c r="AE753" s="90">
        <f t="shared" si="71"/>
        <v>1.3149665949513905E-2</v>
      </c>
    </row>
    <row r="754" spans="1:31" ht="15.5" x14ac:dyDescent="0.35">
      <c r="A754" s="82">
        <v>40856</v>
      </c>
      <c r="B754" s="83">
        <v>7353.5</v>
      </c>
      <c r="C754" s="84">
        <v>2621.6</v>
      </c>
      <c r="D754" s="61">
        <v>299.60000000000002</v>
      </c>
      <c r="E754" s="61">
        <v>15.9</v>
      </c>
      <c r="F754" s="61">
        <v>56.3</v>
      </c>
      <c r="G754" s="61">
        <v>26.1</v>
      </c>
      <c r="H754" s="61">
        <v>45.7</v>
      </c>
      <c r="I754" s="61">
        <v>13.2</v>
      </c>
      <c r="J754" s="61">
        <v>46.6</v>
      </c>
      <c r="K754" s="61">
        <v>32.299999999999997</v>
      </c>
      <c r="L754" s="61">
        <v>33.6</v>
      </c>
      <c r="M754" s="61">
        <v>31.9</v>
      </c>
      <c r="N754" s="61">
        <v>52.9</v>
      </c>
      <c r="O754" s="85">
        <v>22.9</v>
      </c>
      <c r="P754" s="105"/>
      <c r="Q754" s="87">
        <f t="shared" si="70"/>
        <v>-4.2387912727112391E-2</v>
      </c>
      <c r="R754" s="87">
        <f t="shared" si="72"/>
        <v>-3.9600620322621023E-2</v>
      </c>
      <c r="S754" s="87">
        <f t="shared" si="72"/>
        <v>-8.3098367495619101E-3</v>
      </c>
      <c r="T754" s="87">
        <f t="shared" si="72"/>
        <v>6.3091691932647556E-3</v>
      </c>
      <c r="U754" s="87">
        <f t="shared" si="72"/>
        <v>-1.9349768179876103E-2</v>
      </c>
      <c r="V754" s="87">
        <f t="shared" si="72"/>
        <v>-2.2728251077556064E-2</v>
      </c>
      <c r="W754" s="87">
        <f t="shared" si="72"/>
        <v>-2.1645866774692664E-2</v>
      </c>
      <c r="X754" s="87">
        <f t="shared" si="72"/>
        <v>-5.1672010544320926E-2</v>
      </c>
      <c r="Y754" s="87">
        <f t="shared" si="72"/>
        <v>-4.4078488956943947E-2</v>
      </c>
      <c r="Z754" s="87">
        <f t="shared" si="72"/>
        <v>-1.8405427542715409E-2</v>
      </c>
      <c r="AA754" s="87">
        <f t="shared" si="69"/>
        <v>-1.1834457647002796E-2</v>
      </c>
      <c r="AB754" s="87">
        <f t="shared" si="69"/>
        <v>-4.8939429040221916E-2</v>
      </c>
      <c r="AC754" s="87">
        <f t="shared" si="69"/>
        <v>-1.8885746878681362E-3</v>
      </c>
      <c r="AD754" s="87">
        <f t="shared" si="69"/>
        <v>-2.1599111803461815E-2</v>
      </c>
      <c r="AE754" s="90">
        <f t="shared" si="71"/>
        <v>-2.2461236454821978E-2</v>
      </c>
    </row>
    <row r="755" spans="1:31" ht="15.5" x14ac:dyDescent="0.35">
      <c r="A755" s="82">
        <v>40857</v>
      </c>
      <c r="B755" s="83">
        <v>7423.6</v>
      </c>
      <c r="C755" s="84">
        <v>2625.1</v>
      </c>
      <c r="D755" s="61">
        <v>296.10000000000002</v>
      </c>
      <c r="E755" s="61">
        <v>15.8</v>
      </c>
      <c r="F755" s="61">
        <v>54.6</v>
      </c>
      <c r="G755" s="61">
        <v>26.1</v>
      </c>
      <c r="H755" s="61">
        <v>46.2</v>
      </c>
      <c r="I755" s="61">
        <v>13.3</v>
      </c>
      <c r="J755" s="61">
        <v>45.2</v>
      </c>
      <c r="K755" s="61">
        <v>32.6</v>
      </c>
      <c r="L755" s="61">
        <v>34.299999999999997</v>
      </c>
      <c r="M755" s="61">
        <v>31.9</v>
      </c>
      <c r="N755" s="61">
        <v>53.4</v>
      </c>
      <c r="O755" s="85">
        <v>23.1</v>
      </c>
      <c r="P755" s="105"/>
      <c r="Q755" s="87">
        <f t="shared" si="70"/>
        <v>9.487724363781062E-3</v>
      </c>
      <c r="R755" s="87">
        <f t="shared" si="72"/>
        <v>1.334172153609445E-3</v>
      </c>
      <c r="S755" s="87">
        <f t="shared" si="72"/>
        <v>-1.1751016535518853E-2</v>
      </c>
      <c r="T755" s="87">
        <f t="shared" si="72"/>
        <v>-6.309169193264721E-3</v>
      </c>
      <c r="U755" s="87">
        <f t="shared" si="72"/>
        <v>-3.0660652394785291E-2</v>
      </c>
      <c r="V755" s="87">
        <f t="shared" si="72"/>
        <v>0</v>
      </c>
      <c r="W755" s="87">
        <f t="shared" si="72"/>
        <v>1.0881500187534207E-2</v>
      </c>
      <c r="X755" s="87">
        <f t="shared" si="72"/>
        <v>7.5472056353831241E-3</v>
      </c>
      <c r="Y755" s="87">
        <f t="shared" si="72"/>
        <v>-3.0503454293414625E-2</v>
      </c>
      <c r="Z755" s="87">
        <f t="shared" si="72"/>
        <v>9.2450581440512089E-3</v>
      </c>
      <c r="AA755" s="87">
        <f t="shared" si="69"/>
        <v>2.061928720273561E-2</v>
      </c>
      <c r="AB755" s="87">
        <f t="shared" si="69"/>
        <v>0</v>
      </c>
      <c r="AC755" s="87">
        <f t="shared" si="69"/>
        <v>9.4074071018955471E-3</v>
      </c>
      <c r="AD755" s="87">
        <f t="shared" si="69"/>
        <v>8.695706967553913E-3</v>
      </c>
      <c r="AE755" s="90">
        <f t="shared" si="71"/>
        <v>-1.0750488337811077E-2</v>
      </c>
    </row>
    <row r="756" spans="1:31" ht="15.5" x14ac:dyDescent="0.35">
      <c r="A756" s="82">
        <v>40858</v>
      </c>
      <c r="B756" s="83">
        <v>7576.2</v>
      </c>
      <c r="C756" s="84">
        <v>2678.8</v>
      </c>
      <c r="D756" s="61">
        <v>299.60000000000002</v>
      </c>
      <c r="E756" s="61">
        <v>15.9</v>
      </c>
      <c r="F756" s="61">
        <v>54.3</v>
      </c>
      <c r="G756" s="61">
        <v>26.6</v>
      </c>
      <c r="H756" s="61">
        <v>46.9</v>
      </c>
      <c r="I756" s="61">
        <v>13.7</v>
      </c>
      <c r="J756" s="61">
        <v>46.4</v>
      </c>
      <c r="K756" s="61">
        <v>32.799999999999997</v>
      </c>
      <c r="L756" s="61">
        <v>35.4</v>
      </c>
      <c r="M756" s="61">
        <v>32.6</v>
      </c>
      <c r="N756" s="61">
        <v>54.6</v>
      </c>
      <c r="O756" s="85">
        <v>23.6</v>
      </c>
      <c r="P756" s="105"/>
      <c r="Q756" s="87">
        <f t="shared" si="70"/>
        <v>2.034763996854012E-2</v>
      </c>
      <c r="R756" s="87">
        <f t="shared" si="72"/>
        <v>2.0249942497680948E-2</v>
      </c>
      <c r="S756" s="87">
        <f t="shared" si="72"/>
        <v>1.175101653551873E-2</v>
      </c>
      <c r="T756" s="87">
        <f t="shared" si="72"/>
        <v>6.3091691932647556E-3</v>
      </c>
      <c r="U756" s="87">
        <f t="shared" si="72"/>
        <v>-5.5096558109696955E-3</v>
      </c>
      <c r="V756" s="87">
        <f t="shared" si="72"/>
        <v>1.8975901459005604E-2</v>
      </c>
      <c r="W756" s="87">
        <f t="shared" si="72"/>
        <v>1.5037877364540502E-2</v>
      </c>
      <c r="X756" s="87">
        <f t="shared" si="72"/>
        <v>2.9631797606371149E-2</v>
      </c>
      <c r="Y756" s="87">
        <f t="shared" si="72"/>
        <v>2.6202372394023902E-2</v>
      </c>
      <c r="Z756" s="87">
        <f t="shared" si="72"/>
        <v>6.1162270174360536E-3</v>
      </c>
      <c r="AA756" s="87">
        <f t="shared" si="69"/>
        <v>3.1566465967834509E-2</v>
      </c>
      <c r="AB756" s="87">
        <f t="shared" si="69"/>
        <v>2.1706278581863074E-2</v>
      </c>
      <c r="AC756" s="87">
        <f t="shared" si="69"/>
        <v>2.2223136784710256E-2</v>
      </c>
      <c r="AD756" s="87">
        <f t="shared" si="69"/>
        <v>2.1414094503816573E-2</v>
      </c>
      <c r="AE756" s="90">
        <f t="shared" si="71"/>
        <v>1.0537588983880592E-2</v>
      </c>
    </row>
    <row r="757" spans="1:31" ht="15.5" x14ac:dyDescent="0.35">
      <c r="A757" s="82">
        <v>40861</v>
      </c>
      <c r="B757" s="83">
        <v>7493.3</v>
      </c>
      <c r="C757" s="84">
        <v>2657.2</v>
      </c>
      <c r="D757" s="61">
        <v>304.2</v>
      </c>
      <c r="E757" s="61">
        <v>15.9</v>
      </c>
      <c r="F757" s="61">
        <v>54</v>
      </c>
      <c r="G757" s="61">
        <v>26.7</v>
      </c>
      <c r="H757" s="61">
        <v>46.3</v>
      </c>
      <c r="I757" s="61">
        <v>13.6</v>
      </c>
      <c r="J757" s="61">
        <v>45.9</v>
      </c>
      <c r="K757" s="61">
        <v>32.9</v>
      </c>
      <c r="L757" s="61">
        <v>35.1</v>
      </c>
      <c r="M757" s="61">
        <v>31.9</v>
      </c>
      <c r="N757" s="61">
        <v>55</v>
      </c>
      <c r="O757" s="85">
        <v>23.8</v>
      </c>
      <c r="P757" s="105"/>
      <c r="Q757" s="87">
        <f t="shared" si="70"/>
        <v>-1.1002466741642599E-2</v>
      </c>
      <c r="R757" s="87">
        <f t="shared" si="72"/>
        <v>-8.0959962448091879E-3</v>
      </c>
      <c r="S757" s="87">
        <f t="shared" si="72"/>
        <v>1.523712818212803E-2</v>
      </c>
      <c r="T757" s="87">
        <f t="shared" si="72"/>
        <v>0</v>
      </c>
      <c r="U757" s="87">
        <f t="shared" si="72"/>
        <v>-5.5401803756153561E-3</v>
      </c>
      <c r="V757" s="87">
        <f t="shared" si="72"/>
        <v>3.7523496185503718E-3</v>
      </c>
      <c r="W757" s="87">
        <f t="shared" si="72"/>
        <v>-1.287571436004528E-2</v>
      </c>
      <c r="X757" s="87">
        <f t="shared" si="72"/>
        <v>-7.3260400920728977E-3</v>
      </c>
      <c r="Y757" s="87">
        <f t="shared" si="72"/>
        <v>-1.0834342165710118E-2</v>
      </c>
      <c r="Z757" s="87">
        <f t="shared" si="72"/>
        <v>3.044142381228273E-3</v>
      </c>
      <c r="AA757" s="87">
        <f t="shared" si="69"/>
        <v>-8.5106896679085064E-3</v>
      </c>
      <c r="AB757" s="87">
        <f t="shared" si="69"/>
        <v>-2.1706278581863171E-2</v>
      </c>
      <c r="AC757" s="87">
        <f t="shared" si="69"/>
        <v>7.2993024816115351E-3</v>
      </c>
      <c r="AD757" s="87">
        <f t="shared" ref="AD757:AD820" si="73">+LN(O757/O756)</f>
        <v>8.4388686458646035E-3</v>
      </c>
      <c r="AE757" s="90">
        <f t="shared" si="71"/>
        <v>1.4757013121824744E-3</v>
      </c>
    </row>
    <row r="758" spans="1:31" ht="15.5" x14ac:dyDescent="0.35">
      <c r="A758" s="82">
        <v>40862</v>
      </c>
      <c r="B758" s="83">
        <v>7509</v>
      </c>
      <c r="C758" s="84">
        <v>2686.2</v>
      </c>
      <c r="D758" s="61">
        <v>305.60000000000002</v>
      </c>
      <c r="E758" s="61">
        <v>15.7</v>
      </c>
      <c r="F758" s="61">
        <v>54.2</v>
      </c>
      <c r="G758" s="61">
        <v>26.4</v>
      </c>
      <c r="H758" s="61">
        <v>46</v>
      </c>
      <c r="I758" s="61">
        <v>13.5</v>
      </c>
      <c r="J758" s="61">
        <v>45.8</v>
      </c>
      <c r="K758" s="61">
        <v>31.7</v>
      </c>
      <c r="L758" s="61">
        <v>35.299999999999997</v>
      </c>
      <c r="M758" s="61">
        <v>31.7</v>
      </c>
      <c r="N758" s="61">
        <v>54.3</v>
      </c>
      <c r="O758" s="85">
        <v>23.7</v>
      </c>
      <c r="P758" s="105"/>
      <c r="Q758" s="87">
        <f t="shared" si="70"/>
        <v>2.0930131688367544E-3</v>
      </c>
      <c r="R758" s="87">
        <f t="shared" si="72"/>
        <v>1.085461868388869E-2</v>
      </c>
      <c r="S758" s="87">
        <f t="shared" si="72"/>
        <v>4.5916774671731168E-3</v>
      </c>
      <c r="T758" s="87">
        <f t="shared" si="72"/>
        <v>-1.2658396871923577E-2</v>
      </c>
      <c r="U758" s="87">
        <f t="shared" si="72"/>
        <v>3.6968618813262026E-3</v>
      </c>
      <c r="V758" s="87">
        <f t="shared" si="72"/>
        <v>-1.1299555253933394E-2</v>
      </c>
      <c r="W758" s="87">
        <f t="shared" si="72"/>
        <v>-6.5005646030933161E-3</v>
      </c>
      <c r="X758" s="87">
        <f t="shared" si="72"/>
        <v>-7.3801072976225337E-3</v>
      </c>
      <c r="Y758" s="87">
        <f t="shared" si="72"/>
        <v>-2.1810259463602259E-3</v>
      </c>
      <c r="Z758" s="87">
        <f t="shared" si="72"/>
        <v>-3.7155976888091281E-2</v>
      </c>
      <c r="AA758" s="87">
        <f t="shared" si="72"/>
        <v>5.6818334674308638E-3</v>
      </c>
      <c r="AB758" s="87">
        <f t="shared" si="72"/>
        <v>-6.2893289075639904E-3</v>
      </c>
      <c r="AC758" s="87">
        <f t="shared" si="72"/>
        <v>-1.2808958292581248E-2</v>
      </c>
      <c r="AD758" s="87">
        <f t="shared" si="73"/>
        <v>-4.2105325363436053E-3</v>
      </c>
      <c r="AE758" s="90">
        <f t="shared" si="71"/>
        <v>5.143228905827313E-3</v>
      </c>
    </row>
    <row r="759" spans="1:31" ht="15.5" x14ac:dyDescent="0.35">
      <c r="A759" s="82">
        <v>40863</v>
      </c>
      <c r="B759" s="83">
        <v>7392</v>
      </c>
      <c r="C759" s="84">
        <v>2639.6</v>
      </c>
      <c r="D759" s="61">
        <v>305.60000000000002</v>
      </c>
      <c r="E759" s="61">
        <v>15.7</v>
      </c>
      <c r="F759" s="61">
        <v>54.9</v>
      </c>
      <c r="G759" s="61">
        <v>26</v>
      </c>
      <c r="H759" s="61">
        <v>46</v>
      </c>
      <c r="I759" s="61">
        <v>13.6</v>
      </c>
      <c r="J759" s="61">
        <v>44.9</v>
      </c>
      <c r="K759" s="61">
        <v>31.8</v>
      </c>
      <c r="L759" s="61">
        <v>35</v>
      </c>
      <c r="M759" s="61">
        <v>31.7</v>
      </c>
      <c r="N759" s="61">
        <v>54.4</v>
      </c>
      <c r="O759" s="85">
        <v>23.4</v>
      </c>
      <c r="P759" s="105"/>
      <c r="Q759" s="87">
        <f t="shared" si="70"/>
        <v>-1.570396677836387E-2</v>
      </c>
      <c r="R759" s="87">
        <f t="shared" si="72"/>
        <v>-1.7500164965708297E-2</v>
      </c>
      <c r="S759" s="87">
        <f t="shared" si="72"/>
        <v>0</v>
      </c>
      <c r="T759" s="87">
        <f t="shared" si="72"/>
        <v>0</v>
      </c>
      <c r="U759" s="87">
        <f t="shared" si="72"/>
        <v>1.2832440069884359E-2</v>
      </c>
      <c r="V759" s="87">
        <f t="shared" si="72"/>
        <v>-1.5267472130788421E-2</v>
      </c>
      <c r="W759" s="87">
        <f t="shared" si="72"/>
        <v>0</v>
      </c>
      <c r="X759" s="87">
        <f t="shared" si="72"/>
        <v>7.38010729762246E-3</v>
      </c>
      <c r="Y759" s="87">
        <f t="shared" si="72"/>
        <v>-1.9846296371930656E-2</v>
      </c>
      <c r="Z759" s="87">
        <f t="shared" si="72"/>
        <v>3.1496089028962013E-3</v>
      </c>
      <c r="AA759" s="87">
        <f t="shared" si="72"/>
        <v>-8.534902449837331E-3</v>
      </c>
      <c r="AB759" s="87">
        <f t="shared" si="72"/>
        <v>0</v>
      </c>
      <c r="AC759" s="87">
        <f t="shared" si="72"/>
        <v>1.8399269220072951E-3</v>
      </c>
      <c r="AD759" s="87">
        <f t="shared" si="73"/>
        <v>-1.2739025777429826E-2</v>
      </c>
      <c r="AE759" s="90">
        <f t="shared" si="71"/>
        <v>-3.1247603917398383E-3</v>
      </c>
    </row>
    <row r="760" spans="1:31" ht="15.5" x14ac:dyDescent="0.35">
      <c r="A760" s="82">
        <v>40864</v>
      </c>
      <c r="B760" s="83">
        <v>7274.2</v>
      </c>
      <c r="C760" s="84">
        <v>2588</v>
      </c>
      <c r="D760" s="61">
        <v>298.7</v>
      </c>
      <c r="E760" s="61">
        <v>15.2</v>
      </c>
      <c r="F760" s="61">
        <v>53.6</v>
      </c>
      <c r="G760" s="61">
        <v>25.4</v>
      </c>
      <c r="H760" s="61">
        <v>45</v>
      </c>
      <c r="I760" s="61">
        <v>12.9</v>
      </c>
      <c r="J760" s="61">
        <v>42.3</v>
      </c>
      <c r="K760" s="61">
        <v>31.5</v>
      </c>
      <c r="L760" s="61">
        <v>34.4</v>
      </c>
      <c r="M760" s="61">
        <v>30.5</v>
      </c>
      <c r="N760" s="61">
        <v>54.5</v>
      </c>
      <c r="O760" s="85">
        <v>22.7</v>
      </c>
      <c r="P760" s="105"/>
      <c r="Q760" s="87">
        <f t="shared" si="70"/>
        <v>-1.6064492964229501E-2</v>
      </c>
      <c r="R760" s="87">
        <f t="shared" si="72"/>
        <v>-1.9742013888475383E-2</v>
      </c>
      <c r="S760" s="87">
        <f t="shared" si="72"/>
        <v>-2.2837332070301447E-2</v>
      </c>
      <c r="T760" s="87">
        <f t="shared" si="72"/>
        <v>-3.236528450203166E-2</v>
      </c>
      <c r="U760" s="87">
        <f t="shared" si="72"/>
        <v>-2.3964280438728596E-2</v>
      </c>
      <c r="V760" s="87">
        <f t="shared" si="72"/>
        <v>-2.3347363996991177E-2</v>
      </c>
      <c r="W760" s="87">
        <f t="shared" si="72"/>
        <v>-2.197890671877523E-2</v>
      </c>
      <c r="X760" s="87">
        <f t="shared" ref="X760:AC802" si="74">+LN(I760/I759)</f>
        <v>-5.2842481374379816E-2</v>
      </c>
      <c r="Y760" s="87">
        <f t="shared" si="74"/>
        <v>-5.9650708695976412E-2</v>
      </c>
      <c r="Z760" s="87">
        <f t="shared" si="74"/>
        <v>-9.47874395454377E-3</v>
      </c>
      <c r="AA760" s="87">
        <f t="shared" si="74"/>
        <v>-1.7291497110061109E-2</v>
      </c>
      <c r="AB760" s="87">
        <f t="shared" si="74"/>
        <v>-3.8589997269868975E-2</v>
      </c>
      <c r="AC760" s="87">
        <f t="shared" si="74"/>
        <v>1.836547807301552E-3</v>
      </c>
      <c r="AD760" s="87">
        <f t="shared" si="73"/>
        <v>-3.0371097876298759E-2</v>
      </c>
      <c r="AE760" s="90">
        <f t="shared" si="71"/>
        <v>-2.3147469519119824E-2</v>
      </c>
    </row>
    <row r="761" spans="1:31" ht="15.5" x14ac:dyDescent="0.35">
      <c r="A761" s="82">
        <v>40865</v>
      </c>
      <c r="B761" s="83">
        <v>7282.5</v>
      </c>
      <c r="C761" s="84">
        <v>2572.5</v>
      </c>
      <c r="D761" s="61">
        <v>297.2</v>
      </c>
      <c r="E761" s="61">
        <v>15.4</v>
      </c>
      <c r="F761" s="61">
        <v>53.6</v>
      </c>
      <c r="G761" s="61">
        <v>25.2</v>
      </c>
      <c r="H761" s="61">
        <v>44.8</v>
      </c>
      <c r="I761" s="61">
        <v>12.7</v>
      </c>
      <c r="J761" s="61">
        <v>43.1</v>
      </c>
      <c r="K761" s="61">
        <v>31.1</v>
      </c>
      <c r="L761" s="61">
        <v>34.9</v>
      </c>
      <c r="M761" s="61">
        <v>30.1</v>
      </c>
      <c r="N761" s="61">
        <v>54.4</v>
      </c>
      <c r="O761" s="85">
        <v>22.9</v>
      </c>
      <c r="P761" s="105"/>
      <c r="Q761" s="87">
        <f t="shared" si="70"/>
        <v>1.1403684762991673E-3</v>
      </c>
      <c r="R761" s="87">
        <f t="shared" ref="R761:W793" si="75">+LN(C761/C760)</f>
        <v>-6.0071879125864818E-3</v>
      </c>
      <c r="S761" s="87">
        <f t="shared" si="75"/>
        <v>-5.0344123784599659E-3</v>
      </c>
      <c r="T761" s="87">
        <f t="shared" si="75"/>
        <v>1.3072081567352921E-2</v>
      </c>
      <c r="U761" s="87">
        <f t="shared" si="75"/>
        <v>0</v>
      </c>
      <c r="V761" s="87">
        <f t="shared" si="75"/>
        <v>-7.9051795071132611E-3</v>
      </c>
      <c r="W761" s="87">
        <f t="shared" si="75"/>
        <v>-4.4543503493803087E-3</v>
      </c>
      <c r="X761" s="87">
        <f t="shared" si="74"/>
        <v>-1.562531790308087E-2</v>
      </c>
      <c r="Y761" s="87">
        <f t="shared" si="74"/>
        <v>1.8735911057469846E-2</v>
      </c>
      <c r="Z761" s="87">
        <f t="shared" si="74"/>
        <v>-1.2779726646398882E-2</v>
      </c>
      <c r="AA761" s="87">
        <f t="shared" si="74"/>
        <v>1.4430264829028837E-2</v>
      </c>
      <c r="AB761" s="87">
        <f t="shared" si="74"/>
        <v>-1.3201511858535842E-2</v>
      </c>
      <c r="AC761" s="87">
        <f t="shared" si="74"/>
        <v>-1.8365478073015034E-3</v>
      </c>
      <c r="AD761" s="87">
        <f t="shared" si="73"/>
        <v>8.7719860728370409E-3</v>
      </c>
      <c r="AE761" s="90">
        <f t="shared" si="71"/>
        <v>-2.2083223905802734E-3</v>
      </c>
    </row>
    <row r="762" spans="1:31" ht="15.5" x14ac:dyDescent="0.35">
      <c r="A762" s="82">
        <v>40868</v>
      </c>
      <c r="B762" s="83">
        <v>7134.5</v>
      </c>
      <c r="C762" s="84">
        <v>2523.1</v>
      </c>
      <c r="D762" s="61">
        <v>286.3</v>
      </c>
      <c r="E762" s="61">
        <v>14.8</v>
      </c>
      <c r="F762" s="61">
        <v>52.3</v>
      </c>
      <c r="G762" s="61">
        <v>24.9</v>
      </c>
      <c r="H762" s="61">
        <v>44.3</v>
      </c>
      <c r="I762" s="61">
        <v>11.8</v>
      </c>
      <c r="J762" s="61">
        <v>41.9</v>
      </c>
      <c r="K762" s="61">
        <v>30.7</v>
      </c>
      <c r="L762" s="61">
        <v>34</v>
      </c>
      <c r="M762" s="61">
        <v>29.3</v>
      </c>
      <c r="N762" s="61">
        <v>52.8</v>
      </c>
      <c r="O762" s="85">
        <v>22.5</v>
      </c>
      <c r="P762" s="105"/>
      <c r="Q762" s="87">
        <f t="shared" si="70"/>
        <v>-2.0532038462959729E-2</v>
      </c>
      <c r="R762" s="87">
        <f t="shared" si="75"/>
        <v>-1.9389884497870487E-2</v>
      </c>
      <c r="S762" s="87">
        <f t="shared" si="75"/>
        <v>-3.7365100739534654E-2</v>
      </c>
      <c r="T762" s="87">
        <f t="shared" si="75"/>
        <v>-3.9740328649514108E-2</v>
      </c>
      <c r="U762" s="87">
        <f t="shared" si="75"/>
        <v>-2.4552697005879188E-2</v>
      </c>
      <c r="V762" s="87">
        <f t="shared" si="75"/>
        <v>-1.1976191046715762E-2</v>
      </c>
      <c r="W762" s="87">
        <f t="shared" si="75"/>
        <v>-1.122346236984954E-2</v>
      </c>
      <c r="X762" s="87">
        <f t="shared" si="74"/>
        <v>-7.3502461992926371E-2</v>
      </c>
      <c r="Y762" s="87">
        <f t="shared" si="74"/>
        <v>-2.8237170181610111E-2</v>
      </c>
      <c r="Z762" s="87">
        <f t="shared" si="74"/>
        <v>-1.2945164592037076E-2</v>
      </c>
      <c r="AA762" s="87">
        <f t="shared" si="74"/>
        <v>-2.6126304592220036E-2</v>
      </c>
      <c r="AB762" s="87">
        <f t="shared" si="74"/>
        <v>-2.6937655731808487E-2</v>
      </c>
      <c r="AC762" s="87">
        <f t="shared" si="74"/>
        <v>-2.985296314968116E-2</v>
      </c>
      <c r="AD762" s="87">
        <f t="shared" si="73"/>
        <v>-1.7621601349819445E-2</v>
      </c>
      <c r="AE762" s="90">
        <f t="shared" si="71"/>
        <v>-2.5913703911614634E-2</v>
      </c>
    </row>
    <row r="763" spans="1:31" ht="15.5" x14ac:dyDescent="0.35">
      <c r="A763" s="82">
        <v>40869</v>
      </c>
      <c r="B763" s="83">
        <v>7094.9</v>
      </c>
      <c r="C763" s="84">
        <v>2521.3000000000002</v>
      </c>
      <c r="D763" s="61">
        <v>287.89999999999998</v>
      </c>
      <c r="E763" s="61">
        <v>14.8</v>
      </c>
      <c r="F763" s="61">
        <v>53</v>
      </c>
      <c r="G763" s="61">
        <v>24.7</v>
      </c>
      <c r="H763" s="61">
        <v>44.4</v>
      </c>
      <c r="I763" s="61">
        <v>12.1</v>
      </c>
      <c r="J763" s="61">
        <v>41.8</v>
      </c>
      <c r="K763" s="61">
        <v>30.4</v>
      </c>
      <c r="L763" s="61">
        <v>33.799999999999997</v>
      </c>
      <c r="M763" s="61">
        <v>29.4</v>
      </c>
      <c r="N763" s="61">
        <v>53.8</v>
      </c>
      <c r="O763" s="85">
        <v>22.8</v>
      </c>
      <c r="P763" s="105"/>
      <c r="Q763" s="87">
        <f t="shared" si="70"/>
        <v>-5.5659553085134518E-3</v>
      </c>
      <c r="R763" s="87">
        <f t="shared" si="75"/>
        <v>-7.136627057318498E-4</v>
      </c>
      <c r="S763" s="87">
        <f t="shared" si="75"/>
        <v>5.5729855140606256E-3</v>
      </c>
      <c r="T763" s="87">
        <f t="shared" si="75"/>
        <v>0</v>
      </c>
      <c r="U763" s="87">
        <f t="shared" si="75"/>
        <v>1.329554248124472E-2</v>
      </c>
      <c r="V763" s="87">
        <f t="shared" si="75"/>
        <v>-8.0645598367304078E-3</v>
      </c>
      <c r="W763" s="87">
        <f t="shared" si="75"/>
        <v>2.2547923870890828E-3</v>
      </c>
      <c r="X763" s="87">
        <f t="shared" si="74"/>
        <v>2.5105921131076261E-2</v>
      </c>
      <c r="Y763" s="87">
        <f t="shared" si="74"/>
        <v>-2.3894873973814672E-3</v>
      </c>
      <c r="Z763" s="87">
        <f t="shared" si="74"/>
        <v>-9.820046180975461E-3</v>
      </c>
      <c r="AA763" s="87">
        <f t="shared" si="74"/>
        <v>-5.8997221271883827E-3</v>
      </c>
      <c r="AB763" s="87">
        <f t="shared" si="74"/>
        <v>3.4071583216141346E-3</v>
      </c>
      <c r="AC763" s="87">
        <f t="shared" si="74"/>
        <v>1.8762276455523034E-2</v>
      </c>
      <c r="AD763" s="87">
        <f t="shared" si="73"/>
        <v>1.3245226750020723E-2</v>
      </c>
      <c r="AE763" s="90">
        <f t="shared" si="71"/>
        <v>6.829299234285012E-3</v>
      </c>
    </row>
    <row r="764" spans="1:31" ht="15.5" x14ac:dyDescent="0.35">
      <c r="A764" s="82">
        <v>40870</v>
      </c>
      <c r="B764" s="83">
        <v>6919.9</v>
      </c>
      <c r="C764" s="84">
        <v>2460.1</v>
      </c>
      <c r="D764" s="61">
        <v>285.3</v>
      </c>
      <c r="E764" s="61">
        <v>14.8</v>
      </c>
      <c r="F764" s="61">
        <v>52.4</v>
      </c>
      <c r="G764" s="61">
        <v>24.5</v>
      </c>
      <c r="H764" s="61">
        <v>44.5</v>
      </c>
      <c r="I764" s="61">
        <v>12.1</v>
      </c>
      <c r="J764" s="61">
        <v>41.3</v>
      </c>
      <c r="K764" s="61">
        <v>29.8</v>
      </c>
      <c r="L764" s="61">
        <v>33.200000000000003</v>
      </c>
      <c r="M764" s="61">
        <v>27.8</v>
      </c>
      <c r="N764" s="61">
        <v>53.2</v>
      </c>
      <c r="O764" s="85">
        <v>22.6</v>
      </c>
      <c r="P764" s="105"/>
      <c r="Q764" s="87">
        <f t="shared" si="70"/>
        <v>-2.4974897421868047E-2</v>
      </c>
      <c r="R764" s="87">
        <f t="shared" si="75"/>
        <v>-2.4572641997895241E-2</v>
      </c>
      <c r="S764" s="87">
        <f t="shared" si="75"/>
        <v>-9.0719393986757636E-3</v>
      </c>
      <c r="T764" s="87">
        <f t="shared" si="75"/>
        <v>0</v>
      </c>
      <c r="U764" s="87">
        <f t="shared" si="75"/>
        <v>-1.1385322225125352E-2</v>
      </c>
      <c r="V764" s="87">
        <f t="shared" si="75"/>
        <v>-8.1301260832501755E-3</v>
      </c>
      <c r="W764" s="87">
        <f t="shared" si="75"/>
        <v>2.2497197340155461E-3</v>
      </c>
      <c r="X764" s="87">
        <f t="shared" si="74"/>
        <v>0</v>
      </c>
      <c r="Y764" s="87">
        <f t="shared" si="74"/>
        <v>-1.2033839563723565E-2</v>
      </c>
      <c r="Z764" s="87">
        <f t="shared" si="74"/>
        <v>-1.9934214900817138E-2</v>
      </c>
      <c r="AA764" s="87">
        <f t="shared" si="74"/>
        <v>-1.7910926566530105E-2</v>
      </c>
      <c r="AB764" s="87">
        <f t="shared" si="74"/>
        <v>-5.595865364804449E-2</v>
      </c>
      <c r="AC764" s="87">
        <f t="shared" si="74"/>
        <v>-1.1215070820139957E-2</v>
      </c>
      <c r="AD764" s="87">
        <f t="shared" si="73"/>
        <v>-8.810629682154807E-3</v>
      </c>
      <c r="AE764" s="90">
        <f t="shared" si="71"/>
        <v>-1.434797623757306E-2</v>
      </c>
    </row>
    <row r="765" spans="1:31" ht="15.5" x14ac:dyDescent="0.35">
      <c r="A765" s="82">
        <v>40872</v>
      </c>
      <c r="B765" s="83">
        <v>6898.2</v>
      </c>
      <c r="C765" s="84">
        <v>2441.5</v>
      </c>
      <c r="D765" s="61">
        <v>281</v>
      </c>
      <c r="E765" s="61">
        <v>14.9</v>
      </c>
      <c r="F765" s="61">
        <v>51.9</v>
      </c>
      <c r="G765" s="61">
        <v>24.3</v>
      </c>
      <c r="H765" s="61">
        <v>44.6</v>
      </c>
      <c r="I765" s="61">
        <v>11.9</v>
      </c>
      <c r="J765" s="61">
        <v>40.5</v>
      </c>
      <c r="K765" s="61">
        <v>29.6</v>
      </c>
      <c r="L765" s="61">
        <v>33.1</v>
      </c>
      <c r="M765" s="61">
        <v>27.7</v>
      </c>
      <c r="N765" s="61">
        <v>53</v>
      </c>
      <c r="O765" s="85">
        <v>22.6</v>
      </c>
      <c r="P765" s="105"/>
      <c r="Q765" s="87">
        <f t="shared" si="70"/>
        <v>-3.14081065249888E-3</v>
      </c>
      <c r="R765" s="87">
        <f t="shared" si="75"/>
        <v>-7.5893950049921591E-3</v>
      </c>
      <c r="S765" s="87">
        <f t="shared" si="75"/>
        <v>-1.5186588885708603E-2</v>
      </c>
      <c r="T765" s="87">
        <f t="shared" si="75"/>
        <v>6.7340321813441194E-3</v>
      </c>
      <c r="U765" s="87">
        <f t="shared" si="75"/>
        <v>-9.5878011551535133E-3</v>
      </c>
      <c r="V765" s="87">
        <f t="shared" si="75"/>
        <v>-8.196767204178515E-3</v>
      </c>
      <c r="W765" s="87">
        <f t="shared" si="75"/>
        <v>2.2446698538239494E-3</v>
      </c>
      <c r="X765" s="87">
        <f t="shared" si="74"/>
        <v>-1.6667052485211647E-2</v>
      </c>
      <c r="Y765" s="87">
        <f t="shared" si="74"/>
        <v>-1.9560525854493596E-2</v>
      </c>
      <c r="Z765" s="87">
        <f t="shared" si="74"/>
        <v>-6.7340321813440683E-3</v>
      </c>
      <c r="AA765" s="87">
        <f t="shared" si="74"/>
        <v>-3.0165935394256792E-3</v>
      </c>
      <c r="AB765" s="87">
        <f t="shared" si="74"/>
        <v>-3.6036075032986558E-3</v>
      </c>
      <c r="AC765" s="87">
        <f t="shared" si="74"/>
        <v>-3.7664827954768934E-3</v>
      </c>
      <c r="AD765" s="87">
        <f t="shared" si="73"/>
        <v>0</v>
      </c>
      <c r="AE765" s="90">
        <f t="shared" si="71"/>
        <v>-9.4625267951710529E-3</v>
      </c>
    </row>
    <row r="766" spans="1:31" ht="15.5" x14ac:dyDescent="0.35">
      <c r="A766" s="82">
        <v>40875</v>
      </c>
      <c r="B766" s="83">
        <v>7120.5</v>
      </c>
      <c r="C766" s="84">
        <v>2527.3000000000002</v>
      </c>
      <c r="D766" s="61">
        <v>288.5</v>
      </c>
      <c r="E766" s="61">
        <v>15.2</v>
      </c>
      <c r="F766" s="61">
        <v>52.9</v>
      </c>
      <c r="G766" s="61">
        <v>24.7</v>
      </c>
      <c r="H766" s="61">
        <v>45.4</v>
      </c>
      <c r="I766" s="61">
        <v>12.5</v>
      </c>
      <c r="J766" s="61">
        <v>42</v>
      </c>
      <c r="K766" s="61">
        <v>29.9</v>
      </c>
      <c r="L766" s="61">
        <v>33.700000000000003</v>
      </c>
      <c r="M766" s="61">
        <v>28.6</v>
      </c>
      <c r="N766" s="61">
        <v>54.6</v>
      </c>
      <c r="O766" s="85">
        <v>23</v>
      </c>
      <c r="P766" s="105"/>
      <c r="Q766" s="87">
        <f t="shared" si="70"/>
        <v>3.1717439671732815E-2</v>
      </c>
      <c r="R766" s="87">
        <f t="shared" si="75"/>
        <v>3.4538934687323108E-2</v>
      </c>
      <c r="S766" s="87">
        <f t="shared" si="75"/>
        <v>2.6340416614408564E-2</v>
      </c>
      <c r="T766" s="87">
        <f t="shared" si="75"/>
        <v>1.9934214900817111E-2</v>
      </c>
      <c r="U766" s="87">
        <f t="shared" si="75"/>
        <v>1.9084548692410698E-2</v>
      </c>
      <c r="V766" s="87">
        <f t="shared" si="75"/>
        <v>1.6326893287428666E-2</v>
      </c>
      <c r="W766" s="87">
        <f t="shared" si="75"/>
        <v>1.777824602128375E-2</v>
      </c>
      <c r="X766" s="87">
        <f t="shared" si="74"/>
        <v>4.9190244190771781E-2</v>
      </c>
      <c r="Y766" s="87">
        <f t="shared" si="74"/>
        <v>3.6367644170874791E-2</v>
      </c>
      <c r="Z766" s="87">
        <f t="shared" si="74"/>
        <v>1.0084119066626008E-2</v>
      </c>
      <c r="AA766" s="87">
        <f t="shared" si="74"/>
        <v>1.7964554975298894E-2</v>
      </c>
      <c r="AB766" s="87">
        <f t="shared" si="74"/>
        <v>3.1974304632514106E-2</v>
      </c>
      <c r="AC766" s="87">
        <f t="shared" si="74"/>
        <v>2.9741969198737516E-2</v>
      </c>
      <c r="AD766" s="87">
        <f t="shared" si="73"/>
        <v>1.7544309650909525E-2</v>
      </c>
      <c r="AE766" s="90">
        <f t="shared" si="71"/>
        <v>2.5654023671680546E-2</v>
      </c>
    </row>
    <row r="767" spans="1:31" ht="15.5" x14ac:dyDescent="0.35">
      <c r="A767" s="82">
        <v>40876</v>
      </c>
      <c r="B767" s="83">
        <v>7149.7</v>
      </c>
      <c r="C767" s="84">
        <v>2515.5</v>
      </c>
      <c r="D767" s="61">
        <v>291</v>
      </c>
      <c r="E767" s="61">
        <v>15.5</v>
      </c>
      <c r="F767" s="61">
        <v>52.9</v>
      </c>
      <c r="G767" s="61">
        <v>24.8</v>
      </c>
      <c r="H767" s="61">
        <v>45.9</v>
      </c>
      <c r="I767" s="61">
        <v>12.8</v>
      </c>
      <c r="J767" s="61">
        <v>42.1</v>
      </c>
      <c r="K767" s="61">
        <v>29.9</v>
      </c>
      <c r="L767" s="61">
        <v>34.4</v>
      </c>
      <c r="M767" s="61">
        <v>28.7</v>
      </c>
      <c r="N767" s="61">
        <v>54.6</v>
      </c>
      <c r="O767" s="85">
        <v>23.6</v>
      </c>
      <c r="P767" s="105"/>
      <c r="Q767" s="87">
        <f t="shared" si="70"/>
        <v>4.0924501063495326E-3</v>
      </c>
      <c r="R767" s="87">
        <f t="shared" si="75"/>
        <v>-4.6799482576648753E-3</v>
      </c>
      <c r="S767" s="87">
        <f t="shared" si="75"/>
        <v>8.6281812233381886E-3</v>
      </c>
      <c r="T767" s="87">
        <f t="shared" si="75"/>
        <v>1.9544596072970346E-2</v>
      </c>
      <c r="U767" s="87">
        <f t="shared" si="75"/>
        <v>0</v>
      </c>
      <c r="V767" s="87">
        <f t="shared" si="75"/>
        <v>4.040409537005127E-3</v>
      </c>
      <c r="W767" s="87">
        <f t="shared" si="75"/>
        <v>1.0953012019197145E-2</v>
      </c>
      <c r="X767" s="87">
        <f t="shared" si="74"/>
        <v>2.3716526617316065E-2</v>
      </c>
      <c r="Y767" s="87">
        <f t="shared" si="74"/>
        <v>2.3781224049674193E-3</v>
      </c>
      <c r="Z767" s="87">
        <f t="shared" si="74"/>
        <v>0</v>
      </c>
      <c r="AA767" s="87">
        <f t="shared" si="74"/>
        <v>2.0558727021036567E-2</v>
      </c>
      <c r="AB767" s="87">
        <f t="shared" si="74"/>
        <v>3.4904049397683459E-3</v>
      </c>
      <c r="AC767" s="87">
        <f t="shared" si="74"/>
        <v>0</v>
      </c>
      <c r="AD767" s="87">
        <f t="shared" si="73"/>
        <v>2.5752496102414764E-2</v>
      </c>
      <c r="AE767" s="90">
        <f t="shared" si="71"/>
        <v>4.2533869656991696E-3</v>
      </c>
    </row>
    <row r="768" spans="1:31" ht="15.5" x14ac:dyDescent="0.35">
      <c r="A768" s="82">
        <v>40877</v>
      </c>
      <c r="B768" s="83">
        <v>7484.5</v>
      </c>
      <c r="C768" s="84">
        <v>2620.3000000000002</v>
      </c>
      <c r="D768" s="61">
        <v>296.3</v>
      </c>
      <c r="E768" s="61">
        <v>15.7</v>
      </c>
      <c r="F768" s="61">
        <v>54</v>
      </c>
      <c r="G768" s="61">
        <v>25.1</v>
      </c>
      <c r="H768" s="61">
        <v>47.8</v>
      </c>
      <c r="I768" s="61">
        <v>13.4</v>
      </c>
      <c r="J768" s="61">
        <v>42.8</v>
      </c>
      <c r="K768" s="61">
        <v>30.9</v>
      </c>
      <c r="L768" s="61">
        <v>35.200000000000003</v>
      </c>
      <c r="M768" s="61">
        <v>29.9</v>
      </c>
      <c r="N768" s="61">
        <v>57.5</v>
      </c>
      <c r="O768" s="85">
        <v>23.7</v>
      </c>
      <c r="P768" s="105"/>
      <c r="Q768" s="87">
        <f t="shared" si="70"/>
        <v>4.5763817589458543E-2</v>
      </c>
      <c r="R768" s="87">
        <f t="shared" si="75"/>
        <v>4.0817224085501543E-2</v>
      </c>
      <c r="S768" s="87">
        <f t="shared" si="75"/>
        <v>1.8049187408026982E-2</v>
      </c>
      <c r="T768" s="87">
        <f t="shared" si="75"/>
        <v>1.2820688429061469E-2</v>
      </c>
      <c r="U768" s="87">
        <f t="shared" si="75"/>
        <v>2.0580707700020663E-2</v>
      </c>
      <c r="V768" s="87">
        <f t="shared" si="75"/>
        <v>1.2024192966801812E-2</v>
      </c>
      <c r="W768" s="87">
        <f t="shared" si="75"/>
        <v>4.0560522430910823E-2</v>
      </c>
      <c r="X768" s="87">
        <f t="shared" si="74"/>
        <v>4.5809536031294201E-2</v>
      </c>
      <c r="Y768" s="87">
        <f t="shared" si="74"/>
        <v>1.6490361899415211E-2</v>
      </c>
      <c r="Z768" s="87">
        <f t="shared" si="74"/>
        <v>3.2897703507059013E-2</v>
      </c>
      <c r="AA768" s="87">
        <f t="shared" si="74"/>
        <v>2.2989518224698781E-2</v>
      </c>
      <c r="AB768" s="87">
        <f t="shared" si="74"/>
        <v>4.0961357631065204E-2</v>
      </c>
      <c r="AC768" s="87">
        <f t="shared" si="74"/>
        <v>5.1751065052445429E-2</v>
      </c>
      <c r="AD768" s="87">
        <f t="shared" si="73"/>
        <v>4.2283361095211049E-3</v>
      </c>
      <c r="AE768" s="90">
        <f t="shared" si="71"/>
        <v>2.3917832221028182E-2</v>
      </c>
    </row>
    <row r="769" spans="1:31" ht="15.5" x14ac:dyDescent="0.35">
      <c r="A769" s="82">
        <v>40878</v>
      </c>
      <c r="B769" s="83">
        <v>7450.4</v>
      </c>
      <c r="C769" s="84">
        <v>2626.2</v>
      </c>
      <c r="D769" s="61">
        <v>299.8</v>
      </c>
      <c r="E769" s="61">
        <v>16.100000000000001</v>
      </c>
      <c r="F769" s="61">
        <v>54.4</v>
      </c>
      <c r="G769" s="61">
        <v>25.2</v>
      </c>
      <c r="H769" s="61">
        <v>47.5</v>
      </c>
      <c r="I769" s="61">
        <v>13.7</v>
      </c>
      <c r="J769" s="61">
        <v>43.3</v>
      </c>
      <c r="K769" s="61">
        <v>31.7</v>
      </c>
      <c r="L769" s="61">
        <v>35.6</v>
      </c>
      <c r="M769" s="61">
        <v>30.9</v>
      </c>
      <c r="N769" s="61">
        <v>55.9</v>
      </c>
      <c r="O769" s="85">
        <v>23.6</v>
      </c>
      <c r="P769" s="105"/>
      <c r="Q769" s="87">
        <f t="shared" si="70"/>
        <v>-4.5664931478424887E-3</v>
      </c>
      <c r="R769" s="87">
        <f t="shared" si="75"/>
        <v>2.2491194080296551E-3</v>
      </c>
      <c r="S769" s="87">
        <f t="shared" si="75"/>
        <v>1.1743131088977836E-2</v>
      </c>
      <c r="T769" s="87">
        <f t="shared" si="75"/>
        <v>2.515855963615515E-2</v>
      </c>
      <c r="U769" s="87">
        <f t="shared" si="75"/>
        <v>7.38010729762246E-3</v>
      </c>
      <c r="V769" s="87">
        <f t="shared" si="75"/>
        <v>3.9761483796394168E-3</v>
      </c>
      <c r="W769" s="87">
        <f t="shared" si="75"/>
        <v>-6.2959284568146999E-3</v>
      </c>
      <c r="X769" s="87">
        <f t="shared" si="74"/>
        <v>2.2141125877213501E-2</v>
      </c>
      <c r="Y769" s="87">
        <f t="shared" si="74"/>
        <v>1.1614532420693083E-2</v>
      </c>
      <c r="Z769" s="87">
        <f t="shared" si="74"/>
        <v>2.556049697953507E-2</v>
      </c>
      <c r="AA769" s="87">
        <f t="shared" si="74"/>
        <v>1.1299555253933247E-2</v>
      </c>
      <c r="AB769" s="87">
        <f t="shared" si="74"/>
        <v>3.2897703507059013E-2</v>
      </c>
      <c r="AC769" s="87">
        <f t="shared" si="74"/>
        <v>-2.822056764225132E-2</v>
      </c>
      <c r="AD769" s="87">
        <f t="shared" si="73"/>
        <v>-4.2283361095210642E-3</v>
      </c>
      <c r="AE769" s="90">
        <f t="shared" si="71"/>
        <v>5.7084531314892748E-3</v>
      </c>
    </row>
    <row r="770" spans="1:31" ht="15.5" x14ac:dyDescent="0.35">
      <c r="A770" s="82">
        <v>40879</v>
      </c>
      <c r="B770" s="83">
        <v>7453.5</v>
      </c>
      <c r="C770" s="84">
        <v>2626.9</v>
      </c>
      <c r="D770" s="61">
        <v>308.39999999999998</v>
      </c>
      <c r="E770" s="61">
        <v>16</v>
      </c>
      <c r="F770" s="61">
        <v>55.5</v>
      </c>
      <c r="G770" s="61">
        <v>25.2</v>
      </c>
      <c r="H770" s="61">
        <v>49.1</v>
      </c>
      <c r="I770" s="61">
        <v>14.1</v>
      </c>
      <c r="J770" s="61">
        <v>42.1</v>
      </c>
      <c r="K770" s="61">
        <v>32.4</v>
      </c>
      <c r="L770" s="61">
        <v>35.4</v>
      </c>
      <c r="M770" s="61">
        <v>31.6</v>
      </c>
      <c r="N770" s="61">
        <v>57.4</v>
      </c>
      <c r="O770" s="85">
        <v>23.9</v>
      </c>
      <c r="P770" s="105"/>
      <c r="Q770" s="87">
        <f t="shared" si="70"/>
        <v>4.1599850303703943E-4</v>
      </c>
      <c r="R770" s="87">
        <f t="shared" si="75"/>
        <v>2.665093008485189E-4</v>
      </c>
      <c r="S770" s="87">
        <f t="shared" si="75"/>
        <v>2.8282056020677005E-2</v>
      </c>
      <c r="T770" s="87">
        <f t="shared" si="75"/>
        <v>-6.2305497506361975E-3</v>
      </c>
      <c r="U770" s="87">
        <f t="shared" si="75"/>
        <v>2.0018866890491923E-2</v>
      </c>
      <c r="V770" s="87">
        <f t="shared" si="75"/>
        <v>0</v>
      </c>
      <c r="W770" s="87">
        <f t="shared" si="75"/>
        <v>3.3129323759879342E-2</v>
      </c>
      <c r="X770" s="87">
        <f t="shared" si="74"/>
        <v>2.8778964550043327E-2</v>
      </c>
      <c r="Y770" s="87">
        <f t="shared" si="74"/>
        <v>-2.8104894320108369E-2</v>
      </c>
      <c r="Z770" s="87">
        <f t="shared" si="74"/>
        <v>2.1841741915048854E-2</v>
      </c>
      <c r="AA770" s="87">
        <f t="shared" si="74"/>
        <v>-5.633817718256131E-3</v>
      </c>
      <c r="AB770" s="87">
        <f t="shared" si="74"/>
        <v>2.2400936689166713E-2</v>
      </c>
      <c r="AC770" s="87">
        <f t="shared" si="74"/>
        <v>2.6479923164467321E-2</v>
      </c>
      <c r="AD770" s="87">
        <f t="shared" si="73"/>
        <v>1.2631746905900564E-2</v>
      </c>
      <c r="AE770" s="90">
        <f t="shared" si="71"/>
        <v>1.5619402806721239E-2</v>
      </c>
    </row>
    <row r="771" spans="1:31" ht="15.5" x14ac:dyDescent="0.35">
      <c r="A771" s="82">
        <v>40882</v>
      </c>
      <c r="B771" s="83">
        <v>7531</v>
      </c>
      <c r="C771" s="84">
        <v>2655.8</v>
      </c>
      <c r="D771" s="61">
        <v>311.5</v>
      </c>
      <c r="E771" s="61">
        <v>15.8</v>
      </c>
      <c r="F771" s="61">
        <v>55.8</v>
      </c>
      <c r="G771" s="61">
        <v>25.5</v>
      </c>
      <c r="H771" s="61">
        <v>49.2</v>
      </c>
      <c r="I771" s="61">
        <v>14.1</v>
      </c>
      <c r="J771" s="61">
        <v>41.8</v>
      </c>
      <c r="K771" s="61">
        <v>33.200000000000003</v>
      </c>
      <c r="L771" s="61">
        <v>35.1</v>
      </c>
      <c r="M771" s="61">
        <v>32.5</v>
      </c>
      <c r="N771" s="61">
        <v>56.8</v>
      </c>
      <c r="O771" s="85">
        <v>24</v>
      </c>
      <c r="P771" s="105"/>
      <c r="Q771" s="87">
        <f t="shared" si="70"/>
        <v>1.0344114390866806E-2</v>
      </c>
      <c r="R771" s="87">
        <f t="shared" si="75"/>
        <v>1.0941483830474054E-2</v>
      </c>
      <c r="S771" s="87">
        <f t="shared" si="75"/>
        <v>1.0001696538333374E-2</v>
      </c>
      <c r="T771" s="87">
        <f t="shared" si="75"/>
        <v>-1.2578782206860073E-2</v>
      </c>
      <c r="U771" s="87">
        <f t="shared" si="75"/>
        <v>5.390848634876373E-3</v>
      </c>
      <c r="V771" s="87">
        <f t="shared" si="75"/>
        <v>1.1834457647002798E-2</v>
      </c>
      <c r="W771" s="87">
        <f t="shared" si="75"/>
        <v>2.0345886977874567E-3</v>
      </c>
      <c r="X771" s="87">
        <f t="shared" si="74"/>
        <v>0</v>
      </c>
      <c r="Y771" s="87">
        <f t="shared" si="74"/>
        <v>-7.1514011576252401E-3</v>
      </c>
      <c r="Z771" s="87">
        <f t="shared" si="74"/>
        <v>2.4391453124159263E-2</v>
      </c>
      <c r="AA771" s="87">
        <f t="shared" si="74"/>
        <v>-8.5106896679085064E-3</v>
      </c>
      <c r="AB771" s="87">
        <f t="shared" si="74"/>
        <v>2.8082968742825305E-2</v>
      </c>
      <c r="AC771" s="87">
        <f t="shared" si="74"/>
        <v>-1.0507977598415093E-2</v>
      </c>
      <c r="AD771" s="87">
        <f t="shared" si="73"/>
        <v>4.175371410480592E-3</v>
      </c>
      <c r="AE771" s="90">
        <f t="shared" si="71"/>
        <v>8.2567958742710244E-3</v>
      </c>
    </row>
    <row r="772" spans="1:31" ht="15.5" x14ac:dyDescent="0.35">
      <c r="A772" s="82">
        <v>40883</v>
      </c>
      <c r="B772" s="83">
        <v>7539.3</v>
      </c>
      <c r="C772" s="84">
        <v>2649.6</v>
      </c>
      <c r="D772" s="61">
        <v>310.39999999999998</v>
      </c>
      <c r="E772" s="61">
        <v>15.8</v>
      </c>
      <c r="F772" s="61">
        <v>55.6</v>
      </c>
      <c r="G772" s="61">
        <v>25.6</v>
      </c>
      <c r="H772" s="61">
        <v>49.6</v>
      </c>
      <c r="I772" s="61">
        <v>14</v>
      </c>
      <c r="J772" s="61">
        <v>42.1</v>
      </c>
      <c r="K772" s="61">
        <v>33</v>
      </c>
      <c r="L772" s="61">
        <v>35.299999999999997</v>
      </c>
      <c r="M772" s="61">
        <v>32.200000000000003</v>
      </c>
      <c r="N772" s="61">
        <v>56</v>
      </c>
      <c r="O772" s="85">
        <v>24</v>
      </c>
      <c r="P772" s="105"/>
      <c r="Q772" s="87">
        <f t="shared" si="70"/>
        <v>1.1015043946315309E-3</v>
      </c>
      <c r="R772" s="87">
        <f t="shared" si="75"/>
        <v>-2.3372423652867347E-3</v>
      </c>
      <c r="S772" s="87">
        <f t="shared" si="75"/>
        <v>-3.5375499184442339E-3</v>
      </c>
      <c r="T772" s="87">
        <f t="shared" si="75"/>
        <v>0</v>
      </c>
      <c r="U772" s="87">
        <f t="shared" si="75"/>
        <v>-3.5906681307284844E-3</v>
      </c>
      <c r="V772" s="87">
        <f t="shared" si="75"/>
        <v>3.9138993211363148E-3</v>
      </c>
      <c r="W772" s="87">
        <f t="shared" si="75"/>
        <v>8.0972102326193028E-3</v>
      </c>
      <c r="X772" s="87">
        <f t="shared" si="74"/>
        <v>-7.1174677688639896E-3</v>
      </c>
      <c r="Y772" s="87">
        <f t="shared" si="74"/>
        <v>7.1514011576253068E-3</v>
      </c>
      <c r="Z772" s="87">
        <f t="shared" si="74"/>
        <v>-6.0423144559626982E-3</v>
      </c>
      <c r="AA772" s="87">
        <f t="shared" si="74"/>
        <v>5.6818334674308638E-3</v>
      </c>
      <c r="AB772" s="87">
        <f t="shared" si="74"/>
        <v>-9.2736367853291021E-3</v>
      </c>
      <c r="AC772" s="87">
        <f t="shared" si="74"/>
        <v>-1.4184634991956413E-2</v>
      </c>
      <c r="AD772" s="87">
        <f t="shared" si="73"/>
        <v>0</v>
      </c>
      <c r="AE772" s="90">
        <f t="shared" si="71"/>
        <v>-2.7629650979383935E-3</v>
      </c>
    </row>
    <row r="773" spans="1:31" ht="15.5" x14ac:dyDescent="0.35">
      <c r="A773" s="82">
        <v>40884</v>
      </c>
      <c r="B773" s="83">
        <v>7559.7</v>
      </c>
      <c r="C773" s="84">
        <v>2649.2</v>
      </c>
      <c r="D773" s="61">
        <v>309.39999999999998</v>
      </c>
      <c r="E773" s="61">
        <v>15.6</v>
      </c>
      <c r="F773" s="61">
        <v>55.3</v>
      </c>
      <c r="G773" s="61">
        <v>25.3</v>
      </c>
      <c r="H773" s="61">
        <v>49.5</v>
      </c>
      <c r="I773" s="61">
        <v>13.9</v>
      </c>
      <c r="J773" s="61">
        <v>42.8</v>
      </c>
      <c r="K773" s="61">
        <v>33</v>
      </c>
      <c r="L773" s="61">
        <v>35.200000000000003</v>
      </c>
      <c r="M773" s="61">
        <v>32</v>
      </c>
      <c r="N773" s="61">
        <v>55.4</v>
      </c>
      <c r="O773" s="85">
        <v>23.8</v>
      </c>
      <c r="P773" s="105"/>
      <c r="Q773" s="87">
        <f t="shared" si="70"/>
        <v>2.7021673505399804E-3</v>
      </c>
      <c r="R773" s="87">
        <f t="shared" si="75"/>
        <v>-1.5097758011620857E-4</v>
      </c>
      <c r="S773" s="87">
        <f t="shared" si="75"/>
        <v>-3.2268501700979269E-3</v>
      </c>
      <c r="T773" s="87">
        <f t="shared" si="75"/>
        <v>-1.2739025777429826E-2</v>
      </c>
      <c r="U773" s="87">
        <f t="shared" si="75"/>
        <v>-5.4102927282476546E-3</v>
      </c>
      <c r="V773" s="87">
        <f t="shared" si="75"/>
        <v>-1.178795575204224E-2</v>
      </c>
      <c r="W773" s="87">
        <f t="shared" si="75"/>
        <v>-2.0181641562372361E-3</v>
      </c>
      <c r="X773" s="87">
        <f t="shared" si="74"/>
        <v>-7.168489478612516E-3</v>
      </c>
      <c r="Y773" s="87">
        <f t="shared" si="74"/>
        <v>1.6490361899415211E-2</v>
      </c>
      <c r="Z773" s="87">
        <f t="shared" si="74"/>
        <v>0</v>
      </c>
      <c r="AA773" s="87">
        <f t="shared" si="74"/>
        <v>-2.8368813351995039E-3</v>
      </c>
      <c r="AB773" s="87">
        <f t="shared" si="74"/>
        <v>-6.2305497506361975E-3</v>
      </c>
      <c r="AC773" s="87">
        <f t="shared" si="74"/>
        <v>-1.0772096981911183E-2</v>
      </c>
      <c r="AD773" s="87">
        <f t="shared" si="73"/>
        <v>-8.3682496705165792E-3</v>
      </c>
      <c r="AE773" s="90">
        <f t="shared" si="71"/>
        <v>-3.5541212847908848E-3</v>
      </c>
    </row>
    <row r="774" spans="1:31" ht="15.5" x14ac:dyDescent="0.35">
      <c r="A774" s="82">
        <v>40885</v>
      </c>
      <c r="B774" s="83">
        <v>7369.5</v>
      </c>
      <c r="C774" s="84">
        <v>2596.4</v>
      </c>
      <c r="D774" s="61">
        <v>308</v>
      </c>
      <c r="E774" s="61">
        <v>15.5</v>
      </c>
      <c r="F774" s="61">
        <v>55.8</v>
      </c>
      <c r="G774" s="61">
        <v>25.4</v>
      </c>
      <c r="H774" s="61">
        <v>49</v>
      </c>
      <c r="I774" s="61">
        <v>13.9</v>
      </c>
      <c r="J774" s="61">
        <v>40.799999999999997</v>
      </c>
      <c r="K774" s="61">
        <v>33.1</v>
      </c>
      <c r="L774" s="61">
        <v>35.1</v>
      </c>
      <c r="M774" s="61">
        <v>30.9</v>
      </c>
      <c r="N774" s="61">
        <v>55.6</v>
      </c>
      <c r="O774" s="85">
        <v>23.8</v>
      </c>
      <c r="P774" s="105"/>
      <c r="Q774" s="87">
        <f t="shared" si="70"/>
        <v>-2.5481645569710724E-2</v>
      </c>
      <c r="R774" s="87">
        <f t="shared" si="75"/>
        <v>-2.0131837451510738E-2</v>
      </c>
      <c r="S774" s="87">
        <f t="shared" si="75"/>
        <v>-4.5351551653911512E-3</v>
      </c>
      <c r="T774" s="87">
        <f t="shared" si="75"/>
        <v>-6.4308903302904025E-3</v>
      </c>
      <c r="U774" s="87">
        <f t="shared" si="75"/>
        <v>9.0009608589761234E-3</v>
      </c>
      <c r="V774" s="87">
        <f t="shared" si="75"/>
        <v>3.9447782910163251E-3</v>
      </c>
      <c r="W774" s="87">
        <f t="shared" si="75"/>
        <v>-1.0152371464017962E-2</v>
      </c>
      <c r="X774" s="87">
        <f t="shared" si="74"/>
        <v>0</v>
      </c>
      <c r="Y774" s="87">
        <f t="shared" si="74"/>
        <v>-4.78560211776351E-2</v>
      </c>
      <c r="Z774" s="87">
        <f t="shared" si="74"/>
        <v>3.0257209165371114E-3</v>
      </c>
      <c r="AA774" s="87">
        <f t="shared" si="74"/>
        <v>-2.8449521322313617E-3</v>
      </c>
      <c r="AB774" s="87">
        <f t="shared" si="74"/>
        <v>-3.4979718896026815E-2</v>
      </c>
      <c r="AC774" s="87">
        <f t="shared" si="74"/>
        <v>3.6036075032986181E-3</v>
      </c>
      <c r="AD774" s="87">
        <f t="shared" si="73"/>
        <v>0</v>
      </c>
      <c r="AE774" s="90">
        <f t="shared" si="71"/>
        <v>-4.7884947046559802E-3</v>
      </c>
    </row>
    <row r="775" spans="1:31" ht="15.5" x14ac:dyDescent="0.35">
      <c r="A775" s="82">
        <v>40886</v>
      </c>
      <c r="B775" s="83">
        <v>7502.9</v>
      </c>
      <c r="C775" s="84">
        <v>2646.9</v>
      </c>
      <c r="D775" s="61">
        <v>308.8</v>
      </c>
      <c r="E775" s="61">
        <v>15.6</v>
      </c>
      <c r="F775" s="61">
        <v>55.9</v>
      </c>
      <c r="G775" s="61">
        <v>25.5</v>
      </c>
      <c r="H775" s="61">
        <v>49.2</v>
      </c>
      <c r="I775" s="61">
        <v>14</v>
      </c>
      <c r="J775" s="61">
        <v>39.6</v>
      </c>
      <c r="K775" s="61">
        <v>33.299999999999997</v>
      </c>
      <c r="L775" s="61">
        <v>35.200000000000003</v>
      </c>
      <c r="M775" s="61">
        <v>31.2</v>
      </c>
      <c r="N775" s="61">
        <v>55.8</v>
      </c>
      <c r="O775" s="85">
        <v>23.8</v>
      </c>
      <c r="P775" s="105"/>
      <c r="Q775" s="87">
        <f t="shared" si="70"/>
        <v>1.7939751177964914E-2</v>
      </c>
      <c r="R775" s="87">
        <f t="shared" si="75"/>
        <v>1.9263273736855206E-2</v>
      </c>
      <c r="S775" s="87">
        <f t="shared" si="75"/>
        <v>2.594035177046749E-3</v>
      </c>
      <c r="T775" s="87">
        <f t="shared" si="75"/>
        <v>6.4308903302903314E-3</v>
      </c>
      <c r="U775" s="87">
        <f t="shared" si="75"/>
        <v>1.7905107737882938E-3</v>
      </c>
      <c r="V775" s="87">
        <f t="shared" si="75"/>
        <v>3.929278139889557E-3</v>
      </c>
      <c r="W775" s="87">
        <f t="shared" si="75"/>
        <v>4.0733253876358688E-3</v>
      </c>
      <c r="X775" s="87">
        <f t="shared" si="74"/>
        <v>7.168489478612497E-3</v>
      </c>
      <c r="Y775" s="87">
        <f t="shared" si="74"/>
        <v>-2.9852963149681045E-2</v>
      </c>
      <c r="Z775" s="87">
        <f t="shared" si="74"/>
        <v>6.0241146033808762E-3</v>
      </c>
      <c r="AA775" s="87">
        <f t="shared" si="74"/>
        <v>2.8449521322313448E-3</v>
      </c>
      <c r="AB775" s="87">
        <f t="shared" si="74"/>
        <v>9.6619109117368901E-3</v>
      </c>
      <c r="AC775" s="87">
        <f t="shared" si="74"/>
        <v>3.59066813072854E-3</v>
      </c>
      <c r="AD775" s="87">
        <f t="shared" si="73"/>
        <v>0</v>
      </c>
      <c r="AE775" s="90">
        <f t="shared" si="71"/>
        <v>7.0455551288646414E-3</v>
      </c>
    </row>
    <row r="776" spans="1:31" ht="15.5" x14ac:dyDescent="0.35">
      <c r="A776" s="82">
        <v>40889</v>
      </c>
      <c r="B776" s="83">
        <v>7363.5</v>
      </c>
      <c r="C776" s="84">
        <v>2612.3000000000002</v>
      </c>
      <c r="D776" s="61">
        <v>310.5</v>
      </c>
      <c r="E776" s="61">
        <v>15.4</v>
      </c>
      <c r="F776" s="61">
        <v>55.6</v>
      </c>
      <c r="G776" s="61">
        <v>25.3</v>
      </c>
      <c r="H776" s="61">
        <v>49.7</v>
      </c>
      <c r="I776" s="61">
        <v>14</v>
      </c>
      <c r="J776" s="61">
        <v>39.700000000000003</v>
      </c>
      <c r="K776" s="61">
        <v>32.6</v>
      </c>
      <c r="L776" s="61">
        <v>35.200000000000003</v>
      </c>
      <c r="M776" s="61">
        <v>30.6</v>
      </c>
      <c r="N776" s="61">
        <v>55.3</v>
      </c>
      <c r="O776" s="85">
        <v>23.9</v>
      </c>
      <c r="P776" s="105"/>
      <c r="Q776" s="87">
        <f t="shared" si="70"/>
        <v>-1.8754249288560728E-2</v>
      </c>
      <c r="R776" s="87">
        <f t="shared" si="75"/>
        <v>-1.3158084577511088E-2</v>
      </c>
      <c r="S776" s="87">
        <f t="shared" si="75"/>
        <v>5.4900832229123698E-3</v>
      </c>
      <c r="T776" s="87">
        <f t="shared" si="75"/>
        <v>-1.2903404835907841E-2</v>
      </c>
      <c r="U776" s="87">
        <f t="shared" si="75"/>
        <v>-5.3811789045167075E-3</v>
      </c>
      <c r="V776" s="87">
        <f t="shared" si="75"/>
        <v>-7.874056430905883E-3</v>
      </c>
      <c r="W776" s="87">
        <f t="shared" si="75"/>
        <v>1.0111309604320695E-2</v>
      </c>
      <c r="X776" s="87">
        <f t="shared" si="74"/>
        <v>0</v>
      </c>
      <c r="Y776" s="87">
        <f t="shared" si="74"/>
        <v>2.5220694327099391E-3</v>
      </c>
      <c r="Z776" s="87">
        <f t="shared" si="74"/>
        <v>-2.124510861373604E-2</v>
      </c>
      <c r="AA776" s="87">
        <f t="shared" si="74"/>
        <v>0</v>
      </c>
      <c r="AB776" s="87">
        <f t="shared" si="74"/>
        <v>-1.9418085857101513E-2</v>
      </c>
      <c r="AC776" s="87">
        <f t="shared" si="74"/>
        <v>-9.0009608589761685E-3</v>
      </c>
      <c r="AD776" s="87">
        <f t="shared" si="73"/>
        <v>4.1928782600359578E-3</v>
      </c>
      <c r="AE776" s="90">
        <f t="shared" si="71"/>
        <v>-3.3658671189076366E-3</v>
      </c>
    </row>
    <row r="777" spans="1:31" ht="15.5" x14ac:dyDescent="0.35">
      <c r="A777" s="82">
        <v>40890</v>
      </c>
      <c r="B777" s="83">
        <v>7277.6</v>
      </c>
      <c r="C777" s="84">
        <v>2579.3000000000002</v>
      </c>
      <c r="D777" s="61">
        <v>311.7</v>
      </c>
      <c r="E777" s="61">
        <v>15.4</v>
      </c>
      <c r="F777" s="61">
        <v>55.3</v>
      </c>
      <c r="G777" s="61">
        <v>25.7</v>
      </c>
      <c r="H777" s="61">
        <v>49.7</v>
      </c>
      <c r="I777" s="61">
        <v>13.2</v>
      </c>
      <c r="J777" s="61">
        <v>40</v>
      </c>
      <c r="K777" s="61">
        <v>31.8</v>
      </c>
      <c r="L777" s="61">
        <v>34.9</v>
      </c>
      <c r="M777" s="61">
        <v>30.1</v>
      </c>
      <c r="N777" s="61">
        <v>54.4</v>
      </c>
      <c r="O777" s="85">
        <v>23.6</v>
      </c>
      <c r="P777" s="105"/>
      <c r="Q777" s="87">
        <f t="shared" si="70"/>
        <v>-1.1734225658364702E-2</v>
      </c>
      <c r="R777" s="87">
        <f t="shared" si="75"/>
        <v>-1.2713015045793084E-2</v>
      </c>
      <c r="S777" s="87">
        <f t="shared" si="75"/>
        <v>3.8572853997578733E-3</v>
      </c>
      <c r="T777" s="87">
        <f t="shared" si="75"/>
        <v>0</v>
      </c>
      <c r="U777" s="87">
        <f t="shared" si="75"/>
        <v>-5.4102927282476546E-3</v>
      </c>
      <c r="V777" s="87">
        <f t="shared" si="75"/>
        <v>1.5686596167699473E-2</v>
      </c>
      <c r="W777" s="87">
        <f t="shared" si="75"/>
        <v>0</v>
      </c>
      <c r="X777" s="87">
        <f t="shared" si="74"/>
        <v>-5.8840500022933465E-2</v>
      </c>
      <c r="Y777" s="87">
        <f t="shared" si="74"/>
        <v>7.5282664207915878E-3</v>
      </c>
      <c r="Z777" s="87">
        <f t="shared" si="74"/>
        <v>-2.4845998586530776E-2</v>
      </c>
      <c r="AA777" s="87">
        <f t="shared" si="74"/>
        <v>-8.5592533956700603E-3</v>
      </c>
      <c r="AB777" s="87">
        <f t="shared" si="74"/>
        <v>-1.6474837203505097E-2</v>
      </c>
      <c r="AC777" s="87">
        <f t="shared" si="74"/>
        <v>-1.6408754666392099E-2</v>
      </c>
      <c r="AD777" s="87">
        <f t="shared" si="73"/>
        <v>-1.2631746905900462E-2</v>
      </c>
      <c r="AE777" s="90">
        <f t="shared" si="71"/>
        <v>-5.7638116333359373E-3</v>
      </c>
    </row>
    <row r="778" spans="1:31" ht="15.5" x14ac:dyDescent="0.35">
      <c r="A778" s="82">
        <v>40891</v>
      </c>
      <c r="B778" s="83">
        <v>7184.8</v>
      </c>
      <c r="C778" s="84">
        <v>2539.3000000000002</v>
      </c>
      <c r="D778" s="61">
        <v>306.60000000000002</v>
      </c>
      <c r="E778" s="61">
        <v>14.8</v>
      </c>
      <c r="F778" s="61">
        <v>54</v>
      </c>
      <c r="G778" s="61">
        <v>25.6</v>
      </c>
      <c r="H778" s="61">
        <v>49.3</v>
      </c>
      <c r="I778" s="61">
        <v>13.1</v>
      </c>
      <c r="J778" s="61">
        <v>38.700000000000003</v>
      </c>
      <c r="K778" s="61">
        <v>31.7</v>
      </c>
      <c r="L778" s="61">
        <v>34.9</v>
      </c>
      <c r="M778" s="61">
        <v>30.1</v>
      </c>
      <c r="N778" s="61">
        <v>54.1</v>
      </c>
      <c r="O778" s="85">
        <v>23.4</v>
      </c>
      <c r="P778" s="105"/>
      <c r="Q778" s="87">
        <f t="shared" si="70"/>
        <v>-1.2833454151112193E-2</v>
      </c>
      <c r="R778" s="87">
        <f t="shared" si="75"/>
        <v>-1.5629591793517882E-2</v>
      </c>
      <c r="S778" s="87">
        <f t="shared" si="75"/>
        <v>-1.649722033557759E-2</v>
      </c>
      <c r="T778" s="87">
        <f t="shared" si="75"/>
        <v>-3.9740328649514108E-2</v>
      </c>
      <c r="U778" s="87">
        <f t="shared" si="75"/>
        <v>-2.3788861964014713E-2</v>
      </c>
      <c r="V778" s="87">
        <f t="shared" si="75"/>
        <v>-3.8986404156571976E-3</v>
      </c>
      <c r="W778" s="87">
        <f t="shared" si="75"/>
        <v>-8.0808520539387835E-3</v>
      </c>
      <c r="X778" s="87">
        <f t="shared" si="74"/>
        <v>-7.6045993852193036E-3</v>
      </c>
      <c r="Y778" s="87">
        <f t="shared" si="74"/>
        <v>-3.3039854078200155E-2</v>
      </c>
      <c r="Z778" s="87">
        <f t="shared" si="74"/>
        <v>-3.14960890289622E-3</v>
      </c>
      <c r="AA778" s="87">
        <f t="shared" si="74"/>
        <v>0</v>
      </c>
      <c r="AB778" s="87">
        <f t="shared" si="74"/>
        <v>0</v>
      </c>
      <c r="AC778" s="87">
        <f t="shared" si="74"/>
        <v>-5.5299680094610861E-3</v>
      </c>
      <c r="AD778" s="87">
        <f t="shared" si="73"/>
        <v>-8.5106896679087302E-3</v>
      </c>
      <c r="AE778" s="90">
        <f t="shared" si="71"/>
        <v>-1.7351365329821428E-2</v>
      </c>
    </row>
    <row r="779" spans="1:31" ht="15.5" x14ac:dyDescent="0.35">
      <c r="A779" s="82">
        <v>40892</v>
      </c>
      <c r="B779" s="83">
        <v>7217.1</v>
      </c>
      <c r="C779" s="84">
        <v>2541</v>
      </c>
      <c r="D779" s="61">
        <v>309.7</v>
      </c>
      <c r="E779" s="61">
        <v>15</v>
      </c>
      <c r="F779" s="61">
        <v>54</v>
      </c>
      <c r="G779" s="61">
        <v>25.5</v>
      </c>
      <c r="H779" s="61">
        <v>49.9</v>
      </c>
      <c r="I779" s="61">
        <v>13.3</v>
      </c>
      <c r="J779" s="61">
        <v>38.4</v>
      </c>
      <c r="K779" s="61">
        <v>32.4</v>
      </c>
      <c r="L779" s="61">
        <v>35.9</v>
      </c>
      <c r="M779" s="61">
        <v>30.3</v>
      </c>
      <c r="N779" s="61">
        <v>53.9</v>
      </c>
      <c r="O779" s="85">
        <v>23.4</v>
      </c>
      <c r="P779" s="105"/>
      <c r="Q779" s="87">
        <f t="shared" si="70"/>
        <v>4.4855267924624733E-3</v>
      </c>
      <c r="R779" s="87">
        <f t="shared" si="75"/>
        <v>6.69251840817253E-4</v>
      </c>
      <c r="S779" s="87">
        <f t="shared" si="75"/>
        <v>1.0060120541443221E-2</v>
      </c>
      <c r="T779" s="87">
        <f t="shared" si="75"/>
        <v>1.342302033214055E-2</v>
      </c>
      <c r="U779" s="87">
        <f t="shared" si="75"/>
        <v>0</v>
      </c>
      <c r="V779" s="87">
        <f t="shared" si="75"/>
        <v>-3.9138993211363287E-3</v>
      </c>
      <c r="W779" s="87">
        <f t="shared" si="75"/>
        <v>1.2096921708828531E-2</v>
      </c>
      <c r="X779" s="87">
        <f t="shared" si="74"/>
        <v>1.5151805020602246E-2</v>
      </c>
      <c r="Y779" s="87">
        <f t="shared" si="74"/>
        <v>-7.7821404420550747E-3</v>
      </c>
      <c r="Z779" s="87">
        <f t="shared" si="74"/>
        <v>2.1841741915048854E-2</v>
      </c>
      <c r="AA779" s="87">
        <f t="shared" si="74"/>
        <v>2.8250466285851653E-2</v>
      </c>
      <c r="AB779" s="87">
        <f t="shared" si="74"/>
        <v>6.6225407604934569E-3</v>
      </c>
      <c r="AC779" s="87">
        <f t="shared" si="74"/>
        <v>-3.7037079374844144E-3</v>
      </c>
      <c r="AD779" s="87">
        <f t="shared" si="73"/>
        <v>0</v>
      </c>
      <c r="AE779" s="90">
        <f t="shared" si="71"/>
        <v>3.1458516536909359E-3</v>
      </c>
    </row>
    <row r="780" spans="1:31" ht="15.5" x14ac:dyDescent="0.35">
      <c r="A780" s="82">
        <v>40893</v>
      </c>
      <c r="B780" s="83">
        <v>7237.7</v>
      </c>
      <c r="C780" s="84">
        <v>2555.3000000000002</v>
      </c>
      <c r="D780" s="61">
        <v>311.10000000000002</v>
      </c>
      <c r="E780" s="61">
        <v>14.9</v>
      </c>
      <c r="F780" s="61">
        <v>54.2</v>
      </c>
      <c r="G780" s="61">
        <v>25.6</v>
      </c>
      <c r="H780" s="61">
        <v>49.9</v>
      </c>
      <c r="I780" s="61">
        <v>13.5</v>
      </c>
      <c r="J780" s="61">
        <v>38.5</v>
      </c>
      <c r="K780" s="61">
        <v>32.5</v>
      </c>
      <c r="L780" s="61">
        <v>36</v>
      </c>
      <c r="M780" s="61">
        <v>30.1</v>
      </c>
      <c r="N780" s="61">
        <v>53.9</v>
      </c>
      <c r="O780" s="85">
        <v>23.4</v>
      </c>
      <c r="P780" s="105"/>
      <c r="Q780" s="87">
        <f t="shared" si="70"/>
        <v>2.8502662017084466E-3</v>
      </c>
      <c r="R780" s="87">
        <f t="shared" si="75"/>
        <v>5.6119292545699371E-3</v>
      </c>
      <c r="S780" s="87">
        <f t="shared" si="75"/>
        <v>4.5103169244342699E-3</v>
      </c>
      <c r="T780" s="87">
        <f t="shared" si="75"/>
        <v>-6.6889881507965401E-3</v>
      </c>
      <c r="U780" s="87">
        <f t="shared" si="75"/>
        <v>3.6968618813262026E-3</v>
      </c>
      <c r="V780" s="87">
        <f t="shared" si="75"/>
        <v>3.9138993211363148E-3</v>
      </c>
      <c r="W780" s="87">
        <f t="shared" si="75"/>
        <v>0</v>
      </c>
      <c r="X780" s="87">
        <f t="shared" si="74"/>
        <v>1.4925650216675574E-2</v>
      </c>
      <c r="Y780" s="87">
        <f t="shared" si="74"/>
        <v>2.6007817000574403E-3</v>
      </c>
      <c r="Z780" s="87">
        <f t="shared" si="74"/>
        <v>3.0816665374081144E-3</v>
      </c>
      <c r="AA780" s="87">
        <f t="shared" si="74"/>
        <v>2.7816429618767705E-3</v>
      </c>
      <c r="AB780" s="87">
        <f t="shared" si="74"/>
        <v>-6.6225407604933824E-3</v>
      </c>
      <c r="AC780" s="87">
        <f t="shared" si="74"/>
        <v>0</v>
      </c>
      <c r="AD780" s="87">
        <f t="shared" si="73"/>
        <v>0</v>
      </c>
      <c r="AE780" s="90">
        <f t="shared" si="71"/>
        <v>4.0597039913406515E-3</v>
      </c>
    </row>
    <row r="781" spans="1:31" ht="15.5" x14ac:dyDescent="0.35">
      <c r="A781" s="82">
        <v>40896</v>
      </c>
      <c r="B781" s="83">
        <v>7142.5</v>
      </c>
      <c r="C781" s="84">
        <v>2523.1</v>
      </c>
      <c r="D781" s="61">
        <v>310.3</v>
      </c>
      <c r="E781" s="61">
        <v>14.6</v>
      </c>
      <c r="F781" s="61">
        <v>54.4</v>
      </c>
      <c r="G781" s="61">
        <v>25.5</v>
      </c>
      <c r="H781" s="61">
        <v>49.8</v>
      </c>
      <c r="I781" s="61">
        <v>13.1</v>
      </c>
      <c r="J781" s="61">
        <v>38.4</v>
      </c>
      <c r="K781" s="61">
        <v>32.1</v>
      </c>
      <c r="L781" s="61">
        <v>36.299999999999997</v>
      </c>
      <c r="M781" s="61">
        <v>28.9</v>
      </c>
      <c r="N781" s="61">
        <v>53</v>
      </c>
      <c r="O781" s="85">
        <v>23.3</v>
      </c>
      <c r="P781" s="105"/>
      <c r="Q781" s="87">
        <f t="shared" si="70"/>
        <v>-1.3240621245982742E-2</v>
      </c>
      <c r="R781" s="87">
        <f t="shared" si="75"/>
        <v>-1.2681329364399852E-2</v>
      </c>
      <c r="S781" s="87">
        <f t="shared" si="75"/>
        <v>-2.5748324492568162E-3</v>
      </c>
      <c r="T781" s="87">
        <f t="shared" si="75"/>
        <v>-2.0339684237122787E-2</v>
      </c>
      <c r="U781" s="87">
        <f t="shared" si="75"/>
        <v>3.683245416296368E-3</v>
      </c>
      <c r="V781" s="87">
        <f t="shared" si="75"/>
        <v>-3.9138993211363287E-3</v>
      </c>
      <c r="W781" s="87">
        <f t="shared" si="75"/>
        <v>-2.006018726865743E-3</v>
      </c>
      <c r="X781" s="87">
        <f t="shared" si="74"/>
        <v>-3.007745523727795E-2</v>
      </c>
      <c r="Y781" s="87">
        <f t="shared" si="74"/>
        <v>-2.6007817000573675E-3</v>
      </c>
      <c r="Z781" s="87">
        <f t="shared" si="74"/>
        <v>-1.2384059199721555E-2</v>
      </c>
      <c r="AA781" s="87">
        <f t="shared" si="74"/>
        <v>8.2988028146950641E-3</v>
      </c>
      <c r="AB781" s="87">
        <f t="shared" si="74"/>
        <v>-4.0683576636443612E-2</v>
      </c>
      <c r="AC781" s="87">
        <f t="shared" si="74"/>
        <v>-1.6838564362829593E-2</v>
      </c>
      <c r="AD781" s="87">
        <f t="shared" si="73"/>
        <v>-4.2826617920007359E-3</v>
      </c>
      <c r="AE781" s="90">
        <f t="shared" si="71"/>
        <v>-4.0223953739276881E-3</v>
      </c>
    </row>
    <row r="782" spans="1:31" ht="15.5" x14ac:dyDescent="0.35">
      <c r="A782" s="82">
        <v>40897</v>
      </c>
      <c r="B782" s="83">
        <v>7361</v>
      </c>
      <c r="C782" s="84">
        <v>2603.6999999999998</v>
      </c>
      <c r="D782" s="61">
        <v>314.3</v>
      </c>
      <c r="E782" s="61">
        <v>14.7</v>
      </c>
      <c r="F782" s="61">
        <v>55.3</v>
      </c>
      <c r="G782" s="61">
        <v>25.8</v>
      </c>
      <c r="H782" s="61">
        <v>50.8</v>
      </c>
      <c r="I782" s="61">
        <v>13.4</v>
      </c>
      <c r="J782" s="61">
        <v>39.1</v>
      </c>
      <c r="K782" s="61">
        <v>32.700000000000003</v>
      </c>
      <c r="L782" s="61">
        <v>36.5</v>
      </c>
      <c r="M782" s="61">
        <v>29.7</v>
      </c>
      <c r="N782" s="61">
        <v>54</v>
      </c>
      <c r="O782" s="85">
        <v>23.2</v>
      </c>
      <c r="P782" s="105"/>
      <c r="Q782" s="87">
        <f t="shared" ref="Q782:Q845" si="76">+LN(B782/B781)</f>
        <v>3.0132937953777889E-2</v>
      </c>
      <c r="R782" s="87">
        <f t="shared" si="75"/>
        <v>3.1445206107974487E-2</v>
      </c>
      <c r="S782" s="87">
        <f t="shared" si="75"/>
        <v>1.2808372349187309E-2</v>
      </c>
      <c r="T782" s="87">
        <f t="shared" si="75"/>
        <v>6.8259650703998906E-3</v>
      </c>
      <c r="U782" s="87">
        <f t="shared" si="75"/>
        <v>1.6408754666392224E-2</v>
      </c>
      <c r="V782" s="87">
        <f t="shared" si="75"/>
        <v>1.1696039763191236E-2</v>
      </c>
      <c r="W782" s="87">
        <f t="shared" si="75"/>
        <v>1.9881370553828995E-2</v>
      </c>
      <c r="X782" s="87">
        <f t="shared" si="74"/>
        <v>2.2642476749759971E-2</v>
      </c>
      <c r="Y782" s="87">
        <f t="shared" si="74"/>
        <v>1.8065007397638985E-2</v>
      </c>
      <c r="Z782" s="87">
        <f t="shared" si="74"/>
        <v>1.8519047767237531E-2</v>
      </c>
      <c r="AA782" s="87">
        <f t="shared" si="74"/>
        <v>5.4945193176407798E-3</v>
      </c>
      <c r="AB782" s="87">
        <f t="shared" si="74"/>
        <v>2.7305450690267439E-2</v>
      </c>
      <c r="AC782" s="87">
        <f t="shared" si="74"/>
        <v>1.8692133012152546E-2</v>
      </c>
      <c r="AD782" s="87">
        <f t="shared" si="73"/>
        <v>-4.3010818993906973E-3</v>
      </c>
      <c r="AE782" s="90">
        <f t="shared" si="71"/>
        <v>1.7344600607122295E-2</v>
      </c>
    </row>
    <row r="783" spans="1:31" ht="15.5" x14ac:dyDescent="0.35">
      <c r="A783" s="82">
        <v>40898</v>
      </c>
      <c r="B783" s="83">
        <v>7388.5</v>
      </c>
      <c r="C783" s="84">
        <v>2578</v>
      </c>
      <c r="D783" s="61">
        <v>309.8</v>
      </c>
      <c r="E783" s="61">
        <v>14.7</v>
      </c>
      <c r="F783" s="61">
        <v>56</v>
      </c>
      <c r="G783" s="61">
        <v>25.4</v>
      </c>
      <c r="H783" s="61">
        <v>51.5</v>
      </c>
      <c r="I783" s="61">
        <v>13.5</v>
      </c>
      <c r="J783" s="61">
        <v>39.700000000000003</v>
      </c>
      <c r="K783" s="61">
        <v>33.200000000000003</v>
      </c>
      <c r="L783" s="61">
        <v>37</v>
      </c>
      <c r="M783" s="61">
        <v>29.9</v>
      </c>
      <c r="N783" s="61">
        <v>54.1</v>
      </c>
      <c r="O783" s="85">
        <v>23.6</v>
      </c>
      <c r="P783" s="105"/>
      <c r="Q783" s="87">
        <f t="shared" si="76"/>
        <v>3.7289442849826422E-3</v>
      </c>
      <c r="R783" s="87">
        <f t="shared" si="75"/>
        <v>-9.9196058191760323E-3</v>
      </c>
      <c r="S783" s="87">
        <f t="shared" si="75"/>
        <v>-1.442101582075361E-2</v>
      </c>
      <c r="T783" s="87">
        <f t="shared" si="75"/>
        <v>0</v>
      </c>
      <c r="U783" s="87">
        <f t="shared" si="75"/>
        <v>1.2578782206860185E-2</v>
      </c>
      <c r="V783" s="87">
        <f t="shared" si="75"/>
        <v>-1.562531790308087E-2</v>
      </c>
      <c r="W783" s="87">
        <f t="shared" si="75"/>
        <v>1.3685453085254229E-2</v>
      </c>
      <c r="X783" s="87">
        <f t="shared" si="74"/>
        <v>7.4349784875179905E-3</v>
      </c>
      <c r="Y783" s="87">
        <f t="shared" si="74"/>
        <v>1.5228720701824683E-2</v>
      </c>
      <c r="Z783" s="87">
        <f t="shared" si="74"/>
        <v>1.5174798019235132E-2</v>
      </c>
      <c r="AA783" s="87">
        <f t="shared" si="74"/>
        <v>1.3605652055778678E-2</v>
      </c>
      <c r="AB783" s="87">
        <f t="shared" si="74"/>
        <v>6.7114345879867778E-3</v>
      </c>
      <c r="AC783" s="87">
        <f t="shared" si="74"/>
        <v>1.8501392881613734E-3</v>
      </c>
      <c r="AD783" s="87">
        <f t="shared" si="73"/>
        <v>1.7094433359300255E-2</v>
      </c>
      <c r="AE783" s="90">
        <f t="shared" ref="AE783:AE846" si="77">+SUMPRODUCT(Q783:AD783,$Q$8:$AD$8)</f>
        <v>-1.520784103871603E-3</v>
      </c>
    </row>
    <row r="784" spans="1:31" ht="15.5" x14ac:dyDescent="0.35">
      <c r="A784" s="82">
        <v>40899</v>
      </c>
      <c r="B784" s="83">
        <v>7460.8</v>
      </c>
      <c r="C784" s="84">
        <v>2599.4</v>
      </c>
      <c r="D784" s="61">
        <v>313.8</v>
      </c>
      <c r="E784" s="61">
        <v>16</v>
      </c>
      <c r="F784" s="61">
        <v>56.6</v>
      </c>
      <c r="G784" s="61">
        <v>25.5</v>
      </c>
      <c r="H784" s="61">
        <v>52</v>
      </c>
      <c r="I784" s="61">
        <v>13.9</v>
      </c>
      <c r="J784" s="61">
        <v>40.799999999999997</v>
      </c>
      <c r="K784" s="61">
        <v>34.6</v>
      </c>
      <c r="L784" s="61">
        <v>37.200000000000003</v>
      </c>
      <c r="M784" s="61">
        <v>30.4</v>
      </c>
      <c r="N784" s="61">
        <v>54.8</v>
      </c>
      <c r="O784" s="85">
        <v>23.6</v>
      </c>
      <c r="P784" s="105"/>
      <c r="Q784" s="87">
        <f t="shared" si="76"/>
        <v>9.7379097103678126E-3</v>
      </c>
      <c r="R784" s="87">
        <f t="shared" si="75"/>
        <v>8.2667446483554105E-3</v>
      </c>
      <c r="S784" s="87">
        <f t="shared" si="75"/>
        <v>1.2828912316163992E-2</v>
      </c>
      <c r="T784" s="87">
        <f t="shared" si="75"/>
        <v>8.4741228455090717E-2</v>
      </c>
      <c r="U784" s="87">
        <f t="shared" si="75"/>
        <v>1.0657294473987979E-2</v>
      </c>
      <c r="V784" s="87">
        <f t="shared" si="75"/>
        <v>3.929278139889557E-3</v>
      </c>
      <c r="W784" s="87">
        <f t="shared" si="75"/>
        <v>9.6619109117368901E-3</v>
      </c>
      <c r="X784" s="87">
        <f t="shared" si="74"/>
        <v>2.919915469226235E-2</v>
      </c>
      <c r="Y784" s="87">
        <f t="shared" si="74"/>
        <v>2.733089371697105E-2</v>
      </c>
      <c r="Z784" s="87">
        <f t="shared" si="74"/>
        <v>4.1303806141235577E-2</v>
      </c>
      <c r="AA784" s="87">
        <f t="shared" si="74"/>
        <v>5.3908486348765933E-3</v>
      </c>
      <c r="AB784" s="87">
        <f t="shared" si="74"/>
        <v>1.6584128015535261E-2</v>
      </c>
      <c r="AC784" s="87">
        <f t="shared" si="74"/>
        <v>1.2856008101533955E-2</v>
      </c>
      <c r="AD784" s="87">
        <f t="shared" si="73"/>
        <v>0</v>
      </c>
      <c r="AE784" s="90">
        <f t="shared" si="77"/>
        <v>9.2811275108939471E-3</v>
      </c>
    </row>
    <row r="785" spans="1:31" ht="15.5" x14ac:dyDescent="0.35">
      <c r="A785" s="82">
        <v>40900</v>
      </c>
      <c r="B785" s="83">
        <v>7518.7</v>
      </c>
      <c r="C785" s="84">
        <v>2618.6</v>
      </c>
      <c r="D785" s="61">
        <v>315.60000000000002</v>
      </c>
      <c r="E785" s="61">
        <v>15.9</v>
      </c>
      <c r="F785" s="61">
        <v>57.1</v>
      </c>
      <c r="G785" s="61">
        <v>25.7</v>
      </c>
      <c r="H785" s="61">
        <v>52.6</v>
      </c>
      <c r="I785" s="61">
        <v>13.9</v>
      </c>
      <c r="J785" s="61">
        <v>42.4</v>
      </c>
      <c r="K785" s="61">
        <v>35</v>
      </c>
      <c r="L785" s="61">
        <v>37.6</v>
      </c>
      <c r="M785" s="61">
        <v>30.8</v>
      </c>
      <c r="N785" s="61">
        <v>55.1</v>
      </c>
      <c r="O785" s="85">
        <v>23.7</v>
      </c>
      <c r="P785" s="105"/>
      <c r="Q785" s="87">
        <f t="shared" si="76"/>
        <v>7.7306036052581699E-3</v>
      </c>
      <c r="R785" s="87">
        <f t="shared" si="75"/>
        <v>7.3591746461648443E-3</v>
      </c>
      <c r="S785" s="87">
        <f t="shared" si="75"/>
        <v>5.7197486727869088E-3</v>
      </c>
      <c r="T785" s="87">
        <f t="shared" si="75"/>
        <v>-6.2696130135953742E-3</v>
      </c>
      <c r="U785" s="87">
        <f t="shared" si="75"/>
        <v>8.7951314528273445E-3</v>
      </c>
      <c r="V785" s="87">
        <f t="shared" si="75"/>
        <v>7.8125397367936247E-3</v>
      </c>
      <c r="W785" s="87">
        <f t="shared" si="75"/>
        <v>1.1472401162236781E-2</v>
      </c>
      <c r="X785" s="87">
        <f t="shared" si="74"/>
        <v>0</v>
      </c>
      <c r="Y785" s="87">
        <f t="shared" si="74"/>
        <v>3.8466280827796143E-2</v>
      </c>
      <c r="Z785" s="87">
        <f t="shared" si="74"/>
        <v>1.1494379425734991E-2</v>
      </c>
      <c r="AA785" s="87">
        <f t="shared" si="74"/>
        <v>1.069528911674795E-2</v>
      </c>
      <c r="AB785" s="87">
        <f t="shared" si="74"/>
        <v>1.3072081567352921E-2</v>
      </c>
      <c r="AC785" s="87">
        <f t="shared" si="74"/>
        <v>5.4595222048989742E-3</v>
      </c>
      <c r="AD785" s="87">
        <f t="shared" si="73"/>
        <v>4.2283361095211049E-3</v>
      </c>
      <c r="AE785" s="90">
        <f t="shared" si="77"/>
        <v>6.9092572102096928E-3</v>
      </c>
    </row>
    <row r="786" spans="1:31" ht="15.5" x14ac:dyDescent="0.35">
      <c r="A786" s="82">
        <v>40904</v>
      </c>
      <c r="B786" s="83">
        <v>7508.4</v>
      </c>
      <c r="C786" s="84">
        <v>2625.2</v>
      </c>
      <c r="D786" s="61">
        <v>316.3</v>
      </c>
      <c r="E786" s="61">
        <v>16</v>
      </c>
      <c r="F786" s="61">
        <v>57.6</v>
      </c>
      <c r="G786" s="61">
        <v>25.9</v>
      </c>
      <c r="H786" s="61">
        <v>53.3</v>
      </c>
      <c r="I786" s="61">
        <v>14.1</v>
      </c>
      <c r="J786" s="61">
        <v>41.9</v>
      </c>
      <c r="K786" s="61">
        <v>35</v>
      </c>
      <c r="L786" s="61">
        <v>37.700000000000003</v>
      </c>
      <c r="M786" s="61">
        <v>31.2</v>
      </c>
      <c r="N786" s="61">
        <v>55.7</v>
      </c>
      <c r="O786" s="85">
        <v>24.1</v>
      </c>
      <c r="P786" s="105"/>
      <c r="Q786" s="87">
        <f t="shared" si="76"/>
        <v>-1.3708568669964891E-3</v>
      </c>
      <c r="R786" s="87">
        <f t="shared" si="75"/>
        <v>2.5172598059146761E-3</v>
      </c>
      <c r="S786" s="87">
        <f t="shared" si="75"/>
        <v>2.2155413398839518E-3</v>
      </c>
      <c r="T786" s="87">
        <f t="shared" si="75"/>
        <v>6.269613013595395E-3</v>
      </c>
      <c r="U786" s="87">
        <f t="shared" si="75"/>
        <v>8.7184510398810294E-3</v>
      </c>
      <c r="V786" s="87">
        <f t="shared" si="75"/>
        <v>7.7519768043179237E-3</v>
      </c>
      <c r="W786" s="87">
        <f t="shared" si="75"/>
        <v>1.3220211428134518E-2</v>
      </c>
      <c r="X786" s="87">
        <f t="shared" si="74"/>
        <v>1.4285957247476434E-2</v>
      </c>
      <c r="Y786" s="87">
        <f t="shared" si="74"/>
        <v>-1.1862535309820057E-2</v>
      </c>
      <c r="Z786" s="87">
        <f t="shared" si="74"/>
        <v>0</v>
      </c>
      <c r="AA786" s="87">
        <f t="shared" si="74"/>
        <v>2.6560440581162104E-3</v>
      </c>
      <c r="AB786" s="87">
        <f t="shared" si="74"/>
        <v>1.2903404835907782E-2</v>
      </c>
      <c r="AC786" s="87">
        <f t="shared" si="74"/>
        <v>1.0830430774369591E-2</v>
      </c>
      <c r="AD786" s="87">
        <f t="shared" si="73"/>
        <v>1.6736792355523826E-2</v>
      </c>
      <c r="AE786" s="90">
        <f t="shared" si="77"/>
        <v>5.9304486150231379E-3</v>
      </c>
    </row>
    <row r="787" spans="1:31" ht="15.5" x14ac:dyDescent="0.35">
      <c r="A787" s="82">
        <v>40905</v>
      </c>
      <c r="B787" s="83">
        <v>7397</v>
      </c>
      <c r="C787" s="84">
        <v>2590</v>
      </c>
      <c r="D787" s="61">
        <v>319.39999999999998</v>
      </c>
      <c r="E787" s="61">
        <v>15.7</v>
      </c>
      <c r="F787" s="61">
        <v>57.3</v>
      </c>
      <c r="G787" s="61">
        <v>25.8</v>
      </c>
      <c r="H787" s="61">
        <v>53.2</v>
      </c>
      <c r="I787" s="61">
        <v>13.8</v>
      </c>
      <c r="J787" s="61">
        <v>40.799999999999997</v>
      </c>
      <c r="K787" s="61">
        <v>34.9</v>
      </c>
      <c r="L787" s="61">
        <v>37.4</v>
      </c>
      <c r="M787" s="61">
        <v>30.7</v>
      </c>
      <c r="N787" s="61">
        <v>55.9</v>
      </c>
      <c r="O787" s="85">
        <v>24.1</v>
      </c>
      <c r="P787" s="105"/>
      <c r="Q787" s="87">
        <f t="shared" si="76"/>
        <v>-1.4947881204450411E-2</v>
      </c>
      <c r="R787" s="87">
        <f t="shared" si="75"/>
        <v>-1.3499207905984184E-2</v>
      </c>
      <c r="S787" s="87">
        <f t="shared" si="75"/>
        <v>9.7531054693088381E-3</v>
      </c>
      <c r="T787" s="87">
        <f t="shared" si="75"/>
        <v>-1.8928009885518911E-2</v>
      </c>
      <c r="U787" s="87">
        <f t="shared" si="75"/>
        <v>-5.2219439811517126E-3</v>
      </c>
      <c r="V787" s="87">
        <f t="shared" si="75"/>
        <v>-3.8684767779202061E-3</v>
      </c>
      <c r="W787" s="87">
        <f t="shared" si="75"/>
        <v>-1.8779348242000977E-3</v>
      </c>
      <c r="X787" s="87">
        <f t="shared" si="74"/>
        <v>-2.1506205220963505E-2</v>
      </c>
      <c r="Y787" s="87">
        <f t="shared" si="74"/>
        <v>-2.6603745517976021E-2</v>
      </c>
      <c r="Z787" s="87">
        <f t="shared" si="74"/>
        <v>-2.8612322810322348E-3</v>
      </c>
      <c r="AA787" s="87">
        <f t="shared" si="74"/>
        <v>-7.9893900334789755E-3</v>
      </c>
      <c r="AB787" s="87">
        <f t="shared" si="74"/>
        <v>-1.6155440222285256E-2</v>
      </c>
      <c r="AC787" s="87">
        <f t="shared" si="74"/>
        <v>3.5842332278151067E-3</v>
      </c>
      <c r="AD787" s="87">
        <f t="shared" si="73"/>
        <v>0</v>
      </c>
      <c r="AE787" s="90">
        <f t="shared" si="77"/>
        <v>-2.6841630310051609E-3</v>
      </c>
    </row>
    <row r="788" spans="1:31" ht="15.5" x14ac:dyDescent="0.35">
      <c r="A788" s="82">
        <v>40906</v>
      </c>
      <c r="B788" s="83">
        <v>7485.6</v>
      </c>
      <c r="C788" s="84">
        <v>2613.6999999999998</v>
      </c>
      <c r="D788" s="61">
        <v>317.89999999999998</v>
      </c>
      <c r="E788" s="61">
        <v>15.8</v>
      </c>
      <c r="F788" s="61">
        <v>57.2</v>
      </c>
      <c r="G788" s="61">
        <v>25.9</v>
      </c>
      <c r="H788" s="61">
        <v>53.2</v>
      </c>
      <c r="I788" s="61">
        <v>13.9</v>
      </c>
      <c r="J788" s="61">
        <v>40.1</v>
      </c>
      <c r="K788" s="61">
        <v>35.4</v>
      </c>
      <c r="L788" s="61">
        <v>37.5</v>
      </c>
      <c r="M788" s="61">
        <v>30.9</v>
      </c>
      <c r="N788" s="61">
        <v>56.2</v>
      </c>
      <c r="O788" s="85">
        <v>24.1</v>
      </c>
      <c r="P788" s="105"/>
      <c r="Q788" s="87">
        <f t="shared" si="76"/>
        <v>1.1906662373835522E-2</v>
      </c>
      <c r="R788" s="87">
        <f t="shared" si="75"/>
        <v>9.1089662632258626E-3</v>
      </c>
      <c r="S788" s="87">
        <f t="shared" si="75"/>
        <v>-4.70736786415507E-3</v>
      </c>
      <c r="T788" s="87">
        <f t="shared" si="75"/>
        <v>6.3492276786587445E-3</v>
      </c>
      <c r="U788" s="87">
        <f t="shared" si="75"/>
        <v>-1.7467253349415374E-3</v>
      </c>
      <c r="V788" s="87">
        <f t="shared" si="75"/>
        <v>3.8684767779203319E-3</v>
      </c>
      <c r="W788" s="87">
        <f t="shared" si="75"/>
        <v>0</v>
      </c>
      <c r="X788" s="87">
        <f t="shared" si="74"/>
        <v>7.2202479734870973E-3</v>
      </c>
      <c r="Y788" s="87">
        <f t="shared" si="74"/>
        <v>-1.7305747097592451E-2</v>
      </c>
      <c r="Z788" s="87">
        <f t="shared" si="74"/>
        <v>1.422499093134726E-2</v>
      </c>
      <c r="AA788" s="87">
        <f t="shared" si="74"/>
        <v>2.6702285558788921E-3</v>
      </c>
      <c r="AB788" s="87">
        <f t="shared" si="74"/>
        <v>6.4935293105483115E-3</v>
      </c>
      <c r="AC788" s="87">
        <f t="shared" si="74"/>
        <v>5.3523767385920606E-3</v>
      </c>
      <c r="AD788" s="87">
        <f t="shared" si="73"/>
        <v>0</v>
      </c>
      <c r="AE788" s="90">
        <f t="shared" si="77"/>
        <v>8.5279284531892966E-4</v>
      </c>
    </row>
    <row r="789" spans="1:31" ht="15.5" x14ac:dyDescent="0.35">
      <c r="A789" s="82">
        <v>40907</v>
      </c>
      <c r="B789" s="83">
        <v>7477</v>
      </c>
      <c r="C789" s="84">
        <v>2605.1</v>
      </c>
      <c r="D789" s="61">
        <v>321.3</v>
      </c>
      <c r="E789" s="61">
        <v>16</v>
      </c>
      <c r="F789" s="61">
        <v>57.6</v>
      </c>
      <c r="G789" s="61">
        <v>25.9</v>
      </c>
      <c r="H789" s="61">
        <v>53.8</v>
      </c>
      <c r="I789" s="61">
        <v>13.9</v>
      </c>
      <c r="J789" s="61">
        <v>41</v>
      </c>
      <c r="K789" s="61">
        <v>35.200000000000003</v>
      </c>
      <c r="L789" s="61">
        <v>37.5</v>
      </c>
      <c r="M789" s="61">
        <v>31.1</v>
      </c>
      <c r="N789" s="61">
        <v>55.9</v>
      </c>
      <c r="O789" s="85">
        <v>24.1</v>
      </c>
      <c r="P789" s="105"/>
      <c r="Q789" s="87">
        <f t="shared" si="76"/>
        <v>-1.1495329617877414E-3</v>
      </c>
      <c r="R789" s="87">
        <f t="shared" si="75"/>
        <v>-3.2957797902006362E-3</v>
      </c>
      <c r="S789" s="87">
        <f t="shared" si="75"/>
        <v>1.0638398205055797E-2</v>
      </c>
      <c r="T789" s="87">
        <f t="shared" si="75"/>
        <v>1.2578782206859965E-2</v>
      </c>
      <c r="U789" s="87">
        <f t="shared" si="75"/>
        <v>6.9686693160932152E-3</v>
      </c>
      <c r="V789" s="87">
        <f t="shared" si="75"/>
        <v>0</v>
      </c>
      <c r="W789" s="87">
        <f t="shared" si="75"/>
        <v>1.1215070820140003E-2</v>
      </c>
      <c r="X789" s="87">
        <f t="shared" si="74"/>
        <v>0</v>
      </c>
      <c r="Y789" s="87">
        <f t="shared" si="74"/>
        <v>2.2195732391784347E-2</v>
      </c>
      <c r="Z789" s="87">
        <f t="shared" si="74"/>
        <v>-5.6657375356771959E-3</v>
      </c>
      <c r="AA789" s="87">
        <f t="shared" si="74"/>
        <v>0</v>
      </c>
      <c r="AB789" s="87">
        <f t="shared" si="74"/>
        <v>6.4516352814888165E-3</v>
      </c>
      <c r="AC789" s="87">
        <f t="shared" si="74"/>
        <v>-5.3523767385919539E-3</v>
      </c>
      <c r="AD789" s="87">
        <f t="shared" si="73"/>
        <v>0</v>
      </c>
      <c r="AE789" s="90">
        <f t="shared" si="77"/>
        <v>4.1192522366263699E-3</v>
      </c>
    </row>
    <row r="790" spans="1:31" ht="15.5" x14ac:dyDescent="0.35">
      <c r="A790" s="82">
        <v>40911</v>
      </c>
      <c r="B790" s="83">
        <v>7624.3</v>
      </c>
      <c r="C790" s="84">
        <v>2648.7</v>
      </c>
      <c r="D790" s="61">
        <v>326.5</v>
      </c>
      <c r="E790" s="61">
        <v>16.2</v>
      </c>
      <c r="F790" s="61">
        <v>58.4</v>
      </c>
      <c r="G790" s="61">
        <v>26.4</v>
      </c>
      <c r="H790" s="61">
        <v>52.9</v>
      </c>
      <c r="I790" s="61">
        <v>14.5</v>
      </c>
      <c r="J790" s="61">
        <v>42.7</v>
      </c>
      <c r="K790" s="61">
        <v>34.9</v>
      </c>
      <c r="L790" s="61">
        <v>37.799999999999997</v>
      </c>
      <c r="M790" s="61">
        <v>32</v>
      </c>
      <c r="N790" s="61">
        <v>55.3</v>
      </c>
      <c r="O790" s="85">
        <v>24.2</v>
      </c>
      <c r="P790" s="105"/>
      <c r="Q790" s="87">
        <f t="shared" si="76"/>
        <v>1.9508872982829488E-2</v>
      </c>
      <c r="R790" s="87">
        <f t="shared" si="75"/>
        <v>1.6597891409037831E-2</v>
      </c>
      <c r="S790" s="87">
        <f t="shared" si="75"/>
        <v>1.6054682594672846E-2</v>
      </c>
      <c r="T790" s="87">
        <f t="shared" si="75"/>
        <v>1.242251999855711E-2</v>
      </c>
      <c r="U790" s="87">
        <f t="shared" si="75"/>
        <v>1.3793322132335769E-2</v>
      </c>
      <c r="V790" s="87">
        <f t="shared" si="75"/>
        <v>1.9121041446778377E-2</v>
      </c>
      <c r="W790" s="87">
        <f t="shared" si="75"/>
        <v>-1.6870128303485034E-2</v>
      </c>
      <c r="X790" s="87">
        <f t="shared" si="74"/>
        <v>4.2259809289882599E-2</v>
      </c>
      <c r="Y790" s="87">
        <f t="shared" si="74"/>
        <v>4.0626853530271102E-2</v>
      </c>
      <c r="Z790" s="87">
        <f t="shared" si="74"/>
        <v>-8.5592533956700603E-3</v>
      </c>
      <c r="AA790" s="87">
        <f t="shared" si="74"/>
        <v>7.9681696491768813E-3</v>
      </c>
      <c r="AB790" s="87">
        <f t="shared" si="74"/>
        <v>2.8528083614538031E-2</v>
      </c>
      <c r="AC790" s="87">
        <f t="shared" si="74"/>
        <v>-1.0791471632764432E-2</v>
      </c>
      <c r="AD790" s="87">
        <f t="shared" si="73"/>
        <v>4.1407926660313871E-3</v>
      </c>
      <c r="AE790" s="90">
        <f t="shared" si="77"/>
        <v>1.4122785201024083E-2</v>
      </c>
    </row>
    <row r="791" spans="1:31" ht="15.5" x14ac:dyDescent="0.35">
      <c r="A791" s="82">
        <v>40912</v>
      </c>
      <c r="B791" s="83">
        <v>7612.1</v>
      </c>
      <c r="C791" s="84">
        <v>2648.4</v>
      </c>
      <c r="D791" s="61">
        <v>330.6</v>
      </c>
      <c r="E791" s="61">
        <v>15.7</v>
      </c>
      <c r="F791" s="61">
        <v>58.5</v>
      </c>
      <c r="G791" s="61">
        <v>26.8</v>
      </c>
      <c r="H791" s="61">
        <v>52.4</v>
      </c>
      <c r="I791" s="61">
        <v>14.3</v>
      </c>
      <c r="J791" s="61">
        <v>42.4</v>
      </c>
      <c r="K791" s="61">
        <v>34.200000000000003</v>
      </c>
      <c r="L791" s="61">
        <v>37.9</v>
      </c>
      <c r="M791" s="61">
        <v>31.4</v>
      </c>
      <c r="N791" s="61">
        <v>55.1</v>
      </c>
      <c r="O791" s="85">
        <v>24.1</v>
      </c>
      <c r="P791" s="105"/>
      <c r="Q791" s="87">
        <f t="shared" si="76"/>
        <v>-1.6014285011309607E-3</v>
      </c>
      <c r="R791" s="87">
        <f t="shared" si="75"/>
        <v>-1.1326952495531628E-4</v>
      </c>
      <c r="S791" s="87">
        <f t="shared" si="75"/>
        <v>1.2479236670438135E-2</v>
      </c>
      <c r="T791" s="87">
        <f t="shared" si="75"/>
        <v>-3.1350529884076044E-2</v>
      </c>
      <c r="U791" s="87">
        <f t="shared" si="75"/>
        <v>1.7108644036293876E-3</v>
      </c>
      <c r="V791" s="87">
        <f t="shared" si="75"/>
        <v>1.5037877364540502E-2</v>
      </c>
      <c r="W791" s="87">
        <f t="shared" si="75"/>
        <v>-9.4967475372571969E-3</v>
      </c>
      <c r="X791" s="87">
        <f t="shared" si="74"/>
        <v>-1.3889112160667037E-2</v>
      </c>
      <c r="Y791" s="87">
        <f t="shared" si="74"/>
        <v>-7.0505579966669112E-3</v>
      </c>
      <c r="Z791" s="87">
        <f t="shared" si="74"/>
        <v>-2.0261185139821856E-2</v>
      </c>
      <c r="AA791" s="87">
        <f t="shared" si="74"/>
        <v>2.6420094628387975E-3</v>
      </c>
      <c r="AB791" s="87">
        <f t="shared" si="74"/>
        <v>-1.8928009885518911E-2</v>
      </c>
      <c r="AC791" s="87">
        <f t="shared" si="74"/>
        <v>-3.6231923694202838E-3</v>
      </c>
      <c r="AD791" s="87">
        <f t="shared" si="73"/>
        <v>-4.1407926660312769E-3</v>
      </c>
      <c r="AE791" s="90">
        <f t="shared" si="77"/>
        <v>3.605419584321313E-3</v>
      </c>
    </row>
    <row r="792" spans="1:31" ht="15.5" x14ac:dyDescent="0.35">
      <c r="A792" s="82">
        <v>40913</v>
      </c>
      <c r="B792" s="83">
        <v>7600</v>
      </c>
      <c r="C792" s="84">
        <v>2669.9</v>
      </c>
      <c r="D792" s="61">
        <v>328.4</v>
      </c>
      <c r="E792" s="61">
        <v>15.4</v>
      </c>
      <c r="F792" s="61">
        <v>59</v>
      </c>
      <c r="G792" s="61">
        <v>27.3</v>
      </c>
      <c r="H792" s="61">
        <v>53</v>
      </c>
      <c r="I792" s="61">
        <v>14.5</v>
      </c>
      <c r="J792" s="61">
        <v>42.7</v>
      </c>
      <c r="K792" s="61">
        <v>32.5</v>
      </c>
      <c r="L792" s="61">
        <v>38</v>
      </c>
      <c r="M792" s="61">
        <v>31.6</v>
      </c>
      <c r="N792" s="61">
        <v>54.9</v>
      </c>
      <c r="O792" s="85">
        <v>24.3</v>
      </c>
      <c r="P792" s="105"/>
      <c r="Q792" s="87">
        <f t="shared" si="76"/>
        <v>-1.5908392071915321E-3</v>
      </c>
      <c r="R792" s="87">
        <f t="shared" si="75"/>
        <v>8.0853344586955846E-3</v>
      </c>
      <c r="S792" s="87">
        <f t="shared" si="75"/>
        <v>-6.6768078086507573E-3</v>
      </c>
      <c r="T792" s="87">
        <f t="shared" si="75"/>
        <v>-1.9293202934678781E-2</v>
      </c>
      <c r="U792" s="87">
        <f t="shared" si="75"/>
        <v>8.5106896679086105E-3</v>
      </c>
      <c r="V792" s="87">
        <f t="shared" si="75"/>
        <v>1.8484814674103161E-2</v>
      </c>
      <c r="W792" s="87">
        <f t="shared" si="75"/>
        <v>1.1385322225125429E-2</v>
      </c>
      <c r="X792" s="87">
        <f t="shared" si="74"/>
        <v>1.3889112160667093E-2</v>
      </c>
      <c r="Y792" s="87">
        <f t="shared" si="74"/>
        <v>7.0505579966669832E-3</v>
      </c>
      <c r="Z792" s="87">
        <f t="shared" si="74"/>
        <v>-5.0985554732867755E-2</v>
      </c>
      <c r="AA792" s="87">
        <f t="shared" si="74"/>
        <v>2.6350476380052534E-3</v>
      </c>
      <c r="AB792" s="87">
        <f t="shared" si="74"/>
        <v>6.3492276786587445E-3</v>
      </c>
      <c r="AC792" s="87">
        <f t="shared" si="74"/>
        <v>-3.6363676433838745E-3</v>
      </c>
      <c r="AD792" s="87">
        <f t="shared" si="73"/>
        <v>8.2645098498934314E-3</v>
      </c>
      <c r="AE792" s="90">
        <f t="shared" si="77"/>
        <v>3.906909882369307E-3</v>
      </c>
    </row>
    <row r="793" spans="1:31" ht="15.5" x14ac:dyDescent="0.35">
      <c r="A793" s="82">
        <v>40914</v>
      </c>
      <c r="B793" s="83">
        <v>7557.7</v>
      </c>
      <c r="C793" s="84">
        <v>2674.2</v>
      </c>
      <c r="D793" s="61">
        <v>325.2</v>
      </c>
      <c r="E793" s="61">
        <v>15.4</v>
      </c>
      <c r="F793" s="61">
        <v>59.9</v>
      </c>
      <c r="G793" s="61">
        <v>27.5</v>
      </c>
      <c r="H793" s="61">
        <v>55</v>
      </c>
      <c r="I793" s="61">
        <v>14.8</v>
      </c>
      <c r="J793" s="61">
        <v>41.7</v>
      </c>
      <c r="K793" s="61">
        <v>33.700000000000003</v>
      </c>
      <c r="L793" s="61">
        <v>38.4</v>
      </c>
      <c r="M793" s="61">
        <v>32.700000000000003</v>
      </c>
      <c r="N793" s="61">
        <v>55.1</v>
      </c>
      <c r="O793" s="85">
        <v>24.4</v>
      </c>
      <c r="P793" s="105"/>
      <c r="Q793" s="87">
        <f t="shared" si="76"/>
        <v>-5.5813361932646856E-3</v>
      </c>
      <c r="R793" s="87">
        <f t="shared" si="75"/>
        <v>1.6092516711784619E-3</v>
      </c>
      <c r="S793" s="87">
        <f t="shared" si="75"/>
        <v>-9.7919999046176508E-3</v>
      </c>
      <c r="T793" s="87">
        <f t="shared" si="75"/>
        <v>0</v>
      </c>
      <c r="U793" s="87">
        <f t="shared" ref="U793:Z840" si="78">+LN(F793/F792)</f>
        <v>1.5139061215684087E-2</v>
      </c>
      <c r="V793" s="87">
        <f t="shared" si="78"/>
        <v>7.2993024816115351E-3</v>
      </c>
      <c r="W793" s="87">
        <f t="shared" si="78"/>
        <v>3.7041271680349076E-2</v>
      </c>
      <c r="X793" s="87">
        <f t="shared" si="74"/>
        <v>2.0478531343540701E-2</v>
      </c>
      <c r="Y793" s="87">
        <f t="shared" si="74"/>
        <v>-2.3697791429823131E-2</v>
      </c>
      <c r="Z793" s="87">
        <f t="shared" si="74"/>
        <v>3.6257748022624367E-2</v>
      </c>
      <c r="AA793" s="87">
        <f t="shared" si="74"/>
        <v>1.0471299867295437E-2</v>
      </c>
      <c r="AB793" s="87">
        <f t="shared" si="74"/>
        <v>3.4217957310341246E-2</v>
      </c>
      <c r="AC793" s="87">
        <f t="shared" si="74"/>
        <v>3.6363676433839335E-3</v>
      </c>
      <c r="AD793" s="87">
        <f t="shared" si="73"/>
        <v>4.1067819526532812E-3</v>
      </c>
      <c r="AE793" s="90">
        <f t="shared" si="77"/>
        <v>2.4436415372784065E-3</v>
      </c>
    </row>
    <row r="794" spans="1:31" ht="15.5" x14ac:dyDescent="0.35">
      <c r="A794" s="82">
        <v>40917</v>
      </c>
      <c r="B794" s="83">
        <v>7584.7</v>
      </c>
      <c r="C794" s="84">
        <v>2676.6</v>
      </c>
      <c r="D794" s="61">
        <v>310.89999999999998</v>
      </c>
      <c r="E794" s="61">
        <v>15.4</v>
      </c>
      <c r="F794" s="61">
        <v>60.2</v>
      </c>
      <c r="G794" s="61">
        <v>27.7</v>
      </c>
      <c r="H794" s="61">
        <v>55.7</v>
      </c>
      <c r="I794" s="61">
        <v>15.2</v>
      </c>
      <c r="J794" s="61">
        <v>41.2</v>
      </c>
      <c r="K794" s="61">
        <v>34.299999999999997</v>
      </c>
      <c r="L794" s="61">
        <v>37.9</v>
      </c>
      <c r="M794" s="61">
        <v>32.799999999999997</v>
      </c>
      <c r="N794" s="61">
        <v>55.3</v>
      </c>
      <c r="O794" s="85">
        <v>24.4</v>
      </c>
      <c r="P794" s="105"/>
      <c r="Q794" s="87">
        <f t="shared" si="76"/>
        <v>3.5661491724150582E-3</v>
      </c>
      <c r="R794" s="87">
        <f t="shared" ref="R794:W850" si="79">+LN(C794/C793)</f>
        <v>8.9706218170900734E-4</v>
      </c>
      <c r="S794" s="87">
        <f t="shared" si="79"/>
        <v>-4.4969060608947412E-2</v>
      </c>
      <c r="T794" s="87">
        <f t="shared" si="79"/>
        <v>0</v>
      </c>
      <c r="U794" s="87">
        <f t="shared" si="78"/>
        <v>4.9958471933716697E-3</v>
      </c>
      <c r="V794" s="87">
        <f t="shared" si="78"/>
        <v>7.2464085207672533E-3</v>
      </c>
      <c r="W794" s="87">
        <f t="shared" si="78"/>
        <v>1.264696170076739E-2</v>
      </c>
      <c r="X794" s="87">
        <f t="shared" si="74"/>
        <v>2.6668247082161273E-2</v>
      </c>
      <c r="Y794" s="87">
        <f t="shared" si="74"/>
        <v>-1.2062872449275095E-2</v>
      </c>
      <c r="Z794" s="87">
        <f t="shared" si="74"/>
        <v>1.7647516813577922E-2</v>
      </c>
      <c r="AA794" s="87">
        <f t="shared" si="74"/>
        <v>-1.3106347505300547E-2</v>
      </c>
      <c r="AB794" s="87">
        <f t="shared" si="74"/>
        <v>3.0534374868902482E-3</v>
      </c>
      <c r="AC794" s="87">
        <f t="shared" si="74"/>
        <v>3.623192369420331E-3</v>
      </c>
      <c r="AD794" s="87">
        <f t="shared" si="73"/>
        <v>0</v>
      </c>
      <c r="AE794" s="90">
        <f t="shared" si="77"/>
        <v>-1.1467936538378305E-2</v>
      </c>
    </row>
    <row r="795" spans="1:31" ht="15.5" x14ac:dyDescent="0.35">
      <c r="A795" s="82">
        <v>40918</v>
      </c>
      <c r="B795" s="83">
        <v>7668.9</v>
      </c>
      <c r="C795" s="84">
        <v>2702.5</v>
      </c>
      <c r="D795" s="61">
        <v>308.8</v>
      </c>
      <c r="E795" s="61">
        <v>15.5</v>
      </c>
      <c r="F795" s="61">
        <v>60.2</v>
      </c>
      <c r="G795" s="61">
        <v>27.8</v>
      </c>
      <c r="H795" s="61">
        <v>56.3</v>
      </c>
      <c r="I795" s="61">
        <v>13.5</v>
      </c>
      <c r="J795" s="61">
        <v>42.6</v>
      </c>
      <c r="K795" s="61">
        <v>34.299999999999997</v>
      </c>
      <c r="L795" s="61">
        <v>38.4</v>
      </c>
      <c r="M795" s="61">
        <v>33.799999999999997</v>
      </c>
      <c r="N795" s="61">
        <v>55.7</v>
      </c>
      <c r="O795" s="85">
        <v>24.4</v>
      </c>
      <c r="P795" s="105"/>
      <c r="Q795" s="87">
        <f t="shared" si="76"/>
        <v>1.1040128916556797E-2</v>
      </c>
      <c r="R795" s="87">
        <f t="shared" si="79"/>
        <v>9.6299381510892915E-3</v>
      </c>
      <c r="S795" s="87">
        <f t="shared" si="79"/>
        <v>-6.7774989140868668E-3</v>
      </c>
      <c r="T795" s="87">
        <f t="shared" si="79"/>
        <v>6.4725145056175196E-3</v>
      </c>
      <c r="U795" s="87">
        <f t="shared" si="78"/>
        <v>0</v>
      </c>
      <c r="V795" s="87">
        <f t="shared" si="78"/>
        <v>3.6036075032986181E-3</v>
      </c>
      <c r="W795" s="87">
        <f t="shared" si="78"/>
        <v>1.0714388212406268E-2</v>
      </c>
      <c r="X795" s="87">
        <f t="shared" si="74"/>
        <v>-0.1186057424078469</v>
      </c>
      <c r="Y795" s="87">
        <f t="shared" si="74"/>
        <v>3.3415996919844017E-2</v>
      </c>
      <c r="Z795" s="87">
        <f t="shared" si="74"/>
        <v>0</v>
      </c>
      <c r="AA795" s="87">
        <f t="shared" si="74"/>
        <v>1.3106347505300583E-2</v>
      </c>
      <c r="AB795" s="87">
        <f t="shared" si="74"/>
        <v>3.0032287098875076E-2</v>
      </c>
      <c r="AC795" s="87">
        <f t="shared" si="74"/>
        <v>7.2072384049493869E-3</v>
      </c>
      <c r="AD795" s="87">
        <f t="shared" si="73"/>
        <v>0</v>
      </c>
      <c r="AE795" s="90">
        <f t="shared" si="77"/>
        <v>9.023496272830998E-4</v>
      </c>
    </row>
    <row r="796" spans="1:31" ht="15.5" x14ac:dyDescent="0.35">
      <c r="A796" s="82">
        <v>40919</v>
      </c>
      <c r="B796" s="83">
        <v>7662</v>
      </c>
      <c r="C796" s="84">
        <v>2710.8</v>
      </c>
      <c r="D796" s="61">
        <v>310.89999999999998</v>
      </c>
      <c r="E796" s="61">
        <v>15.4</v>
      </c>
      <c r="F796" s="61">
        <v>59.9</v>
      </c>
      <c r="G796" s="61">
        <v>27.4</v>
      </c>
      <c r="H796" s="61">
        <v>56.7</v>
      </c>
      <c r="I796" s="61">
        <v>13.5</v>
      </c>
      <c r="J796" s="61">
        <v>42.8</v>
      </c>
      <c r="K796" s="61">
        <v>34.299999999999997</v>
      </c>
      <c r="L796" s="61">
        <v>38.200000000000003</v>
      </c>
      <c r="M796" s="61">
        <v>34.200000000000003</v>
      </c>
      <c r="N796" s="61">
        <v>55.4</v>
      </c>
      <c r="O796" s="85">
        <v>24.5</v>
      </c>
      <c r="P796" s="105"/>
      <c r="Q796" s="87">
        <f t="shared" si="76"/>
        <v>-9.0014290953528123E-4</v>
      </c>
      <c r="R796" s="87">
        <f t="shared" si="79"/>
        <v>3.0665237485946253E-3</v>
      </c>
      <c r="S796" s="87">
        <f t="shared" si="79"/>
        <v>6.7774989140868252E-3</v>
      </c>
      <c r="T796" s="87">
        <f t="shared" si="79"/>
        <v>-6.4725145056174788E-3</v>
      </c>
      <c r="U796" s="87">
        <f t="shared" si="78"/>
        <v>-4.9958471933717781E-3</v>
      </c>
      <c r="V796" s="87">
        <f t="shared" si="78"/>
        <v>-1.4493007302566864E-2</v>
      </c>
      <c r="W796" s="87">
        <f t="shared" si="78"/>
        <v>7.0796755880617682E-3</v>
      </c>
      <c r="X796" s="87">
        <f t="shared" si="74"/>
        <v>0</v>
      </c>
      <c r="Y796" s="87">
        <f t="shared" si="74"/>
        <v>4.6838493124262163E-3</v>
      </c>
      <c r="Z796" s="87">
        <f t="shared" si="74"/>
        <v>0</v>
      </c>
      <c r="AA796" s="87">
        <f t="shared" si="74"/>
        <v>-5.2219439811516007E-3</v>
      </c>
      <c r="AB796" s="87">
        <f t="shared" si="74"/>
        <v>1.1764841579586431E-2</v>
      </c>
      <c r="AC796" s="87">
        <f t="shared" si="74"/>
        <v>-5.4005531800002775E-3</v>
      </c>
      <c r="AD796" s="87">
        <f t="shared" si="73"/>
        <v>4.0899852515250664E-3</v>
      </c>
      <c r="AE796" s="90">
        <f t="shared" si="77"/>
        <v>1.9720191778368158E-3</v>
      </c>
    </row>
    <row r="797" spans="1:31" ht="15.5" x14ac:dyDescent="0.35">
      <c r="A797" s="82">
        <v>40920</v>
      </c>
      <c r="B797" s="83">
        <v>7681.3</v>
      </c>
      <c r="C797" s="84">
        <v>2724.7</v>
      </c>
      <c r="D797" s="61">
        <v>313.60000000000002</v>
      </c>
      <c r="E797" s="61">
        <v>15.5</v>
      </c>
      <c r="F797" s="61">
        <v>59.8</v>
      </c>
      <c r="G797" s="61">
        <v>27.6</v>
      </c>
      <c r="H797" s="61">
        <v>56.9</v>
      </c>
      <c r="I797" s="61">
        <v>13.8</v>
      </c>
      <c r="J797" s="61">
        <v>41.9</v>
      </c>
      <c r="K797" s="61">
        <v>33.700000000000003</v>
      </c>
      <c r="L797" s="61">
        <v>38.4</v>
      </c>
      <c r="M797" s="61">
        <v>35.4</v>
      </c>
      <c r="N797" s="61">
        <v>55.7</v>
      </c>
      <c r="O797" s="85">
        <v>24.4</v>
      </c>
      <c r="P797" s="105"/>
      <c r="Q797" s="87">
        <f t="shared" si="76"/>
        <v>2.5157573897659886E-3</v>
      </c>
      <c r="R797" s="87">
        <f t="shared" si="79"/>
        <v>5.1145360317263215E-3</v>
      </c>
      <c r="S797" s="87">
        <f t="shared" si="79"/>
        <v>8.6469714115448518E-3</v>
      </c>
      <c r="T797" s="87">
        <f t="shared" si="79"/>
        <v>6.4725145056175196E-3</v>
      </c>
      <c r="U797" s="87">
        <f t="shared" si="78"/>
        <v>-1.6708441648176058E-3</v>
      </c>
      <c r="V797" s="87">
        <f t="shared" si="78"/>
        <v>7.2727593290798781E-3</v>
      </c>
      <c r="W797" s="87">
        <f t="shared" si="78"/>
        <v>3.5211303985787394E-3</v>
      </c>
      <c r="X797" s="87">
        <f t="shared" si="74"/>
        <v>2.1978906718775382E-2</v>
      </c>
      <c r="Y797" s="87">
        <f t="shared" si="74"/>
        <v>-2.1252275659658978E-2</v>
      </c>
      <c r="Z797" s="87">
        <f t="shared" si="74"/>
        <v>-1.7647516813578002E-2</v>
      </c>
      <c r="AA797" s="87">
        <f t="shared" si="74"/>
        <v>5.2219439811516249E-3</v>
      </c>
      <c r="AB797" s="87">
        <f t="shared" si="74"/>
        <v>3.4486176071169189E-2</v>
      </c>
      <c r="AC797" s="87">
        <f t="shared" si="74"/>
        <v>5.4005531800002888E-3</v>
      </c>
      <c r="AD797" s="87">
        <f t="shared" si="73"/>
        <v>-4.0899852515251661E-3</v>
      </c>
      <c r="AE797" s="90">
        <f t="shared" si="77"/>
        <v>3.089709353737348E-3</v>
      </c>
    </row>
    <row r="798" spans="1:31" ht="15.5" x14ac:dyDescent="0.35">
      <c r="A798" s="82">
        <v>40921</v>
      </c>
      <c r="B798" s="83">
        <v>7632</v>
      </c>
      <c r="C798" s="84">
        <v>2710.7</v>
      </c>
      <c r="D798" s="61">
        <v>310.8</v>
      </c>
      <c r="E798" s="61">
        <v>15.4</v>
      </c>
      <c r="F798" s="61">
        <v>59.8</v>
      </c>
      <c r="G798" s="61">
        <v>27.8</v>
      </c>
      <c r="H798" s="61">
        <v>56.8</v>
      </c>
      <c r="I798" s="61">
        <v>13.8</v>
      </c>
      <c r="J798" s="61">
        <v>42.6</v>
      </c>
      <c r="K798" s="61">
        <v>33.700000000000003</v>
      </c>
      <c r="L798" s="61">
        <v>38</v>
      </c>
      <c r="M798" s="61">
        <v>33.9</v>
      </c>
      <c r="N798" s="61">
        <v>55.8</v>
      </c>
      <c r="O798" s="85">
        <v>24.5</v>
      </c>
      <c r="P798" s="105"/>
      <c r="Q798" s="87">
        <f t="shared" si="76"/>
        <v>-6.4388695222377295E-3</v>
      </c>
      <c r="R798" s="87">
        <f t="shared" si="79"/>
        <v>-5.1514261912806066E-3</v>
      </c>
      <c r="S798" s="87">
        <f t="shared" si="79"/>
        <v>-8.9686699827604879E-3</v>
      </c>
      <c r="T798" s="87">
        <f t="shared" si="79"/>
        <v>-6.4725145056174788E-3</v>
      </c>
      <c r="U798" s="87">
        <f t="shared" si="78"/>
        <v>0</v>
      </c>
      <c r="V798" s="87">
        <f t="shared" si="78"/>
        <v>7.2202479734870973E-3</v>
      </c>
      <c r="W798" s="87">
        <f t="shared" si="78"/>
        <v>-1.7590154051795588E-3</v>
      </c>
      <c r="X798" s="87">
        <f t="shared" si="74"/>
        <v>0</v>
      </c>
      <c r="Y798" s="87">
        <f t="shared" si="74"/>
        <v>1.6568426347232705E-2</v>
      </c>
      <c r="Z798" s="87">
        <f t="shared" si="74"/>
        <v>0</v>
      </c>
      <c r="AA798" s="87">
        <f t="shared" si="74"/>
        <v>-1.0471299867295366E-2</v>
      </c>
      <c r="AB798" s="87">
        <f t="shared" si="74"/>
        <v>-4.3296805753324188E-2</v>
      </c>
      <c r="AC798" s="87">
        <f t="shared" si="74"/>
        <v>1.7937224540269007E-3</v>
      </c>
      <c r="AD798" s="87">
        <f t="shared" si="73"/>
        <v>4.0899852515250664E-3</v>
      </c>
      <c r="AE798" s="90">
        <f t="shared" si="77"/>
        <v>-3.6727083714247332E-3</v>
      </c>
    </row>
    <row r="799" spans="1:31" ht="15.5" x14ac:dyDescent="0.35">
      <c r="A799" s="82">
        <v>40925</v>
      </c>
      <c r="B799" s="83">
        <v>7670.5</v>
      </c>
      <c r="C799" s="84">
        <v>2728.1</v>
      </c>
      <c r="D799" s="61">
        <v>313.2</v>
      </c>
      <c r="E799" s="61">
        <v>15.4</v>
      </c>
      <c r="F799" s="61">
        <v>60.4</v>
      </c>
      <c r="G799" s="61">
        <v>28.2</v>
      </c>
      <c r="H799" s="61">
        <v>57.5</v>
      </c>
      <c r="I799" s="61">
        <v>13.3</v>
      </c>
      <c r="J799" s="61">
        <v>45</v>
      </c>
      <c r="K799" s="61">
        <v>33.299999999999997</v>
      </c>
      <c r="L799" s="61">
        <v>38.4</v>
      </c>
      <c r="M799" s="61">
        <v>34.5</v>
      </c>
      <c r="N799" s="61">
        <v>56.9</v>
      </c>
      <c r="O799" s="85">
        <v>24.5</v>
      </c>
      <c r="P799" s="105"/>
      <c r="Q799" s="87">
        <f t="shared" si="76"/>
        <v>5.0318681567056876E-3</v>
      </c>
      <c r="R799" s="87">
        <f t="shared" si="79"/>
        <v>6.3984920805971292E-3</v>
      </c>
      <c r="S799" s="87">
        <f t="shared" si="79"/>
        <v>7.6923456231556449E-3</v>
      </c>
      <c r="T799" s="87">
        <f t="shared" si="79"/>
        <v>0</v>
      </c>
      <c r="U799" s="87">
        <f t="shared" si="78"/>
        <v>9.9834439841832052E-3</v>
      </c>
      <c r="V799" s="87">
        <f t="shared" si="78"/>
        <v>1.4285957247476434E-2</v>
      </c>
      <c r="W799" s="87">
        <f t="shared" si="78"/>
        <v>1.2248622076199239E-2</v>
      </c>
      <c r="X799" s="87">
        <f t="shared" si="74"/>
        <v>-3.6904556935450979E-2</v>
      </c>
      <c r="Y799" s="87">
        <f t="shared" si="74"/>
        <v>5.4808236494994951E-2</v>
      </c>
      <c r="Z799" s="87">
        <f t="shared" si="74"/>
        <v>-1.1940440371918087E-2</v>
      </c>
      <c r="AA799" s="87">
        <f t="shared" si="74"/>
        <v>1.0471299867295437E-2</v>
      </c>
      <c r="AB799" s="87">
        <f t="shared" si="74"/>
        <v>1.7544309650909525E-2</v>
      </c>
      <c r="AC799" s="87">
        <f t="shared" si="74"/>
        <v>1.952147174502011E-2</v>
      </c>
      <c r="AD799" s="87">
        <f t="shared" si="73"/>
        <v>0</v>
      </c>
      <c r="AE799" s="90">
        <f t="shared" si="77"/>
        <v>7.0246380293597522E-3</v>
      </c>
    </row>
    <row r="800" spans="1:31" ht="15.5" x14ac:dyDescent="0.35">
      <c r="A800" s="82">
        <v>40926</v>
      </c>
      <c r="B800" s="83">
        <v>7767</v>
      </c>
      <c r="C800" s="84">
        <v>2769.7</v>
      </c>
      <c r="D800" s="61">
        <v>311.39999999999998</v>
      </c>
      <c r="E800" s="61">
        <v>15.7</v>
      </c>
      <c r="F800" s="61">
        <v>60.9</v>
      </c>
      <c r="G800" s="61">
        <v>28</v>
      </c>
      <c r="H800" s="61">
        <v>52.8</v>
      </c>
      <c r="I800" s="61">
        <v>13.3</v>
      </c>
      <c r="J800" s="61">
        <v>44.9</v>
      </c>
      <c r="K800" s="61">
        <v>33.299999999999997</v>
      </c>
      <c r="L800" s="61">
        <v>38.6</v>
      </c>
      <c r="M800" s="61">
        <v>34.4</v>
      </c>
      <c r="N800" s="61">
        <v>57.7</v>
      </c>
      <c r="O800" s="85">
        <v>24.7</v>
      </c>
      <c r="P800" s="105"/>
      <c r="Q800" s="87">
        <f t="shared" si="76"/>
        <v>1.250218713481915E-2</v>
      </c>
      <c r="R800" s="87">
        <f t="shared" si="79"/>
        <v>1.5133614884065446E-2</v>
      </c>
      <c r="S800" s="87">
        <f t="shared" si="79"/>
        <v>-5.7637047167501294E-3</v>
      </c>
      <c r="T800" s="87">
        <f t="shared" si="79"/>
        <v>1.9293202934678851E-2</v>
      </c>
      <c r="U800" s="87">
        <f t="shared" si="78"/>
        <v>8.2440697750820625E-3</v>
      </c>
      <c r="V800" s="87">
        <f t="shared" si="78"/>
        <v>-7.1174677688639896E-3</v>
      </c>
      <c r="W800" s="87">
        <f t="shared" si="78"/>
        <v>-8.5273757091089003E-2</v>
      </c>
      <c r="X800" s="87">
        <f t="shared" si="74"/>
        <v>0</v>
      </c>
      <c r="Y800" s="87">
        <f t="shared" si="74"/>
        <v>-2.2246950221111624E-3</v>
      </c>
      <c r="Z800" s="87">
        <f t="shared" si="74"/>
        <v>0</v>
      </c>
      <c r="AA800" s="87">
        <f t="shared" si="74"/>
        <v>5.1948168771041511E-3</v>
      </c>
      <c r="AB800" s="87">
        <f t="shared" si="74"/>
        <v>-2.9027596579614626E-3</v>
      </c>
      <c r="AC800" s="87">
        <f t="shared" si="74"/>
        <v>1.3961832381768759E-2</v>
      </c>
      <c r="AD800" s="87">
        <f t="shared" si="73"/>
        <v>8.1301260832500888E-3</v>
      </c>
      <c r="AE800" s="90">
        <f t="shared" si="77"/>
        <v>6.1943742758937374E-3</v>
      </c>
    </row>
    <row r="801" spans="1:31" ht="15.5" x14ac:dyDescent="0.35">
      <c r="A801" s="82">
        <v>40927</v>
      </c>
      <c r="B801" s="83">
        <v>7819.4</v>
      </c>
      <c r="C801" s="84">
        <v>2788.3</v>
      </c>
      <c r="D801" s="61">
        <v>316.10000000000002</v>
      </c>
      <c r="E801" s="61">
        <v>15.9</v>
      </c>
      <c r="F801" s="61">
        <v>60.9</v>
      </c>
      <c r="G801" s="61">
        <v>28</v>
      </c>
      <c r="H801" s="61">
        <v>52.7</v>
      </c>
      <c r="I801" s="61">
        <v>13.5</v>
      </c>
      <c r="J801" s="61">
        <v>44.7</v>
      </c>
      <c r="K801" s="61">
        <v>34.1</v>
      </c>
      <c r="L801" s="61">
        <v>38.700000000000003</v>
      </c>
      <c r="M801" s="61">
        <v>35.700000000000003</v>
      </c>
      <c r="N801" s="61">
        <v>58.7</v>
      </c>
      <c r="O801" s="85">
        <v>25.1</v>
      </c>
      <c r="P801" s="105"/>
      <c r="Q801" s="87">
        <f t="shared" si="76"/>
        <v>6.7238358333820544E-3</v>
      </c>
      <c r="R801" s="87">
        <f t="shared" si="79"/>
        <v>6.6930800416678954E-3</v>
      </c>
      <c r="S801" s="87">
        <f t="shared" si="79"/>
        <v>1.4980359821674187E-2</v>
      </c>
      <c r="T801" s="87">
        <f t="shared" si="79"/>
        <v>1.2658396871923465E-2</v>
      </c>
      <c r="U801" s="87">
        <f t="shared" si="78"/>
        <v>0</v>
      </c>
      <c r="V801" s="87">
        <f t="shared" si="78"/>
        <v>0</v>
      </c>
      <c r="W801" s="87">
        <f t="shared" si="78"/>
        <v>-1.8957351648990896E-3</v>
      </c>
      <c r="X801" s="87">
        <f t="shared" si="74"/>
        <v>1.4925650216675574E-2</v>
      </c>
      <c r="Y801" s="87">
        <f t="shared" si="74"/>
        <v>-4.4642931286853812E-3</v>
      </c>
      <c r="Z801" s="87">
        <f t="shared" si="74"/>
        <v>2.3739987303073085E-2</v>
      </c>
      <c r="AA801" s="87">
        <f t="shared" si="74"/>
        <v>2.5873235649509544E-3</v>
      </c>
      <c r="AB801" s="87">
        <f t="shared" si="74"/>
        <v>3.709412440624079E-2</v>
      </c>
      <c r="AC801" s="87">
        <f t="shared" si="74"/>
        <v>1.7182553319996963E-2</v>
      </c>
      <c r="AD801" s="87">
        <f t="shared" si="73"/>
        <v>1.6064602503806841E-2</v>
      </c>
      <c r="AE801" s="90">
        <f t="shared" si="77"/>
        <v>8.3445799586062356E-3</v>
      </c>
    </row>
    <row r="802" spans="1:31" ht="15.5" x14ac:dyDescent="0.35">
      <c r="A802" s="82">
        <v>40928</v>
      </c>
      <c r="B802" s="83">
        <v>7829.3</v>
      </c>
      <c r="C802" s="84">
        <v>2786.7</v>
      </c>
      <c r="D802" s="61">
        <v>291.10000000000002</v>
      </c>
      <c r="E802" s="61">
        <v>15.9</v>
      </c>
      <c r="F802" s="61">
        <v>60</v>
      </c>
      <c r="G802" s="61">
        <v>28.8</v>
      </c>
      <c r="H802" s="61">
        <v>53.3</v>
      </c>
      <c r="I802" s="61">
        <v>13.4</v>
      </c>
      <c r="J802" s="61">
        <v>44.6</v>
      </c>
      <c r="K802" s="61">
        <v>35</v>
      </c>
      <c r="L802" s="61">
        <v>38.9</v>
      </c>
      <c r="M802" s="61">
        <v>35.5</v>
      </c>
      <c r="N802" s="61">
        <v>58.8</v>
      </c>
      <c r="O802" s="85">
        <v>25.3</v>
      </c>
      <c r="P802" s="105"/>
      <c r="Q802" s="87">
        <f t="shared" si="76"/>
        <v>1.2652809908519254E-3</v>
      </c>
      <c r="R802" s="87">
        <f t="shared" si="79"/>
        <v>-5.7399104714950559E-4</v>
      </c>
      <c r="S802" s="87">
        <f t="shared" si="79"/>
        <v>-8.2391768469994436E-2</v>
      </c>
      <c r="T802" s="87">
        <f t="shared" si="79"/>
        <v>0</v>
      </c>
      <c r="U802" s="87">
        <f t="shared" si="78"/>
        <v>-1.4888612493750637E-2</v>
      </c>
      <c r="V802" s="87">
        <f t="shared" si="78"/>
        <v>2.8170876966696439E-2</v>
      </c>
      <c r="W802" s="87">
        <f t="shared" si="78"/>
        <v>1.1320875624482075E-2</v>
      </c>
      <c r="X802" s="87">
        <f t="shared" si="74"/>
        <v>-7.4349784875180902E-3</v>
      </c>
      <c r="Y802" s="87">
        <f t="shared" si="74"/>
        <v>-2.2396425935047983E-3</v>
      </c>
      <c r="Z802" s="87">
        <f t="shared" si="74"/>
        <v>2.605067719994255E-2</v>
      </c>
      <c r="AA802" s="87">
        <f t="shared" ref="AA802:AD865" si="80">+LN(L802/L801)</f>
        <v>5.1546505886644221E-3</v>
      </c>
      <c r="AB802" s="87">
        <f t="shared" si="80"/>
        <v>-5.6179923042233727E-3</v>
      </c>
      <c r="AC802" s="87">
        <f t="shared" si="80"/>
        <v>1.7021280705303626E-3</v>
      </c>
      <c r="AD802" s="87">
        <f t="shared" si="73"/>
        <v>7.9365495957363415E-3</v>
      </c>
      <c r="AE802" s="90">
        <f t="shared" si="77"/>
        <v>-2.7585983713483416E-2</v>
      </c>
    </row>
    <row r="803" spans="1:31" ht="15.5" x14ac:dyDescent="0.35">
      <c r="A803" s="82">
        <v>40931</v>
      </c>
      <c r="B803" s="83">
        <v>7855.5</v>
      </c>
      <c r="C803" s="84">
        <v>2784.2</v>
      </c>
      <c r="D803" s="61">
        <v>291.89999999999998</v>
      </c>
      <c r="E803" s="61">
        <v>15.6</v>
      </c>
      <c r="F803" s="61">
        <v>60.3</v>
      </c>
      <c r="G803" s="61">
        <v>29.4</v>
      </c>
      <c r="H803" s="61">
        <v>53.4</v>
      </c>
      <c r="I803" s="61">
        <v>13.3</v>
      </c>
      <c r="J803" s="61">
        <v>44.6</v>
      </c>
      <c r="K803" s="61">
        <v>34.5</v>
      </c>
      <c r="L803" s="61">
        <v>38.700000000000003</v>
      </c>
      <c r="M803" s="61">
        <v>36.299999999999997</v>
      </c>
      <c r="N803" s="61">
        <v>59</v>
      </c>
      <c r="O803" s="85">
        <v>25.3</v>
      </c>
      <c r="P803" s="105"/>
      <c r="Q803" s="87">
        <f t="shared" si="76"/>
        <v>3.3408171437708366E-3</v>
      </c>
      <c r="R803" s="87">
        <f t="shared" si="79"/>
        <v>-8.9752110711795608E-4</v>
      </c>
      <c r="S803" s="87">
        <f t="shared" si="79"/>
        <v>2.7444271084914656E-3</v>
      </c>
      <c r="T803" s="87">
        <f t="shared" si="79"/>
        <v>-1.9048194970694474E-2</v>
      </c>
      <c r="U803" s="87">
        <f t="shared" si="78"/>
        <v>4.9875415110389679E-3</v>
      </c>
      <c r="V803" s="87">
        <f t="shared" si="78"/>
        <v>2.061928720273561E-2</v>
      </c>
      <c r="W803" s="87">
        <f t="shared" si="78"/>
        <v>1.874414794350352E-3</v>
      </c>
      <c r="X803" s="87">
        <f t="shared" si="78"/>
        <v>-7.4906717291576257E-3</v>
      </c>
      <c r="Y803" s="87">
        <f t="shared" si="78"/>
        <v>0</v>
      </c>
      <c r="Z803" s="87">
        <f t="shared" si="78"/>
        <v>-1.4388737452099556E-2</v>
      </c>
      <c r="AA803" s="87">
        <f t="shared" si="80"/>
        <v>-5.1546505886644264E-3</v>
      </c>
      <c r="AB803" s="87">
        <f t="shared" si="80"/>
        <v>2.2285044789434955E-2</v>
      </c>
      <c r="AC803" s="87">
        <f t="shared" si="80"/>
        <v>3.3955890011383287E-3</v>
      </c>
      <c r="AD803" s="87">
        <f t="shared" si="73"/>
        <v>0</v>
      </c>
      <c r="AE803" s="90">
        <f t="shared" si="77"/>
        <v>1.9605719985717235E-3</v>
      </c>
    </row>
    <row r="804" spans="1:31" ht="15.5" x14ac:dyDescent="0.35">
      <c r="A804" s="82">
        <v>40932</v>
      </c>
      <c r="B804" s="83">
        <v>7840.6</v>
      </c>
      <c r="C804" s="84">
        <v>2786.6</v>
      </c>
      <c r="D804" s="61">
        <v>289.3</v>
      </c>
      <c r="E804" s="61">
        <v>15.6</v>
      </c>
      <c r="F804" s="61">
        <v>59.9</v>
      </c>
      <c r="G804" s="61">
        <v>29.2</v>
      </c>
      <c r="H804" s="61">
        <v>54.3</v>
      </c>
      <c r="I804" s="61">
        <v>13.4</v>
      </c>
      <c r="J804" s="61">
        <v>44</v>
      </c>
      <c r="K804" s="61">
        <v>34.299999999999997</v>
      </c>
      <c r="L804" s="61">
        <v>38.700000000000003</v>
      </c>
      <c r="M804" s="61">
        <v>35.799999999999997</v>
      </c>
      <c r="N804" s="61">
        <v>59.5</v>
      </c>
      <c r="O804" s="85">
        <v>25.3</v>
      </c>
      <c r="P804" s="105"/>
      <c r="Q804" s="87">
        <f t="shared" si="76"/>
        <v>-1.8985613592714537E-3</v>
      </c>
      <c r="R804" s="87">
        <f t="shared" si="79"/>
        <v>8.6163572502461253E-4</v>
      </c>
      <c r="S804" s="87">
        <f t="shared" si="79"/>
        <v>-8.947065877979523E-3</v>
      </c>
      <c r="T804" s="87">
        <f t="shared" si="79"/>
        <v>0</v>
      </c>
      <c r="U804" s="87">
        <f t="shared" si="78"/>
        <v>-6.6555986117360633E-3</v>
      </c>
      <c r="V804" s="87">
        <f t="shared" si="78"/>
        <v>-6.8259650703998706E-3</v>
      </c>
      <c r="W804" s="87">
        <f t="shared" si="78"/>
        <v>1.6713480973740532E-2</v>
      </c>
      <c r="X804" s="87">
        <f t="shared" si="78"/>
        <v>7.4906717291576587E-3</v>
      </c>
      <c r="Y804" s="87">
        <f t="shared" si="78"/>
        <v>-1.354422510775726E-2</v>
      </c>
      <c r="Z804" s="87">
        <f t="shared" si="78"/>
        <v>-5.8139698654199566E-3</v>
      </c>
      <c r="AA804" s="87">
        <f t="shared" si="80"/>
        <v>0</v>
      </c>
      <c r="AB804" s="87">
        <f t="shared" si="80"/>
        <v>-1.3869847864150502E-2</v>
      </c>
      <c r="AC804" s="87">
        <f t="shared" si="80"/>
        <v>8.4388686458646035E-3</v>
      </c>
      <c r="AD804" s="87">
        <f t="shared" si="73"/>
        <v>0</v>
      </c>
      <c r="AE804" s="90">
        <f t="shared" si="77"/>
        <v>-4.2642024032375119E-3</v>
      </c>
    </row>
    <row r="805" spans="1:31" ht="15.5" x14ac:dyDescent="0.35">
      <c r="A805" s="82">
        <v>40933</v>
      </c>
      <c r="B805" s="83">
        <v>7914.8</v>
      </c>
      <c r="C805" s="84">
        <v>2818.3</v>
      </c>
      <c r="D805" s="61">
        <v>283.5</v>
      </c>
      <c r="E805" s="61">
        <v>15.5</v>
      </c>
      <c r="F805" s="61">
        <v>63.4</v>
      </c>
      <c r="G805" s="61">
        <v>29.1</v>
      </c>
      <c r="H805" s="61">
        <v>55.3</v>
      </c>
      <c r="I805" s="61">
        <v>13.4</v>
      </c>
      <c r="J805" s="61">
        <v>43.9</v>
      </c>
      <c r="K805" s="61">
        <v>33.4</v>
      </c>
      <c r="L805" s="61">
        <v>38.299999999999997</v>
      </c>
      <c r="M805" s="61">
        <v>35.1</v>
      </c>
      <c r="N805" s="61">
        <v>59.7</v>
      </c>
      <c r="O805" s="85">
        <v>25.5</v>
      </c>
      <c r="P805" s="105"/>
      <c r="Q805" s="87">
        <f t="shared" si="76"/>
        <v>9.4190624899044197E-3</v>
      </c>
      <c r="R805" s="87">
        <f t="shared" si="79"/>
        <v>1.1311651594024663E-2</v>
      </c>
      <c r="S805" s="87">
        <f t="shared" si="79"/>
        <v>-2.0252088814282733E-2</v>
      </c>
      <c r="T805" s="87">
        <f t="shared" si="79"/>
        <v>-6.4308903302904025E-3</v>
      </c>
      <c r="U805" s="87">
        <f t="shared" si="78"/>
        <v>5.6787356321776561E-2</v>
      </c>
      <c r="V805" s="87">
        <f t="shared" si="78"/>
        <v>-3.4305350967891368E-3</v>
      </c>
      <c r="W805" s="87">
        <f t="shared" si="78"/>
        <v>1.8248681588399315E-2</v>
      </c>
      <c r="X805" s="87">
        <f t="shared" si="78"/>
        <v>0</v>
      </c>
      <c r="Y805" s="87">
        <f t="shared" si="78"/>
        <v>-2.2753138371355394E-3</v>
      </c>
      <c r="Z805" s="87">
        <f t="shared" si="78"/>
        <v>-2.6589454189239498E-2</v>
      </c>
      <c r="AA805" s="87">
        <f t="shared" si="80"/>
        <v>-1.0389703849135909E-2</v>
      </c>
      <c r="AB805" s="87">
        <f t="shared" si="80"/>
        <v>-1.9746762934834333E-2</v>
      </c>
      <c r="AC805" s="87">
        <f t="shared" si="80"/>
        <v>3.3557078469723151E-3</v>
      </c>
      <c r="AD805" s="87">
        <f t="shared" si="73"/>
        <v>7.8740564309058656E-3</v>
      </c>
      <c r="AE805" s="90">
        <f t="shared" si="77"/>
        <v>1.465635477639844E-2</v>
      </c>
    </row>
    <row r="806" spans="1:31" ht="15.5" x14ac:dyDescent="0.35">
      <c r="A806" s="82">
        <v>40934</v>
      </c>
      <c r="B806" s="83">
        <v>7883.9</v>
      </c>
      <c r="C806" s="84">
        <v>2805.3</v>
      </c>
      <c r="D806" s="61">
        <v>282.60000000000002</v>
      </c>
      <c r="E806" s="61">
        <v>15.4</v>
      </c>
      <c r="F806" s="61">
        <v>63.3</v>
      </c>
      <c r="G806" s="61">
        <v>29.4</v>
      </c>
      <c r="H806" s="61">
        <v>54.1</v>
      </c>
      <c r="I806" s="61">
        <v>13.3</v>
      </c>
      <c r="J806" s="61">
        <v>44.2</v>
      </c>
      <c r="K806" s="61">
        <v>34.299999999999997</v>
      </c>
      <c r="L806" s="61">
        <v>38.5</v>
      </c>
      <c r="M806" s="61">
        <v>33.799999999999997</v>
      </c>
      <c r="N806" s="61">
        <v>61.9</v>
      </c>
      <c r="O806" s="85">
        <v>25.5</v>
      </c>
      <c r="P806" s="105"/>
      <c r="Q806" s="87">
        <f t="shared" si="76"/>
        <v>-3.9117192429091998E-3</v>
      </c>
      <c r="R806" s="87">
        <f t="shared" si="79"/>
        <v>-4.6233811640051456E-3</v>
      </c>
      <c r="S806" s="87">
        <f t="shared" si="79"/>
        <v>-3.1796529173795732E-3</v>
      </c>
      <c r="T806" s="87">
        <f t="shared" si="79"/>
        <v>-6.4725145056174788E-3</v>
      </c>
      <c r="U806" s="87">
        <f t="shared" si="78"/>
        <v>-1.5785322930497267E-3</v>
      </c>
      <c r="V806" s="87">
        <f t="shared" si="78"/>
        <v>1.0256500167189061E-2</v>
      </c>
      <c r="W806" s="87">
        <f t="shared" si="78"/>
        <v>-2.1938722675853218E-2</v>
      </c>
      <c r="X806" s="87">
        <f t="shared" si="78"/>
        <v>-7.4906717291576257E-3</v>
      </c>
      <c r="Y806" s="87">
        <f t="shared" si="78"/>
        <v>6.8104690025268793E-3</v>
      </c>
      <c r="Z806" s="87">
        <f t="shared" si="78"/>
        <v>2.6589454189239435E-2</v>
      </c>
      <c r="AA806" s="87">
        <f t="shared" si="80"/>
        <v>5.2083451071382597E-3</v>
      </c>
      <c r="AB806" s="87">
        <f t="shared" si="80"/>
        <v>-3.7740327982847197E-2</v>
      </c>
      <c r="AC806" s="87">
        <f t="shared" si="80"/>
        <v>3.6188159291993885E-2</v>
      </c>
      <c r="AD806" s="87">
        <f t="shared" si="73"/>
        <v>0</v>
      </c>
      <c r="AE806" s="90">
        <f t="shared" si="77"/>
        <v>-2.7681043477316039E-3</v>
      </c>
    </row>
    <row r="807" spans="1:31" ht="15.5" x14ac:dyDescent="0.35">
      <c r="A807" s="82">
        <v>40935</v>
      </c>
      <c r="B807" s="83">
        <v>7876.6</v>
      </c>
      <c r="C807" s="84">
        <v>2816.6</v>
      </c>
      <c r="D807" s="61">
        <v>285</v>
      </c>
      <c r="E807" s="61">
        <v>15.5</v>
      </c>
      <c r="F807" s="61">
        <v>63.4</v>
      </c>
      <c r="G807" s="61">
        <v>29.2</v>
      </c>
      <c r="H807" s="61">
        <v>53.3</v>
      </c>
      <c r="I807" s="61">
        <v>13.1</v>
      </c>
      <c r="J807" s="61">
        <v>45.6</v>
      </c>
      <c r="K807" s="61">
        <v>40</v>
      </c>
      <c r="L807" s="61">
        <v>38.200000000000003</v>
      </c>
      <c r="M807" s="61">
        <v>34.299999999999997</v>
      </c>
      <c r="N807" s="61">
        <v>62.2</v>
      </c>
      <c r="O807" s="85">
        <v>25.4</v>
      </c>
      <c r="P807" s="105"/>
      <c r="Q807" s="87">
        <f t="shared" si="76"/>
        <v>-9.2636661553173623E-4</v>
      </c>
      <c r="R807" s="87">
        <f t="shared" si="79"/>
        <v>4.0199986544391256E-3</v>
      </c>
      <c r="S807" s="87">
        <f t="shared" si="79"/>
        <v>8.4567100182234584E-3</v>
      </c>
      <c r="T807" s="87">
        <f t="shared" si="79"/>
        <v>6.4725145056175196E-3</v>
      </c>
      <c r="U807" s="87">
        <f t="shared" si="78"/>
        <v>1.5785322930497896E-3</v>
      </c>
      <c r="V807" s="87">
        <f t="shared" si="78"/>
        <v>-6.8259650703998706E-3</v>
      </c>
      <c r="W807" s="87">
        <f t="shared" si="78"/>
        <v>-1.4897854680637059E-2</v>
      </c>
      <c r="X807" s="87">
        <f t="shared" si="78"/>
        <v>-1.5151805020602333E-2</v>
      </c>
      <c r="Y807" s="87">
        <f t="shared" si="78"/>
        <v>3.1182927436687845E-2</v>
      </c>
      <c r="Z807" s="87">
        <f t="shared" si="78"/>
        <v>0.15373409994204212</v>
      </c>
      <c r="AA807" s="87">
        <f t="shared" si="80"/>
        <v>-7.8227256812089321E-3</v>
      </c>
      <c r="AB807" s="87">
        <f t="shared" si="80"/>
        <v>1.4684551682921099E-2</v>
      </c>
      <c r="AC807" s="87">
        <f t="shared" si="80"/>
        <v>4.8348200545833111E-3</v>
      </c>
      <c r="AD807" s="87">
        <f t="shared" si="73"/>
        <v>-3.9292781398896611E-3</v>
      </c>
      <c r="AE807" s="90">
        <f t="shared" si="77"/>
        <v>3.6545785405755222E-3</v>
      </c>
    </row>
    <row r="808" spans="1:31" ht="15.5" x14ac:dyDescent="0.35">
      <c r="A808" s="82">
        <v>40938</v>
      </c>
      <c r="B808" s="83">
        <v>7834.4</v>
      </c>
      <c r="C808" s="84">
        <v>2811.9</v>
      </c>
      <c r="D808" s="61">
        <v>287</v>
      </c>
      <c r="E808" s="61">
        <v>15.5</v>
      </c>
      <c r="F808" s="61">
        <v>63.6</v>
      </c>
      <c r="G808" s="61">
        <v>28.8</v>
      </c>
      <c r="H808" s="61">
        <v>52.4</v>
      </c>
      <c r="I808" s="61">
        <v>13.2</v>
      </c>
      <c r="J808" s="61">
        <v>46.3</v>
      </c>
      <c r="K808" s="61">
        <v>40.799999999999997</v>
      </c>
      <c r="L808" s="61">
        <v>38.299999999999997</v>
      </c>
      <c r="M808" s="61">
        <v>34.9</v>
      </c>
      <c r="N808" s="61">
        <v>62.4</v>
      </c>
      <c r="O808" s="85">
        <v>25.2</v>
      </c>
      <c r="P808" s="105"/>
      <c r="Q808" s="87">
        <f t="shared" si="76"/>
        <v>-5.3720452532593941E-3</v>
      </c>
      <c r="R808" s="87">
        <f t="shared" si="79"/>
        <v>-1.6700723434000483E-3</v>
      </c>
      <c r="S808" s="87">
        <f t="shared" si="79"/>
        <v>6.9930354909706043E-3</v>
      </c>
      <c r="T808" s="87">
        <f t="shared" si="79"/>
        <v>0</v>
      </c>
      <c r="U808" s="87">
        <f t="shared" si="78"/>
        <v>3.1496089028962013E-3</v>
      </c>
      <c r="V808" s="87">
        <f t="shared" si="78"/>
        <v>-1.3793322132335761E-2</v>
      </c>
      <c r="W808" s="87">
        <f t="shared" si="78"/>
        <v>-1.7029739844802296E-2</v>
      </c>
      <c r="X808" s="87">
        <f t="shared" si="78"/>
        <v>7.6045993852192125E-3</v>
      </c>
      <c r="Y808" s="87">
        <f t="shared" si="78"/>
        <v>1.5234244571847987E-2</v>
      </c>
      <c r="Z808" s="87">
        <f t="shared" si="78"/>
        <v>1.980262729617973E-2</v>
      </c>
      <c r="AA808" s="87">
        <f t="shared" si="80"/>
        <v>2.614380574070672E-3</v>
      </c>
      <c r="AB808" s="87">
        <f t="shared" si="80"/>
        <v>1.7341475036487392E-2</v>
      </c>
      <c r="AC808" s="87">
        <f t="shared" si="80"/>
        <v>3.2102756302481894E-3</v>
      </c>
      <c r="AD808" s="87">
        <f t="shared" si="73"/>
        <v>-7.9051795071132611E-3</v>
      </c>
      <c r="AE808" s="90">
        <f t="shared" si="77"/>
        <v>1.4864447061165877E-3</v>
      </c>
    </row>
    <row r="809" spans="1:31" ht="15.5" x14ac:dyDescent="0.35">
      <c r="A809" s="82">
        <v>40939</v>
      </c>
      <c r="B809" s="83">
        <v>7838.5</v>
      </c>
      <c r="C809" s="84">
        <v>2813.8</v>
      </c>
      <c r="D809" s="61">
        <v>287.89999999999998</v>
      </c>
      <c r="E809" s="61">
        <v>15.4</v>
      </c>
      <c r="F809" s="61">
        <v>64.7</v>
      </c>
      <c r="G809" s="61">
        <v>29.2</v>
      </c>
      <c r="H809" s="61">
        <v>52.1</v>
      </c>
      <c r="I809" s="61">
        <v>12.9</v>
      </c>
      <c r="J809" s="61">
        <v>46.3</v>
      </c>
      <c r="K809" s="61">
        <v>41.3</v>
      </c>
      <c r="L809" s="61">
        <v>38.200000000000003</v>
      </c>
      <c r="M809" s="61">
        <v>35.200000000000003</v>
      </c>
      <c r="N809" s="61">
        <v>62.3</v>
      </c>
      <c r="O809" s="85">
        <v>25.9</v>
      </c>
      <c r="P809" s="105"/>
      <c r="Q809" s="87">
        <f t="shared" si="76"/>
        <v>5.2319610200101286E-4</v>
      </c>
      <c r="R809" s="87">
        <f t="shared" si="79"/>
        <v>6.7547152256318215E-4</v>
      </c>
      <c r="S809" s="87">
        <f t="shared" si="79"/>
        <v>3.1309818585089867E-3</v>
      </c>
      <c r="T809" s="87">
        <f t="shared" si="79"/>
        <v>-6.4725145056174788E-3</v>
      </c>
      <c r="U809" s="87">
        <f t="shared" si="78"/>
        <v>1.714773116077847E-2</v>
      </c>
      <c r="V809" s="87">
        <f t="shared" si="78"/>
        <v>1.3793322132335769E-2</v>
      </c>
      <c r="W809" s="87">
        <f t="shared" si="78"/>
        <v>-5.7416425676751707E-3</v>
      </c>
      <c r="X809" s="87">
        <f t="shared" si="78"/>
        <v>-2.2989518224698604E-2</v>
      </c>
      <c r="Y809" s="87">
        <f t="shared" si="78"/>
        <v>0</v>
      </c>
      <c r="Z809" s="87">
        <f t="shared" si="78"/>
        <v>1.2180418556871013E-2</v>
      </c>
      <c r="AA809" s="87">
        <f t="shared" si="80"/>
        <v>-2.6143805740707093E-3</v>
      </c>
      <c r="AB809" s="87">
        <f t="shared" si="80"/>
        <v>8.5592533956701314E-3</v>
      </c>
      <c r="AC809" s="87">
        <f t="shared" si="80"/>
        <v>-1.603849581974516E-3</v>
      </c>
      <c r="AD809" s="87">
        <f t="shared" si="73"/>
        <v>2.7398974188114347E-2</v>
      </c>
      <c r="AE809" s="90">
        <f t="shared" si="77"/>
        <v>9.352612467672097E-3</v>
      </c>
    </row>
    <row r="810" spans="1:31" ht="15.5" x14ac:dyDescent="0.35">
      <c r="A810" s="82">
        <v>40940</v>
      </c>
      <c r="B810" s="83">
        <v>7931.4</v>
      </c>
      <c r="C810" s="84">
        <v>2848.3</v>
      </c>
      <c r="D810" s="61">
        <v>289.89999999999998</v>
      </c>
      <c r="E810" s="61">
        <v>15.5</v>
      </c>
      <c r="F810" s="61">
        <v>65.099999999999994</v>
      </c>
      <c r="G810" s="61">
        <v>29.8</v>
      </c>
      <c r="H810" s="61">
        <v>52.6</v>
      </c>
      <c r="I810" s="61">
        <v>13.1</v>
      </c>
      <c r="J810" s="61">
        <v>46.8</v>
      </c>
      <c r="K810" s="61">
        <v>41</v>
      </c>
      <c r="L810" s="61">
        <v>38.299999999999997</v>
      </c>
      <c r="M810" s="61">
        <v>35.4</v>
      </c>
      <c r="N810" s="61">
        <v>59.7</v>
      </c>
      <c r="O810" s="85">
        <v>25.9</v>
      </c>
      <c r="P810" s="105"/>
      <c r="Q810" s="87">
        <f t="shared" si="76"/>
        <v>1.1782075304823142E-2</v>
      </c>
      <c r="R810" s="87">
        <f t="shared" si="79"/>
        <v>1.2186442119844815E-2</v>
      </c>
      <c r="S810" s="87">
        <f t="shared" si="79"/>
        <v>6.9228383094795554E-3</v>
      </c>
      <c r="T810" s="87">
        <f t="shared" si="79"/>
        <v>6.4725145056175196E-3</v>
      </c>
      <c r="U810" s="87">
        <f t="shared" si="78"/>
        <v>6.1633477076685475E-3</v>
      </c>
      <c r="V810" s="87">
        <f t="shared" si="78"/>
        <v>2.0339684237122783E-2</v>
      </c>
      <c r="W810" s="87">
        <f t="shared" si="78"/>
        <v>9.5511709843429868E-3</v>
      </c>
      <c r="X810" s="87">
        <f t="shared" si="78"/>
        <v>1.5384918839479456E-2</v>
      </c>
      <c r="Y810" s="87">
        <f t="shared" si="78"/>
        <v>1.0741241831412616E-2</v>
      </c>
      <c r="Z810" s="87">
        <f t="shared" si="78"/>
        <v>-7.2904332626792323E-3</v>
      </c>
      <c r="AA810" s="87">
        <f t="shared" si="80"/>
        <v>2.614380574070672E-3</v>
      </c>
      <c r="AB810" s="87">
        <f t="shared" si="80"/>
        <v>5.6657375356772999E-3</v>
      </c>
      <c r="AC810" s="87">
        <f t="shared" si="80"/>
        <v>-4.2629405394850967E-2</v>
      </c>
      <c r="AD810" s="87">
        <f t="shared" si="73"/>
        <v>0</v>
      </c>
      <c r="AE810" s="90">
        <f t="shared" si="77"/>
        <v>7.4419688744048369E-3</v>
      </c>
    </row>
    <row r="811" spans="1:31" ht="15.5" x14ac:dyDescent="0.35">
      <c r="A811" s="82">
        <v>40941</v>
      </c>
      <c r="B811" s="83">
        <v>7945.4</v>
      </c>
      <c r="C811" s="84">
        <v>2859.7</v>
      </c>
      <c r="D811" s="61">
        <v>291.3</v>
      </c>
      <c r="E811" s="61">
        <v>15.7</v>
      </c>
      <c r="F811" s="61">
        <v>64.900000000000006</v>
      </c>
      <c r="G811" s="61">
        <v>29.7</v>
      </c>
      <c r="H811" s="61">
        <v>52.1</v>
      </c>
      <c r="I811" s="61">
        <v>13.2</v>
      </c>
      <c r="J811" s="61">
        <v>47</v>
      </c>
      <c r="K811" s="61">
        <v>40.4</v>
      </c>
      <c r="L811" s="61">
        <v>38</v>
      </c>
      <c r="M811" s="61">
        <v>36</v>
      </c>
      <c r="N811" s="61">
        <v>60.9</v>
      </c>
      <c r="O811" s="85">
        <v>25.6</v>
      </c>
      <c r="P811" s="105"/>
      <c r="Q811" s="87">
        <f t="shared" si="76"/>
        <v>1.7635800197247167E-3</v>
      </c>
      <c r="R811" s="87">
        <f t="shared" si="79"/>
        <v>3.9943991441692131E-3</v>
      </c>
      <c r="S811" s="87">
        <f t="shared" si="79"/>
        <v>4.8176280377792069E-3</v>
      </c>
      <c r="T811" s="87">
        <f t="shared" si="79"/>
        <v>1.2820688429061469E-2</v>
      </c>
      <c r="U811" s="87">
        <f t="shared" si="78"/>
        <v>-3.076925504479086E-3</v>
      </c>
      <c r="V811" s="87">
        <f t="shared" si="78"/>
        <v>-3.3613477027048832E-3</v>
      </c>
      <c r="W811" s="87">
        <f t="shared" si="78"/>
        <v>-9.5511709843429677E-3</v>
      </c>
      <c r="X811" s="87">
        <f t="shared" si="78"/>
        <v>7.6045993852192125E-3</v>
      </c>
      <c r="Y811" s="87">
        <f t="shared" si="78"/>
        <v>4.264398786457518E-3</v>
      </c>
      <c r="Z811" s="87">
        <f t="shared" si="78"/>
        <v>-1.4742281737203431E-2</v>
      </c>
      <c r="AA811" s="87">
        <f t="shared" si="80"/>
        <v>-7.8637364602144634E-3</v>
      </c>
      <c r="AB811" s="87">
        <f t="shared" si="80"/>
        <v>1.6807118316381191E-2</v>
      </c>
      <c r="AC811" s="87">
        <f t="shared" si="80"/>
        <v>1.9901154317294806E-2</v>
      </c>
      <c r="AD811" s="87">
        <f t="shared" si="73"/>
        <v>-1.1650617219975139E-2</v>
      </c>
      <c r="AE811" s="90">
        <f t="shared" si="77"/>
        <v>3.1181991233236077E-4</v>
      </c>
    </row>
    <row r="812" spans="1:31" ht="15.5" x14ac:dyDescent="0.35">
      <c r="A812" s="82">
        <v>40942</v>
      </c>
      <c r="B812" s="83">
        <v>8060.4</v>
      </c>
      <c r="C812" s="84">
        <v>2905.7</v>
      </c>
      <c r="D812" s="61">
        <v>294.3</v>
      </c>
      <c r="E812" s="61">
        <v>15.8</v>
      </c>
      <c r="F812" s="61">
        <v>65.099999999999994</v>
      </c>
      <c r="G812" s="61">
        <v>30.1</v>
      </c>
      <c r="H812" s="61">
        <v>52.3</v>
      </c>
      <c r="I812" s="61">
        <v>13.4</v>
      </c>
      <c r="J812" s="61">
        <v>46.9</v>
      </c>
      <c r="K812" s="61">
        <v>41</v>
      </c>
      <c r="L812" s="61">
        <v>38.1</v>
      </c>
      <c r="M812" s="61">
        <v>37</v>
      </c>
      <c r="N812" s="61">
        <v>60.9</v>
      </c>
      <c r="O812" s="85">
        <v>25.8</v>
      </c>
      <c r="P812" s="105"/>
      <c r="Q812" s="87">
        <f t="shared" si="76"/>
        <v>1.4370038227685395E-2</v>
      </c>
      <c r="R812" s="87">
        <f t="shared" si="79"/>
        <v>1.595760090717958E-2</v>
      </c>
      <c r="S812" s="87">
        <f t="shared" si="79"/>
        <v>1.0245991274038227E-2</v>
      </c>
      <c r="T812" s="87">
        <f t="shared" si="79"/>
        <v>6.3492276786587445E-3</v>
      </c>
      <c r="U812" s="87">
        <f t="shared" si="78"/>
        <v>3.0769255044790986E-3</v>
      </c>
      <c r="V812" s="87">
        <f t="shared" si="78"/>
        <v>1.3378125946176269E-2</v>
      </c>
      <c r="W812" s="87">
        <f t="shared" si="78"/>
        <v>3.8314223115558676E-3</v>
      </c>
      <c r="X812" s="87">
        <f t="shared" si="78"/>
        <v>1.5037877364540502E-2</v>
      </c>
      <c r="Y812" s="87">
        <f t="shared" si="78"/>
        <v>-2.1299262578249648E-3</v>
      </c>
      <c r="Z812" s="87">
        <f t="shared" si="78"/>
        <v>1.4742281737203431E-2</v>
      </c>
      <c r="AA812" s="87">
        <f t="shared" si="80"/>
        <v>2.62812240626963E-3</v>
      </c>
      <c r="AB812" s="87">
        <f t="shared" si="80"/>
        <v>2.7398974188114347E-2</v>
      </c>
      <c r="AC812" s="87">
        <f t="shared" si="80"/>
        <v>0</v>
      </c>
      <c r="AD812" s="87">
        <f t="shared" si="73"/>
        <v>7.782140442054949E-3</v>
      </c>
      <c r="AE812" s="90">
        <f t="shared" si="77"/>
        <v>9.6086460037564745E-3</v>
      </c>
    </row>
    <row r="813" spans="1:31" ht="15.5" x14ac:dyDescent="0.35">
      <c r="A813" s="82">
        <v>40945</v>
      </c>
      <c r="B813" s="83">
        <v>8048</v>
      </c>
      <c r="C813" s="84">
        <v>2902</v>
      </c>
      <c r="D813" s="61">
        <v>297.3</v>
      </c>
      <c r="E813" s="61">
        <v>15.8</v>
      </c>
      <c r="F813" s="61">
        <v>65.5</v>
      </c>
      <c r="G813" s="61">
        <v>30</v>
      </c>
      <c r="H813" s="61">
        <v>51.6</v>
      </c>
      <c r="I813" s="61">
        <v>13.8</v>
      </c>
      <c r="J813" s="61">
        <v>46.4</v>
      </c>
      <c r="K813" s="61">
        <v>40.700000000000003</v>
      </c>
      <c r="L813" s="61">
        <v>38.1</v>
      </c>
      <c r="M813" s="61">
        <v>37.299999999999997</v>
      </c>
      <c r="N813" s="61">
        <v>60.7</v>
      </c>
      <c r="O813" s="85">
        <v>25.7</v>
      </c>
      <c r="P813" s="105"/>
      <c r="Q813" s="87">
        <f t="shared" si="76"/>
        <v>-1.5395697212986323E-3</v>
      </c>
      <c r="R813" s="87">
        <f t="shared" si="79"/>
        <v>-1.2741706701731527E-3</v>
      </c>
      <c r="S813" s="87">
        <f t="shared" si="79"/>
        <v>1.0142074764624896E-2</v>
      </c>
      <c r="T813" s="87">
        <f t="shared" si="79"/>
        <v>0</v>
      </c>
      <c r="U813" s="87">
        <f t="shared" si="78"/>
        <v>6.1255934266827971E-3</v>
      </c>
      <c r="V813" s="87">
        <f t="shared" si="78"/>
        <v>-3.327790092674691E-3</v>
      </c>
      <c r="W813" s="87">
        <f t="shared" si="78"/>
        <v>-1.3474698583360046E-2</v>
      </c>
      <c r="X813" s="87">
        <f t="shared" si="78"/>
        <v>2.9413885206293407E-2</v>
      </c>
      <c r="Y813" s="87">
        <f t="shared" si="78"/>
        <v>-1.0718216220024147E-2</v>
      </c>
      <c r="Z813" s="87">
        <f t="shared" si="78"/>
        <v>-7.3439742557583941E-3</v>
      </c>
      <c r="AA813" s="87">
        <f t="shared" si="80"/>
        <v>0</v>
      </c>
      <c r="AB813" s="87">
        <f t="shared" si="80"/>
        <v>8.0754140055453311E-3</v>
      </c>
      <c r="AC813" s="87">
        <f t="shared" si="80"/>
        <v>-3.2894766503986459E-3</v>
      </c>
      <c r="AD813" s="87">
        <f t="shared" si="73"/>
        <v>-3.883500026397633E-3</v>
      </c>
      <c r="AE813" s="90">
        <f t="shared" si="77"/>
        <v>3.8668199078842535E-3</v>
      </c>
    </row>
    <row r="814" spans="1:31" ht="15.5" x14ac:dyDescent="0.35">
      <c r="A814" s="82">
        <v>40946</v>
      </c>
      <c r="B814" s="83">
        <v>8069.7</v>
      </c>
      <c r="C814" s="84">
        <v>2904.1</v>
      </c>
      <c r="D814" s="61">
        <v>302.2</v>
      </c>
      <c r="E814" s="61">
        <v>15.7</v>
      </c>
      <c r="F814" s="61">
        <v>66.400000000000006</v>
      </c>
      <c r="G814" s="61">
        <v>30.1</v>
      </c>
      <c r="H814" s="61">
        <v>52.5</v>
      </c>
      <c r="I814" s="61">
        <v>13.7</v>
      </c>
      <c r="J814" s="61">
        <v>45.7</v>
      </c>
      <c r="K814" s="61">
        <v>40.9</v>
      </c>
      <c r="L814" s="61">
        <v>38.299999999999997</v>
      </c>
      <c r="M814" s="61">
        <v>37.200000000000003</v>
      </c>
      <c r="N814" s="61">
        <v>60.7</v>
      </c>
      <c r="O814" s="85">
        <v>25.7</v>
      </c>
      <c r="P814" s="105"/>
      <c r="Q814" s="87">
        <f t="shared" si="76"/>
        <v>2.6926935122873435E-3</v>
      </c>
      <c r="R814" s="87">
        <f t="shared" si="79"/>
        <v>7.2337716938143724E-4</v>
      </c>
      <c r="S814" s="87">
        <f t="shared" si="79"/>
        <v>1.6347319834587065E-2</v>
      </c>
      <c r="T814" s="87">
        <f t="shared" si="79"/>
        <v>-6.3492276786588919E-3</v>
      </c>
      <c r="U814" s="87">
        <f t="shared" si="78"/>
        <v>1.3646913841182108E-2</v>
      </c>
      <c r="V814" s="87">
        <f t="shared" si="78"/>
        <v>3.3277900926747457E-3</v>
      </c>
      <c r="W814" s="87">
        <f t="shared" si="78"/>
        <v>1.7291497110061043E-2</v>
      </c>
      <c r="X814" s="87">
        <f t="shared" si="78"/>
        <v>-7.2727593290799206E-3</v>
      </c>
      <c r="Y814" s="87">
        <f t="shared" si="78"/>
        <v>-1.520116133205044E-2</v>
      </c>
      <c r="Z814" s="87">
        <f t="shared" si="78"/>
        <v>4.9019706002066876E-3</v>
      </c>
      <c r="AA814" s="87">
        <f t="shared" si="80"/>
        <v>5.2356140539449427E-3</v>
      </c>
      <c r="AB814" s="87">
        <f t="shared" si="80"/>
        <v>-2.6845653706688757E-3</v>
      </c>
      <c r="AC814" s="87">
        <f t="shared" si="80"/>
        <v>0</v>
      </c>
      <c r="AD814" s="87">
        <f t="shared" si="73"/>
        <v>0</v>
      </c>
      <c r="AE814" s="90">
        <f t="shared" si="77"/>
        <v>8.9049271622916801E-3</v>
      </c>
    </row>
    <row r="815" spans="1:31" ht="15.5" x14ac:dyDescent="0.35">
      <c r="A815" s="82">
        <v>40947</v>
      </c>
      <c r="B815" s="83">
        <v>8083</v>
      </c>
      <c r="C815" s="84">
        <v>2915.9</v>
      </c>
      <c r="D815" s="61">
        <v>302.7</v>
      </c>
      <c r="E815" s="61">
        <v>15.7</v>
      </c>
      <c r="F815" s="61">
        <v>67.099999999999994</v>
      </c>
      <c r="G815" s="61">
        <v>30.2</v>
      </c>
      <c r="H815" s="61">
        <v>52.2</v>
      </c>
      <c r="I815" s="61">
        <v>13.8</v>
      </c>
      <c r="J815" s="61">
        <v>45.9</v>
      </c>
      <c r="K815" s="61">
        <v>42</v>
      </c>
      <c r="L815" s="61">
        <v>38.200000000000003</v>
      </c>
      <c r="M815" s="61">
        <v>37.4</v>
      </c>
      <c r="N815" s="61">
        <v>61.9</v>
      </c>
      <c r="O815" s="85">
        <v>26.1</v>
      </c>
      <c r="P815" s="105"/>
      <c r="Q815" s="87">
        <f t="shared" si="76"/>
        <v>1.6467838820365219E-3</v>
      </c>
      <c r="R815" s="87">
        <f t="shared" si="79"/>
        <v>4.0549883741846943E-3</v>
      </c>
      <c r="S815" s="87">
        <f t="shared" si="79"/>
        <v>1.6531661890338307E-3</v>
      </c>
      <c r="T815" s="87">
        <f t="shared" si="79"/>
        <v>0</v>
      </c>
      <c r="U815" s="87">
        <f t="shared" si="78"/>
        <v>1.0486987495247851E-2</v>
      </c>
      <c r="V815" s="87">
        <f t="shared" si="78"/>
        <v>3.3167526259938207E-3</v>
      </c>
      <c r="W815" s="87">
        <f t="shared" si="78"/>
        <v>-5.7306747089849834E-3</v>
      </c>
      <c r="X815" s="87">
        <f t="shared" si="78"/>
        <v>7.2727593290798781E-3</v>
      </c>
      <c r="Y815" s="87">
        <f t="shared" si="78"/>
        <v>4.3668191663403895E-3</v>
      </c>
      <c r="Z815" s="87">
        <f t="shared" si="78"/>
        <v>2.6539555234612312E-2</v>
      </c>
      <c r="AA815" s="87">
        <f t="shared" si="80"/>
        <v>-2.6143805740707093E-3</v>
      </c>
      <c r="AB815" s="87">
        <f t="shared" si="80"/>
        <v>5.3619431413853731E-3</v>
      </c>
      <c r="AC815" s="87">
        <f t="shared" si="80"/>
        <v>1.9576481625097727E-2</v>
      </c>
      <c r="AD815" s="87">
        <f t="shared" si="73"/>
        <v>1.5444322427473775E-2</v>
      </c>
      <c r="AE815" s="90">
        <f t="shared" si="77"/>
        <v>6.5753330225354518E-3</v>
      </c>
    </row>
    <row r="816" spans="1:31" ht="15.5" x14ac:dyDescent="0.35">
      <c r="A816" s="82">
        <v>40948</v>
      </c>
      <c r="B816" s="83">
        <v>8081.3</v>
      </c>
      <c r="C816" s="84">
        <v>2927.2</v>
      </c>
      <c r="D816" s="61">
        <v>304.8</v>
      </c>
      <c r="E816" s="61">
        <v>15.9</v>
      </c>
      <c r="F816" s="61">
        <v>68.7</v>
      </c>
      <c r="G816" s="61">
        <v>30.5</v>
      </c>
      <c r="H816" s="61">
        <v>52.8</v>
      </c>
      <c r="I816" s="61">
        <v>14</v>
      </c>
      <c r="J816" s="61">
        <v>45.7</v>
      </c>
      <c r="K816" s="61">
        <v>42.3</v>
      </c>
      <c r="L816" s="61">
        <v>38.1</v>
      </c>
      <c r="M816" s="61">
        <v>36.9</v>
      </c>
      <c r="N816" s="61">
        <v>62.2</v>
      </c>
      <c r="O816" s="85">
        <v>26.3</v>
      </c>
      <c r="P816" s="105"/>
      <c r="Q816" s="87">
        <f t="shared" si="76"/>
        <v>-2.1034007117754308E-4</v>
      </c>
      <c r="R816" s="87">
        <f t="shared" si="79"/>
        <v>3.8678147172976195E-3</v>
      </c>
      <c r="S816" s="87">
        <f t="shared" si="79"/>
        <v>6.9136077848182794E-3</v>
      </c>
      <c r="T816" s="87">
        <f t="shared" si="79"/>
        <v>1.2658396871923465E-2</v>
      </c>
      <c r="U816" s="87">
        <f t="shared" si="78"/>
        <v>2.3565155250667751E-2</v>
      </c>
      <c r="V816" s="87">
        <f t="shared" si="78"/>
        <v>9.8847592325419249E-3</v>
      </c>
      <c r="W816" s="87">
        <f t="shared" si="78"/>
        <v>1.1428695823622629E-2</v>
      </c>
      <c r="X816" s="87">
        <f t="shared" si="78"/>
        <v>1.4388737452099452E-2</v>
      </c>
      <c r="Y816" s="87">
        <f t="shared" si="78"/>
        <v>-4.3668191663404025E-3</v>
      </c>
      <c r="Z816" s="87">
        <f t="shared" si="78"/>
        <v>7.1174677688639549E-3</v>
      </c>
      <c r="AA816" s="87">
        <f t="shared" si="80"/>
        <v>-2.6212334798743041E-3</v>
      </c>
      <c r="AB816" s="87">
        <f t="shared" si="80"/>
        <v>-1.3459153374004801E-2</v>
      </c>
      <c r="AC816" s="87">
        <f t="shared" si="80"/>
        <v>4.8348200545833111E-3</v>
      </c>
      <c r="AD816" s="87">
        <f t="shared" si="73"/>
        <v>7.6336248550712051E-3</v>
      </c>
      <c r="AE816" s="90">
        <f t="shared" si="77"/>
        <v>1.0849478248096126E-2</v>
      </c>
    </row>
    <row r="817" spans="1:31" ht="15.5" x14ac:dyDescent="0.35">
      <c r="A817" s="82">
        <v>40949</v>
      </c>
      <c r="B817" s="83">
        <v>7992</v>
      </c>
      <c r="C817" s="84">
        <v>2903.9</v>
      </c>
      <c r="D817" s="61">
        <v>302.3</v>
      </c>
      <c r="E817" s="61">
        <v>16</v>
      </c>
      <c r="F817" s="61">
        <v>69.8</v>
      </c>
      <c r="G817" s="61">
        <v>30.4</v>
      </c>
      <c r="H817" s="61">
        <v>53.7</v>
      </c>
      <c r="I817" s="61">
        <v>13.8</v>
      </c>
      <c r="J817" s="61">
        <v>44.4</v>
      </c>
      <c r="K817" s="61">
        <v>42.1</v>
      </c>
      <c r="L817" s="61">
        <v>37.799999999999997</v>
      </c>
      <c r="M817" s="61">
        <v>36.299999999999997</v>
      </c>
      <c r="N817" s="61">
        <v>61.4</v>
      </c>
      <c r="O817" s="85">
        <v>26.2</v>
      </c>
      <c r="P817" s="105"/>
      <c r="Q817" s="87">
        <f t="shared" si="76"/>
        <v>-1.1111709334277353E-2</v>
      </c>
      <c r="R817" s="87">
        <f t="shared" si="79"/>
        <v>-7.9916736149254694E-3</v>
      </c>
      <c r="S817" s="87">
        <f t="shared" si="79"/>
        <v>-8.2359220270788631E-3</v>
      </c>
      <c r="T817" s="87">
        <f t="shared" si="79"/>
        <v>6.269613013595395E-3</v>
      </c>
      <c r="U817" s="87">
        <f t="shared" si="78"/>
        <v>1.5884810540023133E-2</v>
      </c>
      <c r="V817" s="87">
        <f t="shared" si="78"/>
        <v>-3.2840752011899961E-3</v>
      </c>
      <c r="W817" s="87">
        <f t="shared" si="78"/>
        <v>1.6901810802603254E-2</v>
      </c>
      <c r="X817" s="87">
        <f t="shared" si="78"/>
        <v>-1.4388737452099556E-2</v>
      </c>
      <c r="Y817" s="87">
        <f t="shared" si="78"/>
        <v>-2.8858828461980075E-2</v>
      </c>
      <c r="Z817" s="87">
        <f t="shared" si="78"/>
        <v>-4.7393453638964475E-3</v>
      </c>
      <c r="AA817" s="87">
        <f t="shared" si="80"/>
        <v>-7.9051795071133739E-3</v>
      </c>
      <c r="AB817" s="87">
        <f t="shared" si="80"/>
        <v>-1.6393809775676497E-2</v>
      </c>
      <c r="AC817" s="87">
        <f t="shared" si="80"/>
        <v>-1.2945164592037076E-2</v>
      </c>
      <c r="AD817" s="87">
        <f t="shared" si="73"/>
        <v>-3.8095284166677302E-3</v>
      </c>
      <c r="AE817" s="90">
        <f t="shared" si="77"/>
        <v>-7.2763223690955944E-4</v>
      </c>
    </row>
    <row r="818" spans="1:31" ht="15.5" x14ac:dyDescent="0.35">
      <c r="A818" s="82">
        <v>40952</v>
      </c>
      <c r="B818" s="83">
        <v>8056.2</v>
      </c>
      <c r="C818" s="84">
        <v>2931.4</v>
      </c>
      <c r="D818" s="61">
        <v>305.3</v>
      </c>
      <c r="E818" s="61">
        <v>16.100000000000001</v>
      </c>
      <c r="F818" s="61">
        <v>71</v>
      </c>
      <c r="G818" s="61">
        <v>30.4</v>
      </c>
      <c r="H818" s="61">
        <v>53.9</v>
      </c>
      <c r="I818" s="61">
        <v>14</v>
      </c>
      <c r="J818" s="61">
        <v>44.6</v>
      </c>
      <c r="K818" s="61">
        <v>41.9</v>
      </c>
      <c r="L818" s="61">
        <v>37.9</v>
      </c>
      <c r="M818" s="61">
        <v>37.1</v>
      </c>
      <c r="N818" s="61">
        <v>61.1</v>
      </c>
      <c r="O818" s="85">
        <v>26.2</v>
      </c>
      <c r="P818" s="105"/>
      <c r="Q818" s="87">
        <f t="shared" si="76"/>
        <v>8.0009399783278722E-3</v>
      </c>
      <c r="R818" s="87">
        <f t="shared" si="79"/>
        <v>9.4254635031287802E-3</v>
      </c>
      <c r="S818" s="87">
        <f t="shared" si="79"/>
        <v>9.8749979554198647E-3</v>
      </c>
      <c r="T818" s="87">
        <f t="shared" si="79"/>
        <v>6.2305497506361628E-3</v>
      </c>
      <c r="U818" s="87">
        <f t="shared" si="78"/>
        <v>1.70458672729886E-2</v>
      </c>
      <c r="V818" s="87">
        <f t="shared" si="78"/>
        <v>0</v>
      </c>
      <c r="W818" s="87">
        <f t="shared" si="78"/>
        <v>3.7174764001323521E-3</v>
      </c>
      <c r="X818" s="87">
        <f t="shared" si="78"/>
        <v>1.4388737452099452E-2</v>
      </c>
      <c r="Y818" s="87">
        <f t="shared" si="78"/>
        <v>4.4943895878392674E-3</v>
      </c>
      <c r="Z818" s="87">
        <f t="shared" si="78"/>
        <v>-4.7619137602437026E-3</v>
      </c>
      <c r="AA818" s="87">
        <f t="shared" si="80"/>
        <v>2.6420094628387975E-3</v>
      </c>
      <c r="AB818" s="87">
        <f t="shared" si="80"/>
        <v>2.1799228342584579E-2</v>
      </c>
      <c r="AC818" s="87">
        <f t="shared" si="80"/>
        <v>-4.8979689755471421E-3</v>
      </c>
      <c r="AD818" s="87">
        <f t="shared" si="73"/>
        <v>0</v>
      </c>
      <c r="AE818" s="90">
        <f t="shared" si="77"/>
        <v>1.0590392632258357E-2</v>
      </c>
    </row>
    <row r="819" spans="1:31" ht="15.5" x14ac:dyDescent="0.35">
      <c r="A819" s="82">
        <v>40953</v>
      </c>
      <c r="B819" s="83">
        <v>8029.6</v>
      </c>
      <c r="C819" s="84">
        <v>2931.8</v>
      </c>
      <c r="D819" s="61">
        <v>302.7</v>
      </c>
      <c r="E819" s="61">
        <v>14.9</v>
      </c>
      <c r="F819" s="61">
        <v>71.7</v>
      </c>
      <c r="G819" s="61">
        <v>29.9</v>
      </c>
      <c r="H819" s="61">
        <v>53.4</v>
      </c>
      <c r="I819" s="61">
        <v>12.7</v>
      </c>
      <c r="J819" s="61">
        <v>43.9</v>
      </c>
      <c r="K819" s="61">
        <v>41.8</v>
      </c>
      <c r="L819" s="61">
        <v>38</v>
      </c>
      <c r="M819" s="61">
        <v>36.700000000000003</v>
      </c>
      <c r="N819" s="61">
        <v>60.9</v>
      </c>
      <c r="O819" s="85">
        <v>26.1</v>
      </c>
      <c r="P819" s="105"/>
      <c r="Q819" s="87">
        <f t="shared" si="76"/>
        <v>-3.3072678071268324E-3</v>
      </c>
      <c r="R819" s="87">
        <f t="shared" si="79"/>
        <v>1.364442627305618E-4</v>
      </c>
      <c r="S819" s="87">
        <f t="shared" si="79"/>
        <v>-8.552683713159254E-3</v>
      </c>
      <c r="T819" s="87">
        <f t="shared" si="79"/>
        <v>-7.7458059039003893E-2</v>
      </c>
      <c r="U819" s="87">
        <f t="shared" si="78"/>
        <v>9.8108705642592393E-3</v>
      </c>
      <c r="V819" s="87">
        <f t="shared" si="78"/>
        <v>-1.6584128015535295E-2</v>
      </c>
      <c r="W819" s="87">
        <f t="shared" si="78"/>
        <v>-9.319731948802366E-3</v>
      </c>
      <c r="X819" s="87">
        <f t="shared" si="78"/>
        <v>-9.7455336150713029E-2</v>
      </c>
      <c r="Y819" s="87">
        <f t="shared" si="78"/>
        <v>-1.5819538944892766E-2</v>
      </c>
      <c r="Z819" s="87">
        <f t="shared" si="78"/>
        <v>-2.3894873973814672E-3</v>
      </c>
      <c r="AA819" s="87">
        <f t="shared" si="80"/>
        <v>2.6350476380052534E-3</v>
      </c>
      <c r="AB819" s="87">
        <f t="shared" si="80"/>
        <v>-1.0840214552864833E-2</v>
      </c>
      <c r="AC819" s="87">
        <f t="shared" si="80"/>
        <v>-3.2786914616983469E-3</v>
      </c>
      <c r="AD819" s="87">
        <f t="shared" si="73"/>
        <v>-3.8240964384033942E-3</v>
      </c>
      <c r="AE819" s="90">
        <f t="shared" si="77"/>
        <v>-1.2252417826005439E-4</v>
      </c>
    </row>
    <row r="820" spans="1:31" ht="15.5" x14ac:dyDescent="0.35">
      <c r="A820" s="82">
        <v>40954</v>
      </c>
      <c r="B820" s="83">
        <v>7998.6</v>
      </c>
      <c r="C820" s="84">
        <v>2915.8</v>
      </c>
      <c r="D820" s="61">
        <v>301.60000000000002</v>
      </c>
      <c r="E820" s="61">
        <v>15.1</v>
      </c>
      <c r="F820" s="61">
        <v>71</v>
      </c>
      <c r="G820" s="61">
        <v>30</v>
      </c>
      <c r="H820" s="61">
        <v>53</v>
      </c>
      <c r="I820" s="61">
        <v>13.1</v>
      </c>
      <c r="J820" s="61">
        <v>44.2</v>
      </c>
      <c r="K820" s="61">
        <v>41.8</v>
      </c>
      <c r="L820" s="61">
        <v>37.9</v>
      </c>
      <c r="M820" s="61">
        <v>37.700000000000003</v>
      </c>
      <c r="N820" s="61">
        <v>60.9</v>
      </c>
      <c r="O820" s="85">
        <v>26.6</v>
      </c>
      <c r="P820" s="105"/>
      <c r="Q820" s="87">
        <f t="shared" si="76"/>
        <v>-3.868187151904289E-3</v>
      </c>
      <c r="R820" s="87">
        <f t="shared" si="79"/>
        <v>-5.4723441852091992E-3</v>
      </c>
      <c r="S820" s="87">
        <f t="shared" si="79"/>
        <v>-3.6405798938718842E-3</v>
      </c>
      <c r="T820" s="87">
        <f t="shared" si="79"/>
        <v>1.3333530869465168E-2</v>
      </c>
      <c r="U820" s="87">
        <f t="shared" si="78"/>
        <v>-9.8108705642593348E-3</v>
      </c>
      <c r="V820" s="87">
        <f t="shared" si="78"/>
        <v>3.3389012655146303E-3</v>
      </c>
      <c r="W820" s="87">
        <f t="shared" si="78"/>
        <v>-7.5188324140273398E-3</v>
      </c>
      <c r="X820" s="87">
        <f t="shared" si="78"/>
        <v>3.1010236742560218E-2</v>
      </c>
      <c r="Y820" s="87">
        <f t="shared" si="78"/>
        <v>6.8104690025268793E-3</v>
      </c>
      <c r="Z820" s="87">
        <f t="shared" si="78"/>
        <v>0</v>
      </c>
      <c r="AA820" s="87">
        <f t="shared" si="80"/>
        <v>-2.6350476380051138E-3</v>
      </c>
      <c r="AB820" s="87">
        <f t="shared" si="80"/>
        <v>2.688333939344045E-2</v>
      </c>
      <c r="AC820" s="87">
        <f t="shared" si="80"/>
        <v>0</v>
      </c>
      <c r="AD820" s="87">
        <f t="shared" si="73"/>
        <v>1.8975901459005604E-2</v>
      </c>
      <c r="AE820" s="90">
        <f t="shared" si="77"/>
        <v>-3.2049810885489151E-3</v>
      </c>
    </row>
    <row r="821" spans="1:31" ht="15.5" x14ac:dyDescent="0.35">
      <c r="A821" s="82">
        <v>40955</v>
      </c>
      <c r="B821" s="83">
        <v>8092.2</v>
      </c>
      <c r="C821" s="84">
        <v>2959.9</v>
      </c>
      <c r="D821" s="61">
        <v>299.2</v>
      </c>
      <c r="E821" s="61">
        <v>15.1</v>
      </c>
      <c r="F821" s="61">
        <v>69.5</v>
      </c>
      <c r="G821" s="61">
        <v>30.3</v>
      </c>
      <c r="H821" s="61">
        <v>52</v>
      </c>
      <c r="I821" s="61">
        <v>13</v>
      </c>
      <c r="J821" s="61">
        <v>44.5</v>
      </c>
      <c r="K821" s="61">
        <v>41.8</v>
      </c>
      <c r="L821" s="61">
        <v>37.799999999999997</v>
      </c>
      <c r="M821" s="61">
        <v>37.299999999999997</v>
      </c>
      <c r="N821" s="61">
        <v>61</v>
      </c>
      <c r="O821" s="85">
        <v>26.4</v>
      </c>
      <c r="P821" s="105"/>
      <c r="Q821" s="87">
        <f t="shared" si="76"/>
        <v>1.1634108403180552E-2</v>
      </c>
      <c r="R821" s="87">
        <f t="shared" si="79"/>
        <v>1.5011259292915911E-2</v>
      </c>
      <c r="S821" s="87">
        <f t="shared" si="79"/>
        <v>-7.9893900334789755E-3</v>
      </c>
      <c r="T821" s="87">
        <f t="shared" si="79"/>
        <v>0</v>
      </c>
      <c r="U821" s="87">
        <f t="shared" si="78"/>
        <v>-2.1353124470568946E-2</v>
      </c>
      <c r="V821" s="87">
        <f t="shared" si="78"/>
        <v>9.950330853168092E-3</v>
      </c>
      <c r="W821" s="87">
        <f t="shared" si="78"/>
        <v>-1.9048194970694474E-2</v>
      </c>
      <c r="X821" s="87">
        <f t="shared" si="78"/>
        <v>-7.6628727455691371E-3</v>
      </c>
      <c r="Y821" s="87">
        <f t="shared" si="78"/>
        <v>6.7644000885420628E-3</v>
      </c>
      <c r="Z821" s="87">
        <f t="shared" si="78"/>
        <v>0</v>
      </c>
      <c r="AA821" s="87">
        <f t="shared" si="80"/>
        <v>-2.6420094628386965E-3</v>
      </c>
      <c r="AB821" s="87">
        <f t="shared" si="80"/>
        <v>-1.0666767804195416E-2</v>
      </c>
      <c r="AC821" s="87">
        <f t="shared" si="80"/>
        <v>1.6406894574600179E-3</v>
      </c>
      <c r="AD821" s="87">
        <f t="shared" si="80"/>
        <v>-7.5472056353829663E-3</v>
      </c>
      <c r="AE821" s="90">
        <f t="shared" si="77"/>
        <v>-4.8624449579116793E-3</v>
      </c>
    </row>
    <row r="822" spans="1:31" ht="15.5" x14ac:dyDescent="0.35">
      <c r="A822" s="82">
        <v>40956</v>
      </c>
      <c r="B822" s="83">
        <v>8114.5</v>
      </c>
      <c r="C822" s="84">
        <v>2951.8</v>
      </c>
      <c r="D822" s="61">
        <v>301.5</v>
      </c>
      <c r="E822" s="61">
        <v>15</v>
      </c>
      <c r="F822" s="61">
        <v>71.5</v>
      </c>
      <c r="G822" s="61">
        <v>31</v>
      </c>
      <c r="H822" s="61">
        <v>52.2</v>
      </c>
      <c r="I822" s="61">
        <v>13.2</v>
      </c>
      <c r="J822" s="61">
        <v>45.6</v>
      </c>
      <c r="K822" s="61">
        <v>41.8</v>
      </c>
      <c r="L822" s="61">
        <v>38.299999999999997</v>
      </c>
      <c r="M822" s="61">
        <v>38.5</v>
      </c>
      <c r="N822" s="61">
        <v>61.1</v>
      </c>
      <c r="O822" s="85">
        <v>26.6</v>
      </c>
      <c r="P822" s="105"/>
      <c r="Q822" s="87">
        <f t="shared" si="76"/>
        <v>2.7519500050698039E-3</v>
      </c>
      <c r="R822" s="87">
        <f t="shared" si="79"/>
        <v>-2.7403302159618977E-3</v>
      </c>
      <c r="S822" s="87">
        <f t="shared" si="79"/>
        <v>7.6577700669180678E-3</v>
      </c>
      <c r="T822" s="87">
        <f t="shared" si="79"/>
        <v>-6.6445427186685013E-3</v>
      </c>
      <c r="U822" s="87">
        <f t="shared" si="78"/>
        <v>2.8370697129215566E-2</v>
      </c>
      <c r="V822" s="87">
        <f t="shared" si="78"/>
        <v>2.2839491969822736E-2</v>
      </c>
      <c r="W822" s="87">
        <f t="shared" si="78"/>
        <v>3.8387763071656669E-3</v>
      </c>
      <c r="X822" s="87">
        <f t="shared" si="78"/>
        <v>1.5267472130788381E-2</v>
      </c>
      <c r="Y822" s="87">
        <f t="shared" si="78"/>
        <v>2.4418527348145796E-2</v>
      </c>
      <c r="Z822" s="87">
        <f t="shared" si="78"/>
        <v>0</v>
      </c>
      <c r="AA822" s="87">
        <f t="shared" si="80"/>
        <v>1.3140793561058328E-2</v>
      </c>
      <c r="AB822" s="87">
        <f t="shared" si="80"/>
        <v>3.16649146439687E-2</v>
      </c>
      <c r="AC822" s="87">
        <f t="shared" si="80"/>
        <v>1.6380020042383698E-3</v>
      </c>
      <c r="AD822" s="87">
        <f t="shared" si="80"/>
        <v>7.5472056353831241E-3</v>
      </c>
      <c r="AE822" s="90">
        <f t="shared" si="77"/>
        <v>1.0450148241237009E-2</v>
      </c>
    </row>
    <row r="823" spans="1:31" ht="15.5" x14ac:dyDescent="0.35">
      <c r="A823" s="82">
        <v>40960</v>
      </c>
      <c r="B823" s="83">
        <v>8115.4</v>
      </c>
      <c r="C823" s="84">
        <v>2948.6</v>
      </c>
      <c r="D823" s="61">
        <v>301.7</v>
      </c>
      <c r="E823" s="61">
        <v>14.8</v>
      </c>
      <c r="F823" s="61">
        <v>72</v>
      </c>
      <c r="G823" s="61">
        <v>31.2</v>
      </c>
      <c r="H823" s="61">
        <v>51.7</v>
      </c>
      <c r="I823" s="61">
        <v>13.4</v>
      </c>
      <c r="J823" s="61">
        <v>46.2</v>
      </c>
      <c r="K823" s="61">
        <v>41.1</v>
      </c>
      <c r="L823" s="61">
        <v>38.1</v>
      </c>
      <c r="M823" s="61">
        <v>38.6</v>
      </c>
      <c r="N823" s="61">
        <v>60.8</v>
      </c>
      <c r="O823" s="85">
        <v>26.2</v>
      </c>
      <c r="P823" s="105"/>
      <c r="Q823" s="87">
        <f t="shared" si="76"/>
        <v>1.1090641358504418E-4</v>
      </c>
      <c r="R823" s="87">
        <f t="shared" si="79"/>
        <v>-1.0846723319562742E-3</v>
      </c>
      <c r="S823" s="87">
        <f t="shared" si="79"/>
        <v>6.6312999777518402E-4</v>
      </c>
      <c r="T823" s="87">
        <f t="shared" si="79"/>
        <v>-1.3423020332140661E-2</v>
      </c>
      <c r="U823" s="87">
        <f t="shared" si="78"/>
        <v>6.9686693160934355E-3</v>
      </c>
      <c r="V823" s="87">
        <f t="shared" si="78"/>
        <v>6.4308903302903314E-3</v>
      </c>
      <c r="W823" s="87">
        <f t="shared" si="78"/>
        <v>-9.6247133742095575E-3</v>
      </c>
      <c r="X823" s="87">
        <f t="shared" si="78"/>
        <v>1.5037877364540502E-2</v>
      </c>
      <c r="Y823" s="87">
        <f t="shared" si="78"/>
        <v>1.3072081567352701E-2</v>
      </c>
      <c r="Z823" s="87">
        <f t="shared" si="78"/>
        <v>-1.6888218028521626E-2</v>
      </c>
      <c r="AA823" s="87">
        <f t="shared" si="80"/>
        <v>-5.2356140539449401E-3</v>
      </c>
      <c r="AB823" s="87">
        <f t="shared" si="80"/>
        <v>2.594035177046749E-3</v>
      </c>
      <c r="AC823" s="87">
        <f t="shared" si="80"/>
        <v>-4.9220772054283319E-3</v>
      </c>
      <c r="AD823" s="87">
        <f t="shared" si="80"/>
        <v>-1.5151805020602333E-2</v>
      </c>
      <c r="AE823" s="90">
        <f t="shared" si="77"/>
        <v>1.995035268039934E-5</v>
      </c>
    </row>
    <row r="824" spans="1:31" ht="15.5" x14ac:dyDescent="0.35">
      <c r="A824" s="82">
        <v>40961</v>
      </c>
      <c r="B824" s="83">
        <v>8094.4</v>
      </c>
      <c r="C824" s="84">
        <v>2933.2</v>
      </c>
      <c r="D824" s="61">
        <v>303.7</v>
      </c>
      <c r="E824" s="61">
        <v>14.4</v>
      </c>
      <c r="F824" s="61">
        <v>72.7</v>
      </c>
      <c r="G824" s="61">
        <v>31.2</v>
      </c>
      <c r="H824" s="61">
        <v>51.3</v>
      </c>
      <c r="I824" s="61">
        <v>13.1</v>
      </c>
      <c r="J824" s="61">
        <v>47.1</v>
      </c>
      <c r="K824" s="61">
        <v>41.2</v>
      </c>
      <c r="L824" s="61">
        <v>37.9</v>
      </c>
      <c r="M824" s="61">
        <v>37.799999999999997</v>
      </c>
      <c r="N824" s="61">
        <v>60.8</v>
      </c>
      <c r="O824" s="85">
        <v>26.2</v>
      </c>
      <c r="P824" s="105"/>
      <c r="Q824" s="87">
        <f t="shared" si="76"/>
        <v>-2.5910266318501293E-3</v>
      </c>
      <c r="R824" s="87">
        <f t="shared" si="79"/>
        <v>-5.236504196074924E-3</v>
      </c>
      <c r="S824" s="87">
        <f t="shared" si="79"/>
        <v>6.6072258866876508E-3</v>
      </c>
      <c r="T824" s="87">
        <f t="shared" si="79"/>
        <v>-2.7398974188114503E-2</v>
      </c>
      <c r="U824" s="87">
        <f t="shared" si="78"/>
        <v>9.6752655234183371E-3</v>
      </c>
      <c r="V824" s="87">
        <f t="shared" si="78"/>
        <v>0</v>
      </c>
      <c r="W824" s="87">
        <f t="shared" si="78"/>
        <v>-7.7670293376596589E-3</v>
      </c>
      <c r="X824" s="87">
        <f t="shared" si="78"/>
        <v>-2.2642476749759891E-2</v>
      </c>
      <c r="Y824" s="87">
        <f t="shared" si="78"/>
        <v>1.9293202934678851E-2</v>
      </c>
      <c r="Z824" s="87">
        <f t="shared" si="78"/>
        <v>2.4301348532918907E-3</v>
      </c>
      <c r="AA824" s="87">
        <f t="shared" si="80"/>
        <v>-5.263170044274644E-3</v>
      </c>
      <c r="AB824" s="87">
        <f t="shared" si="80"/>
        <v>-2.0943173845243249E-2</v>
      </c>
      <c r="AC824" s="87">
        <f t="shared" si="80"/>
        <v>0</v>
      </c>
      <c r="AD824" s="87">
        <f t="shared" si="80"/>
        <v>0</v>
      </c>
      <c r="AE824" s="90">
        <f t="shared" si="77"/>
        <v>3.131260759963261E-3</v>
      </c>
    </row>
    <row r="825" spans="1:31" ht="15.5" x14ac:dyDescent="0.35">
      <c r="A825" s="82">
        <v>40962</v>
      </c>
      <c r="B825" s="83">
        <v>8136.1</v>
      </c>
      <c r="C825" s="84">
        <v>2957</v>
      </c>
      <c r="D825" s="61">
        <v>300.5</v>
      </c>
      <c r="E825" s="61">
        <v>14.4</v>
      </c>
      <c r="F825" s="61">
        <v>72.8</v>
      </c>
      <c r="G825" s="61">
        <v>31</v>
      </c>
      <c r="H825" s="61">
        <v>51.4</v>
      </c>
      <c r="I825" s="61">
        <v>13</v>
      </c>
      <c r="J825" s="61">
        <v>46.2</v>
      </c>
      <c r="K825" s="61">
        <v>40.9</v>
      </c>
      <c r="L825" s="61">
        <v>38.1</v>
      </c>
      <c r="M825" s="61">
        <v>37.700000000000003</v>
      </c>
      <c r="N825" s="61">
        <v>60.7</v>
      </c>
      <c r="O825" s="85">
        <v>26.4</v>
      </c>
      <c r="P825" s="105"/>
      <c r="Q825" s="87">
        <f t="shared" si="76"/>
        <v>5.1384851673041158E-3</v>
      </c>
      <c r="R825" s="87">
        <f t="shared" si="79"/>
        <v>8.081263632832892E-3</v>
      </c>
      <c r="S825" s="87">
        <f t="shared" si="79"/>
        <v>-1.0592618076440737E-2</v>
      </c>
      <c r="T825" s="87">
        <f t="shared" si="79"/>
        <v>0</v>
      </c>
      <c r="U825" s="87">
        <f t="shared" si="78"/>
        <v>1.3745706631665632E-3</v>
      </c>
      <c r="V825" s="87">
        <f t="shared" si="78"/>
        <v>-6.4308903302904025E-3</v>
      </c>
      <c r="W825" s="87">
        <f t="shared" si="78"/>
        <v>1.9474202843956288E-3</v>
      </c>
      <c r="X825" s="87">
        <f t="shared" si="78"/>
        <v>-7.6628727455691371E-3</v>
      </c>
      <c r="Y825" s="87">
        <f t="shared" si="78"/>
        <v>-1.9293202934678896E-2</v>
      </c>
      <c r="Z825" s="87">
        <f t="shared" si="78"/>
        <v>-7.3081933067247525E-3</v>
      </c>
      <c r="AA825" s="87">
        <f t="shared" si="80"/>
        <v>5.2631700442746909E-3</v>
      </c>
      <c r="AB825" s="87">
        <f t="shared" si="80"/>
        <v>-2.6490081715767307E-3</v>
      </c>
      <c r="AC825" s="87">
        <f t="shared" si="80"/>
        <v>-1.6460909066686805E-3</v>
      </c>
      <c r="AD825" s="87">
        <f t="shared" si="80"/>
        <v>7.6045993852192125E-3</v>
      </c>
      <c r="AE825" s="90">
        <f t="shared" si="77"/>
        <v>6.3857495409148316E-4</v>
      </c>
    </row>
    <row r="826" spans="1:31" ht="15.5" x14ac:dyDescent="0.35">
      <c r="A826" s="82">
        <v>40963</v>
      </c>
      <c r="B826" s="83">
        <v>8152</v>
      </c>
      <c r="C826" s="84">
        <v>2963.8</v>
      </c>
      <c r="D826" s="61">
        <v>303.10000000000002</v>
      </c>
      <c r="E826" s="61">
        <v>14.8</v>
      </c>
      <c r="F826" s="61">
        <v>74.099999999999994</v>
      </c>
      <c r="G826" s="61">
        <v>31.2</v>
      </c>
      <c r="H826" s="61">
        <v>51.9</v>
      </c>
      <c r="I826" s="61">
        <v>13.1</v>
      </c>
      <c r="J826" s="61">
        <v>46.4</v>
      </c>
      <c r="K826" s="61">
        <v>40.9</v>
      </c>
      <c r="L826" s="61">
        <v>38.1</v>
      </c>
      <c r="M826" s="61">
        <v>37.700000000000003</v>
      </c>
      <c r="N826" s="61">
        <v>60.7</v>
      </c>
      <c r="O826" s="85">
        <v>26.4</v>
      </c>
      <c r="P826" s="105"/>
      <c r="Q826" s="87">
        <f t="shared" si="76"/>
        <v>1.9523461975850373E-3</v>
      </c>
      <c r="R826" s="87">
        <f t="shared" si="79"/>
        <v>2.2969879036008963E-3</v>
      </c>
      <c r="S826" s="87">
        <f t="shared" si="79"/>
        <v>8.6150300884953231E-3</v>
      </c>
      <c r="T826" s="87">
        <f t="shared" si="79"/>
        <v>2.7398974188114562E-2</v>
      </c>
      <c r="U826" s="87">
        <f t="shared" si="78"/>
        <v>1.7699577099400857E-2</v>
      </c>
      <c r="V826" s="87">
        <f t="shared" si="78"/>
        <v>6.4308903302903314E-3</v>
      </c>
      <c r="W826" s="87">
        <f t="shared" si="78"/>
        <v>9.6806177107234964E-3</v>
      </c>
      <c r="X826" s="87">
        <f t="shared" si="78"/>
        <v>7.6628727455690972E-3</v>
      </c>
      <c r="Y826" s="87">
        <f t="shared" si="78"/>
        <v>4.3196611445163796E-3</v>
      </c>
      <c r="Z826" s="87">
        <f t="shared" si="78"/>
        <v>0</v>
      </c>
      <c r="AA826" s="87">
        <f t="shared" si="80"/>
        <v>0</v>
      </c>
      <c r="AB826" s="87">
        <f t="shared" si="80"/>
        <v>0</v>
      </c>
      <c r="AC826" s="87">
        <f t="shared" si="80"/>
        <v>0</v>
      </c>
      <c r="AD826" s="87">
        <f t="shared" si="80"/>
        <v>0</v>
      </c>
      <c r="AE826" s="90">
        <f t="shared" si="77"/>
        <v>8.271690190683894E-3</v>
      </c>
    </row>
    <row r="827" spans="1:31" ht="15.5" x14ac:dyDescent="0.35">
      <c r="A827" s="82">
        <v>40966</v>
      </c>
      <c r="B827" s="83">
        <v>8143.6</v>
      </c>
      <c r="C827" s="84">
        <v>2966.2</v>
      </c>
      <c r="D827" s="61">
        <v>302.8</v>
      </c>
      <c r="E827" s="61">
        <v>14.7</v>
      </c>
      <c r="F827" s="61">
        <v>73.8</v>
      </c>
      <c r="G827" s="61">
        <v>31.1</v>
      </c>
      <c r="H827" s="61">
        <v>51.4</v>
      </c>
      <c r="I827" s="61">
        <v>12.7</v>
      </c>
      <c r="J827" s="61">
        <v>45.8</v>
      </c>
      <c r="K827" s="61">
        <v>40.200000000000003</v>
      </c>
      <c r="L827" s="61">
        <v>37.799999999999997</v>
      </c>
      <c r="M827" s="61">
        <v>37.1</v>
      </c>
      <c r="N827" s="61">
        <v>61.1</v>
      </c>
      <c r="O827" s="85">
        <v>26.4</v>
      </c>
      <c r="P827" s="105"/>
      <c r="Q827" s="87">
        <f t="shared" si="76"/>
        <v>-1.0309532320387144E-3</v>
      </c>
      <c r="R827" s="87">
        <f t="shared" si="79"/>
        <v>8.0944355178393351E-4</v>
      </c>
      <c r="S827" s="87">
        <f t="shared" si="79"/>
        <v>-9.9026250046377459E-4</v>
      </c>
      <c r="T827" s="87">
        <f t="shared" si="79"/>
        <v>-6.7796869853788038E-3</v>
      </c>
      <c r="U827" s="87">
        <f t="shared" si="78"/>
        <v>-4.056800695614318E-3</v>
      </c>
      <c r="V827" s="87">
        <f t="shared" si="78"/>
        <v>-3.2102756302480988E-3</v>
      </c>
      <c r="W827" s="87">
        <f t="shared" si="78"/>
        <v>-9.6806177107235068E-3</v>
      </c>
      <c r="X827" s="87">
        <f t="shared" si="78"/>
        <v>-3.1010236742560322E-2</v>
      </c>
      <c r="Y827" s="87">
        <f t="shared" si="78"/>
        <v>-1.3015368112070361E-2</v>
      </c>
      <c r="Z827" s="87">
        <f t="shared" si="78"/>
        <v>-1.7263067423780597E-2</v>
      </c>
      <c r="AA827" s="87">
        <f t="shared" si="80"/>
        <v>-7.9051795071133739E-3</v>
      </c>
      <c r="AB827" s="87">
        <f t="shared" si="80"/>
        <v>-1.6043124840575691E-2</v>
      </c>
      <c r="AC827" s="87">
        <f t="shared" si="80"/>
        <v>6.568168112096949E-3</v>
      </c>
      <c r="AD827" s="87">
        <f t="shared" si="80"/>
        <v>0</v>
      </c>
      <c r="AE827" s="90">
        <f t="shared" si="77"/>
        <v>-1.2072812664749163E-3</v>
      </c>
    </row>
    <row r="828" spans="1:31" ht="15.5" x14ac:dyDescent="0.35">
      <c r="A828" s="82">
        <v>40967</v>
      </c>
      <c r="B828" s="83">
        <v>8171.5</v>
      </c>
      <c r="C828" s="84">
        <v>2986.8</v>
      </c>
      <c r="D828" s="61">
        <v>304.10000000000002</v>
      </c>
      <c r="E828" s="61">
        <v>14.8</v>
      </c>
      <c r="F828" s="61">
        <v>75.099999999999994</v>
      </c>
      <c r="G828" s="61">
        <v>31.4</v>
      </c>
      <c r="H828" s="61">
        <v>43</v>
      </c>
      <c r="I828" s="61">
        <v>12.9</v>
      </c>
      <c r="J828" s="61">
        <v>46.1</v>
      </c>
      <c r="K828" s="61">
        <v>40.799999999999997</v>
      </c>
      <c r="L828" s="61">
        <v>38</v>
      </c>
      <c r="M828" s="61">
        <v>38</v>
      </c>
      <c r="N828" s="61">
        <v>61.8</v>
      </c>
      <c r="O828" s="85">
        <v>26.6</v>
      </c>
      <c r="P828" s="105"/>
      <c r="Q828" s="87">
        <f t="shared" si="76"/>
        <v>3.4201478625905295E-3</v>
      </c>
      <c r="R828" s="87">
        <f t="shared" si="79"/>
        <v>6.9209078536845228E-3</v>
      </c>
      <c r="S828" s="87">
        <f t="shared" si="79"/>
        <v>4.2840731200253172E-3</v>
      </c>
      <c r="T828" s="87">
        <f t="shared" si="79"/>
        <v>6.7796869853787691E-3</v>
      </c>
      <c r="U828" s="87">
        <f t="shared" si="78"/>
        <v>1.7461827163662288E-2</v>
      </c>
      <c r="V828" s="87">
        <f t="shared" si="78"/>
        <v>9.6000737290191374E-3</v>
      </c>
      <c r="W828" s="87">
        <f t="shared" si="78"/>
        <v>-0.17843805676755697</v>
      </c>
      <c r="X828" s="87">
        <f t="shared" si="78"/>
        <v>1.5625317903081033E-2</v>
      </c>
      <c r="Y828" s="87">
        <f t="shared" si="78"/>
        <v>6.528858882463631E-3</v>
      </c>
      <c r="Z828" s="87">
        <f t="shared" si="78"/>
        <v>1.4815085785140463E-2</v>
      </c>
      <c r="AA828" s="87">
        <f t="shared" si="80"/>
        <v>5.2770571008438193E-3</v>
      </c>
      <c r="AB828" s="87">
        <f t="shared" si="80"/>
        <v>2.3969190112996187E-2</v>
      </c>
      <c r="AC828" s="87">
        <f t="shared" si="80"/>
        <v>1.1391498286095338E-2</v>
      </c>
      <c r="AD828" s="87">
        <f t="shared" si="80"/>
        <v>7.5472056353831241E-3</v>
      </c>
      <c r="AE828" s="90">
        <f t="shared" si="77"/>
        <v>9.2391212276084454E-3</v>
      </c>
    </row>
    <row r="829" spans="1:31" ht="15.5" x14ac:dyDescent="0.35">
      <c r="A829" s="82">
        <v>40968</v>
      </c>
      <c r="B829" s="83">
        <v>8113.2</v>
      </c>
      <c r="C829" s="84">
        <v>2966.9</v>
      </c>
      <c r="D829" s="61">
        <v>308.10000000000002</v>
      </c>
      <c r="E829" s="61">
        <v>14.8</v>
      </c>
      <c r="F829" s="61">
        <v>76.5</v>
      </c>
      <c r="G829" s="61">
        <v>31.6</v>
      </c>
      <c r="H829" s="61">
        <v>42.3</v>
      </c>
      <c r="I829" s="61">
        <v>12.8</v>
      </c>
      <c r="J829" s="61">
        <v>46.2</v>
      </c>
      <c r="K829" s="61">
        <v>39.4</v>
      </c>
      <c r="L829" s="61">
        <v>38.1</v>
      </c>
      <c r="M829" s="61">
        <v>38.299999999999997</v>
      </c>
      <c r="N829" s="61">
        <v>61.9</v>
      </c>
      <c r="O829" s="85">
        <v>26.7</v>
      </c>
      <c r="P829" s="105"/>
      <c r="Q829" s="87">
        <f t="shared" si="76"/>
        <v>-7.1601256484801843E-3</v>
      </c>
      <c r="R829" s="87">
        <f t="shared" si="79"/>
        <v>-6.684943516913535E-3</v>
      </c>
      <c r="S829" s="87">
        <f t="shared" si="79"/>
        <v>1.306781091930328E-2</v>
      </c>
      <c r="T829" s="87">
        <f t="shared" si="79"/>
        <v>0</v>
      </c>
      <c r="U829" s="87">
        <f t="shared" si="78"/>
        <v>1.847018206240127E-2</v>
      </c>
      <c r="V829" s="87">
        <f t="shared" si="78"/>
        <v>6.3492276786587445E-3</v>
      </c>
      <c r="W829" s="87">
        <f t="shared" si="78"/>
        <v>-1.6413029641330259E-2</v>
      </c>
      <c r="X829" s="87">
        <f t="shared" si="78"/>
        <v>-7.7821404420549628E-3</v>
      </c>
      <c r="Y829" s="87">
        <f t="shared" si="78"/>
        <v>2.1668480850902932E-3</v>
      </c>
      <c r="Z829" s="87">
        <f t="shared" si="78"/>
        <v>-3.4916265106227876E-2</v>
      </c>
      <c r="AA829" s="87">
        <f t="shared" si="80"/>
        <v>2.62812240626963E-3</v>
      </c>
      <c r="AB829" s="87">
        <f t="shared" si="80"/>
        <v>7.8637364602144513E-3</v>
      </c>
      <c r="AC829" s="87">
        <f t="shared" si="80"/>
        <v>1.616815226905256E-3</v>
      </c>
      <c r="AD829" s="87">
        <f t="shared" si="80"/>
        <v>3.7523496185503718E-3</v>
      </c>
      <c r="AE829" s="90">
        <f t="shared" si="77"/>
        <v>7.559422560576512E-3</v>
      </c>
    </row>
    <row r="830" spans="1:31" ht="15.5" x14ac:dyDescent="0.35">
      <c r="A830" s="82">
        <v>40969</v>
      </c>
      <c r="B830" s="83">
        <v>8175.1</v>
      </c>
      <c r="C830" s="84">
        <v>2989</v>
      </c>
      <c r="D830" s="61">
        <v>309.39999999999998</v>
      </c>
      <c r="E830" s="61">
        <v>14.8</v>
      </c>
      <c r="F830" s="61">
        <v>77</v>
      </c>
      <c r="G830" s="61">
        <v>31.9</v>
      </c>
      <c r="H830" s="61">
        <v>42.1</v>
      </c>
      <c r="I830" s="61">
        <v>12.8</v>
      </c>
      <c r="J830" s="61">
        <v>46.3</v>
      </c>
      <c r="K830" s="61">
        <v>38.5</v>
      </c>
      <c r="L830" s="61">
        <v>37.700000000000003</v>
      </c>
      <c r="M830" s="61">
        <v>38.6</v>
      </c>
      <c r="N830" s="61">
        <v>62.6</v>
      </c>
      <c r="O830" s="85">
        <v>27</v>
      </c>
      <c r="P830" s="105"/>
      <c r="Q830" s="87">
        <f t="shared" si="76"/>
        <v>7.6005842219084114E-3</v>
      </c>
      <c r="R830" s="87">
        <f t="shared" si="79"/>
        <v>7.4212466393046295E-3</v>
      </c>
      <c r="S830" s="87">
        <f t="shared" si="79"/>
        <v>4.2105325363434578E-3</v>
      </c>
      <c r="T830" s="87">
        <f t="shared" si="79"/>
        <v>0</v>
      </c>
      <c r="U830" s="87">
        <f t="shared" si="78"/>
        <v>6.5146810211936723E-3</v>
      </c>
      <c r="V830" s="87">
        <f t="shared" si="78"/>
        <v>9.4488891979322889E-3</v>
      </c>
      <c r="W830" s="87">
        <f t="shared" si="78"/>
        <v>-4.7393453638964475E-3</v>
      </c>
      <c r="X830" s="87">
        <f t="shared" si="78"/>
        <v>0</v>
      </c>
      <c r="Y830" s="87">
        <f t="shared" si="78"/>
        <v>2.1621630044950956E-3</v>
      </c>
      <c r="Z830" s="87">
        <f t="shared" si="78"/>
        <v>-2.3107575010149605E-2</v>
      </c>
      <c r="AA830" s="87">
        <f t="shared" si="80"/>
        <v>-1.0554187678690145E-2</v>
      </c>
      <c r="AB830" s="87">
        <f t="shared" si="80"/>
        <v>7.8023802841850204E-3</v>
      </c>
      <c r="AC830" s="87">
        <f t="shared" si="80"/>
        <v>1.1245098415502426E-2</v>
      </c>
      <c r="AD830" s="87">
        <f t="shared" si="80"/>
        <v>1.1173300598125255E-2</v>
      </c>
      <c r="AE830" s="90">
        <f t="shared" si="77"/>
        <v>6.6780972740146608E-3</v>
      </c>
    </row>
    <row r="831" spans="1:31" ht="15.5" x14ac:dyDescent="0.35">
      <c r="A831" s="82">
        <v>40970</v>
      </c>
      <c r="B831" s="83">
        <v>8125.2</v>
      </c>
      <c r="C831" s="84">
        <v>2976.2</v>
      </c>
      <c r="D831" s="61">
        <v>310.5</v>
      </c>
      <c r="E831" s="61">
        <v>14.7</v>
      </c>
      <c r="F831" s="61">
        <v>77.5</v>
      </c>
      <c r="G831" s="61">
        <v>32</v>
      </c>
      <c r="H831" s="61">
        <v>41.8</v>
      </c>
      <c r="I831" s="61">
        <v>12.8</v>
      </c>
      <c r="J831" s="61">
        <v>46.5</v>
      </c>
      <c r="K831" s="61">
        <v>38.6</v>
      </c>
      <c r="L831" s="61">
        <v>37.6</v>
      </c>
      <c r="M831" s="61">
        <v>38.4</v>
      </c>
      <c r="N831" s="61">
        <v>62.3</v>
      </c>
      <c r="O831" s="85">
        <v>27</v>
      </c>
      <c r="P831" s="105"/>
      <c r="Q831" s="87">
        <f t="shared" si="76"/>
        <v>-6.1226058269409911E-3</v>
      </c>
      <c r="R831" s="87">
        <f t="shared" si="79"/>
        <v>-4.2915642879880495E-3</v>
      </c>
      <c r="S831" s="87">
        <f t="shared" si="79"/>
        <v>3.548963234567696E-3</v>
      </c>
      <c r="T831" s="87">
        <f t="shared" si="79"/>
        <v>-6.7796869853788038E-3</v>
      </c>
      <c r="U831" s="87">
        <f t="shared" si="78"/>
        <v>6.4725145056175196E-3</v>
      </c>
      <c r="V831" s="87">
        <f t="shared" si="78"/>
        <v>3.1298930089277868E-3</v>
      </c>
      <c r="W831" s="87">
        <f t="shared" si="78"/>
        <v>-7.1514011576252401E-3</v>
      </c>
      <c r="X831" s="87">
        <f t="shared" si="78"/>
        <v>0</v>
      </c>
      <c r="Y831" s="87">
        <f t="shared" si="78"/>
        <v>4.3103515011222631E-3</v>
      </c>
      <c r="Z831" s="87">
        <f t="shared" si="78"/>
        <v>2.594035177046749E-3</v>
      </c>
      <c r="AA831" s="87">
        <f t="shared" si="80"/>
        <v>-2.6560440581162963E-3</v>
      </c>
      <c r="AB831" s="87">
        <f t="shared" si="80"/>
        <v>-5.1948168771040228E-3</v>
      </c>
      <c r="AC831" s="87">
        <f t="shared" si="80"/>
        <v>-4.8038523126455006E-3</v>
      </c>
      <c r="AD831" s="87">
        <f t="shared" si="80"/>
        <v>0</v>
      </c>
      <c r="AE831" s="90">
        <f t="shared" si="77"/>
        <v>1.6033636968277596E-3</v>
      </c>
    </row>
    <row r="832" spans="1:31" ht="15.5" x14ac:dyDescent="0.35">
      <c r="A832" s="82">
        <v>40973</v>
      </c>
      <c r="B832" s="83">
        <v>8091.3</v>
      </c>
      <c r="C832" s="84">
        <v>2950.5</v>
      </c>
      <c r="D832" s="61">
        <v>306</v>
      </c>
      <c r="E832" s="61">
        <v>14.5</v>
      </c>
      <c r="F832" s="61">
        <v>75.099999999999994</v>
      </c>
      <c r="G832" s="61">
        <v>31.6</v>
      </c>
      <c r="H832" s="61">
        <v>41.9</v>
      </c>
      <c r="I832" s="61">
        <v>12.5</v>
      </c>
      <c r="J832" s="61">
        <v>44.8</v>
      </c>
      <c r="K832" s="61">
        <v>38.4</v>
      </c>
      <c r="L832" s="61">
        <v>38</v>
      </c>
      <c r="M832" s="61">
        <v>38.1</v>
      </c>
      <c r="N832" s="61">
        <v>61.9</v>
      </c>
      <c r="O832" s="85">
        <v>27.1</v>
      </c>
      <c r="P832" s="105"/>
      <c r="Q832" s="87">
        <f t="shared" si="76"/>
        <v>-4.1809329240650814E-3</v>
      </c>
      <c r="R832" s="87">
        <f t="shared" si="79"/>
        <v>-8.6726714987263778E-3</v>
      </c>
      <c r="S832" s="87">
        <f t="shared" si="79"/>
        <v>-1.4598799421152636E-2</v>
      </c>
      <c r="T832" s="87">
        <f t="shared" si="79"/>
        <v>-1.3698844358161802E-2</v>
      </c>
      <c r="U832" s="87">
        <f t="shared" si="78"/>
        <v>-3.1457377589212285E-2</v>
      </c>
      <c r="V832" s="87">
        <f t="shared" si="78"/>
        <v>-1.2578782206860073E-2</v>
      </c>
      <c r="W832" s="87">
        <f t="shared" si="78"/>
        <v>2.3894873973814854E-3</v>
      </c>
      <c r="X832" s="87">
        <f t="shared" si="78"/>
        <v>-2.3716526617316044E-2</v>
      </c>
      <c r="Y832" s="87">
        <f t="shared" si="78"/>
        <v>-3.7244173172371206E-2</v>
      </c>
      <c r="Z832" s="87">
        <f t="shared" si="78"/>
        <v>-5.1948168771040228E-3</v>
      </c>
      <c r="AA832" s="87">
        <f t="shared" si="80"/>
        <v>1.0582109330537008E-2</v>
      </c>
      <c r="AB832" s="87">
        <f t="shared" si="80"/>
        <v>-7.8431774610257816E-3</v>
      </c>
      <c r="AC832" s="87">
        <f t="shared" si="80"/>
        <v>-6.4412461028569932E-3</v>
      </c>
      <c r="AD832" s="87">
        <f t="shared" si="80"/>
        <v>3.6968618813262026E-3</v>
      </c>
      <c r="AE832" s="90">
        <f t="shared" si="77"/>
        <v>-1.5419169575845935E-2</v>
      </c>
    </row>
    <row r="833" spans="1:31" ht="15.5" x14ac:dyDescent="0.35">
      <c r="A833" s="82">
        <v>40974</v>
      </c>
      <c r="B833" s="83">
        <v>7920.4</v>
      </c>
      <c r="C833" s="84">
        <v>2910.3</v>
      </c>
      <c r="D833" s="61">
        <v>297.2</v>
      </c>
      <c r="E833" s="61">
        <v>14.4</v>
      </c>
      <c r="F833" s="61">
        <v>73.8</v>
      </c>
      <c r="G833" s="61">
        <v>31.5</v>
      </c>
      <c r="H833" s="61">
        <v>41.8</v>
      </c>
      <c r="I833" s="61">
        <v>12.2</v>
      </c>
      <c r="J833" s="61">
        <v>43.1</v>
      </c>
      <c r="K833" s="61">
        <v>38.200000000000003</v>
      </c>
      <c r="L833" s="61">
        <v>37.299999999999997</v>
      </c>
      <c r="M833" s="61">
        <v>37.299999999999997</v>
      </c>
      <c r="N833" s="61">
        <v>61.1</v>
      </c>
      <c r="O833" s="85">
        <v>26.7</v>
      </c>
      <c r="P833" s="105"/>
      <c r="Q833" s="87">
        <f t="shared" si="76"/>
        <v>-2.1347700771895479E-2</v>
      </c>
      <c r="R833" s="87">
        <f t="shared" si="79"/>
        <v>-1.3718478861875808E-2</v>
      </c>
      <c r="S833" s="87">
        <f t="shared" si="79"/>
        <v>-2.9179789108776683E-2</v>
      </c>
      <c r="T833" s="87">
        <f t="shared" si="79"/>
        <v>-6.9204428445737952E-3</v>
      </c>
      <c r="U833" s="87">
        <f t="shared" si="78"/>
        <v>-1.7461827163662225E-2</v>
      </c>
      <c r="V833" s="87">
        <f t="shared" si="78"/>
        <v>-3.1695747612790672E-3</v>
      </c>
      <c r="W833" s="87">
        <f t="shared" si="78"/>
        <v>-2.3894873973814672E-3</v>
      </c>
      <c r="X833" s="87">
        <f t="shared" si="78"/>
        <v>-2.4292692569044587E-2</v>
      </c>
      <c r="Y833" s="87">
        <f t="shared" si="78"/>
        <v>-3.8685142311237292E-2</v>
      </c>
      <c r="Z833" s="87">
        <f t="shared" si="78"/>
        <v>-5.2219439811516007E-3</v>
      </c>
      <c r="AA833" s="87">
        <f t="shared" si="80"/>
        <v>-1.859283307661597E-2</v>
      </c>
      <c r="AB833" s="87">
        <f t="shared" si="80"/>
        <v>-2.1220955482885537E-2</v>
      </c>
      <c r="AC833" s="87">
        <f t="shared" si="80"/>
        <v>-1.3008313513000734E-2</v>
      </c>
      <c r="AD833" s="87">
        <f t="shared" si="80"/>
        <v>-1.4870162479451506E-2</v>
      </c>
      <c r="AE833" s="90">
        <f t="shared" si="77"/>
        <v>-1.9455353056412467E-2</v>
      </c>
    </row>
    <row r="834" spans="1:31" ht="15.5" x14ac:dyDescent="0.35">
      <c r="A834" s="82">
        <v>40975</v>
      </c>
      <c r="B834" s="83">
        <v>7979.8</v>
      </c>
      <c r="C834" s="84">
        <v>2935.7</v>
      </c>
      <c r="D834" s="61">
        <v>303.2</v>
      </c>
      <c r="E834" s="61">
        <v>14.4</v>
      </c>
      <c r="F834" s="61">
        <v>74.8</v>
      </c>
      <c r="G834" s="61">
        <v>31.5</v>
      </c>
      <c r="H834" s="61">
        <v>41.9</v>
      </c>
      <c r="I834" s="61">
        <v>12.2</v>
      </c>
      <c r="J834" s="61">
        <v>42.9</v>
      </c>
      <c r="K834" s="61">
        <v>38.4</v>
      </c>
      <c r="L834" s="61">
        <v>36.9</v>
      </c>
      <c r="M834" s="61">
        <v>37.5</v>
      </c>
      <c r="N834" s="61">
        <v>60.8</v>
      </c>
      <c r="O834" s="85">
        <v>26.8</v>
      </c>
      <c r="P834" s="105"/>
      <c r="Q834" s="87">
        <f t="shared" si="76"/>
        <v>7.471638889499835E-3</v>
      </c>
      <c r="R834" s="87">
        <f t="shared" si="79"/>
        <v>8.6897570418310623E-3</v>
      </c>
      <c r="S834" s="87">
        <f t="shared" si="79"/>
        <v>1.9987340924612497E-2</v>
      </c>
      <c r="T834" s="87">
        <f t="shared" si="79"/>
        <v>0</v>
      </c>
      <c r="U834" s="87">
        <f t="shared" si="78"/>
        <v>1.3459153374004711E-2</v>
      </c>
      <c r="V834" s="87">
        <f t="shared" si="78"/>
        <v>0</v>
      </c>
      <c r="W834" s="87">
        <f t="shared" si="78"/>
        <v>2.3894873973814854E-3</v>
      </c>
      <c r="X834" s="87">
        <f t="shared" si="78"/>
        <v>0</v>
      </c>
      <c r="Y834" s="87">
        <f t="shared" si="78"/>
        <v>-4.6511711757308439E-3</v>
      </c>
      <c r="Z834" s="87">
        <f t="shared" si="78"/>
        <v>5.2219439811516249E-3</v>
      </c>
      <c r="AA834" s="87">
        <f t="shared" si="80"/>
        <v>-1.0781775603288362E-2</v>
      </c>
      <c r="AB834" s="87">
        <f t="shared" si="80"/>
        <v>5.3476063265952773E-3</v>
      </c>
      <c r="AC834" s="87">
        <f t="shared" si="80"/>
        <v>-4.9220772054283319E-3</v>
      </c>
      <c r="AD834" s="87">
        <f t="shared" si="80"/>
        <v>3.7383221106071581E-3</v>
      </c>
      <c r="AE834" s="90">
        <f t="shared" si="77"/>
        <v>1.275920439432654E-2</v>
      </c>
    </row>
    <row r="835" spans="1:31" ht="15.5" x14ac:dyDescent="0.35">
      <c r="A835" s="82">
        <v>40976</v>
      </c>
      <c r="B835" s="83">
        <v>8082.5</v>
      </c>
      <c r="C835" s="84">
        <v>2970.4</v>
      </c>
      <c r="D835" s="61">
        <v>303.5</v>
      </c>
      <c r="E835" s="61">
        <v>14.5</v>
      </c>
      <c r="F835" s="61">
        <v>76</v>
      </c>
      <c r="G835" s="61">
        <v>31.9</v>
      </c>
      <c r="H835" s="61">
        <v>42.2</v>
      </c>
      <c r="I835" s="61">
        <v>12.3</v>
      </c>
      <c r="J835" s="61">
        <v>43.3</v>
      </c>
      <c r="K835" s="61">
        <v>38.4</v>
      </c>
      <c r="L835" s="61">
        <v>37.4</v>
      </c>
      <c r="M835" s="61">
        <v>37.799999999999997</v>
      </c>
      <c r="N835" s="61">
        <v>61.8</v>
      </c>
      <c r="O835" s="85">
        <v>26.9</v>
      </c>
      <c r="P835" s="105"/>
      <c r="Q835" s="87">
        <f t="shared" si="76"/>
        <v>1.2787882126448869E-2</v>
      </c>
      <c r="R835" s="87">
        <f t="shared" si="79"/>
        <v>1.1750698185691549E-2</v>
      </c>
      <c r="S835" s="87">
        <f t="shared" si="79"/>
        <v>9.8895673133649943E-4</v>
      </c>
      <c r="T835" s="87">
        <f t="shared" si="79"/>
        <v>6.920442844573757E-3</v>
      </c>
      <c r="U835" s="87">
        <f t="shared" si="78"/>
        <v>1.5915455305899582E-2</v>
      </c>
      <c r="V835" s="87">
        <f t="shared" si="78"/>
        <v>1.2618463959211464E-2</v>
      </c>
      <c r="W835" s="87">
        <f t="shared" si="78"/>
        <v>7.1343941138741112E-3</v>
      </c>
      <c r="X835" s="87">
        <f t="shared" si="78"/>
        <v>8.1633106391610557E-3</v>
      </c>
      <c r="Y835" s="87">
        <f t="shared" si="78"/>
        <v>9.2808090744727831E-3</v>
      </c>
      <c r="Z835" s="87">
        <f t="shared" si="78"/>
        <v>0</v>
      </c>
      <c r="AA835" s="87">
        <f t="shared" si="80"/>
        <v>1.3459153374004711E-2</v>
      </c>
      <c r="AB835" s="87">
        <f t="shared" si="80"/>
        <v>7.9681696491768813E-3</v>
      </c>
      <c r="AC835" s="87">
        <f t="shared" si="80"/>
        <v>1.6313575491523787E-2</v>
      </c>
      <c r="AD835" s="87">
        <f t="shared" si="80"/>
        <v>3.7243990909822727E-3</v>
      </c>
      <c r="AE835" s="90">
        <f t="shared" si="77"/>
        <v>8.8153277711744017E-3</v>
      </c>
    </row>
    <row r="836" spans="1:31" ht="15.5" x14ac:dyDescent="0.35">
      <c r="A836" s="82">
        <v>40977</v>
      </c>
      <c r="B836" s="83">
        <v>8102.1</v>
      </c>
      <c r="C836" s="84">
        <v>2988.3</v>
      </c>
      <c r="D836" s="61">
        <v>300.3</v>
      </c>
      <c r="E836" s="61">
        <v>14.6</v>
      </c>
      <c r="F836" s="61">
        <v>77.599999999999994</v>
      </c>
      <c r="G836" s="61">
        <v>31.9</v>
      </c>
      <c r="H836" s="61">
        <v>42.5</v>
      </c>
      <c r="I836" s="61">
        <v>12.3</v>
      </c>
      <c r="J836" s="61">
        <v>43.6</v>
      </c>
      <c r="K836" s="61">
        <v>37.6</v>
      </c>
      <c r="L836" s="61">
        <v>37.5</v>
      </c>
      <c r="M836" s="61">
        <v>38.1</v>
      </c>
      <c r="N836" s="61">
        <v>63.1</v>
      </c>
      <c r="O836" s="85">
        <v>27.1</v>
      </c>
      <c r="P836" s="105"/>
      <c r="Q836" s="87">
        <f t="shared" si="76"/>
        <v>2.4220567183271791E-3</v>
      </c>
      <c r="R836" s="87">
        <f t="shared" si="79"/>
        <v>6.0080399563593135E-3</v>
      </c>
      <c r="S836" s="87">
        <f t="shared" si="79"/>
        <v>-1.0599635510268336E-2</v>
      </c>
      <c r="T836" s="87">
        <f t="shared" si="79"/>
        <v>6.8728792877620504E-3</v>
      </c>
      <c r="U836" s="87">
        <f t="shared" si="78"/>
        <v>2.0834086902841834E-2</v>
      </c>
      <c r="V836" s="87">
        <f t="shared" si="78"/>
        <v>0</v>
      </c>
      <c r="W836" s="87">
        <f t="shared" si="78"/>
        <v>7.0838548884050419E-3</v>
      </c>
      <c r="X836" s="87">
        <f t="shared" si="78"/>
        <v>0</v>
      </c>
      <c r="Y836" s="87">
        <f t="shared" si="78"/>
        <v>6.9045153465444858E-3</v>
      </c>
      <c r="Z836" s="87">
        <f t="shared" si="78"/>
        <v>-2.1053409197832267E-2</v>
      </c>
      <c r="AA836" s="87">
        <f t="shared" si="80"/>
        <v>2.6702285558788921E-3</v>
      </c>
      <c r="AB836" s="87">
        <f t="shared" si="80"/>
        <v>7.9051795071134676E-3</v>
      </c>
      <c r="AC836" s="87">
        <f t="shared" si="80"/>
        <v>2.0817405083522523E-2</v>
      </c>
      <c r="AD836" s="87">
        <f t="shared" si="80"/>
        <v>7.4074412778618176E-3</v>
      </c>
      <c r="AE836" s="90">
        <f t="shared" si="77"/>
        <v>5.555343713955406E-3</v>
      </c>
    </row>
    <row r="837" spans="1:31" ht="15.5" x14ac:dyDescent="0.35">
      <c r="A837" s="82">
        <v>40980</v>
      </c>
      <c r="B837" s="83">
        <v>8086.3</v>
      </c>
      <c r="C837" s="84">
        <v>2983.7</v>
      </c>
      <c r="D837" s="61">
        <v>299.89999999999998</v>
      </c>
      <c r="E837" s="61">
        <v>14.5</v>
      </c>
      <c r="F837" s="61">
        <v>78.099999999999994</v>
      </c>
      <c r="G837" s="61">
        <v>31.8</v>
      </c>
      <c r="H837" s="61">
        <v>41.8</v>
      </c>
      <c r="I837" s="61">
        <v>12.1</v>
      </c>
      <c r="J837" s="61">
        <v>43.1</v>
      </c>
      <c r="K837" s="61">
        <v>37.299999999999997</v>
      </c>
      <c r="L837" s="61">
        <v>37.700000000000003</v>
      </c>
      <c r="M837" s="61">
        <v>37.4</v>
      </c>
      <c r="N837" s="61">
        <v>63</v>
      </c>
      <c r="O837" s="85">
        <v>27.2</v>
      </c>
      <c r="P837" s="105"/>
      <c r="Q837" s="87">
        <f t="shared" si="76"/>
        <v>-1.9520156429270598E-3</v>
      </c>
      <c r="R837" s="87">
        <f t="shared" si="79"/>
        <v>-1.5405227427096717E-3</v>
      </c>
      <c r="S837" s="87">
        <f t="shared" si="79"/>
        <v>-1.3328892343212543E-3</v>
      </c>
      <c r="T837" s="87">
        <f t="shared" si="79"/>
        <v>-6.8728792877620643E-3</v>
      </c>
      <c r="U837" s="87">
        <f t="shared" si="78"/>
        <v>6.4226296564671922E-3</v>
      </c>
      <c r="V837" s="87">
        <f t="shared" si="78"/>
        <v>-3.1397200046676412E-3</v>
      </c>
      <c r="W837" s="87">
        <f t="shared" si="78"/>
        <v>-1.6607736399660636E-2</v>
      </c>
      <c r="X837" s="87">
        <f t="shared" si="78"/>
        <v>-1.6393809775676497E-2</v>
      </c>
      <c r="Y837" s="87">
        <f t="shared" si="78"/>
        <v>-1.1534153245286519E-2</v>
      </c>
      <c r="Z837" s="87">
        <f t="shared" si="78"/>
        <v>-8.010723746079083E-3</v>
      </c>
      <c r="AA837" s="87">
        <f t="shared" si="80"/>
        <v>5.3191614776000266E-3</v>
      </c>
      <c r="AB837" s="87">
        <f t="shared" si="80"/>
        <v>-1.8543577712169072E-2</v>
      </c>
      <c r="AC837" s="87">
        <f t="shared" si="80"/>
        <v>-1.5860431556348514E-3</v>
      </c>
      <c r="AD837" s="87">
        <f t="shared" si="80"/>
        <v>3.683245416296368E-3</v>
      </c>
      <c r="AE837" s="90">
        <f t="shared" si="77"/>
        <v>1.4321800338908553E-3</v>
      </c>
    </row>
    <row r="838" spans="1:31" ht="15.5" x14ac:dyDescent="0.35">
      <c r="A838" s="82">
        <v>40981</v>
      </c>
      <c r="B838" s="83">
        <v>8234.5</v>
      </c>
      <c r="C838" s="84">
        <v>3039.9</v>
      </c>
      <c r="D838" s="61">
        <v>303.10000000000002</v>
      </c>
      <c r="E838" s="61">
        <v>14.4</v>
      </c>
      <c r="F838" s="61">
        <v>79.400000000000006</v>
      </c>
      <c r="G838" s="61">
        <v>32.200000000000003</v>
      </c>
      <c r="H838" s="61">
        <v>41.9</v>
      </c>
      <c r="I838" s="61">
        <v>12.2</v>
      </c>
      <c r="J838" s="61">
        <v>42.6</v>
      </c>
      <c r="K838" s="61">
        <v>37.200000000000003</v>
      </c>
      <c r="L838" s="61">
        <v>37.700000000000003</v>
      </c>
      <c r="M838" s="61">
        <v>38</v>
      </c>
      <c r="N838" s="61">
        <v>63.2</v>
      </c>
      <c r="O838" s="85">
        <v>27.4</v>
      </c>
      <c r="P838" s="105"/>
      <c r="Q838" s="87">
        <f t="shared" si="76"/>
        <v>1.816137363927486E-2</v>
      </c>
      <c r="R838" s="87">
        <f t="shared" si="79"/>
        <v>1.8660479045861395E-2</v>
      </c>
      <c r="S838" s="87">
        <f t="shared" si="79"/>
        <v>1.0613698308794122E-2</v>
      </c>
      <c r="T838" s="87">
        <f t="shared" si="79"/>
        <v>-6.9204428445737952E-3</v>
      </c>
      <c r="U838" s="87">
        <f t="shared" si="78"/>
        <v>1.6508311407449794E-2</v>
      </c>
      <c r="V838" s="87">
        <f t="shared" si="78"/>
        <v>1.2500162764231468E-2</v>
      </c>
      <c r="W838" s="87">
        <f t="shared" si="78"/>
        <v>2.3894873973814854E-3</v>
      </c>
      <c r="X838" s="87">
        <f t="shared" si="78"/>
        <v>8.2304991365154435E-3</v>
      </c>
      <c r="Y838" s="87">
        <f t="shared" si="78"/>
        <v>-1.1668743834377378E-2</v>
      </c>
      <c r="Z838" s="87">
        <f t="shared" si="78"/>
        <v>-2.6845653706688757E-3</v>
      </c>
      <c r="AA838" s="87">
        <f t="shared" si="80"/>
        <v>0</v>
      </c>
      <c r="AB838" s="87">
        <f t="shared" si="80"/>
        <v>1.5915455305899582E-2</v>
      </c>
      <c r="AC838" s="87">
        <f t="shared" si="80"/>
        <v>3.1695747612790395E-3</v>
      </c>
      <c r="AD838" s="87">
        <f t="shared" si="80"/>
        <v>7.3260400920728812E-3</v>
      </c>
      <c r="AE838" s="90">
        <f t="shared" si="77"/>
        <v>1.4311599008383245E-2</v>
      </c>
    </row>
    <row r="839" spans="1:31" ht="15.5" x14ac:dyDescent="0.35">
      <c r="A839" s="82">
        <v>40982</v>
      </c>
      <c r="B839" s="83">
        <v>8185.3</v>
      </c>
      <c r="C839" s="84">
        <v>3040.7</v>
      </c>
      <c r="D839" s="61">
        <v>307</v>
      </c>
      <c r="E839" s="61">
        <v>14.4</v>
      </c>
      <c r="F839" s="61">
        <v>82.2</v>
      </c>
      <c r="G839" s="61">
        <v>32.5</v>
      </c>
      <c r="H839" s="61">
        <v>41.8</v>
      </c>
      <c r="I839" s="61">
        <v>12.2</v>
      </c>
      <c r="J839" s="61">
        <v>42.2</v>
      </c>
      <c r="K839" s="61">
        <v>36.5</v>
      </c>
      <c r="L839" s="61">
        <v>38.1</v>
      </c>
      <c r="M839" s="61">
        <v>37</v>
      </c>
      <c r="N839" s="61">
        <v>63.4</v>
      </c>
      <c r="O839" s="85">
        <v>27.5</v>
      </c>
      <c r="P839" s="105"/>
      <c r="Q839" s="87">
        <f t="shared" si="76"/>
        <v>-5.9927827677605664E-3</v>
      </c>
      <c r="R839" s="87">
        <f t="shared" si="79"/>
        <v>2.6313192928835736E-4</v>
      </c>
      <c r="S839" s="87">
        <f t="shared" si="79"/>
        <v>1.2784963523439585E-2</v>
      </c>
      <c r="T839" s="87">
        <f t="shared" si="79"/>
        <v>0</v>
      </c>
      <c r="U839" s="87">
        <f t="shared" si="78"/>
        <v>3.4656933809044187E-2</v>
      </c>
      <c r="V839" s="87">
        <f t="shared" si="78"/>
        <v>9.2736367853290327E-3</v>
      </c>
      <c r="W839" s="87">
        <f t="shared" si="78"/>
        <v>-2.3894873973814672E-3</v>
      </c>
      <c r="X839" s="87">
        <f t="shared" si="78"/>
        <v>0</v>
      </c>
      <c r="Y839" s="87">
        <f t="shared" si="78"/>
        <v>-9.4340322333585289E-3</v>
      </c>
      <c r="Z839" s="87">
        <f t="shared" si="78"/>
        <v>-1.8996500690655147E-2</v>
      </c>
      <c r="AA839" s="87">
        <f t="shared" si="80"/>
        <v>1.0554187678690171E-2</v>
      </c>
      <c r="AB839" s="87">
        <f t="shared" si="80"/>
        <v>-2.6668247082161294E-2</v>
      </c>
      <c r="AC839" s="87">
        <f t="shared" si="80"/>
        <v>3.1595602903685179E-3</v>
      </c>
      <c r="AD839" s="87">
        <f t="shared" si="80"/>
        <v>3.6429912785012298E-3</v>
      </c>
      <c r="AE839" s="90">
        <f t="shared" si="77"/>
        <v>1.4174420195582007E-2</v>
      </c>
    </row>
    <row r="840" spans="1:31" ht="15.5" x14ac:dyDescent="0.35">
      <c r="A840" s="82">
        <v>40983</v>
      </c>
      <c r="B840" s="83">
        <v>8246.7000000000007</v>
      </c>
      <c r="C840" s="84">
        <v>3056.4</v>
      </c>
      <c r="D840" s="61">
        <v>307.7</v>
      </c>
      <c r="E840" s="61">
        <v>14.6</v>
      </c>
      <c r="F840" s="61">
        <v>82.7</v>
      </c>
      <c r="G840" s="61">
        <v>32.6</v>
      </c>
      <c r="H840" s="61">
        <v>42</v>
      </c>
      <c r="I840" s="61">
        <v>12.2</v>
      </c>
      <c r="J840" s="61">
        <v>42.8</v>
      </c>
      <c r="K840" s="61">
        <v>35.9</v>
      </c>
      <c r="L840" s="61">
        <v>38</v>
      </c>
      <c r="M840" s="61">
        <v>37.299999999999997</v>
      </c>
      <c r="N840" s="61">
        <v>63.2</v>
      </c>
      <c r="O840" s="85">
        <v>27.6</v>
      </c>
      <c r="P840" s="105"/>
      <c r="Q840" s="87">
        <f t="shared" si="76"/>
        <v>7.473257760884474E-3</v>
      </c>
      <c r="R840" s="87">
        <f t="shared" si="79"/>
        <v>5.1500007217415815E-3</v>
      </c>
      <c r="S840" s="87">
        <f t="shared" si="79"/>
        <v>2.2775347407990349E-3</v>
      </c>
      <c r="T840" s="87">
        <f t="shared" si="79"/>
        <v>1.3793322132335769E-2</v>
      </c>
      <c r="U840" s="87">
        <f t="shared" si="78"/>
        <v>6.0642999675114464E-3</v>
      </c>
      <c r="V840" s="87">
        <f t="shared" si="78"/>
        <v>3.07219903697028E-3</v>
      </c>
      <c r="W840" s="87">
        <f t="shared" si="78"/>
        <v>4.7732787526578117E-3</v>
      </c>
      <c r="X840" s="87">
        <f t="shared" ref="X840:AD891" si="81">+LN(I840/I839)</f>
        <v>0</v>
      </c>
      <c r="Y840" s="87">
        <f t="shared" si="81"/>
        <v>1.4117881545784803E-2</v>
      </c>
      <c r="Z840" s="87">
        <f t="shared" si="81"/>
        <v>-1.6574965094212676E-2</v>
      </c>
      <c r="AA840" s="87">
        <f t="shared" si="80"/>
        <v>-2.6281224062695806E-3</v>
      </c>
      <c r="AB840" s="87">
        <f t="shared" si="80"/>
        <v>8.0754140055453311E-3</v>
      </c>
      <c r="AC840" s="87">
        <f t="shared" si="80"/>
        <v>-3.1595602903684815E-3</v>
      </c>
      <c r="AD840" s="87">
        <f t="shared" si="80"/>
        <v>3.6297680505787311E-3</v>
      </c>
      <c r="AE840" s="90">
        <f t="shared" si="77"/>
        <v>4.3856972775571431E-3</v>
      </c>
    </row>
    <row r="841" spans="1:31" ht="15.5" x14ac:dyDescent="0.35">
      <c r="A841" s="82">
        <v>40984</v>
      </c>
      <c r="B841" s="83">
        <v>8270.4</v>
      </c>
      <c r="C841" s="84">
        <v>3055.3</v>
      </c>
      <c r="D841" s="61">
        <v>310.3</v>
      </c>
      <c r="E841" s="61">
        <v>14.9</v>
      </c>
      <c r="F841" s="61">
        <v>82.6</v>
      </c>
      <c r="G841" s="61">
        <v>32.5</v>
      </c>
      <c r="H841" s="61">
        <v>42.3</v>
      </c>
      <c r="I841" s="61">
        <v>12.2</v>
      </c>
      <c r="J841" s="61">
        <v>43.7</v>
      </c>
      <c r="K841" s="61">
        <v>36</v>
      </c>
      <c r="L841" s="61">
        <v>38</v>
      </c>
      <c r="M841" s="61">
        <v>38.200000000000003</v>
      </c>
      <c r="N841" s="61">
        <v>62.9</v>
      </c>
      <c r="O841" s="85">
        <v>27.6</v>
      </c>
      <c r="P841" s="105"/>
      <c r="Q841" s="87">
        <f t="shared" si="76"/>
        <v>2.8697551343879117E-3</v>
      </c>
      <c r="R841" s="87">
        <f t="shared" si="79"/>
        <v>-3.5996531632039567E-4</v>
      </c>
      <c r="S841" s="87">
        <f t="shared" si="79"/>
        <v>8.4142891263384936E-3</v>
      </c>
      <c r="T841" s="87">
        <f t="shared" si="79"/>
        <v>2.0339684237122783E-2</v>
      </c>
      <c r="U841" s="87">
        <f t="shared" si="79"/>
        <v>-1.2099215027133094E-3</v>
      </c>
      <c r="V841" s="87">
        <f t="shared" si="79"/>
        <v>-3.0721990369702518E-3</v>
      </c>
      <c r="W841" s="87">
        <f t="shared" si="79"/>
        <v>7.1174677688639549E-3</v>
      </c>
      <c r="X841" s="87">
        <f t="shared" si="81"/>
        <v>0</v>
      </c>
      <c r="Y841" s="87">
        <f t="shared" si="81"/>
        <v>2.0809999513793496E-2</v>
      </c>
      <c r="Z841" s="87">
        <f t="shared" si="81"/>
        <v>2.7816429618767705E-3</v>
      </c>
      <c r="AA841" s="87">
        <f t="shared" si="80"/>
        <v>0</v>
      </c>
      <c r="AB841" s="87">
        <f t="shared" si="80"/>
        <v>2.3842188962759872E-2</v>
      </c>
      <c r="AC841" s="87">
        <f t="shared" si="80"/>
        <v>-4.7581374464169233E-3</v>
      </c>
      <c r="AD841" s="87">
        <f t="shared" si="80"/>
        <v>0</v>
      </c>
      <c r="AE841" s="90">
        <f t="shared" si="77"/>
        <v>2.0095409744734036E-3</v>
      </c>
    </row>
    <row r="842" spans="1:31" ht="15.5" x14ac:dyDescent="0.35">
      <c r="A842" s="82">
        <v>40987</v>
      </c>
      <c r="B842" s="83">
        <v>8297.5</v>
      </c>
      <c r="C842" s="84">
        <v>3078.3</v>
      </c>
      <c r="D842" s="61">
        <v>310.89999999999998</v>
      </c>
      <c r="E842" s="61">
        <v>14.9</v>
      </c>
      <c r="F842" s="61">
        <v>84.2</v>
      </c>
      <c r="G842" s="61">
        <v>32.200000000000003</v>
      </c>
      <c r="H842" s="61">
        <v>42</v>
      </c>
      <c r="I842" s="61">
        <v>12.1</v>
      </c>
      <c r="J842" s="61">
        <v>45</v>
      </c>
      <c r="K842" s="61">
        <v>35.700000000000003</v>
      </c>
      <c r="L842" s="61">
        <v>37.799999999999997</v>
      </c>
      <c r="M842" s="61">
        <v>38.5</v>
      </c>
      <c r="N842" s="61">
        <v>62.8</v>
      </c>
      <c r="O842" s="85">
        <v>27.7</v>
      </c>
      <c r="P842" s="105"/>
      <c r="Q842" s="87">
        <f t="shared" si="76"/>
        <v>3.2713891523548744E-3</v>
      </c>
      <c r="R842" s="87">
        <f t="shared" si="79"/>
        <v>7.4997090791818419E-3</v>
      </c>
      <c r="S842" s="87">
        <f t="shared" si="79"/>
        <v>1.9317456103734201E-3</v>
      </c>
      <c r="T842" s="87">
        <f t="shared" si="79"/>
        <v>0</v>
      </c>
      <c r="U842" s="87">
        <f t="shared" si="79"/>
        <v>1.9185240721348862E-2</v>
      </c>
      <c r="V842" s="87">
        <f t="shared" si="79"/>
        <v>-9.2736367853291021E-3</v>
      </c>
      <c r="W842" s="87">
        <f t="shared" si="79"/>
        <v>-7.1174677688638785E-3</v>
      </c>
      <c r="X842" s="87">
        <f t="shared" si="81"/>
        <v>-8.23049913651548E-3</v>
      </c>
      <c r="Y842" s="87">
        <f t="shared" si="81"/>
        <v>2.9314387668775307E-2</v>
      </c>
      <c r="Z842" s="87">
        <f t="shared" si="81"/>
        <v>-8.3682496705165792E-3</v>
      </c>
      <c r="AA842" s="87">
        <f t="shared" si="80"/>
        <v>-5.2770571008438931E-3</v>
      </c>
      <c r="AB842" s="87">
        <f t="shared" si="80"/>
        <v>7.8227256812088575E-3</v>
      </c>
      <c r="AC842" s="87">
        <f t="shared" si="80"/>
        <v>-1.5910902322418517E-3</v>
      </c>
      <c r="AD842" s="87">
        <f t="shared" si="80"/>
        <v>3.6166404701885148E-3</v>
      </c>
      <c r="AE842" s="90">
        <f t="shared" si="77"/>
        <v>8.738976157126906E-3</v>
      </c>
    </row>
    <row r="843" spans="1:31" ht="15.5" x14ac:dyDescent="0.35">
      <c r="A843" s="82">
        <v>40988</v>
      </c>
      <c r="B843" s="83">
        <v>8241.2999999999993</v>
      </c>
      <c r="C843" s="84">
        <v>3074.1</v>
      </c>
      <c r="D843" s="61">
        <v>314</v>
      </c>
      <c r="E843" s="61">
        <v>14.9</v>
      </c>
      <c r="F843" s="61">
        <v>83.1</v>
      </c>
      <c r="G843" s="61">
        <v>31.7</v>
      </c>
      <c r="H843" s="61">
        <v>43</v>
      </c>
      <c r="I843" s="61">
        <v>11.9</v>
      </c>
      <c r="J843" s="61">
        <v>45.6</v>
      </c>
      <c r="K843" s="61">
        <v>36</v>
      </c>
      <c r="L843" s="61">
        <v>37.6</v>
      </c>
      <c r="M843" s="61">
        <v>37.9</v>
      </c>
      <c r="N843" s="61">
        <v>62.6</v>
      </c>
      <c r="O843" s="85">
        <v>27.9</v>
      </c>
      <c r="P843" s="105"/>
      <c r="Q843" s="87">
        <f t="shared" si="76"/>
        <v>-6.7961661442239767E-3</v>
      </c>
      <c r="R843" s="87">
        <f t="shared" si="79"/>
        <v>-1.365321062491311E-3</v>
      </c>
      <c r="S843" s="87">
        <f t="shared" si="79"/>
        <v>9.92166884354523E-3</v>
      </c>
      <c r="T843" s="87">
        <f t="shared" si="79"/>
        <v>0</v>
      </c>
      <c r="U843" s="87">
        <f t="shared" si="79"/>
        <v>-1.3150219386878692E-2</v>
      </c>
      <c r="V843" s="87">
        <f t="shared" si="79"/>
        <v>-1.5649771667127776E-2</v>
      </c>
      <c r="W843" s="87">
        <f t="shared" si="79"/>
        <v>2.3530497410194036E-2</v>
      </c>
      <c r="X843" s="87">
        <f t="shared" si="81"/>
        <v>-1.6667052485211647E-2</v>
      </c>
      <c r="Y843" s="87">
        <f t="shared" si="81"/>
        <v>1.3245226750020723E-2</v>
      </c>
      <c r="Z843" s="87">
        <f t="shared" si="81"/>
        <v>8.3682496705165792E-3</v>
      </c>
      <c r="AA843" s="87">
        <f t="shared" si="80"/>
        <v>-5.3050522296930061E-3</v>
      </c>
      <c r="AB843" s="87">
        <f t="shared" si="80"/>
        <v>-1.570712920535788E-2</v>
      </c>
      <c r="AC843" s="87">
        <f t="shared" si="80"/>
        <v>-3.1897953681000379E-3</v>
      </c>
      <c r="AD843" s="87">
        <f t="shared" si="80"/>
        <v>7.1942756340270106E-3</v>
      </c>
      <c r="AE843" s="90">
        <f t="shared" si="77"/>
        <v>-3.9025022332416447E-4</v>
      </c>
    </row>
    <row r="844" spans="1:31" ht="15.5" x14ac:dyDescent="0.35">
      <c r="A844" s="82">
        <v>40989</v>
      </c>
      <c r="B844" s="83">
        <v>8219.2999999999993</v>
      </c>
      <c r="C844" s="84">
        <v>3075.3</v>
      </c>
      <c r="D844" s="61">
        <v>316.60000000000002</v>
      </c>
      <c r="E844" s="61">
        <v>15.2</v>
      </c>
      <c r="F844" s="61">
        <v>85.9</v>
      </c>
      <c r="G844" s="61">
        <v>31.8</v>
      </c>
      <c r="H844" s="61">
        <v>42.7</v>
      </c>
      <c r="I844" s="61">
        <v>12</v>
      </c>
      <c r="J844" s="61">
        <v>46.4</v>
      </c>
      <c r="K844" s="61">
        <v>36.799999999999997</v>
      </c>
      <c r="L844" s="61">
        <v>37.6</v>
      </c>
      <c r="M844" s="61">
        <v>38.6</v>
      </c>
      <c r="N844" s="61">
        <v>62.4</v>
      </c>
      <c r="O844" s="85">
        <v>27.6</v>
      </c>
      <c r="P844" s="105"/>
      <c r="Q844" s="87">
        <f t="shared" si="76"/>
        <v>-2.6730511766930635E-3</v>
      </c>
      <c r="R844" s="87">
        <f t="shared" si="79"/>
        <v>3.9028198368367512E-4</v>
      </c>
      <c r="S844" s="87">
        <f t="shared" si="79"/>
        <v>8.2461615386585155E-3</v>
      </c>
      <c r="T844" s="87">
        <f t="shared" si="79"/>
        <v>1.9934214900817111E-2</v>
      </c>
      <c r="U844" s="87">
        <f t="shared" si="79"/>
        <v>3.3139127128807289E-2</v>
      </c>
      <c r="V844" s="87">
        <f t="shared" si="79"/>
        <v>3.1496089028962013E-3</v>
      </c>
      <c r="W844" s="87">
        <f t="shared" si="79"/>
        <v>-7.0011954589834771E-3</v>
      </c>
      <c r="X844" s="87">
        <f t="shared" si="81"/>
        <v>8.3682496705165792E-3</v>
      </c>
      <c r="Y844" s="87">
        <f t="shared" si="81"/>
        <v>1.739174271186902E-2</v>
      </c>
      <c r="Z844" s="87">
        <f t="shared" si="81"/>
        <v>2.1978906718775167E-2</v>
      </c>
      <c r="AA844" s="87">
        <f t="shared" si="80"/>
        <v>0</v>
      </c>
      <c r="AB844" s="87">
        <f t="shared" si="80"/>
        <v>1.8301164382404662E-2</v>
      </c>
      <c r="AC844" s="87">
        <f t="shared" si="80"/>
        <v>-3.2000027306709027E-3</v>
      </c>
      <c r="AD844" s="87">
        <f t="shared" si="80"/>
        <v>-1.0810916104215506E-2</v>
      </c>
      <c r="AE844" s="90">
        <f t="shared" si="77"/>
        <v>1.0692886801910051E-2</v>
      </c>
    </row>
    <row r="845" spans="1:31" ht="15.5" x14ac:dyDescent="0.35">
      <c r="A845" s="82">
        <v>40990</v>
      </c>
      <c r="B845" s="83">
        <v>8141.3</v>
      </c>
      <c r="C845" s="84">
        <v>3063.3</v>
      </c>
      <c r="D845" s="61">
        <v>315.8</v>
      </c>
      <c r="E845" s="61">
        <v>15.4</v>
      </c>
      <c r="F845" s="61">
        <v>85.1</v>
      </c>
      <c r="G845" s="61">
        <v>31.8</v>
      </c>
      <c r="H845" s="61">
        <v>42.6</v>
      </c>
      <c r="I845" s="61">
        <v>11.7</v>
      </c>
      <c r="J845" s="61">
        <v>45.1</v>
      </c>
      <c r="K845" s="61">
        <v>36.1</v>
      </c>
      <c r="L845" s="61">
        <v>37.5</v>
      </c>
      <c r="M845" s="61">
        <v>36.9</v>
      </c>
      <c r="N845" s="61">
        <v>62</v>
      </c>
      <c r="O845" s="85">
        <v>27.3</v>
      </c>
      <c r="P845" s="105"/>
      <c r="Q845" s="87">
        <f t="shared" si="76"/>
        <v>-9.535174868432925E-3</v>
      </c>
      <c r="R845" s="87">
        <f t="shared" si="79"/>
        <v>-3.9096912278636072E-3</v>
      </c>
      <c r="S845" s="87">
        <f t="shared" si="79"/>
        <v>-2.5300456253700659E-3</v>
      </c>
      <c r="T845" s="87">
        <f t="shared" si="79"/>
        <v>1.3072081567352921E-2</v>
      </c>
      <c r="U845" s="87">
        <f t="shared" si="79"/>
        <v>-9.3567934108813797E-3</v>
      </c>
      <c r="V845" s="87">
        <f t="shared" si="79"/>
        <v>0</v>
      </c>
      <c r="W845" s="87">
        <f t="shared" si="79"/>
        <v>-2.3446669592541345E-3</v>
      </c>
      <c r="X845" s="87">
        <f t="shared" si="81"/>
        <v>-2.5317807984289897E-2</v>
      </c>
      <c r="Y845" s="87">
        <f t="shared" si="81"/>
        <v>-2.8417212723576845E-2</v>
      </c>
      <c r="Z845" s="87">
        <f t="shared" si="81"/>
        <v>-1.9204979836049924E-2</v>
      </c>
      <c r="AA845" s="87">
        <f t="shared" si="80"/>
        <v>-2.6631174194837732E-3</v>
      </c>
      <c r="AB845" s="87">
        <f t="shared" si="80"/>
        <v>-4.5040725424303721E-2</v>
      </c>
      <c r="AC845" s="87">
        <f t="shared" si="80"/>
        <v>-6.4308903302904025E-3</v>
      </c>
      <c r="AD845" s="87">
        <f t="shared" si="80"/>
        <v>-1.0929070532190317E-2</v>
      </c>
      <c r="AE845" s="90">
        <f t="shared" si="77"/>
        <v>-5.9165120021386335E-3</v>
      </c>
    </row>
    <row r="846" spans="1:31" ht="15.5" x14ac:dyDescent="0.35">
      <c r="A846" s="82">
        <v>40991</v>
      </c>
      <c r="B846" s="83">
        <v>8180</v>
      </c>
      <c r="C846" s="84">
        <v>3067.9</v>
      </c>
      <c r="D846" s="61">
        <v>320.8</v>
      </c>
      <c r="E846" s="61">
        <v>15.3</v>
      </c>
      <c r="F846" s="61">
        <v>84.9</v>
      </c>
      <c r="G846" s="61">
        <v>31.7</v>
      </c>
      <c r="H846" s="61">
        <v>42.2</v>
      </c>
      <c r="I846" s="61">
        <v>11.7</v>
      </c>
      <c r="J846" s="61">
        <v>45</v>
      </c>
      <c r="K846" s="61">
        <v>35.9</v>
      </c>
      <c r="L846" s="61">
        <v>37.6</v>
      </c>
      <c r="M846" s="61">
        <v>37</v>
      </c>
      <c r="N846" s="61">
        <v>61.9</v>
      </c>
      <c r="O846" s="85">
        <v>26.5</v>
      </c>
      <c r="P846" s="105"/>
      <c r="Q846" s="87">
        <f t="shared" ref="Q846:Q909" si="82">+LN(B846/B845)</f>
        <v>4.7422781920130642E-3</v>
      </c>
      <c r="R846" s="87">
        <f t="shared" si="79"/>
        <v>1.5005222022118759E-3</v>
      </c>
      <c r="S846" s="87">
        <f t="shared" si="79"/>
        <v>1.5708774170817744E-2</v>
      </c>
      <c r="T846" s="87">
        <f t="shared" si="79"/>
        <v>-6.5146810211936419E-3</v>
      </c>
      <c r="U846" s="87">
        <f t="shared" si="79"/>
        <v>-2.3529422620267274E-3</v>
      </c>
      <c r="V846" s="87">
        <f t="shared" si="79"/>
        <v>-3.14960890289622E-3</v>
      </c>
      <c r="W846" s="87">
        <f t="shared" si="79"/>
        <v>-9.4340322333585289E-3</v>
      </c>
      <c r="X846" s="87">
        <f t="shared" si="81"/>
        <v>0</v>
      </c>
      <c r="Y846" s="87">
        <f t="shared" si="81"/>
        <v>-2.2197567383128881E-3</v>
      </c>
      <c r="Z846" s="87">
        <f t="shared" si="81"/>
        <v>-5.5555698446021051E-3</v>
      </c>
      <c r="AA846" s="87">
        <f t="shared" si="80"/>
        <v>2.6631174194836284E-3</v>
      </c>
      <c r="AB846" s="87">
        <f t="shared" si="80"/>
        <v>2.7063615977430673E-3</v>
      </c>
      <c r="AC846" s="87">
        <f t="shared" si="80"/>
        <v>-1.6142053545411135E-3</v>
      </c>
      <c r="AD846" s="87">
        <f t="shared" si="80"/>
        <v>-2.974196919873753E-2</v>
      </c>
      <c r="AE846" s="90">
        <f t="shared" si="77"/>
        <v>7.6086595554823375E-4</v>
      </c>
    </row>
    <row r="847" spans="1:31" ht="15.5" x14ac:dyDescent="0.35">
      <c r="A847" s="82">
        <v>40994</v>
      </c>
      <c r="B847" s="83">
        <v>8288.7999999999993</v>
      </c>
      <c r="C847" s="84">
        <v>3122.6</v>
      </c>
      <c r="D847" s="61">
        <v>320.10000000000002</v>
      </c>
      <c r="E847" s="61">
        <v>15.4</v>
      </c>
      <c r="F847" s="61">
        <v>85</v>
      </c>
      <c r="G847" s="61">
        <v>32.200000000000003</v>
      </c>
      <c r="H847" s="61">
        <v>42.4</v>
      </c>
      <c r="I847" s="61">
        <v>11.9</v>
      </c>
      <c r="J847" s="61">
        <v>46.1</v>
      </c>
      <c r="K847" s="61">
        <v>35.799999999999997</v>
      </c>
      <c r="L847" s="61">
        <v>38.200000000000003</v>
      </c>
      <c r="M847" s="61">
        <v>38</v>
      </c>
      <c r="N847" s="61">
        <v>63.1</v>
      </c>
      <c r="O847" s="85">
        <v>26.9</v>
      </c>
      <c r="P847" s="105"/>
      <c r="Q847" s="87">
        <f t="shared" si="82"/>
        <v>1.3213055340749192E-2</v>
      </c>
      <c r="R847" s="87">
        <f t="shared" si="79"/>
        <v>1.7672699675606012E-2</v>
      </c>
      <c r="S847" s="87">
        <f t="shared" si="79"/>
        <v>-2.1844290165420176E-3</v>
      </c>
      <c r="T847" s="87">
        <f t="shared" si="79"/>
        <v>6.5146810211936723E-3</v>
      </c>
      <c r="U847" s="87">
        <f t="shared" si="79"/>
        <v>1.1771631730148311E-3</v>
      </c>
      <c r="V847" s="87">
        <f t="shared" si="79"/>
        <v>1.5649771667127815E-2</v>
      </c>
      <c r="W847" s="87">
        <f t="shared" si="79"/>
        <v>4.7281411959458957E-3</v>
      </c>
      <c r="X847" s="87">
        <f t="shared" si="81"/>
        <v>1.6949558313773424E-2</v>
      </c>
      <c r="Y847" s="87">
        <f t="shared" si="81"/>
        <v>2.4150460232283122E-2</v>
      </c>
      <c r="Z847" s="87">
        <f t="shared" si="81"/>
        <v>-2.7894020875786365E-3</v>
      </c>
      <c r="AA847" s="87">
        <f t="shared" si="80"/>
        <v>1.5831465216680662E-2</v>
      </c>
      <c r="AB847" s="87">
        <f t="shared" si="80"/>
        <v>2.6668247082161273E-2</v>
      </c>
      <c r="AC847" s="87">
        <f t="shared" si="80"/>
        <v>1.9200589856617153E-2</v>
      </c>
      <c r="AD847" s="87">
        <f t="shared" si="80"/>
        <v>1.4981553615616894E-2</v>
      </c>
      <c r="AE847" s="90">
        <f t="shared" ref="AE847:AE910" si="83">+SUMPRODUCT(Q847:AD847,$Q$8:$AD$8)</f>
        <v>6.8154207232204583E-3</v>
      </c>
    </row>
    <row r="848" spans="1:31" ht="15.5" x14ac:dyDescent="0.35">
      <c r="A848" s="82">
        <v>40995</v>
      </c>
      <c r="B848" s="83">
        <v>8239.2999999999993</v>
      </c>
      <c r="C848" s="84">
        <v>3120.4</v>
      </c>
      <c r="D848" s="61">
        <v>322.7</v>
      </c>
      <c r="E848" s="61">
        <v>15.4</v>
      </c>
      <c r="F848" s="61">
        <v>86.6</v>
      </c>
      <c r="G848" s="61">
        <v>32.4</v>
      </c>
      <c r="H848" s="61">
        <v>39.200000000000003</v>
      </c>
      <c r="I848" s="61">
        <v>11.8</v>
      </c>
      <c r="J848" s="61">
        <v>46.5</v>
      </c>
      <c r="K848" s="61">
        <v>36</v>
      </c>
      <c r="L848" s="61">
        <v>38.700000000000003</v>
      </c>
      <c r="M848" s="61">
        <v>37.799999999999997</v>
      </c>
      <c r="N848" s="61">
        <v>62.8</v>
      </c>
      <c r="O848" s="85">
        <v>26.9</v>
      </c>
      <c r="P848" s="105"/>
      <c r="Q848" s="87">
        <f t="shared" si="82"/>
        <v>-5.98981709891466E-3</v>
      </c>
      <c r="R848" s="87">
        <f t="shared" si="79"/>
        <v>-7.0478939326172455E-4</v>
      </c>
      <c r="S848" s="87">
        <f t="shared" si="79"/>
        <v>8.0896520820985772E-3</v>
      </c>
      <c r="T848" s="87">
        <f t="shared" si="79"/>
        <v>0</v>
      </c>
      <c r="U848" s="87">
        <f t="shared" si="79"/>
        <v>1.8648559078072995E-2</v>
      </c>
      <c r="V848" s="87">
        <f t="shared" si="79"/>
        <v>6.1919702479209804E-3</v>
      </c>
      <c r="W848" s="87">
        <f t="shared" si="79"/>
        <v>-7.8471615441495085E-2</v>
      </c>
      <c r="X848" s="87">
        <f t="shared" si="81"/>
        <v>-8.4388686458645949E-3</v>
      </c>
      <c r="Y848" s="87">
        <f t="shared" si="81"/>
        <v>8.6393625907078605E-3</v>
      </c>
      <c r="Z848" s="87">
        <f t="shared" si="81"/>
        <v>5.5710450494554295E-3</v>
      </c>
      <c r="AA848" s="87">
        <f t="shared" si="80"/>
        <v>1.3004084423206609E-2</v>
      </c>
      <c r="AB848" s="87">
        <f t="shared" si="80"/>
        <v>-5.2770571008438931E-3</v>
      </c>
      <c r="AC848" s="87">
        <f t="shared" si="80"/>
        <v>-4.7656960730145682E-3</v>
      </c>
      <c r="AD848" s="87">
        <f t="shared" si="80"/>
        <v>0</v>
      </c>
      <c r="AE848" s="90">
        <f t="shared" si="83"/>
        <v>7.4894508902526259E-3</v>
      </c>
    </row>
    <row r="849" spans="1:31" ht="15.5" x14ac:dyDescent="0.35">
      <c r="A849" s="82">
        <v>40996</v>
      </c>
      <c r="B849" s="83">
        <v>8188.4</v>
      </c>
      <c r="C849" s="84">
        <v>3105</v>
      </c>
      <c r="D849" s="61">
        <v>325.89999999999998</v>
      </c>
      <c r="E849" s="61">
        <v>15.1</v>
      </c>
      <c r="F849" s="61">
        <v>87.2</v>
      </c>
      <c r="G849" s="61">
        <v>32</v>
      </c>
      <c r="H849" s="61">
        <v>38.4</v>
      </c>
      <c r="I849" s="61">
        <v>11.4</v>
      </c>
      <c r="J849" s="61">
        <v>45.1</v>
      </c>
      <c r="K849" s="61">
        <v>35.799999999999997</v>
      </c>
      <c r="L849" s="61">
        <v>38.200000000000003</v>
      </c>
      <c r="M849" s="61">
        <v>37.4</v>
      </c>
      <c r="N849" s="61">
        <v>62.2</v>
      </c>
      <c r="O849" s="85">
        <v>26.6</v>
      </c>
      <c r="P849" s="105"/>
      <c r="Q849" s="87">
        <f t="shared" si="82"/>
        <v>-6.1968702721611401E-3</v>
      </c>
      <c r="R849" s="87">
        <f t="shared" si="79"/>
        <v>-4.947483346578985E-3</v>
      </c>
      <c r="S849" s="87">
        <f t="shared" si="79"/>
        <v>9.8674867855996391E-3</v>
      </c>
      <c r="T849" s="87">
        <f t="shared" si="79"/>
        <v>-1.9672765598704893E-2</v>
      </c>
      <c r="U849" s="87">
        <f t="shared" si="79"/>
        <v>6.9045153465444858E-3</v>
      </c>
      <c r="V849" s="87">
        <f t="shared" si="79"/>
        <v>-1.2422519998557096E-2</v>
      </c>
      <c r="W849" s="87">
        <f t="shared" si="79"/>
        <v>-2.0619287202735818E-2</v>
      </c>
      <c r="X849" s="87">
        <f t="shared" si="81"/>
        <v>-3.4486176071169321E-2</v>
      </c>
      <c r="Y849" s="87">
        <f t="shared" si="81"/>
        <v>-3.057006608467789E-2</v>
      </c>
      <c r="Z849" s="87">
        <f t="shared" si="81"/>
        <v>-5.571045049455472E-3</v>
      </c>
      <c r="AA849" s="87">
        <f t="shared" si="80"/>
        <v>-1.3004084423206573E-2</v>
      </c>
      <c r="AB849" s="87">
        <f t="shared" si="80"/>
        <v>-1.0638398205055754E-2</v>
      </c>
      <c r="AC849" s="87">
        <f t="shared" si="80"/>
        <v>-9.6000737290191183E-3</v>
      </c>
      <c r="AD849" s="87">
        <f t="shared" si="80"/>
        <v>-1.1215070820139957E-2</v>
      </c>
      <c r="AE849" s="90">
        <f t="shared" si="83"/>
        <v>2.0169448831589866E-3</v>
      </c>
    </row>
    <row r="850" spans="1:31" ht="15.5" x14ac:dyDescent="0.35">
      <c r="A850" s="82">
        <v>40997</v>
      </c>
      <c r="B850" s="83">
        <v>8166.4</v>
      </c>
      <c r="C850" s="84">
        <v>3095.4</v>
      </c>
      <c r="D850" s="61">
        <v>322.5</v>
      </c>
      <c r="E850" s="61">
        <v>15.1</v>
      </c>
      <c r="F850" s="61">
        <v>86.8</v>
      </c>
      <c r="G850" s="61">
        <v>31.8</v>
      </c>
      <c r="H850" s="61">
        <v>38.1</v>
      </c>
      <c r="I850" s="61">
        <v>11.2</v>
      </c>
      <c r="J850" s="61">
        <v>45</v>
      </c>
      <c r="K850" s="61">
        <v>35.4</v>
      </c>
      <c r="L850" s="61">
        <v>37.799999999999997</v>
      </c>
      <c r="M850" s="61">
        <v>36.5</v>
      </c>
      <c r="N850" s="61">
        <v>61.9</v>
      </c>
      <c r="O850" s="85">
        <v>26.6</v>
      </c>
      <c r="P850" s="105"/>
      <c r="Q850" s="87">
        <f t="shared" si="82"/>
        <v>-2.6903432961048238E-3</v>
      </c>
      <c r="R850" s="87">
        <f t="shared" si="79"/>
        <v>-3.0965768889198563E-3</v>
      </c>
      <c r="S850" s="87">
        <f t="shared" si="79"/>
        <v>-1.0487449607688654E-2</v>
      </c>
      <c r="T850" s="87">
        <f t="shared" si="79"/>
        <v>0</v>
      </c>
      <c r="U850" s="87">
        <f t="shared" ref="U850:Y913" si="84">+LN(F850/F849)</f>
        <v>-4.5977092486295425E-3</v>
      </c>
      <c r="V850" s="87">
        <f t="shared" si="84"/>
        <v>-6.2696130135953742E-3</v>
      </c>
      <c r="W850" s="87">
        <f t="shared" si="84"/>
        <v>-7.8431774610257816E-3</v>
      </c>
      <c r="X850" s="87">
        <f t="shared" si="81"/>
        <v>-1.7699577099400975E-2</v>
      </c>
      <c r="Y850" s="87">
        <f t="shared" si="81"/>
        <v>-2.2197567383128881E-3</v>
      </c>
      <c r="Z850" s="87">
        <f t="shared" si="81"/>
        <v>-1.1236073266925842E-2</v>
      </c>
      <c r="AA850" s="87">
        <f t="shared" si="80"/>
        <v>-1.0526412986987617E-2</v>
      </c>
      <c r="AB850" s="87">
        <f t="shared" si="80"/>
        <v>-2.4358443832040416E-2</v>
      </c>
      <c r="AC850" s="87">
        <f t="shared" si="80"/>
        <v>-4.8348200545834047E-3</v>
      </c>
      <c r="AD850" s="87">
        <f t="shared" si="80"/>
        <v>0</v>
      </c>
      <c r="AE850" s="90">
        <f t="shared" si="83"/>
        <v>-5.3132094403898888E-3</v>
      </c>
    </row>
    <row r="851" spans="1:31" ht="15.5" x14ac:dyDescent="0.35">
      <c r="A851" s="82">
        <v>40998</v>
      </c>
      <c r="B851" s="83">
        <v>8206.9</v>
      </c>
      <c r="C851" s="84">
        <v>3091.6</v>
      </c>
      <c r="D851" s="61">
        <v>320.8</v>
      </c>
      <c r="E851" s="61">
        <v>15.2</v>
      </c>
      <c r="F851" s="61">
        <v>85.4</v>
      </c>
      <c r="G851" s="61">
        <v>32</v>
      </c>
      <c r="H851" s="61">
        <v>38.200000000000003</v>
      </c>
      <c r="I851" s="61">
        <v>11.1</v>
      </c>
      <c r="J851" s="61">
        <v>45.1</v>
      </c>
      <c r="K851" s="61">
        <v>35.299999999999997</v>
      </c>
      <c r="L851" s="61">
        <v>38.1</v>
      </c>
      <c r="M851" s="61">
        <v>37</v>
      </c>
      <c r="N851" s="61">
        <v>62.9</v>
      </c>
      <c r="O851" s="85">
        <v>27</v>
      </c>
      <c r="P851" s="105"/>
      <c r="Q851" s="87">
        <f t="shared" si="82"/>
        <v>4.9470885647553507E-3</v>
      </c>
      <c r="R851" s="87">
        <f t="shared" ref="R851:T914" si="85">+LN(C851/C850)</f>
        <v>-1.2283822459433539E-3</v>
      </c>
      <c r="S851" s="87">
        <f t="shared" si="85"/>
        <v>-5.285260243467719E-3</v>
      </c>
      <c r="T851" s="87">
        <f t="shared" si="85"/>
        <v>6.6006840313520927E-3</v>
      </c>
      <c r="U851" s="87">
        <f t="shared" si="84"/>
        <v>-1.626052087178018E-2</v>
      </c>
      <c r="V851" s="87">
        <f t="shared" si="84"/>
        <v>6.269613013595395E-3</v>
      </c>
      <c r="W851" s="87">
        <f t="shared" si="84"/>
        <v>2.6212334798742872E-3</v>
      </c>
      <c r="X851" s="87">
        <f t="shared" si="81"/>
        <v>-8.9686699827603751E-3</v>
      </c>
      <c r="Y851" s="87">
        <f t="shared" si="81"/>
        <v>2.2197567383130316E-3</v>
      </c>
      <c r="Z851" s="87">
        <f t="shared" si="81"/>
        <v>-2.8288562004777137E-3</v>
      </c>
      <c r="AA851" s="87">
        <f t="shared" si="80"/>
        <v>7.9051795071134676E-3</v>
      </c>
      <c r="AB851" s="87">
        <f t="shared" si="80"/>
        <v>1.3605652055778678E-2</v>
      </c>
      <c r="AC851" s="87">
        <f t="shared" si="80"/>
        <v>1.6025984015844395E-2</v>
      </c>
      <c r="AD851" s="87">
        <f t="shared" si="80"/>
        <v>1.4925650216675574E-2</v>
      </c>
      <c r="AE851" s="90">
        <f t="shared" si="83"/>
        <v>-4.7508705988921467E-3</v>
      </c>
    </row>
    <row r="852" spans="1:31" ht="15.5" x14ac:dyDescent="0.35">
      <c r="A852" s="82">
        <v>41001</v>
      </c>
      <c r="B852" s="83">
        <v>8281.1</v>
      </c>
      <c r="C852" s="84">
        <v>3119.7</v>
      </c>
      <c r="D852" s="61">
        <v>317.7</v>
      </c>
      <c r="E852" s="61">
        <v>15.1</v>
      </c>
      <c r="F852" s="61">
        <v>85.8</v>
      </c>
      <c r="G852" s="61">
        <v>32</v>
      </c>
      <c r="H852" s="61">
        <v>38.4</v>
      </c>
      <c r="I852" s="61">
        <v>11.1</v>
      </c>
      <c r="J852" s="61">
        <v>45.5</v>
      </c>
      <c r="K852" s="61">
        <v>35</v>
      </c>
      <c r="L852" s="61">
        <v>38.200000000000003</v>
      </c>
      <c r="M852" s="61">
        <v>37.299999999999997</v>
      </c>
      <c r="N852" s="61">
        <v>63.5</v>
      </c>
      <c r="O852" s="85">
        <v>27</v>
      </c>
      <c r="P852" s="105"/>
      <c r="Q852" s="87">
        <f t="shared" si="82"/>
        <v>9.0005459619228421E-3</v>
      </c>
      <c r="R852" s="87">
        <f t="shared" si="85"/>
        <v>9.0480871015807419E-3</v>
      </c>
      <c r="S852" s="87">
        <f t="shared" si="85"/>
        <v>-9.7103347168890145E-3</v>
      </c>
      <c r="T852" s="87">
        <f t="shared" si="85"/>
        <v>-6.6006840313520242E-3</v>
      </c>
      <c r="U852" s="87">
        <f t="shared" si="84"/>
        <v>4.6729056993924231E-3</v>
      </c>
      <c r="V852" s="87">
        <f t="shared" si="84"/>
        <v>0</v>
      </c>
      <c r="W852" s="87">
        <f t="shared" si="84"/>
        <v>5.2219439811516249E-3</v>
      </c>
      <c r="X852" s="87">
        <f t="shared" si="81"/>
        <v>0</v>
      </c>
      <c r="Y852" s="87">
        <f t="shared" si="81"/>
        <v>8.8300794482719953E-3</v>
      </c>
      <c r="Z852" s="87">
        <f t="shared" si="81"/>
        <v>-8.534902449837331E-3</v>
      </c>
      <c r="AA852" s="87">
        <f t="shared" si="80"/>
        <v>2.6212334798742872E-3</v>
      </c>
      <c r="AB852" s="87">
        <f t="shared" si="80"/>
        <v>8.0754140055453311E-3</v>
      </c>
      <c r="AC852" s="87">
        <f t="shared" si="80"/>
        <v>9.4937421922511433E-3</v>
      </c>
      <c r="AD852" s="87">
        <f t="shared" si="80"/>
        <v>0</v>
      </c>
      <c r="AE852" s="90">
        <f t="shared" si="83"/>
        <v>1.2054765735482643E-3</v>
      </c>
    </row>
    <row r="853" spans="1:31" ht="15.5" x14ac:dyDescent="0.35">
      <c r="A853" s="82">
        <v>41002</v>
      </c>
      <c r="B853" s="83">
        <v>8216.5</v>
      </c>
      <c r="C853" s="84">
        <v>3113.6</v>
      </c>
      <c r="D853" s="61">
        <v>319.60000000000002</v>
      </c>
      <c r="E853" s="61">
        <v>15.1</v>
      </c>
      <c r="F853" s="61">
        <v>88.9</v>
      </c>
      <c r="G853" s="61">
        <v>31.7</v>
      </c>
      <c r="H853" s="61">
        <v>37.700000000000003</v>
      </c>
      <c r="I853" s="61">
        <v>11.2</v>
      </c>
      <c r="J853" s="61">
        <v>46</v>
      </c>
      <c r="K853" s="61">
        <v>35.1</v>
      </c>
      <c r="L853" s="61">
        <v>38.5</v>
      </c>
      <c r="M853" s="61">
        <v>37.1</v>
      </c>
      <c r="N853" s="61">
        <v>63.2</v>
      </c>
      <c r="O853" s="85">
        <v>27.1</v>
      </c>
      <c r="P853" s="105"/>
      <c r="Q853" s="87">
        <f t="shared" si="82"/>
        <v>-7.8314821756948587E-3</v>
      </c>
      <c r="R853" s="87">
        <f t="shared" si="85"/>
        <v>-1.9572303426108493E-3</v>
      </c>
      <c r="S853" s="87">
        <f t="shared" si="85"/>
        <v>5.9626726166492287E-3</v>
      </c>
      <c r="T853" s="87">
        <f t="shared" si="85"/>
        <v>0</v>
      </c>
      <c r="U853" s="87">
        <f t="shared" si="84"/>
        <v>3.5493136025942347E-2</v>
      </c>
      <c r="V853" s="87">
        <f t="shared" si="84"/>
        <v>-9.4192219164916397E-3</v>
      </c>
      <c r="W853" s="87">
        <f t="shared" si="84"/>
        <v>-1.8397365139715943E-2</v>
      </c>
      <c r="X853" s="87">
        <f t="shared" si="81"/>
        <v>8.9686699827603161E-3</v>
      </c>
      <c r="Y853" s="87">
        <f t="shared" si="81"/>
        <v>1.092907053219023E-2</v>
      </c>
      <c r="Z853" s="87">
        <f t="shared" si="81"/>
        <v>2.8530689824064807E-3</v>
      </c>
      <c r="AA853" s="87">
        <f t="shared" si="80"/>
        <v>7.8227256812088575E-3</v>
      </c>
      <c r="AB853" s="87">
        <f t="shared" si="80"/>
        <v>-5.3763570363802938E-3</v>
      </c>
      <c r="AC853" s="87">
        <f t="shared" si="80"/>
        <v>-4.7356047458341271E-3</v>
      </c>
      <c r="AD853" s="87">
        <f t="shared" si="80"/>
        <v>3.6968618813262026E-3</v>
      </c>
      <c r="AE853" s="90">
        <f t="shared" si="83"/>
        <v>1.1757197166200235E-2</v>
      </c>
    </row>
    <row r="854" spans="1:31" ht="15.5" x14ac:dyDescent="0.35">
      <c r="A854" s="82">
        <v>41003</v>
      </c>
      <c r="B854" s="83">
        <v>8106.8</v>
      </c>
      <c r="C854" s="84">
        <v>3068.1</v>
      </c>
      <c r="D854" s="61">
        <v>315.89999999999998</v>
      </c>
      <c r="E854" s="61">
        <v>15</v>
      </c>
      <c r="F854" s="61">
        <v>88.1</v>
      </c>
      <c r="G854" s="61">
        <v>31.1</v>
      </c>
      <c r="H854" s="61">
        <v>36.200000000000003</v>
      </c>
      <c r="I854" s="61">
        <v>10.9</v>
      </c>
      <c r="J854" s="61">
        <v>45.3</v>
      </c>
      <c r="K854" s="61">
        <v>34.700000000000003</v>
      </c>
      <c r="L854" s="61">
        <v>38.5</v>
      </c>
      <c r="M854" s="61">
        <v>36.799999999999997</v>
      </c>
      <c r="N854" s="61">
        <v>62.2</v>
      </c>
      <c r="O854" s="85">
        <v>27.2</v>
      </c>
      <c r="P854" s="105"/>
      <c r="Q854" s="87">
        <f t="shared" si="82"/>
        <v>-1.3441111976186412E-2</v>
      </c>
      <c r="R854" s="87">
        <f t="shared" si="85"/>
        <v>-1.472113551160918E-2</v>
      </c>
      <c r="S854" s="87">
        <f t="shared" si="85"/>
        <v>-1.1644506084080257E-2</v>
      </c>
      <c r="T854" s="87">
        <f t="shared" si="85"/>
        <v>-6.6445427186685013E-3</v>
      </c>
      <c r="U854" s="87">
        <f t="shared" si="84"/>
        <v>-9.0396095777252449E-3</v>
      </c>
      <c r="V854" s="87">
        <f t="shared" si="84"/>
        <v>-1.9108861698046362E-2</v>
      </c>
      <c r="W854" s="87">
        <f t="shared" si="84"/>
        <v>-4.0600975622239646E-2</v>
      </c>
      <c r="X854" s="87">
        <f t="shared" si="81"/>
        <v>-2.7150989065950745E-2</v>
      </c>
      <c r="Y854" s="87">
        <f t="shared" si="81"/>
        <v>-1.5334364000106687E-2</v>
      </c>
      <c r="Z854" s="87">
        <f t="shared" si="81"/>
        <v>-1.1461443519006539E-2</v>
      </c>
      <c r="AA854" s="87">
        <f t="shared" si="80"/>
        <v>0</v>
      </c>
      <c r="AB854" s="87">
        <f t="shared" si="80"/>
        <v>-8.1191244385043528E-3</v>
      </c>
      <c r="AC854" s="87">
        <f t="shared" si="80"/>
        <v>-1.5949301407677953E-2</v>
      </c>
      <c r="AD854" s="87">
        <f t="shared" si="80"/>
        <v>3.683245416296368E-3</v>
      </c>
      <c r="AE854" s="90">
        <f t="shared" si="83"/>
        <v>-9.9588185048249921E-3</v>
      </c>
    </row>
    <row r="855" spans="1:31" ht="15.5" x14ac:dyDescent="0.35">
      <c r="A855" s="82">
        <v>41004</v>
      </c>
      <c r="B855" s="83">
        <v>8081.4</v>
      </c>
      <c r="C855" s="84">
        <v>3080.5</v>
      </c>
      <c r="D855" s="61">
        <v>314.60000000000002</v>
      </c>
      <c r="E855" s="61">
        <v>15</v>
      </c>
      <c r="F855" s="61">
        <v>89.1</v>
      </c>
      <c r="G855" s="61">
        <v>31.1</v>
      </c>
      <c r="H855" s="61">
        <v>36.1</v>
      </c>
      <c r="I855" s="61">
        <v>11</v>
      </c>
      <c r="J855" s="61">
        <v>44.8</v>
      </c>
      <c r="K855" s="61">
        <v>34.799999999999997</v>
      </c>
      <c r="L855" s="61">
        <v>38.6</v>
      </c>
      <c r="M855" s="61">
        <v>36.299999999999997</v>
      </c>
      <c r="N855" s="61">
        <v>62.2</v>
      </c>
      <c r="O855" s="85">
        <v>27.3</v>
      </c>
      <c r="P855" s="105"/>
      <c r="Q855" s="87">
        <f t="shared" si="82"/>
        <v>-3.1380908123340863E-3</v>
      </c>
      <c r="R855" s="87">
        <f t="shared" si="85"/>
        <v>4.0334439745485888E-3</v>
      </c>
      <c r="S855" s="87">
        <f t="shared" si="85"/>
        <v>-4.123717183861929E-3</v>
      </c>
      <c r="T855" s="87">
        <f t="shared" si="85"/>
        <v>0</v>
      </c>
      <c r="U855" s="87">
        <f t="shared" si="84"/>
        <v>1.1286801534629855E-2</v>
      </c>
      <c r="V855" s="87">
        <f t="shared" si="84"/>
        <v>0</v>
      </c>
      <c r="W855" s="87">
        <f t="shared" si="84"/>
        <v>-2.766253492890185E-3</v>
      </c>
      <c r="X855" s="87">
        <f t="shared" si="81"/>
        <v>9.1324835632724723E-3</v>
      </c>
      <c r="Y855" s="87">
        <f t="shared" si="81"/>
        <v>-1.1098893068048803E-2</v>
      </c>
      <c r="Z855" s="87">
        <f t="shared" si="81"/>
        <v>2.877699827614974E-3</v>
      </c>
      <c r="AA855" s="87">
        <f t="shared" si="80"/>
        <v>2.594035177046749E-3</v>
      </c>
      <c r="AB855" s="87">
        <f t="shared" si="80"/>
        <v>-1.3680103904080154E-2</v>
      </c>
      <c r="AC855" s="87">
        <f t="shared" si="80"/>
        <v>0</v>
      </c>
      <c r="AD855" s="87">
        <f t="shared" si="80"/>
        <v>3.6697288889624017E-3</v>
      </c>
      <c r="AE855" s="90">
        <f t="shared" si="83"/>
        <v>3.6751265020348858E-3</v>
      </c>
    </row>
    <row r="856" spans="1:31" ht="15.5" x14ac:dyDescent="0.35">
      <c r="A856" s="82">
        <v>41008</v>
      </c>
      <c r="B856" s="83">
        <v>7992.3</v>
      </c>
      <c r="C856" s="84">
        <v>3047.1</v>
      </c>
      <c r="D856" s="61">
        <v>313</v>
      </c>
      <c r="E856" s="61">
        <v>15</v>
      </c>
      <c r="F856" s="61">
        <v>89.3</v>
      </c>
      <c r="G856" s="61">
        <v>31</v>
      </c>
      <c r="H856" s="61">
        <v>35.799999999999997</v>
      </c>
      <c r="I856" s="61">
        <v>10.5</v>
      </c>
      <c r="J856" s="61">
        <v>43.9</v>
      </c>
      <c r="K856" s="61">
        <v>33.700000000000003</v>
      </c>
      <c r="L856" s="61">
        <v>38.6</v>
      </c>
      <c r="M856" s="61">
        <v>35.4</v>
      </c>
      <c r="N856" s="61">
        <v>62</v>
      </c>
      <c r="O856" s="85">
        <v>27.1</v>
      </c>
      <c r="P856" s="105"/>
      <c r="Q856" s="87">
        <f t="shared" si="82"/>
        <v>-1.1086546671412862E-2</v>
      </c>
      <c r="R856" s="87">
        <f t="shared" si="85"/>
        <v>-1.0901602841060254E-2</v>
      </c>
      <c r="S856" s="87">
        <f t="shared" si="85"/>
        <v>-5.0988000840242933E-3</v>
      </c>
      <c r="T856" s="87">
        <f t="shared" si="85"/>
        <v>0</v>
      </c>
      <c r="U856" s="87">
        <f t="shared" si="84"/>
        <v>2.2421534056897268E-3</v>
      </c>
      <c r="V856" s="87">
        <f t="shared" si="84"/>
        <v>-3.2206147000422834E-3</v>
      </c>
      <c r="W856" s="87">
        <f t="shared" si="84"/>
        <v>-8.3449719321807576E-3</v>
      </c>
      <c r="X856" s="87">
        <f t="shared" si="81"/>
        <v>-4.6520015634892817E-2</v>
      </c>
      <c r="Y856" s="87">
        <f t="shared" si="81"/>
        <v>-2.0293819339813796E-2</v>
      </c>
      <c r="Z856" s="87">
        <f t="shared" si="81"/>
        <v>-3.2119549422112433E-2</v>
      </c>
      <c r="AA856" s="87">
        <f t="shared" si="80"/>
        <v>0</v>
      </c>
      <c r="AB856" s="87">
        <f t="shared" si="80"/>
        <v>-2.5105921131076243E-2</v>
      </c>
      <c r="AC856" s="87">
        <f t="shared" si="80"/>
        <v>-3.2206147000422834E-3</v>
      </c>
      <c r="AD856" s="87">
        <f t="shared" si="80"/>
        <v>-7.352974305258806E-3</v>
      </c>
      <c r="AE856" s="90">
        <f t="shared" si="83"/>
        <v>-5.0131081046714768E-3</v>
      </c>
    </row>
    <row r="857" spans="1:31" ht="15.5" x14ac:dyDescent="0.35">
      <c r="A857" s="82">
        <v>41009</v>
      </c>
      <c r="B857" s="83">
        <v>7841.9</v>
      </c>
      <c r="C857" s="84">
        <v>2991.2</v>
      </c>
      <c r="D857" s="61">
        <v>312.60000000000002</v>
      </c>
      <c r="E857" s="61">
        <v>14.9</v>
      </c>
      <c r="F857" s="61">
        <v>89.4</v>
      </c>
      <c r="G857" s="61">
        <v>30.3</v>
      </c>
      <c r="H857" s="61">
        <v>35.5</v>
      </c>
      <c r="I857" s="61">
        <v>10.199999999999999</v>
      </c>
      <c r="J857" s="61">
        <v>42.5</v>
      </c>
      <c r="K857" s="61">
        <v>33</v>
      </c>
      <c r="L857" s="61">
        <v>38.5</v>
      </c>
      <c r="M857" s="61">
        <v>34.799999999999997</v>
      </c>
      <c r="N857" s="61">
        <v>60.8</v>
      </c>
      <c r="O857" s="85">
        <v>26.5</v>
      </c>
      <c r="P857" s="105"/>
      <c r="Q857" s="87">
        <f t="shared" si="82"/>
        <v>-1.8997426239458031E-2</v>
      </c>
      <c r="R857" s="87">
        <f t="shared" si="85"/>
        <v>-1.8515673950661241E-2</v>
      </c>
      <c r="S857" s="87">
        <f t="shared" si="85"/>
        <v>-1.2787725527768649E-3</v>
      </c>
      <c r="T857" s="87">
        <f t="shared" si="85"/>
        <v>-6.6889881507965401E-3</v>
      </c>
      <c r="U857" s="87">
        <f t="shared" si="84"/>
        <v>1.1191942970152542E-3</v>
      </c>
      <c r="V857" s="87">
        <f t="shared" si="84"/>
        <v>-2.2839491969822791E-2</v>
      </c>
      <c r="W857" s="87">
        <f t="shared" si="84"/>
        <v>-8.4151969252844721E-3</v>
      </c>
      <c r="X857" s="87">
        <f t="shared" si="81"/>
        <v>-2.8987536873252413E-2</v>
      </c>
      <c r="Y857" s="87">
        <f t="shared" si="81"/>
        <v>-3.241024415075449E-2</v>
      </c>
      <c r="Z857" s="87">
        <f t="shared" si="81"/>
        <v>-2.0990275891835858E-2</v>
      </c>
      <c r="AA857" s="87">
        <f t="shared" si="80"/>
        <v>-2.5940351770466466E-3</v>
      </c>
      <c r="AB857" s="87">
        <f t="shared" si="80"/>
        <v>-1.7094433359300183E-2</v>
      </c>
      <c r="AC857" s="87">
        <f t="shared" si="80"/>
        <v>-1.9544596072970283E-2</v>
      </c>
      <c r="AD857" s="87">
        <f t="shared" si="80"/>
        <v>-2.2388994893478724E-2</v>
      </c>
      <c r="AE857" s="90">
        <f t="shared" si="83"/>
        <v>-8.3257463998741982E-3</v>
      </c>
    </row>
    <row r="858" spans="1:31" ht="15.5" x14ac:dyDescent="0.35">
      <c r="A858" s="82">
        <v>41010</v>
      </c>
      <c r="B858" s="83">
        <v>7912.9</v>
      </c>
      <c r="C858" s="84">
        <v>3016.5</v>
      </c>
      <c r="D858" s="61">
        <v>316</v>
      </c>
      <c r="E858" s="61">
        <v>14.8</v>
      </c>
      <c r="F858" s="61">
        <v>89.1</v>
      </c>
      <c r="G858" s="61">
        <v>30.2</v>
      </c>
      <c r="H858" s="61">
        <v>35.700000000000003</v>
      </c>
      <c r="I858" s="61">
        <v>10.4</v>
      </c>
      <c r="J858" s="61">
        <v>42.7</v>
      </c>
      <c r="K858" s="61">
        <v>33.299999999999997</v>
      </c>
      <c r="L858" s="61">
        <v>38.4</v>
      </c>
      <c r="M858" s="61">
        <v>35.200000000000003</v>
      </c>
      <c r="N858" s="61">
        <v>60.9</v>
      </c>
      <c r="O858" s="85">
        <v>26.9</v>
      </c>
      <c r="P858" s="105"/>
      <c r="Q858" s="87">
        <f t="shared" si="82"/>
        <v>9.013187175313294E-3</v>
      </c>
      <c r="R858" s="87">
        <f t="shared" si="85"/>
        <v>8.422574217912494E-3</v>
      </c>
      <c r="S858" s="87">
        <f t="shared" si="85"/>
        <v>1.0817795599535737E-2</v>
      </c>
      <c r="T858" s="87">
        <f t="shared" si="85"/>
        <v>-6.7340321813440683E-3</v>
      </c>
      <c r="U858" s="87">
        <f t="shared" si="84"/>
        <v>-3.3613477027049942E-3</v>
      </c>
      <c r="V858" s="87">
        <f t="shared" si="84"/>
        <v>-3.3057881344995439E-3</v>
      </c>
      <c r="W858" s="87">
        <f t="shared" si="84"/>
        <v>5.6179923042232738E-3</v>
      </c>
      <c r="X858" s="87">
        <f t="shared" si="81"/>
        <v>1.9418085857101731E-2</v>
      </c>
      <c r="Y858" s="87">
        <f t="shared" si="81"/>
        <v>4.6948443042078847E-3</v>
      </c>
      <c r="Z858" s="87">
        <f t="shared" si="81"/>
        <v>9.0498355199178562E-3</v>
      </c>
      <c r="AA858" s="87">
        <f t="shared" si="80"/>
        <v>-2.6007817000573675E-3</v>
      </c>
      <c r="AB858" s="87">
        <f t="shared" si="80"/>
        <v>1.142869582362285E-2</v>
      </c>
      <c r="AC858" s="87">
        <f t="shared" si="80"/>
        <v>1.6433857437300632E-3</v>
      </c>
      <c r="AD858" s="87">
        <f t="shared" si="80"/>
        <v>1.4981553615616894E-2</v>
      </c>
      <c r="AE858" s="90">
        <f t="shared" si="83"/>
        <v>6.5515600963058805E-3</v>
      </c>
    </row>
    <row r="859" spans="1:31" ht="15.5" x14ac:dyDescent="0.35">
      <c r="A859" s="82">
        <v>41011</v>
      </c>
      <c r="B859" s="83">
        <v>8040</v>
      </c>
      <c r="C859" s="84">
        <v>3055.6</v>
      </c>
      <c r="D859" s="61">
        <v>320.5</v>
      </c>
      <c r="E859" s="61">
        <v>14.8</v>
      </c>
      <c r="F859" s="61">
        <v>88.6</v>
      </c>
      <c r="G859" s="61">
        <v>30.4</v>
      </c>
      <c r="H859" s="61">
        <v>36.1</v>
      </c>
      <c r="I859" s="61">
        <v>10.6</v>
      </c>
      <c r="J859" s="61">
        <v>42.9</v>
      </c>
      <c r="K859" s="61">
        <v>33.799999999999997</v>
      </c>
      <c r="L859" s="61">
        <v>38.200000000000003</v>
      </c>
      <c r="M859" s="61">
        <v>35.4</v>
      </c>
      <c r="N859" s="61">
        <v>60.7</v>
      </c>
      <c r="O859" s="85">
        <v>26.8</v>
      </c>
      <c r="P859" s="105"/>
      <c r="Q859" s="87">
        <f t="shared" si="82"/>
        <v>1.593474407574547E-2</v>
      </c>
      <c r="R859" s="87">
        <f t="shared" si="85"/>
        <v>1.287875378638817E-2</v>
      </c>
      <c r="S859" s="87">
        <f t="shared" si="85"/>
        <v>1.4140062773812693E-2</v>
      </c>
      <c r="T859" s="87">
        <f t="shared" si="85"/>
        <v>0</v>
      </c>
      <c r="U859" s="87">
        <f t="shared" si="84"/>
        <v>-5.6274768657283364E-3</v>
      </c>
      <c r="V859" s="87">
        <f t="shared" si="84"/>
        <v>6.6006840313520927E-3</v>
      </c>
      <c r="W859" s="87">
        <f t="shared" si="84"/>
        <v>1.1142176553241803E-2</v>
      </c>
      <c r="X859" s="87">
        <f t="shared" si="81"/>
        <v>1.9048194970694411E-2</v>
      </c>
      <c r="Y859" s="87">
        <f t="shared" si="81"/>
        <v>4.6729056993924231E-3</v>
      </c>
      <c r="Z859" s="87">
        <f t="shared" si="81"/>
        <v>1.4903405502574948E-2</v>
      </c>
      <c r="AA859" s="87">
        <f t="shared" si="80"/>
        <v>-5.2219439811516007E-3</v>
      </c>
      <c r="AB859" s="87">
        <f t="shared" si="80"/>
        <v>5.6657375356772999E-3</v>
      </c>
      <c r="AC859" s="87">
        <f t="shared" si="80"/>
        <v>-3.2894766503986459E-3</v>
      </c>
      <c r="AD859" s="87">
        <f t="shared" si="80"/>
        <v>-3.7243990909823282E-3</v>
      </c>
      <c r="AE859" s="90">
        <f t="shared" si="83"/>
        <v>5.9382842496322041E-3</v>
      </c>
    </row>
    <row r="860" spans="1:31" ht="15.5" x14ac:dyDescent="0.35">
      <c r="A860" s="82">
        <v>41012</v>
      </c>
      <c r="B860" s="83">
        <v>7931.1</v>
      </c>
      <c r="C860" s="84">
        <v>3011.3</v>
      </c>
      <c r="D860" s="61">
        <v>312.10000000000002</v>
      </c>
      <c r="E860" s="61">
        <v>14.9</v>
      </c>
      <c r="F860" s="61">
        <v>86.2</v>
      </c>
      <c r="G860" s="61">
        <v>30.7</v>
      </c>
      <c r="H860" s="61">
        <v>36.700000000000003</v>
      </c>
      <c r="I860" s="61">
        <v>10.6</v>
      </c>
      <c r="J860" s="61">
        <v>42.8</v>
      </c>
      <c r="K860" s="61">
        <v>33.700000000000003</v>
      </c>
      <c r="L860" s="61">
        <v>37.799999999999997</v>
      </c>
      <c r="M860" s="61">
        <v>35.5</v>
      </c>
      <c r="N860" s="61">
        <v>60.1</v>
      </c>
      <c r="O860" s="85">
        <v>27.1</v>
      </c>
      <c r="P860" s="105"/>
      <c r="Q860" s="87">
        <f t="shared" si="82"/>
        <v>-1.3637343418709215E-2</v>
      </c>
      <c r="R860" s="87">
        <f t="shared" si="85"/>
        <v>-1.4604093475808853E-2</v>
      </c>
      <c r="S860" s="87">
        <f t="shared" si="85"/>
        <v>-2.6558627083990888E-2</v>
      </c>
      <c r="T860" s="87">
        <f t="shared" si="85"/>
        <v>6.7340321813441194E-3</v>
      </c>
      <c r="U860" s="87">
        <f t="shared" si="84"/>
        <v>-2.7461679941387779E-2</v>
      </c>
      <c r="V860" s="87">
        <f t="shared" si="84"/>
        <v>9.820046180975513E-3</v>
      </c>
      <c r="W860" s="87">
        <f t="shared" si="84"/>
        <v>1.6483889721689415E-2</v>
      </c>
      <c r="X860" s="87">
        <f t="shared" si="81"/>
        <v>0</v>
      </c>
      <c r="Y860" s="87">
        <f t="shared" si="81"/>
        <v>-2.3337233462202116E-3</v>
      </c>
      <c r="Z860" s="87">
        <f t="shared" si="81"/>
        <v>-2.9629651306568496E-3</v>
      </c>
      <c r="AA860" s="87">
        <f t="shared" si="80"/>
        <v>-1.0526412986987617E-2</v>
      </c>
      <c r="AB860" s="87">
        <f t="shared" si="80"/>
        <v>2.8208763416414846E-3</v>
      </c>
      <c r="AC860" s="87">
        <f t="shared" si="80"/>
        <v>-9.9338565242907371E-3</v>
      </c>
      <c r="AD860" s="87">
        <f t="shared" si="80"/>
        <v>1.1131840368844199E-2</v>
      </c>
      <c r="AE860" s="90">
        <f t="shared" si="83"/>
        <v>-1.8652281228548659E-2</v>
      </c>
    </row>
    <row r="861" spans="1:31" ht="15.5" x14ac:dyDescent="0.35">
      <c r="A861" s="82">
        <v>41015</v>
      </c>
      <c r="B861" s="83">
        <v>7949.6</v>
      </c>
      <c r="C861" s="84">
        <v>2988.4</v>
      </c>
      <c r="D861" s="61">
        <v>301.10000000000002</v>
      </c>
      <c r="E861" s="61">
        <v>14.7</v>
      </c>
      <c r="F861" s="61">
        <v>82.6</v>
      </c>
      <c r="G861" s="61">
        <v>30.8</v>
      </c>
      <c r="H861" s="61">
        <v>35.700000000000003</v>
      </c>
      <c r="I861" s="61">
        <v>10.4</v>
      </c>
      <c r="J861" s="61">
        <v>42.4</v>
      </c>
      <c r="K861" s="61">
        <v>33.5</v>
      </c>
      <c r="L861" s="61">
        <v>37.9</v>
      </c>
      <c r="M861" s="61">
        <v>35.1</v>
      </c>
      <c r="N861" s="61">
        <v>60.1</v>
      </c>
      <c r="O861" s="85">
        <v>27.2</v>
      </c>
      <c r="P861" s="105"/>
      <c r="Q861" s="87">
        <f t="shared" si="82"/>
        <v>2.3298731628508267E-3</v>
      </c>
      <c r="R861" s="87">
        <f t="shared" si="85"/>
        <v>-7.6337520897494368E-3</v>
      </c>
      <c r="S861" s="87">
        <f t="shared" si="85"/>
        <v>-3.5881213789045595E-2</v>
      </c>
      <c r="T861" s="87">
        <f t="shared" si="85"/>
        <v>-1.3513719166722933E-2</v>
      </c>
      <c r="U861" s="87">
        <f t="shared" si="84"/>
        <v>-4.2660497142715172E-2</v>
      </c>
      <c r="V861" s="87">
        <f t="shared" si="84"/>
        <v>3.2520353863773159E-3</v>
      </c>
      <c r="W861" s="87">
        <f t="shared" si="84"/>
        <v>-2.7626066274931152E-2</v>
      </c>
      <c r="X861" s="87">
        <f t="shared" si="81"/>
        <v>-1.9048194970694363E-2</v>
      </c>
      <c r="Y861" s="87">
        <f t="shared" si="81"/>
        <v>-9.3897403498390316E-3</v>
      </c>
      <c r="Z861" s="87">
        <f t="shared" si="81"/>
        <v>-5.9523985272953847E-3</v>
      </c>
      <c r="AA861" s="87">
        <f t="shared" si="80"/>
        <v>2.6420094628387975E-3</v>
      </c>
      <c r="AB861" s="87">
        <f t="shared" si="80"/>
        <v>-1.133156600954997E-2</v>
      </c>
      <c r="AC861" s="87">
        <f t="shared" si="80"/>
        <v>0</v>
      </c>
      <c r="AD861" s="87">
        <f t="shared" si="80"/>
        <v>3.683245416296368E-3</v>
      </c>
      <c r="AE861" s="90">
        <f t="shared" si="83"/>
        <v>-2.4543549756608496E-2</v>
      </c>
    </row>
    <row r="862" spans="1:31" ht="15.5" x14ac:dyDescent="0.35">
      <c r="A862" s="82">
        <v>41016</v>
      </c>
      <c r="B862" s="83">
        <v>8064</v>
      </c>
      <c r="C862" s="84">
        <v>3042.8</v>
      </c>
      <c r="D862" s="61">
        <v>303.8</v>
      </c>
      <c r="E862" s="61">
        <v>14.8</v>
      </c>
      <c r="F862" s="61">
        <v>81.7</v>
      </c>
      <c r="G862" s="61">
        <v>31.2</v>
      </c>
      <c r="H862" s="61">
        <v>36.1</v>
      </c>
      <c r="I862" s="61">
        <v>10.4</v>
      </c>
      <c r="J862" s="61">
        <v>43.1</v>
      </c>
      <c r="K862" s="61">
        <v>34</v>
      </c>
      <c r="L862" s="61">
        <v>38</v>
      </c>
      <c r="M862" s="61">
        <v>35.700000000000003</v>
      </c>
      <c r="N862" s="61">
        <v>60.3</v>
      </c>
      <c r="O862" s="85">
        <v>27.3</v>
      </c>
      <c r="P862" s="105"/>
      <c r="Q862" s="87">
        <f t="shared" si="82"/>
        <v>1.4288098393996307E-2</v>
      </c>
      <c r="R862" s="87">
        <f t="shared" si="85"/>
        <v>1.8040017021499908E-2</v>
      </c>
      <c r="S862" s="87">
        <f t="shared" si="85"/>
        <v>8.9271546739844009E-3</v>
      </c>
      <c r="T862" s="87">
        <f t="shared" si="85"/>
        <v>6.7796869853787691E-3</v>
      </c>
      <c r="U862" s="87">
        <f t="shared" si="84"/>
        <v>-1.0955678660975071E-2</v>
      </c>
      <c r="V862" s="87">
        <f t="shared" si="84"/>
        <v>1.2903404835907782E-2</v>
      </c>
      <c r="W862" s="87">
        <f t="shared" si="84"/>
        <v>1.1142176553241803E-2</v>
      </c>
      <c r="X862" s="87">
        <f t="shared" si="81"/>
        <v>0</v>
      </c>
      <c r="Y862" s="87">
        <f t="shared" si="81"/>
        <v>1.6374634871790104E-2</v>
      </c>
      <c r="Z862" s="87">
        <f t="shared" si="81"/>
        <v>1.4815085785140682E-2</v>
      </c>
      <c r="AA862" s="87">
        <f t="shared" si="80"/>
        <v>2.6350476380052534E-3</v>
      </c>
      <c r="AB862" s="87">
        <f t="shared" si="80"/>
        <v>1.6949558313773205E-2</v>
      </c>
      <c r="AC862" s="87">
        <f t="shared" si="80"/>
        <v>3.3222621919778601E-3</v>
      </c>
      <c r="AD862" s="87">
        <f t="shared" si="80"/>
        <v>3.6697288889624017E-3</v>
      </c>
      <c r="AE862" s="90">
        <f t="shared" si="83"/>
        <v>5.3344146558242942E-3</v>
      </c>
    </row>
    <row r="863" spans="1:31" ht="15.5" x14ac:dyDescent="0.35">
      <c r="A863" s="82">
        <v>41017</v>
      </c>
      <c r="B863" s="83">
        <v>8030.4</v>
      </c>
      <c r="C863" s="84">
        <v>3031.4</v>
      </c>
      <c r="D863" s="61">
        <v>301.7</v>
      </c>
      <c r="E863" s="61">
        <v>15.3</v>
      </c>
      <c r="F863" s="61">
        <v>86.1</v>
      </c>
      <c r="G863" s="61">
        <v>31</v>
      </c>
      <c r="H863" s="61">
        <v>35.6</v>
      </c>
      <c r="I863" s="61">
        <v>10.4</v>
      </c>
      <c r="J863" s="61">
        <v>43.1</v>
      </c>
      <c r="K863" s="61">
        <v>33.6</v>
      </c>
      <c r="L863" s="61">
        <v>38.4</v>
      </c>
      <c r="M863" s="61">
        <v>35.700000000000003</v>
      </c>
      <c r="N863" s="61">
        <v>60.4</v>
      </c>
      <c r="O863" s="85">
        <v>27.3</v>
      </c>
      <c r="P863" s="105"/>
      <c r="Q863" s="87">
        <f t="shared" si="82"/>
        <v>-4.1753714104807334E-3</v>
      </c>
      <c r="R863" s="87">
        <f t="shared" si="85"/>
        <v>-3.7535851255896054E-3</v>
      </c>
      <c r="S863" s="87">
        <f t="shared" si="85"/>
        <v>-6.9364439966570985E-3</v>
      </c>
      <c r="T863" s="87">
        <f t="shared" si="85"/>
        <v>3.3225647628320386E-2</v>
      </c>
      <c r="U863" s="87">
        <f t="shared" si="84"/>
        <v>5.2455409567727922E-2</v>
      </c>
      <c r="V863" s="87">
        <f t="shared" si="84"/>
        <v>-6.4308903302904025E-3</v>
      </c>
      <c r="W863" s="87">
        <f t="shared" si="84"/>
        <v>-1.3947227480850441E-2</v>
      </c>
      <c r="X863" s="87">
        <f t="shared" si="81"/>
        <v>0</v>
      </c>
      <c r="Y863" s="87">
        <f t="shared" si="81"/>
        <v>0</v>
      </c>
      <c r="Z863" s="87">
        <f t="shared" si="81"/>
        <v>-1.1834457647002796E-2</v>
      </c>
      <c r="AA863" s="87">
        <f t="shared" si="80"/>
        <v>1.0471299867295437E-2</v>
      </c>
      <c r="AB863" s="87">
        <f t="shared" si="80"/>
        <v>0</v>
      </c>
      <c r="AC863" s="87">
        <f t="shared" si="80"/>
        <v>1.6570012076296086E-3</v>
      </c>
      <c r="AD863" s="87">
        <f t="shared" si="80"/>
        <v>0</v>
      </c>
      <c r="AE863" s="90">
        <f t="shared" si="83"/>
        <v>1.1843168475175731E-2</v>
      </c>
    </row>
    <row r="864" spans="1:31" ht="15.5" x14ac:dyDescent="0.35">
      <c r="A864" s="82">
        <v>41018</v>
      </c>
      <c r="B864" s="83">
        <v>7995.9</v>
      </c>
      <c r="C864" s="84">
        <v>3007.6</v>
      </c>
      <c r="D864" s="61">
        <v>299.8</v>
      </c>
      <c r="E864" s="61">
        <v>15.4</v>
      </c>
      <c r="F864" s="61">
        <v>83.5</v>
      </c>
      <c r="G864" s="61">
        <v>30.9</v>
      </c>
      <c r="H864" s="61">
        <v>34.700000000000003</v>
      </c>
      <c r="I864" s="61">
        <v>10.8</v>
      </c>
      <c r="J864" s="61">
        <v>43</v>
      </c>
      <c r="K864" s="61">
        <v>33.9</v>
      </c>
      <c r="L864" s="61">
        <v>38.200000000000003</v>
      </c>
      <c r="M864" s="61">
        <v>35</v>
      </c>
      <c r="N864" s="61">
        <v>60.8</v>
      </c>
      <c r="O864" s="85">
        <v>27.3</v>
      </c>
      <c r="P864" s="105"/>
      <c r="Q864" s="87">
        <f t="shared" si="82"/>
        <v>-4.3054296117089677E-3</v>
      </c>
      <c r="R864" s="87">
        <f t="shared" si="85"/>
        <v>-7.8821404936847937E-3</v>
      </c>
      <c r="S864" s="87">
        <f t="shared" si="85"/>
        <v>-6.3175604965180453E-3</v>
      </c>
      <c r="T864" s="87">
        <f t="shared" si="85"/>
        <v>6.5146810211936723E-3</v>
      </c>
      <c r="U864" s="87">
        <f t="shared" si="84"/>
        <v>-3.0662779576875292E-2</v>
      </c>
      <c r="V864" s="87">
        <f t="shared" si="84"/>
        <v>-3.2310205814465318E-3</v>
      </c>
      <c r="W864" s="87">
        <f t="shared" si="84"/>
        <v>-2.560595090517127E-2</v>
      </c>
      <c r="X864" s="87">
        <f t="shared" si="81"/>
        <v>3.7740327982847113E-2</v>
      </c>
      <c r="Y864" s="87">
        <f t="shared" si="81"/>
        <v>-2.3228814161397496E-3</v>
      </c>
      <c r="Z864" s="87">
        <f t="shared" si="81"/>
        <v>8.8889474172459942E-3</v>
      </c>
      <c r="AA864" s="87">
        <f t="shared" si="80"/>
        <v>-5.2219439811516007E-3</v>
      </c>
      <c r="AB864" s="87">
        <f t="shared" si="80"/>
        <v>-1.9802627296179754E-2</v>
      </c>
      <c r="AC864" s="87">
        <f t="shared" si="80"/>
        <v>6.6006840313520927E-3</v>
      </c>
      <c r="AD864" s="87">
        <f t="shared" si="80"/>
        <v>0</v>
      </c>
      <c r="AE864" s="90">
        <f t="shared" si="83"/>
        <v>-1.2979898336952076E-2</v>
      </c>
    </row>
    <row r="865" spans="1:31" ht="15.5" x14ac:dyDescent="0.35">
      <c r="A865" s="82">
        <v>41019</v>
      </c>
      <c r="B865" s="83">
        <v>8025.4</v>
      </c>
      <c r="C865" s="84">
        <v>3000.4</v>
      </c>
      <c r="D865" s="61">
        <v>298.2</v>
      </c>
      <c r="E865" s="61">
        <v>15.4</v>
      </c>
      <c r="F865" s="61">
        <v>81.5</v>
      </c>
      <c r="G865" s="61">
        <v>32.1</v>
      </c>
      <c r="H865" s="61">
        <v>34.799999999999997</v>
      </c>
      <c r="I865" s="61">
        <v>11.1</v>
      </c>
      <c r="J865" s="61">
        <v>43.5</v>
      </c>
      <c r="K865" s="61">
        <v>33.4</v>
      </c>
      <c r="L865" s="61">
        <v>38.299999999999997</v>
      </c>
      <c r="M865" s="61">
        <v>34.9</v>
      </c>
      <c r="N865" s="61">
        <v>61.6</v>
      </c>
      <c r="O865" s="85">
        <v>27.4</v>
      </c>
      <c r="P865" s="105"/>
      <c r="Q865" s="87">
        <f t="shared" si="82"/>
        <v>3.6826017038337228E-3</v>
      </c>
      <c r="R865" s="87">
        <f t="shared" si="85"/>
        <v>-2.3968054083905264E-3</v>
      </c>
      <c r="S865" s="87">
        <f t="shared" si="85"/>
        <v>-5.3511833378593072E-3</v>
      </c>
      <c r="T865" s="87">
        <f t="shared" si="85"/>
        <v>0</v>
      </c>
      <c r="U865" s="87">
        <f t="shared" si="84"/>
        <v>-2.4243611609992739E-2</v>
      </c>
      <c r="V865" s="87">
        <f t="shared" si="84"/>
        <v>3.8099846232270383E-2</v>
      </c>
      <c r="W865" s="87">
        <f t="shared" si="84"/>
        <v>2.877699827614974E-3</v>
      </c>
      <c r="X865" s="87">
        <f t="shared" si="81"/>
        <v>2.7398974188114347E-2</v>
      </c>
      <c r="Y865" s="87">
        <f t="shared" si="81"/>
        <v>1.1560822401076006E-2</v>
      </c>
      <c r="Z865" s="87">
        <f t="shared" si="81"/>
        <v>-1.4859114403749828E-2</v>
      </c>
      <c r="AA865" s="87">
        <f t="shared" si="80"/>
        <v>2.614380574070672E-3</v>
      </c>
      <c r="AB865" s="87">
        <f t="shared" si="80"/>
        <v>-2.8612322810322348E-3</v>
      </c>
      <c r="AC865" s="87">
        <f t="shared" si="80"/>
        <v>1.3072081567352921E-2</v>
      </c>
      <c r="AD865" s="87">
        <f t="shared" si="80"/>
        <v>3.6563112031104792E-3</v>
      </c>
      <c r="AE865" s="90">
        <f t="shared" si="83"/>
        <v>-8.7728484056127948E-3</v>
      </c>
    </row>
    <row r="866" spans="1:31" ht="15.5" x14ac:dyDescent="0.35">
      <c r="A866" s="82">
        <v>41022</v>
      </c>
      <c r="B866" s="83">
        <v>7940.7</v>
      </c>
      <c r="C866" s="84">
        <v>2970.4</v>
      </c>
      <c r="D866" s="61">
        <v>295.39999999999998</v>
      </c>
      <c r="E866" s="61">
        <v>15.3</v>
      </c>
      <c r="F866" s="61">
        <v>79.5</v>
      </c>
      <c r="G866" s="61">
        <v>32</v>
      </c>
      <c r="H866" s="61">
        <v>34.1</v>
      </c>
      <c r="I866" s="61">
        <v>10.9</v>
      </c>
      <c r="J866" s="61">
        <v>42.4</v>
      </c>
      <c r="K866" s="61">
        <v>32.5</v>
      </c>
      <c r="L866" s="61">
        <v>38.200000000000003</v>
      </c>
      <c r="M866" s="61">
        <v>34.299999999999997</v>
      </c>
      <c r="N866" s="61">
        <v>60.1</v>
      </c>
      <c r="O866" s="85">
        <v>27.2</v>
      </c>
      <c r="P866" s="105"/>
      <c r="Q866" s="87">
        <f t="shared" si="82"/>
        <v>-1.0610079428515646E-2</v>
      </c>
      <c r="R866" s="87">
        <f t="shared" si="85"/>
        <v>-1.0048989232610907E-2</v>
      </c>
      <c r="S866" s="87">
        <f t="shared" si="85"/>
        <v>-9.4340322333586416E-3</v>
      </c>
      <c r="T866" s="87">
        <f t="shared" si="85"/>
        <v>-6.5146810211936419E-3</v>
      </c>
      <c r="U866" s="87">
        <f t="shared" si="84"/>
        <v>-2.4845998586530776E-2</v>
      </c>
      <c r="V866" s="87">
        <f t="shared" si="84"/>
        <v>-3.1201273362436339E-3</v>
      </c>
      <c r="W866" s="87">
        <f t="shared" si="84"/>
        <v>-2.0320002490957379E-2</v>
      </c>
      <c r="X866" s="87">
        <f t="shared" si="81"/>
        <v>-1.818231908319036E-2</v>
      </c>
      <c r="Y866" s="87">
        <f t="shared" si="81"/>
        <v>-2.5612575856726345E-2</v>
      </c>
      <c r="Z866" s="87">
        <f t="shared" si="81"/>
        <v>-2.7315810646962865E-2</v>
      </c>
      <c r="AA866" s="87">
        <f t="shared" si="81"/>
        <v>-2.6143805740707093E-3</v>
      </c>
      <c r="AB866" s="87">
        <f t="shared" si="81"/>
        <v>-1.7341475036487326E-2</v>
      </c>
      <c r="AC866" s="87">
        <f t="shared" si="81"/>
        <v>-2.4652028998312193E-2</v>
      </c>
      <c r="AD866" s="87">
        <f t="shared" si="81"/>
        <v>-7.3260400920728977E-3</v>
      </c>
      <c r="AE866" s="90">
        <f t="shared" si="83"/>
        <v>-1.3769022991256178E-2</v>
      </c>
    </row>
    <row r="867" spans="1:31" ht="15.5" x14ac:dyDescent="0.35">
      <c r="A867" s="82">
        <v>41023</v>
      </c>
      <c r="B867" s="83">
        <v>7988</v>
      </c>
      <c r="C867" s="84">
        <v>2961.6</v>
      </c>
      <c r="D867" s="61">
        <v>299</v>
      </c>
      <c r="E867" s="61">
        <v>15.3</v>
      </c>
      <c r="F867" s="61">
        <v>79.3</v>
      </c>
      <c r="G867" s="61">
        <v>31.8</v>
      </c>
      <c r="H867" s="61">
        <v>33.700000000000003</v>
      </c>
      <c r="I867" s="61">
        <v>11.1</v>
      </c>
      <c r="J867" s="61">
        <v>42.4</v>
      </c>
      <c r="K867" s="61">
        <v>32.700000000000003</v>
      </c>
      <c r="L867" s="61">
        <v>38.200000000000003</v>
      </c>
      <c r="M867" s="61">
        <v>35.299999999999997</v>
      </c>
      <c r="N867" s="61">
        <v>60.1</v>
      </c>
      <c r="O867" s="85">
        <v>26.6</v>
      </c>
      <c r="P867" s="105"/>
      <c r="Q867" s="87">
        <f t="shared" si="82"/>
        <v>5.9389829714274001E-3</v>
      </c>
      <c r="R867" s="87">
        <f t="shared" si="85"/>
        <v>-2.9669610436373057E-3</v>
      </c>
      <c r="S867" s="87">
        <f t="shared" si="85"/>
        <v>1.2113203293406968E-2</v>
      </c>
      <c r="T867" s="87">
        <f t="shared" si="85"/>
        <v>0</v>
      </c>
      <c r="U867" s="87">
        <f t="shared" si="84"/>
        <v>-2.5188930194839148E-3</v>
      </c>
      <c r="V867" s="87">
        <f t="shared" si="84"/>
        <v>-6.2696130135953742E-3</v>
      </c>
      <c r="W867" s="87">
        <f t="shared" si="84"/>
        <v>-1.1799546931155055E-2</v>
      </c>
      <c r="X867" s="87">
        <f t="shared" si="81"/>
        <v>1.8182319083190328E-2</v>
      </c>
      <c r="Y867" s="87">
        <f t="shared" si="81"/>
        <v>0</v>
      </c>
      <c r="Z867" s="87">
        <f t="shared" si="81"/>
        <v>6.1349885675159293E-3</v>
      </c>
      <c r="AA867" s="87">
        <f t="shared" si="81"/>
        <v>0</v>
      </c>
      <c r="AB867" s="87">
        <f t="shared" si="81"/>
        <v>2.8737609767356946E-2</v>
      </c>
      <c r="AC867" s="87">
        <f t="shared" si="81"/>
        <v>0</v>
      </c>
      <c r="AD867" s="87">
        <f t="shared" si="81"/>
        <v>-2.2305757514298162E-2</v>
      </c>
      <c r="AE867" s="90">
        <f t="shared" si="83"/>
        <v>-7.7450362191170785E-4</v>
      </c>
    </row>
    <row r="868" spans="1:31" ht="15.5" x14ac:dyDescent="0.35">
      <c r="A868" s="82">
        <v>41024</v>
      </c>
      <c r="B868" s="83">
        <v>8070.8</v>
      </c>
      <c r="C868" s="84">
        <v>3029.6</v>
      </c>
      <c r="D868" s="61">
        <v>301.7</v>
      </c>
      <c r="E868" s="61">
        <v>15.4</v>
      </c>
      <c r="F868" s="61">
        <v>86.6</v>
      </c>
      <c r="G868" s="61">
        <v>31.9</v>
      </c>
      <c r="H868" s="61">
        <v>34.200000000000003</v>
      </c>
      <c r="I868" s="61">
        <v>11.3</v>
      </c>
      <c r="J868" s="61">
        <v>43.8</v>
      </c>
      <c r="K868" s="61">
        <v>34.5</v>
      </c>
      <c r="L868" s="61">
        <v>38.1</v>
      </c>
      <c r="M868" s="61">
        <v>35.5</v>
      </c>
      <c r="N868" s="61">
        <v>61.8</v>
      </c>
      <c r="O868" s="85">
        <v>26.7</v>
      </c>
      <c r="P868" s="105"/>
      <c r="Q868" s="87">
        <f t="shared" si="82"/>
        <v>1.0312194404817175E-2</v>
      </c>
      <c r="R868" s="87">
        <f t="shared" si="85"/>
        <v>2.2700934768352086E-2</v>
      </c>
      <c r="S868" s="87">
        <f t="shared" si="85"/>
        <v>8.989572774328998E-3</v>
      </c>
      <c r="T868" s="87">
        <f t="shared" si="85"/>
        <v>6.5146810211936723E-3</v>
      </c>
      <c r="U868" s="87">
        <f t="shared" si="84"/>
        <v>8.8061686927587104E-2</v>
      </c>
      <c r="V868" s="87">
        <f t="shared" si="84"/>
        <v>3.1397200046676247E-3</v>
      </c>
      <c r="W868" s="87">
        <f t="shared" si="84"/>
        <v>1.4727806710243386E-2</v>
      </c>
      <c r="X868" s="87">
        <f t="shared" si="81"/>
        <v>1.7857617400006472E-2</v>
      </c>
      <c r="Y868" s="87">
        <f t="shared" si="81"/>
        <v>3.2485455144488307E-2</v>
      </c>
      <c r="Z868" s="87">
        <f t="shared" si="81"/>
        <v>5.3584246134106263E-2</v>
      </c>
      <c r="AA868" s="87">
        <f t="shared" si="81"/>
        <v>-2.6212334798743041E-3</v>
      </c>
      <c r="AB868" s="87">
        <f t="shared" si="81"/>
        <v>5.6497325421191276E-3</v>
      </c>
      <c r="AC868" s="87">
        <f t="shared" si="81"/>
        <v>2.7893522922483167E-2</v>
      </c>
      <c r="AD868" s="87">
        <f t="shared" si="81"/>
        <v>3.7523496185503718E-3</v>
      </c>
      <c r="AE868" s="90">
        <f t="shared" si="83"/>
        <v>3.5072752901475768E-2</v>
      </c>
    </row>
    <row r="869" spans="1:31" ht="15.5" x14ac:dyDescent="0.35">
      <c r="A869" s="82">
        <v>41025</v>
      </c>
      <c r="B869" s="83">
        <v>8123.1</v>
      </c>
      <c r="C869" s="84">
        <v>3050.6</v>
      </c>
      <c r="D869" s="61">
        <v>305.2</v>
      </c>
      <c r="E869" s="61">
        <v>15.4</v>
      </c>
      <c r="F869" s="61">
        <v>86</v>
      </c>
      <c r="G869" s="61">
        <v>31.9</v>
      </c>
      <c r="H869" s="61">
        <v>34.6</v>
      </c>
      <c r="I869" s="61">
        <v>11.4</v>
      </c>
      <c r="J869" s="61">
        <v>42.6</v>
      </c>
      <c r="K869" s="61">
        <v>33.9</v>
      </c>
      <c r="L869" s="61">
        <v>38.299999999999997</v>
      </c>
      <c r="M869" s="61">
        <v>35.799999999999997</v>
      </c>
      <c r="N869" s="61">
        <v>63.7</v>
      </c>
      <c r="O869" s="85">
        <v>27.2</v>
      </c>
      <c r="P869" s="105"/>
      <c r="Q869" s="87">
        <f t="shared" si="82"/>
        <v>6.4592447572940177E-3</v>
      </c>
      <c r="R869" s="87">
        <f t="shared" si="85"/>
        <v>6.9076949782476563E-3</v>
      </c>
      <c r="S869" s="87">
        <f t="shared" si="85"/>
        <v>1.1534153245286545E-2</v>
      </c>
      <c r="T869" s="87">
        <f t="shared" si="85"/>
        <v>0</v>
      </c>
      <c r="U869" s="87">
        <f t="shared" si="84"/>
        <v>-6.9525193148816406E-3</v>
      </c>
      <c r="V869" s="87">
        <f t="shared" si="84"/>
        <v>0</v>
      </c>
      <c r="W869" s="87">
        <f t="shared" si="84"/>
        <v>1.1628037995118993E-2</v>
      </c>
      <c r="X869" s="87">
        <f t="shared" si="81"/>
        <v>8.8106296821549059E-3</v>
      </c>
      <c r="Y869" s="87">
        <f t="shared" si="81"/>
        <v>-2.7779564107075591E-2</v>
      </c>
      <c r="Z869" s="87">
        <f t="shared" si="81"/>
        <v>-1.7544309650909508E-2</v>
      </c>
      <c r="AA869" s="87">
        <f t="shared" si="81"/>
        <v>5.2356140539449427E-3</v>
      </c>
      <c r="AB869" s="87">
        <f t="shared" si="81"/>
        <v>8.4151969252844981E-3</v>
      </c>
      <c r="AC869" s="87">
        <f t="shared" si="81"/>
        <v>3.0281198114472704E-2</v>
      </c>
      <c r="AD869" s="87">
        <f t="shared" si="81"/>
        <v>1.8553407895747834E-2</v>
      </c>
      <c r="AE869" s="90">
        <f t="shared" si="83"/>
        <v>5.7144981614566676E-3</v>
      </c>
    </row>
    <row r="870" spans="1:31" ht="15.5" x14ac:dyDescent="0.35">
      <c r="A870" s="82">
        <v>41026</v>
      </c>
      <c r="B870" s="83">
        <v>8151.9</v>
      </c>
      <c r="C870" s="84">
        <v>3069.2</v>
      </c>
      <c r="D870" s="61">
        <v>305.60000000000002</v>
      </c>
      <c r="E870" s="61">
        <v>15.5</v>
      </c>
      <c r="F870" s="61">
        <v>85.8</v>
      </c>
      <c r="G870" s="61">
        <v>31.9</v>
      </c>
      <c r="H870" s="61">
        <v>35.5</v>
      </c>
      <c r="I870" s="61">
        <v>10.7</v>
      </c>
      <c r="J870" s="61">
        <v>42</v>
      </c>
      <c r="K870" s="61">
        <v>35.9</v>
      </c>
      <c r="L870" s="61">
        <v>38.299999999999997</v>
      </c>
      <c r="M870" s="61">
        <v>35.5</v>
      </c>
      <c r="N870" s="61">
        <v>62.6</v>
      </c>
      <c r="O870" s="85">
        <v>27.5</v>
      </c>
      <c r="P870" s="105"/>
      <c r="Q870" s="87">
        <f t="shared" si="82"/>
        <v>3.5391742011432314E-3</v>
      </c>
      <c r="R870" s="87">
        <f t="shared" si="85"/>
        <v>6.0786487376773436E-3</v>
      </c>
      <c r="S870" s="87">
        <f t="shared" si="85"/>
        <v>1.3097578820635101E-3</v>
      </c>
      <c r="T870" s="87">
        <f t="shared" si="85"/>
        <v>6.4725145056175196E-3</v>
      </c>
      <c r="U870" s="87">
        <f t="shared" si="84"/>
        <v>-2.3282897595911845E-3</v>
      </c>
      <c r="V870" s="87">
        <f t="shared" si="84"/>
        <v>0</v>
      </c>
      <c r="W870" s="87">
        <f t="shared" si="84"/>
        <v>2.5679014417691447E-2</v>
      </c>
      <c r="X870" s="87">
        <f t="shared" si="81"/>
        <v>-6.3369613932589372E-2</v>
      </c>
      <c r="Y870" s="87">
        <f t="shared" si="81"/>
        <v>-1.4184634991956413E-2</v>
      </c>
      <c r="Z870" s="87">
        <f t="shared" si="81"/>
        <v>5.7322281107828561E-2</v>
      </c>
      <c r="AA870" s="87">
        <f t="shared" si="81"/>
        <v>0</v>
      </c>
      <c r="AB870" s="87">
        <f t="shared" si="81"/>
        <v>-8.4151969252844721E-3</v>
      </c>
      <c r="AC870" s="87">
        <f t="shared" si="81"/>
        <v>-1.7419284472064821E-2</v>
      </c>
      <c r="AD870" s="87">
        <f t="shared" si="81"/>
        <v>1.0969031370573937E-2</v>
      </c>
      <c r="AE870" s="90">
        <f t="shared" si="83"/>
        <v>2.873034112462881E-3</v>
      </c>
    </row>
    <row r="871" spans="1:31" ht="15.5" x14ac:dyDescent="0.35">
      <c r="A871" s="82">
        <v>41029</v>
      </c>
      <c r="B871" s="83">
        <v>8119.1</v>
      </c>
      <c r="C871" s="84">
        <v>3046.4</v>
      </c>
      <c r="D871" s="61">
        <v>300.60000000000002</v>
      </c>
      <c r="E871" s="61">
        <v>15.5</v>
      </c>
      <c r="F871" s="61">
        <v>83.3</v>
      </c>
      <c r="G871" s="61">
        <v>31.9</v>
      </c>
      <c r="H871" s="61">
        <v>34.9</v>
      </c>
      <c r="I871" s="61">
        <v>10.7</v>
      </c>
      <c r="J871" s="61">
        <v>41.9</v>
      </c>
      <c r="K871" s="61">
        <v>35.9</v>
      </c>
      <c r="L871" s="61">
        <v>38.4</v>
      </c>
      <c r="M871" s="61">
        <v>35.799999999999997</v>
      </c>
      <c r="N871" s="61">
        <v>62.1</v>
      </c>
      <c r="O871" s="85">
        <v>27.6</v>
      </c>
      <c r="P871" s="105"/>
      <c r="Q871" s="87">
        <f t="shared" si="82"/>
        <v>-4.0317183245829587E-3</v>
      </c>
      <c r="R871" s="87">
        <f t="shared" si="85"/>
        <v>-7.4563757064639007E-3</v>
      </c>
      <c r="S871" s="87">
        <f t="shared" si="85"/>
        <v>-1.6496579973491292E-2</v>
      </c>
      <c r="T871" s="87">
        <f t="shared" si="85"/>
        <v>0</v>
      </c>
      <c r="U871" s="87">
        <f t="shared" si="84"/>
        <v>-2.9570457321119546E-2</v>
      </c>
      <c r="V871" s="87">
        <f t="shared" si="84"/>
        <v>0</v>
      </c>
      <c r="W871" s="87">
        <f t="shared" si="84"/>
        <v>-1.7045867272988721E-2</v>
      </c>
      <c r="X871" s="87">
        <f t="shared" si="81"/>
        <v>0</v>
      </c>
      <c r="Y871" s="87">
        <f t="shared" si="81"/>
        <v>-2.3837913552762504E-3</v>
      </c>
      <c r="Z871" s="87">
        <f t="shared" si="81"/>
        <v>0</v>
      </c>
      <c r="AA871" s="87">
        <f t="shared" si="81"/>
        <v>2.6075634070809911E-3</v>
      </c>
      <c r="AB871" s="87">
        <f t="shared" si="81"/>
        <v>8.4151969252844981E-3</v>
      </c>
      <c r="AC871" s="87">
        <f t="shared" si="81"/>
        <v>-8.0192891666198106E-3</v>
      </c>
      <c r="AD871" s="87">
        <f t="shared" si="81"/>
        <v>3.6297680505787311E-3</v>
      </c>
      <c r="AE871" s="90">
        <f t="shared" si="83"/>
        <v>-1.5078800367133015E-2</v>
      </c>
    </row>
    <row r="872" spans="1:31" ht="15.5" x14ac:dyDescent="0.35">
      <c r="A872" s="82">
        <v>41030</v>
      </c>
      <c r="B872" s="83">
        <v>8164</v>
      </c>
      <c r="C872" s="84">
        <v>3050.4</v>
      </c>
      <c r="D872" s="61">
        <v>300.39999999999998</v>
      </c>
      <c r="E872" s="61">
        <v>15.5</v>
      </c>
      <c r="F872" s="61">
        <v>83</v>
      </c>
      <c r="G872" s="61">
        <v>32</v>
      </c>
      <c r="H872" s="61">
        <v>35</v>
      </c>
      <c r="I872" s="61">
        <v>10.8</v>
      </c>
      <c r="J872" s="61">
        <v>42.4</v>
      </c>
      <c r="K872" s="61">
        <v>35.1</v>
      </c>
      <c r="L872" s="61">
        <v>38.9</v>
      </c>
      <c r="M872" s="61">
        <v>35.799999999999997</v>
      </c>
      <c r="N872" s="61">
        <v>61.9</v>
      </c>
      <c r="O872" s="85">
        <v>27.6</v>
      </c>
      <c r="P872" s="105"/>
      <c r="Q872" s="87">
        <f t="shared" si="82"/>
        <v>5.5149343553580719E-3</v>
      </c>
      <c r="R872" s="87">
        <f t="shared" si="85"/>
        <v>1.3121639463079149E-3</v>
      </c>
      <c r="S872" s="87">
        <f t="shared" si="85"/>
        <v>-6.6555742889456504E-4</v>
      </c>
      <c r="T872" s="87">
        <f t="shared" si="85"/>
        <v>0</v>
      </c>
      <c r="U872" s="87">
        <f t="shared" si="84"/>
        <v>-3.607941376199054E-3</v>
      </c>
      <c r="V872" s="87">
        <f t="shared" si="84"/>
        <v>3.1298930089277868E-3</v>
      </c>
      <c r="W872" s="87">
        <f t="shared" si="84"/>
        <v>2.8612322810321949E-3</v>
      </c>
      <c r="X872" s="87">
        <f t="shared" si="81"/>
        <v>9.3023926623136306E-3</v>
      </c>
      <c r="Y872" s="87">
        <f t="shared" si="81"/>
        <v>1.1862535309819948E-2</v>
      </c>
      <c r="Z872" s="87">
        <f t="shared" si="81"/>
        <v>-2.2536165022412947E-2</v>
      </c>
      <c r="AA872" s="87">
        <f t="shared" si="81"/>
        <v>1.2936791030719362E-2</v>
      </c>
      <c r="AB872" s="87">
        <f t="shared" si="81"/>
        <v>0</v>
      </c>
      <c r="AC872" s="87">
        <f t="shared" si="81"/>
        <v>-3.2258092488826771E-3</v>
      </c>
      <c r="AD872" s="87">
        <f t="shared" si="81"/>
        <v>0</v>
      </c>
      <c r="AE872" s="90">
        <f t="shared" si="83"/>
        <v>-8.3318316905633722E-4</v>
      </c>
    </row>
    <row r="873" spans="1:31" ht="15.5" x14ac:dyDescent="0.35">
      <c r="A873" s="82">
        <v>41031</v>
      </c>
      <c r="B873" s="83">
        <v>8124.3</v>
      </c>
      <c r="C873" s="84">
        <v>3059.9</v>
      </c>
      <c r="D873" s="61">
        <v>300.60000000000002</v>
      </c>
      <c r="E873" s="61">
        <v>15.5</v>
      </c>
      <c r="F873" s="61">
        <v>82.7</v>
      </c>
      <c r="G873" s="61">
        <v>31.6</v>
      </c>
      <c r="H873" s="61">
        <v>34.4</v>
      </c>
      <c r="I873" s="61">
        <v>11</v>
      </c>
      <c r="J873" s="61">
        <v>43.2</v>
      </c>
      <c r="K873" s="61">
        <v>35</v>
      </c>
      <c r="L873" s="61">
        <v>39.1</v>
      </c>
      <c r="M873" s="61">
        <v>35.200000000000003</v>
      </c>
      <c r="N873" s="61">
        <v>61.8</v>
      </c>
      <c r="O873" s="85">
        <v>27.8</v>
      </c>
      <c r="P873" s="105"/>
      <c r="Q873" s="87">
        <f t="shared" si="82"/>
        <v>-4.8746742894068091E-3</v>
      </c>
      <c r="R873" s="87">
        <f t="shared" si="85"/>
        <v>3.1095061305161432E-3</v>
      </c>
      <c r="S873" s="87">
        <f t="shared" si="85"/>
        <v>6.6555742889448243E-4</v>
      </c>
      <c r="T873" s="87">
        <f t="shared" si="85"/>
        <v>0</v>
      </c>
      <c r="U873" s="87">
        <f t="shared" si="84"/>
        <v>-3.6210057669522934E-3</v>
      </c>
      <c r="V873" s="87">
        <f t="shared" si="84"/>
        <v>-1.2578782206860073E-2</v>
      </c>
      <c r="W873" s="87">
        <f t="shared" si="84"/>
        <v>-1.7291497110061109E-2</v>
      </c>
      <c r="X873" s="87">
        <f t="shared" si="81"/>
        <v>1.8349138668196398E-2</v>
      </c>
      <c r="Y873" s="87">
        <f t="shared" si="81"/>
        <v>1.8692133012152546E-2</v>
      </c>
      <c r="Z873" s="87">
        <f t="shared" si="81"/>
        <v>-2.8530689824065106E-3</v>
      </c>
      <c r="AA873" s="87">
        <f t="shared" si="81"/>
        <v>5.1282163669195292E-3</v>
      </c>
      <c r="AB873" s="87">
        <f t="shared" si="81"/>
        <v>-1.6901810802603025E-2</v>
      </c>
      <c r="AC873" s="87">
        <f t="shared" si="81"/>
        <v>-1.6168152269053946E-3</v>
      </c>
      <c r="AD873" s="87">
        <f t="shared" si="81"/>
        <v>7.2202479734870973E-3</v>
      </c>
      <c r="AE873" s="90">
        <f t="shared" si="83"/>
        <v>9.6914327521135642E-4</v>
      </c>
    </row>
    <row r="874" spans="1:31" ht="15.5" x14ac:dyDescent="0.35">
      <c r="A874" s="82">
        <v>41032</v>
      </c>
      <c r="B874" s="83">
        <v>8049.9</v>
      </c>
      <c r="C874" s="84">
        <v>3024.3</v>
      </c>
      <c r="D874" s="61">
        <v>304.8</v>
      </c>
      <c r="E874" s="61">
        <v>15.3</v>
      </c>
      <c r="F874" s="61">
        <v>82.9</v>
      </c>
      <c r="G874" s="61">
        <v>31.6</v>
      </c>
      <c r="H874" s="61">
        <v>33.9</v>
      </c>
      <c r="I874" s="61">
        <v>10.8</v>
      </c>
      <c r="J874" s="61">
        <v>43</v>
      </c>
      <c r="K874" s="61">
        <v>34</v>
      </c>
      <c r="L874" s="61">
        <v>39.1</v>
      </c>
      <c r="M874" s="61">
        <v>34.9</v>
      </c>
      <c r="N874" s="61">
        <v>60.2</v>
      </c>
      <c r="O874" s="85">
        <v>28.4</v>
      </c>
      <c r="P874" s="105"/>
      <c r="Q874" s="87">
        <f t="shared" si="82"/>
        <v>-9.199901665126237E-3</v>
      </c>
      <c r="R874" s="87">
        <f t="shared" si="85"/>
        <v>-1.1702575945864548E-2</v>
      </c>
      <c r="S874" s="87">
        <f t="shared" si="85"/>
        <v>1.3875346493617019E-2</v>
      </c>
      <c r="T874" s="87">
        <f t="shared" si="85"/>
        <v>-1.2987195526811079E-2</v>
      </c>
      <c r="U874" s="87">
        <f t="shared" si="84"/>
        <v>2.41546011160378E-3</v>
      </c>
      <c r="V874" s="87">
        <f t="shared" si="84"/>
        <v>0</v>
      </c>
      <c r="W874" s="87">
        <f t="shared" si="84"/>
        <v>-1.4641549992948118E-2</v>
      </c>
      <c r="X874" s="87">
        <f t="shared" si="81"/>
        <v>-1.834913866819643E-2</v>
      </c>
      <c r="Y874" s="87">
        <f t="shared" si="81"/>
        <v>-4.6403795565022254E-3</v>
      </c>
      <c r="Z874" s="87">
        <f t="shared" si="81"/>
        <v>-2.8987536873252298E-2</v>
      </c>
      <c r="AA874" s="87">
        <f t="shared" si="81"/>
        <v>0</v>
      </c>
      <c r="AB874" s="87">
        <f t="shared" si="81"/>
        <v>-8.5592533956700603E-3</v>
      </c>
      <c r="AC874" s="87">
        <f t="shared" si="81"/>
        <v>-2.6231012148869647E-2</v>
      </c>
      <c r="AD874" s="87">
        <f t="shared" si="81"/>
        <v>2.1353124470568842E-2</v>
      </c>
      <c r="AE874" s="90">
        <f t="shared" si="83"/>
        <v>3.840485795673732E-3</v>
      </c>
    </row>
    <row r="875" spans="1:31" ht="15.5" x14ac:dyDescent="0.35">
      <c r="A875" s="82">
        <v>41033</v>
      </c>
      <c r="B875" s="83">
        <v>7933.3</v>
      </c>
      <c r="C875" s="84">
        <v>2956.3</v>
      </c>
      <c r="D875" s="61">
        <v>298.7</v>
      </c>
      <c r="E875" s="61">
        <v>15.1</v>
      </c>
      <c r="F875" s="61">
        <v>80.7</v>
      </c>
      <c r="G875" s="61">
        <v>30.9</v>
      </c>
      <c r="H875" s="61">
        <v>33.700000000000003</v>
      </c>
      <c r="I875" s="61">
        <v>10.8</v>
      </c>
      <c r="J875" s="61">
        <v>41.9</v>
      </c>
      <c r="K875" s="61">
        <v>33.5</v>
      </c>
      <c r="L875" s="61">
        <v>38.6</v>
      </c>
      <c r="M875" s="61">
        <v>33.799999999999997</v>
      </c>
      <c r="N875" s="61">
        <v>59.3</v>
      </c>
      <c r="O875" s="85">
        <v>27.9</v>
      </c>
      <c r="P875" s="105"/>
      <c r="Q875" s="87">
        <f t="shared" si="82"/>
        <v>-1.4590578673245421E-2</v>
      </c>
      <c r="R875" s="87">
        <f t="shared" si="85"/>
        <v>-2.2741173311552162E-2</v>
      </c>
      <c r="S875" s="87">
        <f t="shared" si="85"/>
        <v>-2.0216098590427209E-2</v>
      </c>
      <c r="T875" s="87">
        <f t="shared" si="85"/>
        <v>-1.3158084577511199E-2</v>
      </c>
      <c r="U875" s="87">
        <f t="shared" si="84"/>
        <v>-2.6896486865346198E-2</v>
      </c>
      <c r="V875" s="87">
        <f t="shared" si="84"/>
        <v>-2.2400936689166772E-2</v>
      </c>
      <c r="W875" s="87">
        <f t="shared" si="84"/>
        <v>-5.9171770280883962E-3</v>
      </c>
      <c r="X875" s="87">
        <f t="shared" si="81"/>
        <v>0</v>
      </c>
      <c r="Y875" s="87">
        <f t="shared" si="81"/>
        <v>-2.5914288765470354E-2</v>
      </c>
      <c r="Z875" s="87">
        <f t="shared" si="81"/>
        <v>-1.4815085785140587E-2</v>
      </c>
      <c r="AA875" s="87">
        <f t="shared" si="81"/>
        <v>-1.2870190520534907E-2</v>
      </c>
      <c r="AB875" s="87">
        <f t="shared" si="81"/>
        <v>-3.2026026719408435E-2</v>
      </c>
      <c r="AC875" s="87">
        <f t="shared" si="81"/>
        <v>-1.5063046311095628E-2</v>
      </c>
      <c r="AD875" s="87">
        <f t="shared" si="81"/>
        <v>-1.7762456339840388E-2</v>
      </c>
      <c r="AE875" s="90">
        <f t="shared" si="83"/>
        <v>-2.2584933071506094E-2</v>
      </c>
    </row>
    <row r="876" spans="1:31" ht="15.5" x14ac:dyDescent="0.35">
      <c r="A876" s="82">
        <v>41036</v>
      </c>
      <c r="B876" s="83">
        <v>7948.8</v>
      </c>
      <c r="C876" s="84">
        <v>2957.8</v>
      </c>
      <c r="D876" s="61">
        <v>297.8</v>
      </c>
      <c r="E876" s="61">
        <v>15.2</v>
      </c>
      <c r="F876" s="61">
        <v>80.2</v>
      </c>
      <c r="G876" s="61">
        <v>30.6</v>
      </c>
      <c r="H876" s="61">
        <v>33.5</v>
      </c>
      <c r="I876" s="61">
        <v>10.7</v>
      </c>
      <c r="J876" s="61">
        <v>41.8</v>
      </c>
      <c r="K876" s="61">
        <v>33.299999999999997</v>
      </c>
      <c r="L876" s="61">
        <v>38.5</v>
      </c>
      <c r="M876" s="61">
        <v>34.1</v>
      </c>
      <c r="N876" s="61">
        <v>58.9</v>
      </c>
      <c r="O876" s="85">
        <v>27.8</v>
      </c>
      <c r="P876" s="105"/>
      <c r="Q876" s="87">
        <f t="shared" si="82"/>
        <v>1.9518835570932742E-3</v>
      </c>
      <c r="R876" s="87">
        <f t="shared" si="85"/>
        <v>5.0726231621526531E-4</v>
      </c>
      <c r="S876" s="87">
        <f t="shared" si="85"/>
        <v>-3.0176049721554522E-3</v>
      </c>
      <c r="T876" s="87">
        <f t="shared" si="85"/>
        <v>6.6006840313520927E-3</v>
      </c>
      <c r="U876" s="87">
        <f t="shared" si="84"/>
        <v>-6.2150604034342848E-3</v>
      </c>
      <c r="V876" s="87">
        <f t="shared" si="84"/>
        <v>-9.7561749453645725E-3</v>
      </c>
      <c r="W876" s="87">
        <f t="shared" si="84"/>
        <v>-5.9523985272953847E-3</v>
      </c>
      <c r="X876" s="87">
        <f t="shared" si="81"/>
        <v>-9.302392662313674E-3</v>
      </c>
      <c r="Y876" s="87">
        <f t="shared" si="81"/>
        <v>-2.3894873973814672E-3</v>
      </c>
      <c r="Z876" s="87">
        <f t="shared" si="81"/>
        <v>-5.9880418446226691E-3</v>
      </c>
      <c r="AA876" s="87">
        <f t="shared" si="81"/>
        <v>-2.5940351770466466E-3</v>
      </c>
      <c r="AB876" s="87">
        <f t="shared" si="81"/>
        <v>8.8365818004981639E-3</v>
      </c>
      <c r="AC876" s="87">
        <f t="shared" si="81"/>
        <v>-6.7682153461387394E-3</v>
      </c>
      <c r="AD876" s="87">
        <f t="shared" si="81"/>
        <v>-3.5906681307284844E-3</v>
      </c>
      <c r="AE876" s="90">
        <f t="shared" si="83"/>
        <v>-2.9449630703807456E-3</v>
      </c>
    </row>
    <row r="877" spans="1:31" ht="15.5" x14ac:dyDescent="0.35">
      <c r="A877" s="82">
        <v>41037</v>
      </c>
      <c r="B877" s="83">
        <v>7887.3</v>
      </c>
      <c r="C877" s="84">
        <v>2946.3</v>
      </c>
      <c r="D877" s="61">
        <v>300.7</v>
      </c>
      <c r="E877" s="61">
        <v>15.1</v>
      </c>
      <c r="F877" s="61">
        <v>79.8</v>
      </c>
      <c r="G877" s="61">
        <v>30.2</v>
      </c>
      <c r="H877" s="61">
        <v>33.200000000000003</v>
      </c>
      <c r="I877" s="61">
        <v>10.4</v>
      </c>
      <c r="J877" s="61">
        <v>40.799999999999997</v>
      </c>
      <c r="K877" s="61">
        <v>32.5</v>
      </c>
      <c r="L877" s="61">
        <v>38.299999999999997</v>
      </c>
      <c r="M877" s="61">
        <v>34</v>
      </c>
      <c r="N877" s="61">
        <v>57.2</v>
      </c>
      <c r="O877" s="85">
        <v>26.6</v>
      </c>
      <c r="P877" s="105"/>
      <c r="Q877" s="87">
        <f t="shared" si="82"/>
        <v>-7.7671029079272444E-3</v>
      </c>
      <c r="R877" s="87">
        <f t="shared" si="85"/>
        <v>-3.8956029008304625E-3</v>
      </c>
      <c r="S877" s="87">
        <f t="shared" si="85"/>
        <v>9.6909697445746699E-3</v>
      </c>
      <c r="T877" s="87">
        <f t="shared" si="85"/>
        <v>-6.6006840313520242E-3</v>
      </c>
      <c r="U877" s="87">
        <f t="shared" si="84"/>
        <v>-5.0000104167057515E-3</v>
      </c>
      <c r="V877" s="87">
        <f t="shared" si="84"/>
        <v>-1.3158084577511199E-2</v>
      </c>
      <c r="W877" s="87">
        <f t="shared" si="84"/>
        <v>-8.995562908577762E-3</v>
      </c>
      <c r="X877" s="87">
        <f t="shared" si="81"/>
        <v>-2.8437935320533399E-2</v>
      </c>
      <c r="Y877" s="87">
        <f t="shared" si="81"/>
        <v>-2.4214258120594627E-2</v>
      </c>
      <c r="Z877" s="87">
        <f t="shared" si="81"/>
        <v>-2.4317307650706242E-2</v>
      </c>
      <c r="AA877" s="87">
        <f t="shared" si="81"/>
        <v>-5.2083451071383473E-3</v>
      </c>
      <c r="AB877" s="87">
        <f t="shared" si="81"/>
        <v>-2.9368596733097135E-3</v>
      </c>
      <c r="AC877" s="87">
        <f t="shared" si="81"/>
        <v>-2.9287192271788744E-2</v>
      </c>
      <c r="AD877" s="87">
        <f t="shared" si="81"/>
        <v>-4.4124804908937942E-2</v>
      </c>
      <c r="AE877" s="90">
        <f t="shared" si="83"/>
        <v>-5.1235212190947604E-3</v>
      </c>
    </row>
    <row r="878" spans="1:31" ht="15.5" x14ac:dyDescent="0.35">
      <c r="A878" s="82">
        <v>41038</v>
      </c>
      <c r="B878" s="83">
        <v>7820.3</v>
      </c>
      <c r="C878" s="84">
        <v>2934.7</v>
      </c>
      <c r="D878" s="61">
        <v>301.2</v>
      </c>
      <c r="E878" s="61">
        <v>15</v>
      </c>
      <c r="F878" s="61">
        <v>80.099999999999994</v>
      </c>
      <c r="G878" s="61">
        <v>30.1</v>
      </c>
      <c r="H878" s="61">
        <v>32.9</v>
      </c>
      <c r="I878" s="61">
        <v>10.3</v>
      </c>
      <c r="J878" s="61">
        <v>40.9</v>
      </c>
      <c r="K878" s="61">
        <v>32.5</v>
      </c>
      <c r="L878" s="61">
        <v>38.1</v>
      </c>
      <c r="M878" s="61">
        <v>33.4</v>
      </c>
      <c r="N878" s="61">
        <v>57.7</v>
      </c>
      <c r="O878" s="85">
        <v>26.8</v>
      </c>
      <c r="P878" s="105"/>
      <c r="Q878" s="87">
        <f t="shared" si="82"/>
        <v>-8.5309539762584621E-3</v>
      </c>
      <c r="R878" s="87">
        <f t="shared" si="85"/>
        <v>-3.9449124446815668E-3</v>
      </c>
      <c r="S878" s="87">
        <f t="shared" si="85"/>
        <v>1.6614059312552297E-3</v>
      </c>
      <c r="T878" s="87">
        <f t="shared" si="85"/>
        <v>-6.6445427186685013E-3</v>
      </c>
      <c r="U878" s="87">
        <f t="shared" si="84"/>
        <v>3.7523496185503718E-3</v>
      </c>
      <c r="V878" s="87">
        <f t="shared" si="84"/>
        <v>-3.316752625993815E-3</v>
      </c>
      <c r="W878" s="87">
        <f t="shared" si="84"/>
        <v>-9.0772181511167629E-3</v>
      </c>
      <c r="X878" s="87">
        <f t="shared" si="81"/>
        <v>-9.6619109117368589E-3</v>
      </c>
      <c r="Y878" s="87">
        <f t="shared" si="81"/>
        <v>2.4479816386400372E-3</v>
      </c>
      <c r="Z878" s="87">
        <f t="shared" si="81"/>
        <v>0</v>
      </c>
      <c r="AA878" s="87">
        <f t="shared" si="81"/>
        <v>-5.2356140539449401E-3</v>
      </c>
      <c r="AB878" s="87">
        <f t="shared" si="81"/>
        <v>-1.7804624633506707E-2</v>
      </c>
      <c r="AC878" s="87">
        <f t="shared" si="81"/>
        <v>8.7032751283016713E-3</v>
      </c>
      <c r="AD878" s="87">
        <f t="shared" si="81"/>
        <v>7.4906717291576587E-3</v>
      </c>
      <c r="AE878" s="90">
        <f t="shared" si="83"/>
        <v>1.2873396282100094E-3</v>
      </c>
    </row>
    <row r="879" spans="1:31" ht="15.5" x14ac:dyDescent="0.35">
      <c r="A879" s="82">
        <v>41039</v>
      </c>
      <c r="B879" s="83">
        <v>7852.8</v>
      </c>
      <c r="C879" s="84">
        <v>2933.6</v>
      </c>
      <c r="D879" s="61">
        <v>305.39999999999998</v>
      </c>
      <c r="E879" s="61">
        <v>15.3</v>
      </c>
      <c r="F879" s="61">
        <v>81.2</v>
      </c>
      <c r="G879" s="61">
        <v>30.5</v>
      </c>
      <c r="H879" s="61">
        <v>32.4</v>
      </c>
      <c r="I879" s="61">
        <v>10.1</v>
      </c>
      <c r="J879" s="61">
        <v>40.9</v>
      </c>
      <c r="K879" s="61">
        <v>33.200000000000003</v>
      </c>
      <c r="L879" s="61">
        <v>38.299999999999997</v>
      </c>
      <c r="M879" s="61">
        <v>34.299999999999997</v>
      </c>
      <c r="N879" s="61">
        <v>58</v>
      </c>
      <c r="O879" s="85">
        <v>26.8</v>
      </c>
      <c r="P879" s="105"/>
      <c r="Q879" s="87">
        <f t="shared" si="82"/>
        <v>4.1472391016728919E-3</v>
      </c>
      <c r="R879" s="87">
        <f t="shared" si="85"/>
        <v>-3.7489563004055383E-4</v>
      </c>
      <c r="S879" s="87">
        <f t="shared" si="85"/>
        <v>1.3847896858793535E-2</v>
      </c>
      <c r="T879" s="87">
        <f t="shared" si="85"/>
        <v>1.980262729617973E-2</v>
      </c>
      <c r="U879" s="87">
        <f t="shared" si="84"/>
        <v>1.3639393093318764E-2</v>
      </c>
      <c r="V879" s="87">
        <f t="shared" si="84"/>
        <v>1.3201511858535761E-2</v>
      </c>
      <c r="W879" s="87">
        <f t="shared" si="84"/>
        <v>-1.5314234973042481E-2</v>
      </c>
      <c r="X879" s="87">
        <f t="shared" si="81"/>
        <v>-1.9608471388376424E-2</v>
      </c>
      <c r="Y879" s="87">
        <f t="shared" si="81"/>
        <v>0</v>
      </c>
      <c r="Z879" s="87">
        <f t="shared" si="81"/>
        <v>2.1309786586751242E-2</v>
      </c>
      <c r="AA879" s="87">
        <f t="shared" si="81"/>
        <v>5.2356140539449427E-3</v>
      </c>
      <c r="AB879" s="87">
        <f t="shared" si="81"/>
        <v>2.6589454189239435E-2</v>
      </c>
      <c r="AC879" s="87">
        <f t="shared" si="81"/>
        <v>5.1858370323654155E-3</v>
      </c>
      <c r="AD879" s="87">
        <f t="shared" si="81"/>
        <v>0</v>
      </c>
      <c r="AE879" s="90">
        <f t="shared" si="83"/>
        <v>7.8418291767930332E-3</v>
      </c>
    </row>
    <row r="880" spans="1:31" ht="15.5" x14ac:dyDescent="0.35">
      <c r="A880" s="82">
        <v>41040</v>
      </c>
      <c r="B880" s="83">
        <v>7815.9</v>
      </c>
      <c r="C880" s="84">
        <v>2933.8</v>
      </c>
      <c r="D880" s="61">
        <v>302.7</v>
      </c>
      <c r="E880" s="61">
        <v>14.8</v>
      </c>
      <c r="F880" s="61">
        <v>80.599999999999994</v>
      </c>
      <c r="G880" s="61">
        <v>30.7</v>
      </c>
      <c r="H880" s="61">
        <v>30.9</v>
      </c>
      <c r="I880" s="61">
        <v>10.1</v>
      </c>
      <c r="J880" s="61">
        <v>40.6</v>
      </c>
      <c r="K880" s="61">
        <v>33.200000000000003</v>
      </c>
      <c r="L880" s="61">
        <v>38</v>
      </c>
      <c r="M880" s="61">
        <v>33.799999999999997</v>
      </c>
      <c r="N880" s="61">
        <v>58</v>
      </c>
      <c r="O880" s="85">
        <v>26.7</v>
      </c>
      <c r="P880" s="105"/>
      <c r="Q880" s="87">
        <f t="shared" si="82"/>
        <v>-4.7100357039342742E-3</v>
      </c>
      <c r="R880" s="87">
        <f t="shared" si="85"/>
        <v>6.8173296546192021E-5</v>
      </c>
      <c r="S880" s="87">
        <f t="shared" si="85"/>
        <v>-8.880176756859098E-3</v>
      </c>
      <c r="T880" s="87">
        <f t="shared" si="85"/>
        <v>-3.3225647628320393E-2</v>
      </c>
      <c r="U880" s="87">
        <f t="shared" si="84"/>
        <v>-7.4165976550498187E-3</v>
      </c>
      <c r="V880" s="87">
        <f t="shared" si="84"/>
        <v>6.5359709797854493E-3</v>
      </c>
      <c r="W880" s="87">
        <f t="shared" si="84"/>
        <v>-4.7402238894583906E-2</v>
      </c>
      <c r="X880" s="87">
        <f t="shared" si="81"/>
        <v>0</v>
      </c>
      <c r="Y880" s="87">
        <f t="shared" si="81"/>
        <v>-7.3619964410690823E-3</v>
      </c>
      <c r="Z880" s="87">
        <f t="shared" si="81"/>
        <v>0</v>
      </c>
      <c r="AA880" s="87">
        <f t="shared" si="81"/>
        <v>-7.8637364602144634E-3</v>
      </c>
      <c r="AB880" s="87">
        <f t="shared" si="81"/>
        <v>-1.4684551682921182E-2</v>
      </c>
      <c r="AC880" s="87">
        <f t="shared" si="81"/>
        <v>0</v>
      </c>
      <c r="AD880" s="87">
        <f t="shared" si="81"/>
        <v>-3.7383221106072153E-3</v>
      </c>
      <c r="AE880" s="90">
        <f t="shared" si="83"/>
        <v>-5.1544445785551918E-3</v>
      </c>
    </row>
    <row r="881" spans="1:31" ht="15.5" x14ac:dyDescent="0.35">
      <c r="A881" s="82">
        <v>41043</v>
      </c>
      <c r="B881" s="83">
        <v>7705.4</v>
      </c>
      <c r="C881" s="84">
        <v>2902.6</v>
      </c>
      <c r="D881" s="61">
        <v>300.60000000000002</v>
      </c>
      <c r="E881" s="61">
        <v>15.4</v>
      </c>
      <c r="F881" s="61">
        <v>79.7</v>
      </c>
      <c r="G881" s="61">
        <v>30.6</v>
      </c>
      <c r="H881" s="61">
        <v>31.1</v>
      </c>
      <c r="I881" s="61">
        <v>10.4</v>
      </c>
      <c r="J881" s="61">
        <v>40.1</v>
      </c>
      <c r="K881" s="61">
        <v>33.4</v>
      </c>
      <c r="L881" s="61">
        <v>37.700000000000003</v>
      </c>
      <c r="M881" s="61">
        <v>34</v>
      </c>
      <c r="N881" s="61">
        <v>57.5</v>
      </c>
      <c r="O881" s="85">
        <v>26.7</v>
      </c>
      <c r="P881" s="105"/>
      <c r="Q881" s="87">
        <f t="shared" si="82"/>
        <v>-1.4238738624553294E-2</v>
      </c>
      <c r="R881" s="87">
        <f t="shared" si="85"/>
        <v>-1.0691624017399993E-2</v>
      </c>
      <c r="S881" s="87">
        <f t="shared" si="85"/>
        <v>-6.9617387087987717E-3</v>
      </c>
      <c r="T881" s="87">
        <f t="shared" si="85"/>
        <v>3.9740328649514121E-2</v>
      </c>
      <c r="U881" s="87">
        <f t="shared" si="84"/>
        <v>-1.122906371641319E-2</v>
      </c>
      <c r="V881" s="87">
        <f t="shared" si="84"/>
        <v>-3.2626456348162714E-3</v>
      </c>
      <c r="W881" s="87">
        <f t="shared" si="84"/>
        <v>6.4516352814888165E-3</v>
      </c>
      <c r="X881" s="87">
        <f t="shared" si="81"/>
        <v>2.9270382300113237E-2</v>
      </c>
      <c r="Y881" s="87">
        <f t="shared" si="81"/>
        <v>-1.2391732295163497E-2</v>
      </c>
      <c r="Z881" s="87">
        <f t="shared" si="81"/>
        <v>6.0060240602117284E-3</v>
      </c>
      <c r="AA881" s="87">
        <f t="shared" si="81"/>
        <v>-7.9260652724206029E-3</v>
      </c>
      <c r="AB881" s="87">
        <f t="shared" si="81"/>
        <v>5.899722127188322E-3</v>
      </c>
      <c r="AC881" s="87">
        <f t="shared" si="81"/>
        <v>-8.6580627431145415E-3</v>
      </c>
      <c r="AD881" s="87">
        <f t="shared" si="81"/>
        <v>0</v>
      </c>
      <c r="AE881" s="90">
        <f t="shared" si="83"/>
        <v>-8.4537734197593188E-3</v>
      </c>
    </row>
    <row r="882" spans="1:31" ht="15.5" x14ac:dyDescent="0.35">
      <c r="A882" s="82">
        <v>41044</v>
      </c>
      <c r="B882" s="83">
        <v>7635.8</v>
      </c>
      <c r="C882" s="84">
        <v>2893.8</v>
      </c>
      <c r="D882" s="61">
        <v>302.2</v>
      </c>
      <c r="E882" s="61">
        <v>15.3</v>
      </c>
      <c r="F882" s="61">
        <v>78.8</v>
      </c>
      <c r="G882" s="61">
        <v>30.2</v>
      </c>
      <c r="H882" s="61">
        <v>31.8</v>
      </c>
      <c r="I882" s="61">
        <v>10.199999999999999</v>
      </c>
      <c r="J882" s="61">
        <v>39.5</v>
      </c>
      <c r="K882" s="61">
        <v>32.6</v>
      </c>
      <c r="L882" s="61">
        <v>37.6</v>
      </c>
      <c r="M882" s="61">
        <v>33.1</v>
      </c>
      <c r="N882" s="61">
        <v>56.5</v>
      </c>
      <c r="O882" s="85">
        <v>26.8</v>
      </c>
      <c r="P882" s="105"/>
      <c r="Q882" s="87">
        <f t="shared" si="82"/>
        <v>-9.0736679688364439E-3</v>
      </c>
      <c r="R882" s="87">
        <f t="shared" si="85"/>
        <v>-3.0363697332811755E-3</v>
      </c>
      <c r="S882" s="87">
        <f t="shared" si="85"/>
        <v>5.3085725197649985E-3</v>
      </c>
      <c r="T882" s="87">
        <f t="shared" si="85"/>
        <v>-6.5146810211936419E-3</v>
      </c>
      <c r="U882" s="87">
        <f t="shared" si="84"/>
        <v>-1.1356588932335949E-2</v>
      </c>
      <c r="V882" s="87">
        <f t="shared" si="84"/>
        <v>-1.3158084577511199E-2</v>
      </c>
      <c r="W882" s="87">
        <f t="shared" si="84"/>
        <v>2.2258470600942697E-2</v>
      </c>
      <c r="X882" s="87">
        <f t="shared" si="81"/>
        <v>-1.9418085857101738E-2</v>
      </c>
      <c r="Y882" s="87">
        <f t="shared" si="81"/>
        <v>-1.5075662405447386E-2</v>
      </c>
      <c r="Z882" s="87">
        <f t="shared" si="81"/>
        <v>-2.4243611609992739E-2</v>
      </c>
      <c r="AA882" s="87">
        <f t="shared" si="81"/>
        <v>-2.6560440581162963E-3</v>
      </c>
      <c r="AB882" s="87">
        <f t="shared" si="81"/>
        <v>-2.6827242233144075E-2</v>
      </c>
      <c r="AC882" s="87">
        <f t="shared" si="81"/>
        <v>-1.7544309650909508E-2</v>
      </c>
      <c r="AD882" s="87">
        <f t="shared" si="81"/>
        <v>3.7383221106071581E-3</v>
      </c>
      <c r="AE882" s="90">
        <f t="shared" si="83"/>
        <v>-2.1488909319937557E-3</v>
      </c>
    </row>
    <row r="883" spans="1:31" ht="15.5" x14ac:dyDescent="0.35">
      <c r="A883" s="82">
        <v>41045</v>
      </c>
      <c r="B883" s="83">
        <v>7592.8</v>
      </c>
      <c r="C883" s="84">
        <v>2874</v>
      </c>
      <c r="D883" s="61">
        <v>308.3</v>
      </c>
      <c r="E883" s="61">
        <v>15.3</v>
      </c>
      <c r="F883" s="61">
        <v>77.3</v>
      </c>
      <c r="G883" s="61">
        <v>29.7</v>
      </c>
      <c r="H883" s="61">
        <v>32</v>
      </c>
      <c r="I883" s="61">
        <v>10.3</v>
      </c>
      <c r="J883" s="61">
        <v>39.299999999999997</v>
      </c>
      <c r="K883" s="61">
        <v>26.7</v>
      </c>
      <c r="L883" s="61">
        <v>37.799999999999997</v>
      </c>
      <c r="M883" s="61">
        <v>31.6</v>
      </c>
      <c r="N883" s="61">
        <v>55.8</v>
      </c>
      <c r="O883" s="85">
        <v>26.6</v>
      </c>
      <c r="P883" s="105"/>
      <c r="Q883" s="87">
        <f t="shared" si="82"/>
        <v>-5.6472839629311804E-3</v>
      </c>
      <c r="R883" s="87">
        <f t="shared" si="85"/>
        <v>-6.8657296640110164E-3</v>
      </c>
      <c r="S883" s="87">
        <f t="shared" si="85"/>
        <v>1.998428505346565E-2</v>
      </c>
      <c r="T883" s="87">
        <f t="shared" si="85"/>
        <v>0</v>
      </c>
      <c r="U883" s="87">
        <f t="shared" si="84"/>
        <v>-1.9219041270457194E-2</v>
      </c>
      <c r="V883" s="87">
        <f t="shared" si="84"/>
        <v>-1.6694878572169992E-2</v>
      </c>
      <c r="W883" s="87">
        <f t="shared" si="84"/>
        <v>6.269613013595395E-3</v>
      </c>
      <c r="X883" s="87">
        <f t="shared" si="81"/>
        <v>9.7561749453648743E-3</v>
      </c>
      <c r="Y883" s="87">
        <f t="shared" si="81"/>
        <v>-5.0761530318606607E-3</v>
      </c>
      <c r="Z883" s="87">
        <f t="shared" si="81"/>
        <v>-0.19964872296645819</v>
      </c>
      <c r="AA883" s="87">
        <f t="shared" si="81"/>
        <v>5.3050522296930981E-3</v>
      </c>
      <c r="AB883" s="87">
        <f t="shared" si="81"/>
        <v>-4.6376161790150743E-2</v>
      </c>
      <c r="AC883" s="87">
        <f t="shared" si="81"/>
        <v>-1.2466768765130047E-2</v>
      </c>
      <c r="AD883" s="87">
        <f t="shared" si="81"/>
        <v>-7.4906717291576257E-3</v>
      </c>
      <c r="AE883" s="90">
        <f t="shared" si="83"/>
        <v>-2.6132564196581264E-3</v>
      </c>
    </row>
    <row r="884" spans="1:31" ht="15.5" x14ac:dyDescent="0.35">
      <c r="A884" s="82">
        <v>41046</v>
      </c>
      <c r="B884" s="83">
        <v>7480.4</v>
      </c>
      <c r="C884" s="84">
        <v>2813.7</v>
      </c>
      <c r="D884" s="61">
        <v>310.89999999999998</v>
      </c>
      <c r="E884" s="61">
        <v>14.9</v>
      </c>
      <c r="F884" s="61">
        <v>75.7</v>
      </c>
      <c r="G884" s="61">
        <v>29.7</v>
      </c>
      <c r="H884" s="61">
        <v>31.8</v>
      </c>
      <c r="I884" s="61">
        <v>10.199999999999999</v>
      </c>
      <c r="J884" s="61">
        <v>38.6</v>
      </c>
      <c r="K884" s="61">
        <v>25.6</v>
      </c>
      <c r="L884" s="61">
        <v>38</v>
      </c>
      <c r="M884" s="61">
        <v>30.7</v>
      </c>
      <c r="N884" s="61">
        <v>54.8</v>
      </c>
      <c r="O884" s="85">
        <v>26.1</v>
      </c>
      <c r="P884" s="105"/>
      <c r="Q884" s="87">
        <f t="shared" si="82"/>
        <v>-1.4914163341717636E-2</v>
      </c>
      <c r="R884" s="87">
        <f t="shared" si="85"/>
        <v>-2.1204444455967791E-2</v>
      </c>
      <c r="S884" s="87">
        <f t="shared" si="85"/>
        <v>8.3979821726032737E-3</v>
      </c>
      <c r="T884" s="87">
        <f t="shared" si="85"/>
        <v>-2.6491615446976341E-2</v>
      </c>
      <c r="U884" s="87">
        <f t="shared" si="84"/>
        <v>-2.0915795149973125E-2</v>
      </c>
      <c r="V884" s="87">
        <f t="shared" si="84"/>
        <v>0</v>
      </c>
      <c r="W884" s="87">
        <f t="shared" si="84"/>
        <v>-6.2696130135953742E-3</v>
      </c>
      <c r="X884" s="87">
        <f t="shared" si="81"/>
        <v>-9.756174945364798E-3</v>
      </c>
      <c r="Y884" s="87">
        <f t="shared" si="81"/>
        <v>-1.7972242404430253E-2</v>
      </c>
      <c r="Z884" s="87">
        <f t="shared" si="81"/>
        <v>-4.2071213920686926E-2</v>
      </c>
      <c r="AA884" s="87">
        <f t="shared" si="81"/>
        <v>5.2770571008438193E-3</v>
      </c>
      <c r="AB884" s="87">
        <f t="shared" si="81"/>
        <v>-2.8894465999715003E-2</v>
      </c>
      <c r="AC884" s="87">
        <f t="shared" si="81"/>
        <v>-1.8083675433295351E-2</v>
      </c>
      <c r="AD884" s="87">
        <f t="shared" si="81"/>
        <v>-1.8975901459005691E-2</v>
      </c>
      <c r="AE884" s="90">
        <f t="shared" si="83"/>
        <v>-1.2184498386445738E-2</v>
      </c>
    </row>
    <row r="885" spans="1:31" ht="15.5" x14ac:dyDescent="0.35">
      <c r="A885" s="82">
        <v>41047</v>
      </c>
      <c r="B885" s="83">
        <v>7427.7</v>
      </c>
      <c r="C885" s="84">
        <v>2778.8</v>
      </c>
      <c r="D885" s="61">
        <v>298.7</v>
      </c>
      <c r="E885" s="61">
        <v>15.4</v>
      </c>
      <c r="F885" s="61">
        <v>74.599999999999994</v>
      </c>
      <c r="G885" s="61">
        <v>29.2</v>
      </c>
      <c r="H885" s="61">
        <v>32</v>
      </c>
      <c r="I885" s="61">
        <v>10</v>
      </c>
      <c r="J885" s="61">
        <v>38.5</v>
      </c>
      <c r="K885" s="61">
        <v>25.3</v>
      </c>
      <c r="L885" s="61">
        <v>37.6</v>
      </c>
      <c r="M885" s="61">
        <v>29.8</v>
      </c>
      <c r="N885" s="61">
        <v>52.8</v>
      </c>
      <c r="O885" s="85">
        <v>26.3</v>
      </c>
      <c r="P885" s="105"/>
      <c r="Q885" s="87">
        <f t="shared" si="82"/>
        <v>-7.0700115397069356E-3</v>
      </c>
      <c r="R885" s="87">
        <f t="shared" si="85"/>
        <v>-1.2481163364276508E-2</v>
      </c>
      <c r="S885" s="87">
        <f t="shared" si="85"/>
        <v>-4.0031591842643967E-2</v>
      </c>
      <c r="T885" s="87">
        <f t="shared" si="85"/>
        <v>3.3006296468170077E-2</v>
      </c>
      <c r="U885" s="87">
        <f t="shared" si="84"/>
        <v>-1.4637653233687991E-2</v>
      </c>
      <c r="V885" s="87">
        <f t="shared" si="84"/>
        <v>-1.6978336534417906E-2</v>
      </c>
      <c r="W885" s="87">
        <f t="shared" si="84"/>
        <v>6.269613013595395E-3</v>
      </c>
      <c r="X885" s="87">
        <f t="shared" si="81"/>
        <v>-1.9802627296179643E-2</v>
      </c>
      <c r="Y885" s="87">
        <f t="shared" si="81"/>
        <v>-2.5940351770466466E-3</v>
      </c>
      <c r="Z885" s="87">
        <f t="shared" si="81"/>
        <v>-1.178795575204224E-2</v>
      </c>
      <c r="AA885" s="87">
        <f t="shared" si="81"/>
        <v>-1.0582109330536859E-2</v>
      </c>
      <c r="AB885" s="87">
        <f t="shared" si="81"/>
        <v>-2.9754261081792601E-2</v>
      </c>
      <c r="AC885" s="87">
        <f t="shared" si="81"/>
        <v>-3.7179003241754015E-2</v>
      </c>
      <c r="AD885" s="87">
        <f t="shared" si="81"/>
        <v>7.6336248550712051E-3</v>
      </c>
      <c r="AE885" s="90">
        <f t="shared" si="83"/>
        <v>-1.8718653137512937E-2</v>
      </c>
    </row>
    <row r="886" spans="1:31" ht="15.5" x14ac:dyDescent="0.35">
      <c r="A886" s="82">
        <v>41050</v>
      </c>
      <c r="B886" s="83">
        <v>7543</v>
      </c>
      <c r="C886" s="84">
        <v>2847.2</v>
      </c>
      <c r="D886" s="61">
        <v>300.3</v>
      </c>
      <c r="E886" s="61">
        <v>15.1</v>
      </c>
      <c r="F886" s="61">
        <v>76.3</v>
      </c>
      <c r="G886" s="61">
        <v>29.1</v>
      </c>
      <c r="H886" s="61">
        <v>31.8</v>
      </c>
      <c r="I886" s="61">
        <v>10</v>
      </c>
      <c r="J886" s="61">
        <v>38.700000000000003</v>
      </c>
      <c r="K886" s="61">
        <v>25.8</v>
      </c>
      <c r="L886" s="61">
        <v>37.6</v>
      </c>
      <c r="M886" s="61">
        <v>30.1</v>
      </c>
      <c r="N886" s="61">
        <v>52.3</v>
      </c>
      <c r="O886" s="85">
        <v>26.3</v>
      </c>
      <c r="P886" s="105"/>
      <c r="Q886" s="87">
        <f t="shared" si="82"/>
        <v>1.54037259187729E-2</v>
      </c>
      <c r="R886" s="87">
        <f t="shared" si="85"/>
        <v>2.431687537725705E-2</v>
      </c>
      <c r="S886" s="87">
        <f t="shared" si="85"/>
        <v>5.34224976722056E-3</v>
      </c>
      <c r="T886" s="87">
        <f t="shared" si="85"/>
        <v>-1.9672765598704893E-2</v>
      </c>
      <c r="U886" s="87">
        <f t="shared" si="84"/>
        <v>2.2532431080696278E-2</v>
      </c>
      <c r="V886" s="87">
        <f t="shared" si="84"/>
        <v>-3.4305350967891368E-3</v>
      </c>
      <c r="W886" s="87">
        <f t="shared" si="84"/>
        <v>-6.2696130135953742E-3</v>
      </c>
      <c r="X886" s="87">
        <f t="shared" si="81"/>
        <v>0</v>
      </c>
      <c r="Y886" s="87">
        <f t="shared" si="81"/>
        <v>5.1813587419975845E-3</v>
      </c>
      <c r="Z886" s="87">
        <f t="shared" si="81"/>
        <v>1.9570096194097296E-2</v>
      </c>
      <c r="AA886" s="87">
        <f t="shared" si="81"/>
        <v>0</v>
      </c>
      <c r="AB886" s="87">
        <f t="shared" si="81"/>
        <v>1.0016778243471209E-2</v>
      </c>
      <c r="AC886" s="87">
        <f t="shared" si="81"/>
        <v>-9.5148196413386201E-3</v>
      </c>
      <c r="AD886" s="87">
        <f t="shared" si="81"/>
        <v>0</v>
      </c>
      <c r="AE886" s="90">
        <f t="shared" si="83"/>
        <v>1.5295866210005366E-2</v>
      </c>
    </row>
    <row r="887" spans="1:31" ht="15.5" x14ac:dyDescent="0.35">
      <c r="A887" s="82">
        <v>41051</v>
      </c>
      <c r="B887" s="83">
        <v>7542.6</v>
      </c>
      <c r="C887" s="84">
        <v>2839.1</v>
      </c>
      <c r="D887" s="61">
        <v>298.3</v>
      </c>
      <c r="E887" s="61">
        <v>15.2</v>
      </c>
      <c r="F887" s="61">
        <v>78.900000000000006</v>
      </c>
      <c r="G887" s="61">
        <v>29.5</v>
      </c>
      <c r="H887" s="61">
        <v>31.9</v>
      </c>
      <c r="I887" s="61">
        <v>10.4</v>
      </c>
      <c r="J887" s="61">
        <v>38.9</v>
      </c>
      <c r="K887" s="61">
        <v>26</v>
      </c>
      <c r="L887" s="61">
        <v>37.4</v>
      </c>
      <c r="M887" s="61">
        <v>30.8</v>
      </c>
      <c r="N887" s="61">
        <v>53.7</v>
      </c>
      <c r="O887" s="85">
        <v>26.8</v>
      </c>
      <c r="P887" s="105"/>
      <c r="Q887" s="87">
        <f t="shared" si="82"/>
        <v>-5.3030704790415508E-5</v>
      </c>
      <c r="R887" s="87">
        <f t="shared" si="85"/>
        <v>-2.8489546730441498E-3</v>
      </c>
      <c r="S887" s="87">
        <f t="shared" si="85"/>
        <v>-6.6822834685817557E-3</v>
      </c>
      <c r="T887" s="87">
        <f t="shared" si="85"/>
        <v>6.6006840313520927E-3</v>
      </c>
      <c r="U887" s="87">
        <f t="shared" si="84"/>
        <v>3.3508289561417409E-2</v>
      </c>
      <c r="V887" s="87">
        <f t="shared" si="84"/>
        <v>1.3652089168327263E-2</v>
      </c>
      <c r="W887" s="87">
        <f t="shared" si="84"/>
        <v>3.1397200046676247E-3</v>
      </c>
      <c r="X887" s="87">
        <f t="shared" si="81"/>
        <v>3.9220713153281329E-2</v>
      </c>
      <c r="Y887" s="87">
        <f t="shared" si="81"/>
        <v>5.1546505886644221E-3</v>
      </c>
      <c r="Z887" s="87">
        <f t="shared" si="81"/>
        <v>7.7220460939103185E-3</v>
      </c>
      <c r="AA887" s="87">
        <f t="shared" si="81"/>
        <v>-5.3333459753626168E-3</v>
      </c>
      <c r="AB887" s="87">
        <f t="shared" si="81"/>
        <v>2.2989518224698781E-2</v>
      </c>
      <c r="AC887" s="87">
        <f t="shared" si="81"/>
        <v>2.6416630443941987E-2</v>
      </c>
      <c r="AD887" s="87">
        <f t="shared" si="81"/>
        <v>1.8832948333092178E-2</v>
      </c>
      <c r="AE887" s="90">
        <f t="shared" si="83"/>
        <v>9.0601320046982993E-3</v>
      </c>
    </row>
    <row r="888" spans="1:31" ht="15.5" x14ac:dyDescent="0.35">
      <c r="A888" s="82">
        <v>41052</v>
      </c>
      <c r="B888" s="83">
        <v>7540.9</v>
      </c>
      <c r="C888" s="84">
        <v>2850.1</v>
      </c>
      <c r="D888" s="61">
        <v>298.89999999999998</v>
      </c>
      <c r="E888" s="61">
        <v>15.1</v>
      </c>
      <c r="F888" s="61">
        <v>79</v>
      </c>
      <c r="G888" s="61">
        <v>28.6</v>
      </c>
      <c r="H888" s="61">
        <v>31.9</v>
      </c>
      <c r="I888" s="61">
        <v>10.1</v>
      </c>
      <c r="J888" s="61">
        <v>38.299999999999997</v>
      </c>
      <c r="K888" s="61">
        <v>26.2</v>
      </c>
      <c r="L888" s="61">
        <v>37</v>
      </c>
      <c r="M888" s="61">
        <v>29.9</v>
      </c>
      <c r="N888" s="61">
        <v>52.8</v>
      </c>
      <c r="O888" s="85">
        <v>26.5</v>
      </c>
      <c r="P888" s="105"/>
      <c r="Q888" s="87">
        <f t="shared" si="82"/>
        <v>-2.2541187485649258E-4</v>
      </c>
      <c r="R888" s="87">
        <f t="shared" si="85"/>
        <v>3.8669808434960394E-3</v>
      </c>
      <c r="S888" s="87">
        <f t="shared" si="85"/>
        <v>2.0093777691893295E-3</v>
      </c>
      <c r="T888" s="87">
        <f t="shared" si="85"/>
        <v>-6.6006840313520242E-3</v>
      </c>
      <c r="U888" s="87">
        <f t="shared" si="84"/>
        <v>1.2666246151927618E-3</v>
      </c>
      <c r="V888" s="87">
        <f t="shared" si="84"/>
        <v>-3.0983545519967199E-2</v>
      </c>
      <c r="W888" s="87">
        <f t="shared" si="84"/>
        <v>0</v>
      </c>
      <c r="X888" s="87">
        <f t="shared" si="81"/>
        <v>-2.9270382300113338E-2</v>
      </c>
      <c r="Y888" s="87">
        <f t="shared" si="81"/>
        <v>-1.5544354437800344E-2</v>
      </c>
      <c r="Z888" s="87">
        <f t="shared" si="81"/>
        <v>7.6628727455690972E-3</v>
      </c>
      <c r="AA888" s="87">
        <f t="shared" si="81"/>
        <v>-1.0752791776261737E-2</v>
      </c>
      <c r="AB888" s="87">
        <f t="shared" si="81"/>
        <v>-2.9656209582888081E-2</v>
      </c>
      <c r="AC888" s="87">
        <f t="shared" si="81"/>
        <v>-1.6901810802603365E-2</v>
      </c>
      <c r="AD888" s="87">
        <f t="shared" si="81"/>
        <v>-1.1257154524634447E-2</v>
      </c>
      <c r="AE888" s="90">
        <f t="shared" si="83"/>
        <v>7.4128571554136049E-4</v>
      </c>
    </row>
    <row r="889" spans="1:31" ht="15.5" x14ac:dyDescent="0.35">
      <c r="A889" s="82">
        <v>41053</v>
      </c>
      <c r="B889" s="83">
        <v>7552.3</v>
      </c>
      <c r="C889" s="84">
        <v>2839.4</v>
      </c>
      <c r="D889" s="61">
        <v>299.7</v>
      </c>
      <c r="E889" s="61">
        <v>15.2</v>
      </c>
      <c r="F889" s="61">
        <v>80.2</v>
      </c>
      <c r="G889" s="61">
        <v>28.8</v>
      </c>
      <c r="H889" s="61">
        <v>32.299999999999997</v>
      </c>
      <c r="I889" s="61">
        <v>10.199999999999999</v>
      </c>
      <c r="J889" s="61">
        <v>39.1</v>
      </c>
      <c r="K889" s="61">
        <v>26.8</v>
      </c>
      <c r="L889" s="61">
        <v>37.299999999999997</v>
      </c>
      <c r="M889" s="61">
        <v>29.9</v>
      </c>
      <c r="N889" s="61">
        <v>53.7</v>
      </c>
      <c r="O889" s="85">
        <v>26.7</v>
      </c>
      <c r="P889" s="105"/>
      <c r="Q889" s="87">
        <f t="shared" si="82"/>
        <v>1.5106143386238848E-3</v>
      </c>
      <c r="R889" s="87">
        <f t="shared" si="85"/>
        <v>-3.7613191369611932E-3</v>
      </c>
      <c r="S889" s="87">
        <f t="shared" si="85"/>
        <v>2.6729050327253538E-3</v>
      </c>
      <c r="T889" s="87">
        <f t="shared" si="85"/>
        <v>6.6006840313520927E-3</v>
      </c>
      <c r="U889" s="87">
        <f t="shared" si="84"/>
        <v>1.5075662405447396E-2</v>
      </c>
      <c r="V889" s="87">
        <f t="shared" si="84"/>
        <v>6.9686693160932152E-3</v>
      </c>
      <c r="W889" s="87">
        <f t="shared" si="84"/>
        <v>1.2461220437812033E-2</v>
      </c>
      <c r="X889" s="87">
        <f t="shared" si="81"/>
        <v>9.8522964430116395E-3</v>
      </c>
      <c r="Y889" s="87">
        <f t="shared" si="81"/>
        <v>2.0672570804719882E-2</v>
      </c>
      <c r="Z889" s="87">
        <f t="shared" si="81"/>
        <v>2.2642476749759971E-2</v>
      </c>
      <c r="AA889" s="87">
        <f t="shared" si="81"/>
        <v>8.0754140055453311E-3</v>
      </c>
      <c r="AB889" s="87">
        <f t="shared" si="81"/>
        <v>0</v>
      </c>
      <c r="AC889" s="87">
        <f t="shared" si="81"/>
        <v>1.6901810802603254E-2</v>
      </c>
      <c r="AD889" s="87">
        <f t="shared" si="81"/>
        <v>7.518832414027319E-3</v>
      </c>
      <c r="AE889" s="90">
        <f t="shared" si="83"/>
        <v>4.879701052531684E-3</v>
      </c>
    </row>
    <row r="890" spans="1:31" ht="15.5" x14ac:dyDescent="0.35">
      <c r="A890" s="82">
        <v>41054</v>
      </c>
      <c r="B890" s="83">
        <v>7534.3</v>
      </c>
      <c r="C890" s="84">
        <v>2837.5</v>
      </c>
      <c r="D890" s="61">
        <v>294.39999999999998</v>
      </c>
      <c r="E890" s="61">
        <v>15.3</v>
      </c>
      <c r="F890" s="61">
        <v>79.8</v>
      </c>
      <c r="G890" s="61">
        <v>29</v>
      </c>
      <c r="H890" s="61">
        <v>32.5</v>
      </c>
      <c r="I890" s="61">
        <v>10.4</v>
      </c>
      <c r="J890" s="61">
        <v>39.5</v>
      </c>
      <c r="K890" s="61">
        <v>27</v>
      </c>
      <c r="L890" s="61">
        <v>37.4</v>
      </c>
      <c r="M890" s="61">
        <v>30.2</v>
      </c>
      <c r="N890" s="61">
        <v>54.1</v>
      </c>
      <c r="O890" s="85">
        <v>26.9</v>
      </c>
      <c r="P890" s="105"/>
      <c r="Q890" s="87">
        <f t="shared" si="82"/>
        <v>-2.3862246683946887E-3</v>
      </c>
      <c r="R890" s="87">
        <f t="shared" si="85"/>
        <v>-6.6937943981551149E-4</v>
      </c>
      <c r="S890" s="87">
        <f t="shared" si="85"/>
        <v>-1.7842587467896399E-2</v>
      </c>
      <c r="T890" s="87">
        <f t="shared" si="85"/>
        <v>6.5574005461592607E-3</v>
      </c>
      <c r="U890" s="87">
        <f t="shared" si="84"/>
        <v>-5.0000104167057515E-3</v>
      </c>
      <c r="V890" s="87">
        <f t="shared" si="84"/>
        <v>6.920442844573757E-3</v>
      </c>
      <c r="W890" s="87">
        <f t="shared" si="84"/>
        <v>6.1728591070810161E-3</v>
      </c>
      <c r="X890" s="87">
        <f t="shared" si="81"/>
        <v>1.9418085857101731E-2</v>
      </c>
      <c r="Y890" s="87">
        <f t="shared" si="81"/>
        <v>1.0178204915756052E-2</v>
      </c>
      <c r="Z890" s="87">
        <f t="shared" si="81"/>
        <v>7.4349784875179905E-3</v>
      </c>
      <c r="AA890" s="87">
        <f t="shared" si="81"/>
        <v>2.6773777707163942E-3</v>
      </c>
      <c r="AB890" s="87">
        <f t="shared" si="81"/>
        <v>9.9834439841832052E-3</v>
      </c>
      <c r="AC890" s="87">
        <f t="shared" si="81"/>
        <v>7.4211843376168259E-3</v>
      </c>
      <c r="AD890" s="87">
        <f t="shared" si="81"/>
        <v>7.4627212015895943E-3</v>
      </c>
      <c r="AE890" s="90">
        <f t="shared" si="83"/>
        <v>-5.9469355019186858E-3</v>
      </c>
    </row>
    <row r="891" spans="1:31" ht="15.5" x14ac:dyDescent="0.35">
      <c r="A891" s="82">
        <v>41058</v>
      </c>
      <c r="B891" s="83">
        <v>7615</v>
      </c>
      <c r="C891" s="84">
        <v>2871</v>
      </c>
      <c r="D891" s="61">
        <v>294.5</v>
      </c>
      <c r="E891" s="61">
        <v>15.3</v>
      </c>
      <c r="F891" s="61">
        <v>80.8</v>
      </c>
      <c r="G891" s="61">
        <v>29.2</v>
      </c>
      <c r="H891" s="61">
        <v>33.1</v>
      </c>
      <c r="I891" s="61">
        <v>10.6</v>
      </c>
      <c r="J891" s="61">
        <v>39.799999999999997</v>
      </c>
      <c r="K891" s="61">
        <v>27.4</v>
      </c>
      <c r="L891" s="61">
        <v>37.4</v>
      </c>
      <c r="M891" s="61">
        <v>30.4</v>
      </c>
      <c r="N891" s="61">
        <v>54.3</v>
      </c>
      <c r="O891" s="85">
        <v>27.3</v>
      </c>
      <c r="P891" s="105"/>
      <c r="Q891" s="87">
        <f t="shared" si="82"/>
        <v>1.0654058385048997E-2</v>
      </c>
      <c r="R891" s="87">
        <f t="shared" si="85"/>
        <v>1.1737018331405922E-2</v>
      </c>
      <c r="S891" s="87">
        <f t="shared" si="85"/>
        <v>3.3961623692020453E-4</v>
      </c>
      <c r="T891" s="87">
        <f t="shared" si="85"/>
        <v>0</v>
      </c>
      <c r="U891" s="87">
        <f t="shared" si="84"/>
        <v>1.2453461071286557E-2</v>
      </c>
      <c r="V891" s="87">
        <f t="shared" si="84"/>
        <v>6.8728792877620504E-3</v>
      </c>
      <c r="W891" s="87">
        <f t="shared" si="84"/>
        <v>1.8293193047325483E-2</v>
      </c>
      <c r="X891" s="87">
        <f t="shared" si="81"/>
        <v>1.9048194970694411E-2</v>
      </c>
      <c r="Y891" s="87">
        <f t="shared" si="81"/>
        <v>7.5662403833156562E-3</v>
      </c>
      <c r="Z891" s="87">
        <f t="shared" ref="Z891:AD941" si="86">+LN(K891/K890)</f>
        <v>1.4706147389695487E-2</v>
      </c>
      <c r="AA891" s="87">
        <f t="shared" si="86"/>
        <v>0</v>
      </c>
      <c r="AB891" s="87">
        <f t="shared" si="86"/>
        <v>6.6006840313520927E-3</v>
      </c>
      <c r="AC891" s="87">
        <f t="shared" si="86"/>
        <v>3.690041087453742E-3</v>
      </c>
      <c r="AD891" s="87">
        <f t="shared" si="86"/>
        <v>1.4760415583120674E-2</v>
      </c>
      <c r="AE891" s="90">
        <f t="shared" si="83"/>
        <v>8.9726130851055953E-3</v>
      </c>
    </row>
    <row r="892" spans="1:31" ht="15.5" x14ac:dyDescent="0.35">
      <c r="A892" s="82">
        <v>41059</v>
      </c>
      <c r="B892" s="83">
        <v>7471.4</v>
      </c>
      <c r="C892" s="84">
        <v>2837.4</v>
      </c>
      <c r="D892" s="61">
        <v>292.10000000000002</v>
      </c>
      <c r="E892" s="61">
        <v>15.2</v>
      </c>
      <c r="F892" s="61">
        <v>80.900000000000006</v>
      </c>
      <c r="G892" s="61">
        <v>29.1</v>
      </c>
      <c r="H892" s="61">
        <v>32.200000000000003</v>
      </c>
      <c r="I892" s="61">
        <v>10.3</v>
      </c>
      <c r="J892" s="61">
        <v>39.200000000000003</v>
      </c>
      <c r="K892" s="61">
        <v>26.9</v>
      </c>
      <c r="L892" s="61">
        <v>37.299999999999997</v>
      </c>
      <c r="M892" s="61">
        <v>29.5</v>
      </c>
      <c r="N892" s="61">
        <v>53.4</v>
      </c>
      <c r="O892" s="85">
        <v>27.1</v>
      </c>
      <c r="P892" s="105"/>
      <c r="Q892" s="87">
        <f t="shared" si="82"/>
        <v>-1.90375884306513E-2</v>
      </c>
      <c r="R892" s="87">
        <f t="shared" si="85"/>
        <v>-1.1772261243178837E-2</v>
      </c>
      <c r="S892" s="87">
        <f t="shared" si="85"/>
        <v>-8.1827936979460367E-3</v>
      </c>
      <c r="T892" s="87">
        <f t="shared" si="85"/>
        <v>-6.5574005461591636E-3</v>
      </c>
      <c r="U892" s="87">
        <f t="shared" si="84"/>
        <v>1.2368585373964223E-3</v>
      </c>
      <c r="V892" s="87">
        <f t="shared" si="84"/>
        <v>-3.4305350967891368E-3</v>
      </c>
      <c r="W892" s="87">
        <f t="shared" si="84"/>
        <v>-2.7566829832654592E-2</v>
      </c>
      <c r="X892" s="87">
        <f t="shared" si="84"/>
        <v>-2.8710105882431253E-2</v>
      </c>
      <c r="Y892" s="87">
        <f t="shared" si="84"/>
        <v>-1.5190165493975007E-2</v>
      </c>
      <c r="Z892" s="87">
        <f t="shared" si="86"/>
        <v>-1.8416726786231151E-2</v>
      </c>
      <c r="AA892" s="87">
        <f t="shared" si="86"/>
        <v>-2.6773777707164029E-3</v>
      </c>
      <c r="AB892" s="87">
        <f t="shared" si="86"/>
        <v>-3.0052345066401823E-2</v>
      </c>
      <c r="AC892" s="87">
        <f t="shared" si="86"/>
        <v>-1.6713480973740556E-2</v>
      </c>
      <c r="AD892" s="87">
        <f t="shared" si="86"/>
        <v>-7.352974305258806E-3</v>
      </c>
      <c r="AE892" s="90">
        <f t="shared" si="83"/>
        <v>-6.4644229028789704E-3</v>
      </c>
    </row>
    <row r="893" spans="1:31" ht="15.5" x14ac:dyDescent="0.35">
      <c r="A893" s="82">
        <v>41060</v>
      </c>
      <c r="B893" s="83">
        <v>7464</v>
      </c>
      <c r="C893" s="84">
        <v>2827.3</v>
      </c>
      <c r="D893" s="61">
        <v>289.8</v>
      </c>
      <c r="E893" s="61">
        <v>15.1</v>
      </c>
      <c r="F893" s="61">
        <v>81.599999999999994</v>
      </c>
      <c r="G893" s="61">
        <v>28.9</v>
      </c>
      <c r="H893" s="61">
        <v>31.3</v>
      </c>
      <c r="I893" s="61">
        <v>10</v>
      </c>
      <c r="J893" s="61">
        <v>38.6</v>
      </c>
      <c r="K893" s="61">
        <v>25.9</v>
      </c>
      <c r="L893" s="61">
        <v>37.299999999999997</v>
      </c>
      <c r="M893" s="61">
        <v>28.9</v>
      </c>
      <c r="N893" s="61">
        <v>53.4</v>
      </c>
      <c r="O893" s="85">
        <v>26.7</v>
      </c>
      <c r="P893" s="105"/>
      <c r="Q893" s="87">
        <f t="shared" si="82"/>
        <v>-9.9093437143110588E-4</v>
      </c>
      <c r="R893" s="87">
        <f t="shared" si="85"/>
        <v>-3.5659472532046307E-3</v>
      </c>
      <c r="S893" s="87">
        <f t="shared" si="85"/>
        <v>-7.9051795071132611E-3</v>
      </c>
      <c r="T893" s="87">
        <f t="shared" si="85"/>
        <v>-6.6006840313520242E-3</v>
      </c>
      <c r="U893" s="87">
        <f t="shared" si="84"/>
        <v>8.6154379056152131E-3</v>
      </c>
      <c r="V893" s="87">
        <f t="shared" si="84"/>
        <v>-6.8965790590604405E-3</v>
      </c>
      <c r="W893" s="87">
        <f t="shared" si="84"/>
        <v>-2.8348355004255199E-2</v>
      </c>
      <c r="X893" s="87">
        <f t="shared" si="84"/>
        <v>-2.9558802241544505E-2</v>
      </c>
      <c r="Y893" s="87">
        <f t="shared" si="84"/>
        <v>-1.5424470325631752E-2</v>
      </c>
      <c r="Z893" s="87">
        <f t="shared" si="86"/>
        <v>-3.7883317902301365E-2</v>
      </c>
      <c r="AA893" s="87">
        <f t="shared" si="86"/>
        <v>0</v>
      </c>
      <c r="AB893" s="87">
        <f t="shared" si="86"/>
        <v>-2.0548668227387677E-2</v>
      </c>
      <c r="AC893" s="87">
        <f t="shared" si="86"/>
        <v>0</v>
      </c>
      <c r="AD893" s="87">
        <f t="shared" si="86"/>
        <v>-1.4870162479451506E-2</v>
      </c>
      <c r="AE893" s="90">
        <f t="shared" si="83"/>
        <v>-2.7271950556601744E-3</v>
      </c>
    </row>
    <row r="894" spans="1:31" ht="15.5" x14ac:dyDescent="0.35">
      <c r="A894" s="82">
        <v>41061</v>
      </c>
      <c r="B894" s="83">
        <v>7292.2</v>
      </c>
      <c r="C894" s="84">
        <v>2747.5</v>
      </c>
      <c r="D894" s="61">
        <v>284.5</v>
      </c>
      <c r="E894" s="61">
        <v>14.9</v>
      </c>
      <c r="F894" s="61">
        <v>80.099999999999994</v>
      </c>
      <c r="G894" s="61">
        <v>28.4</v>
      </c>
      <c r="H894" s="61">
        <v>31.2</v>
      </c>
      <c r="I894" s="61">
        <v>9.8000000000000007</v>
      </c>
      <c r="J894" s="61">
        <v>37.5</v>
      </c>
      <c r="K894" s="61">
        <v>25.5</v>
      </c>
      <c r="L894" s="61">
        <v>37</v>
      </c>
      <c r="M894" s="61">
        <v>27.8</v>
      </c>
      <c r="N894" s="61">
        <v>51.6</v>
      </c>
      <c r="O894" s="85">
        <v>26</v>
      </c>
      <c r="P894" s="105"/>
      <c r="Q894" s="87">
        <f t="shared" si="82"/>
        <v>-2.328617978713975E-2</v>
      </c>
      <c r="R894" s="87">
        <f t="shared" si="85"/>
        <v>-2.863078534690414E-2</v>
      </c>
      <c r="S894" s="87">
        <f t="shared" si="85"/>
        <v>-1.8457776320196458E-2</v>
      </c>
      <c r="T894" s="87">
        <f t="shared" si="85"/>
        <v>-1.3333530869465144E-2</v>
      </c>
      <c r="U894" s="87">
        <f t="shared" si="84"/>
        <v>-1.8553407895747834E-2</v>
      </c>
      <c r="V894" s="87">
        <f t="shared" si="84"/>
        <v>-1.7452449951226166E-2</v>
      </c>
      <c r="W894" s="87">
        <f t="shared" si="84"/>
        <v>-3.2000027306709027E-3</v>
      </c>
      <c r="X894" s="87">
        <f t="shared" si="84"/>
        <v>-2.0202707317519355E-2</v>
      </c>
      <c r="Y894" s="87">
        <f t="shared" si="84"/>
        <v>-2.8911343494420035E-2</v>
      </c>
      <c r="Z894" s="87">
        <f t="shared" si="86"/>
        <v>-1.5564516541111573E-2</v>
      </c>
      <c r="AA894" s="87">
        <f t="shared" si="86"/>
        <v>-8.0754140055453068E-3</v>
      </c>
      <c r="AB894" s="87">
        <f t="shared" si="86"/>
        <v>-3.8805574421795011E-2</v>
      </c>
      <c r="AC894" s="87">
        <f t="shared" si="86"/>
        <v>-3.4289073478632075E-2</v>
      </c>
      <c r="AD894" s="87">
        <f t="shared" si="86"/>
        <v>-2.6567027384721751E-2</v>
      </c>
      <c r="AE894" s="90">
        <f t="shared" si="83"/>
        <v>-2.252013058300649E-2</v>
      </c>
    </row>
    <row r="895" spans="1:31" ht="15.5" x14ac:dyDescent="0.35">
      <c r="A895" s="82">
        <v>41064</v>
      </c>
      <c r="B895" s="83">
        <v>7285.5</v>
      </c>
      <c r="C895" s="84">
        <v>2760</v>
      </c>
      <c r="D895" s="61">
        <v>285.3</v>
      </c>
      <c r="E895" s="61">
        <v>14.8</v>
      </c>
      <c r="F895" s="61">
        <v>78.400000000000006</v>
      </c>
      <c r="G895" s="61">
        <v>28.3</v>
      </c>
      <c r="H895" s="61">
        <v>31.6</v>
      </c>
      <c r="I895" s="61">
        <v>9.1999999999999993</v>
      </c>
      <c r="J895" s="61">
        <v>36.700000000000003</v>
      </c>
      <c r="K895" s="61">
        <v>25.1</v>
      </c>
      <c r="L895" s="61">
        <v>37.1</v>
      </c>
      <c r="M895" s="61">
        <v>27.7</v>
      </c>
      <c r="N895" s="61">
        <v>51.3</v>
      </c>
      <c r="O895" s="85">
        <v>25.8</v>
      </c>
      <c r="P895" s="105"/>
      <c r="Q895" s="87">
        <f t="shared" si="82"/>
        <v>-9.1921228613074213E-4</v>
      </c>
      <c r="R895" s="87">
        <f t="shared" si="85"/>
        <v>4.5392724334193512E-3</v>
      </c>
      <c r="S895" s="87">
        <f t="shared" si="85"/>
        <v>2.8080046530688141E-3</v>
      </c>
      <c r="T895" s="87">
        <f t="shared" si="85"/>
        <v>-6.7340321813440683E-3</v>
      </c>
      <c r="U895" s="87">
        <f t="shared" si="84"/>
        <v>-2.1451926717951198E-2</v>
      </c>
      <c r="V895" s="87">
        <f t="shared" si="84"/>
        <v>-3.5273405179682992E-3</v>
      </c>
      <c r="W895" s="87">
        <f t="shared" si="84"/>
        <v>1.2739025777429932E-2</v>
      </c>
      <c r="X895" s="87">
        <f t="shared" si="84"/>
        <v>-6.3178901621531794E-2</v>
      </c>
      <c r="Y895" s="87">
        <f t="shared" si="84"/>
        <v>-2.1564177915840411E-2</v>
      </c>
      <c r="Z895" s="87">
        <f t="shared" si="86"/>
        <v>-1.5810606026642204E-2</v>
      </c>
      <c r="AA895" s="87">
        <f t="shared" si="86"/>
        <v>2.6990569691649835E-3</v>
      </c>
      <c r="AB895" s="87">
        <f t="shared" si="86"/>
        <v>-3.6036075032986558E-3</v>
      </c>
      <c r="AC895" s="87">
        <f t="shared" si="86"/>
        <v>-5.8309203107933215E-3</v>
      </c>
      <c r="AD895" s="87">
        <f t="shared" si="86"/>
        <v>-7.7220460939102778E-3</v>
      </c>
      <c r="AE895" s="90">
        <f t="shared" si="83"/>
        <v>-4.8898183043622756E-3</v>
      </c>
    </row>
    <row r="896" spans="1:31" ht="15.5" x14ac:dyDescent="0.35">
      <c r="A896" s="82">
        <v>41065</v>
      </c>
      <c r="B896" s="83">
        <v>7338.6</v>
      </c>
      <c r="C896" s="84">
        <v>2778.1</v>
      </c>
      <c r="D896" s="61">
        <v>283.5</v>
      </c>
      <c r="E896" s="61">
        <v>14.9</v>
      </c>
      <c r="F896" s="61">
        <v>79.8</v>
      </c>
      <c r="G896" s="61">
        <v>28.4</v>
      </c>
      <c r="H896" s="61">
        <v>32.200000000000003</v>
      </c>
      <c r="I896" s="61">
        <v>9.4</v>
      </c>
      <c r="J896" s="61">
        <v>37.200000000000003</v>
      </c>
      <c r="K896" s="61">
        <v>23.9</v>
      </c>
      <c r="L896" s="61">
        <v>37.299999999999997</v>
      </c>
      <c r="M896" s="61">
        <v>27.6</v>
      </c>
      <c r="N896" s="61">
        <v>51.5</v>
      </c>
      <c r="O896" s="85">
        <v>26</v>
      </c>
      <c r="P896" s="105"/>
      <c r="Q896" s="87">
        <f t="shared" si="82"/>
        <v>7.2620172674631618E-3</v>
      </c>
      <c r="R896" s="87">
        <f t="shared" si="85"/>
        <v>6.5365610754429693E-3</v>
      </c>
      <c r="S896" s="87">
        <f t="shared" si="85"/>
        <v>-6.3291350516476242E-3</v>
      </c>
      <c r="T896" s="87">
        <f t="shared" si="85"/>
        <v>6.7340321813441194E-3</v>
      </c>
      <c r="U896" s="87">
        <f t="shared" si="84"/>
        <v>1.7699577099400857E-2</v>
      </c>
      <c r="V896" s="87">
        <f t="shared" si="84"/>
        <v>3.5273405179684406E-3</v>
      </c>
      <c r="W896" s="87">
        <f t="shared" si="84"/>
        <v>1.8809331957496293E-2</v>
      </c>
      <c r="X896" s="87">
        <f t="shared" si="84"/>
        <v>2.1506205220963682E-2</v>
      </c>
      <c r="Y896" s="87">
        <f t="shared" si="84"/>
        <v>1.3532006218576373E-2</v>
      </c>
      <c r="Z896" s="87">
        <f t="shared" si="86"/>
        <v>-4.8989387200273293E-2</v>
      </c>
      <c r="AA896" s="87">
        <f t="shared" si="86"/>
        <v>5.3763570363802747E-3</v>
      </c>
      <c r="AB896" s="87">
        <f t="shared" si="86"/>
        <v>-3.6166404701884389E-3</v>
      </c>
      <c r="AC896" s="87">
        <f t="shared" si="86"/>
        <v>3.8910554929667217E-3</v>
      </c>
      <c r="AD896" s="87">
        <f t="shared" si="86"/>
        <v>7.7220460939103185E-3</v>
      </c>
      <c r="AE896" s="90">
        <f t="shared" si="83"/>
        <v>6.1059786240082944E-3</v>
      </c>
    </row>
    <row r="897" spans="1:31" ht="15.5" x14ac:dyDescent="0.35">
      <c r="A897" s="82">
        <v>41066</v>
      </c>
      <c r="B897" s="83">
        <v>7517.5</v>
      </c>
      <c r="C897" s="84">
        <v>2844.7</v>
      </c>
      <c r="D897" s="61">
        <v>287.10000000000002</v>
      </c>
      <c r="E897" s="61">
        <v>15.1</v>
      </c>
      <c r="F897" s="61">
        <v>80.8</v>
      </c>
      <c r="G897" s="61">
        <v>28.8</v>
      </c>
      <c r="H897" s="61">
        <v>32.799999999999997</v>
      </c>
      <c r="I897" s="61">
        <v>9.6999999999999993</v>
      </c>
      <c r="J897" s="61">
        <v>38.5</v>
      </c>
      <c r="K897" s="61">
        <v>24.5</v>
      </c>
      <c r="L897" s="61">
        <v>37.5</v>
      </c>
      <c r="M897" s="61">
        <v>28.5</v>
      </c>
      <c r="N897" s="61">
        <v>52.9</v>
      </c>
      <c r="O897" s="85">
        <v>26.4</v>
      </c>
      <c r="P897" s="105"/>
      <c r="Q897" s="87">
        <f t="shared" si="82"/>
        <v>2.4085547141311673E-2</v>
      </c>
      <c r="R897" s="87">
        <f t="shared" si="85"/>
        <v>2.3690373059087732E-2</v>
      </c>
      <c r="S897" s="87">
        <f t="shared" si="85"/>
        <v>1.2618463959211684E-2</v>
      </c>
      <c r="T897" s="87">
        <f t="shared" si="85"/>
        <v>1.3333530869465168E-2</v>
      </c>
      <c r="U897" s="87">
        <f t="shared" si="84"/>
        <v>1.2453461071286557E-2</v>
      </c>
      <c r="V897" s="87">
        <f t="shared" si="84"/>
        <v>1.398624197473987E-2</v>
      </c>
      <c r="W897" s="87">
        <f t="shared" si="84"/>
        <v>1.8462062839735352E-2</v>
      </c>
      <c r="X897" s="87">
        <f t="shared" si="84"/>
        <v>3.1416196233378914E-2</v>
      </c>
      <c r="Y897" s="87">
        <f t="shared" si="84"/>
        <v>3.434948001463764E-2</v>
      </c>
      <c r="Z897" s="87">
        <f t="shared" si="86"/>
        <v>2.4794658613216274E-2</v>
      </c>
      <c r="AA897" s="87">
        <f t="shared" si="86"/>
        <v>5.3476063265952773E-3</v>
      </c>
      <c r="AB897" s="87">
        <f t="shared" si="86"/>
        <v>3.2088314551500449E-2</v>
      </c>
      <c r="AC897" s="87">
        <f t="shared" si="86"/>
        <v>2.6821531194563139E-2</v>
      </c>
      <c r="AD897" s="87">
        <f t="shared" si="86"/>
        <v>1.5267472130788381E-2</v>
      </c>
      <c r="AE897" s="90">
        <f t="shared" si="83"/>
        <v>1.6212053678065115E-2</v>
      </c>
    </row>
    <row r="898" spans="1:31" ht="15.5" x14ac:dyDescent="0.35">
      <c r="A898" s="82">
        <v>41067</v>
      </c>
      <c r="B898" s="83">
        <v>7519.8</v>
      </c>
      <c r="C898" s="84">
        <v>2831</v>
      </c>
      <c r="D898" s="61">
        <v>288.89999999999998</v>
      </c>
      <c r="E898" s="61">
        <v>15.3</v>
      </c>
      <c r="F898" s="61">
        <v>81.5</v>
      </c>
      <c r="G898" s="61">
        <v>29.2</v>
      </c>
      <c r="H898" s="61">
        <v>34.200000000000003</v>
      </c>
      <c r="I898" s="61">
        <v>10</v>
      </c>
      <c r="J898" s="61">
        <v>38.6</v>
      </c>
      <c r="K898" s="61">
        <v>24.5</v>
      </c>
      <c r="L898" s="61">
        <v>38</v>
      </c>
      <c r="M898" s="61">
        <v>29.4</v>
      </c>
      <c r="N898" s="61">
        <v>53.5</v>
      </c>
      <c r="O898" s="85">
        <v>26.6</v>
      </c>
      <c r="P898" s="105"/>
      <c r="Q898" s="87">
        <f t="shared" si="82"/>
        <v>3.0590598284750779E-4</v>
      </c>
      <c r="R898" s="87">
        <f t="shared" si="85"/>
        <v>-4.8276077338267956E-3</v>
      </c>
      <c r="S898" s="87">
        <f t="shared" si="85"/>
        <v>6.2500203451711055E-3</v>
      </c>
      <c r="T898" s="87">
        <f t="shared" si="85"/>
        <v>1.3158084577511201E-2</v>
      </c>
      <c r="U898" s="87">
        <f t="shared" si="84"/>
        <v>8.6260547197674481E-3</v>
      </c>
      <c r="V898" s="87">
        <f t="shared" si="84"/>
        <v>1.3793322132335769E-2</v>
      </c>
      <c r="W898" s="87">
        <f t="shared" si="84"/>
        <v>4.1797128678461672E-2</v>
      </c>
      <c r="X898" s="87">
        <f t="shared" si="84"/>
        <v>3.0459207484708654E-2</v>
      </c>
      <c r="Y898" s="87">
        <f t="shared" si="84"/>
        <v>2.594035177046749E-3</v>
      </c>
      <c r="Z898" s="87">
        <f t="shared" si="86"/>
        <v>0</v>
      </c>
      <c r="AA898" s="87">
        <f t="shared" si="86"/>
        <v>1.3245226750020723E-2</v>
      </c>
      <c r="AB898" s="87">
        <f t="shared" si="86"/>
        <v>3.1090587070030967E-2</v>
      </c>
      <c r="AC898" s="87">
        <f t="shared" si="86"/>
        <v>1.1278315037707274E-2</v>
      </c>
      <c r="AD898" s="87">
        <f t="shared" si="86"/>
        <v>7.5472056353831241E-3</v>
      </c>
      <c r="AE898" s="90">
        <f t="shared" si="83"/>
        <v>3.7665892350779184E-3</v>
      </c>
    </row>
    <row r="899" spans="1:31" ht="15.5" x14ac:dyDescent="0.35">
      <c r="A899" s="82">
        <v>41068</v>
      </c>
      <c r="B899" s="83">
        <v>7553.8</v>
      </c>
      <c r="C899" s="84">
        <v>2858.4</v>
      </c>
      <c r="D899" s="61">
        <v>287.60000000000002</v>
      </c>
      <c r="E899" s="61">
        <v>15.4</v>
      </c>
      <c r="F899" s="61">
        <v>81.3</v>
      </c>
      <c r="G899" s="61">
        <v>29.1</v>
      </c>
      <c r="H899" s="61">
        <v>34</v>
      </c>
      <c r="I899" s="61">
        <v>10.1</v>
      </c>
      <c r="J899" s="61">
        <v>37.5</v>
      </c>
      <c r="K899" s="61">
        <v>24.4</v>
      </c>
      <c r="L899" s="61">
        <v>38.299999999999997</v>
      </c>
      <c r="M899" s="61">
        <v>29</v>
      </c>
      <c r="N899" s="61">
        <v>53.1</v>
      </c>
      <c r="O899" s="85">
        <v>26.6</v>
      </c>
      <c r="P899" s="105"/>
      <c r="Q899" s="87">
        <f t="shared" si="82"/>
        <v>4.5112060371895338E-3</v>
      </c>
      <c r="R899" s="87">
        <f t="shared" si="85"/>
        <v>9.6320215973004861E-3</v>
      </c>
      <c r="S899" s="87">
        <f t="shared" si="85"/>
        <v>-4.5099816252977421E-3</v>
      </c>
      <c r="T899" s="87">
        <f t="shared" si="85"/>
        <v>6.5146810211936723E-3</v>
      </c>
      <c r="U899" s="87">
        <f t="shared" si="84"/>
        <v>-2.4570036930521028E-3</v>
      </c>
      <c r="V899" s="87">
        <f t="shared" si="84"/>
        <v>-3.4305350967891368E-3</v>
      </c>
      <c r="W899" s="87">
        <f t="shared" si="84"/>
        <v>-5.8651194523981339E-3</v>
      </c>
      <c r="X899" s="87">
        <f t="shared" si="84"/>
        <v>9.950330853168092E-3</v>
      </c>
      <c r="Y899" s="87">
        <f t="shared" si="84"/>
        <v>-2.8911343494420035E-2</v>
      </c>
      <c r="Z899" s="87">
        <f t="shared" si="86"/>
        <v>-4.0899852515251661E-3</v>
      </c>
      <c r="AA899" s="87">
        <f t="shared" si="86"/>
        <v>7.8637364602144513E-3</v>
      </c>
      <c r="AB899" s="87">
        <f t="shared" si="86"/>
        <v>-1.3698844358161802E-2</v>
      </c>
      <c r="AC899" s="87">
        <f t="shared" si="86"/>
        <v>-7.5047256540676927E-3</v>
      </c>
      <c r="AD899" s="87">
        <f t="shared" si="86"/>
        <v>0</v>
      </c>
      <c r="AE899" s="90">
        <f t="shared" si="83"/>
        <v>8.6426931823017667E-4</v>
      </c>
    </row>
    <row r="900" spans="1:31" ht="15.5" x14ac:dyDescent="0.35">
      <c r="A900" s="82">
        <v>41071</v>
      </c>
      <c r="B900" s="83">
        <v>7459.3</v>
      </c>
      <c r="C900" s="84">
        <v>2809.7</v>
      </c>
      <c r="D900" s="61">
        <v>283.60000000000002</v>
      </c>
      <c r="E900" s="61">
        <v>15.3</v>
      </c>
      <c r="F900" s="61">
        <v>81.5</v>
      </c>
      <c r="G900" s="61">
        <v>28.8</v>
      </c>
      <c r="H900" s="61">
        <v>34.299999999999997</v>
      </c>
      <c r="I900" s="61">
        <v>10.1</v>
      </c>
      <c r="J900" s="61">
        <v>37.6</v>
      </c>
      <c r="K900" s="61">
        <v>23.9</v>
      </c>
      <c r="L900" s="61">
        <v>38.4</v>
      </c>
      <c r="M900" s="61">
        <v>29.5</v>
      </c>
      <c r="N900" s="61">
        <v>53.3</v>
      </c>
      <c r="O900" s="85">
        <v>26.9</v>
      </c>
      <c r="P900" s="105"/>
      <c r="Q900" s="87">
        <f t="shared" si="82"/>
        <v>-1.2589171867739985E-2</v>
      </c>
      <c r="R900" s="87">
        <f t="shared" si="85"/>
        <v>-1.7184311646666624E-2</v>
      </c>
      <c r="S900" s="87">
        <f t="shared" si="85"/>
        <v>-1.4005831188919212E-2</v>
      </c>
      <c r="T900" s="87">
        <f t="shared" si="85"/>
        <v>-6.5146810211936419E-3</v>
      </c>
      <c r="U900" s="87">
        <f t="shared" si="84"/>
        <v>2.4570036930520837E-3</v>
      </c>
      <c r="V900" s="87">
        <f t="shared" si="84"/>
        <v>-1.0362787035546659E-2</v>
      </c>
      <c r="W900" s="87">
        <f t="shared" si="84"/>
        <v>8.7848295557328114E-3</v>
      </c>
      <c r="X900" s="87">
        <f t="shared" si="84"/>
        <v>0</v>
      </c>
      <c r="Y900" s="87">
        <f t="shared" si="84"/>
        <v>2.6631174194836284E-3</v>
      </c>
      <c r="Z900" s="87">
        <f t="shared" si="86"/>
        <v>-2.0704673361691166E-2</v>
      </c>
      <c r="AA900" s="87">
        <f t="shared" si="86"/>
        <v>2.6075634070809911E-3</v>
      </c>
      <c r="AB900" s="87">
        <f t="shared" si="86"/>
        <v>1.709443335930004E-2</v>
      </c>
      <c r="AC900" s="87">
        <f t="shared" si="86"/>
        <v>3.7594029239055244E-3</v>
      </c>
      <c r="AD900" s="87">
        <f t="shared" si="86"/>
        <v>1.1215070820140003E-2</v>
      </c>
      <c r="AE900" s="90">
        <f t="shared" si="83"/>
        <v>-7.1856542110563014E-3</v>
      </c>
    </row>
    <row r="901" spans="1:31" ht="15.5" x14ac:dyDescent="0.35">
      <c r="A901" s="82">
        <v>41072</v>
      </c>
      <c r="B901" s="83">
        <v>7557.8</v>
      </c>
      <c r="C901" s="84">
        <v>2843.1</v>
      </c>
      <c r="D901" s="61">
        <v>279.60000000000002</v>
      </c>
      <c r="E901" s="61">
        <v>15.3</v>
      </c>
      <c r="F901" s="61">
        <v>81</v>
      </c>
      <c r="G901" s="61">
        <v>28.8</v>
      </c>
      <c r="H901" s="61">
        <v>33</v>
      </c>
      <c r="I901" s="61">
        <v>10.199999999999999</v>
      </c>
      <c r="J901" s="61">
        <v>37.5</v>
      </c>
      <c r="K901" s="61">
        <v>23.1</v>
      </c>
      <c r="L901" s="61">
        <v>38.4</v>
      </c>
      <c r="M901" s="61">
        <v>29.2</v>
      </c>
      <c r="N901" s="61">
        <v>53.4</v>
      </c>
      <c r="O901" s="85">
        <v>26.7</v>
      </c>
      <c r="P901" s="105"/>
      <c r="Q901" s="87">
        <f t="shared" si="82"/>
        <v>1.3118566517336176E-2</v>
      </c>
      <c r="R901" s="87">
        <f t="shared" si="85"/>
        <v>1.1817290081725294E-2</v>
      </c>
      <c r="S901" s="87">
        <f t="shared" si="85"/>
        <v>-1.420478429831722E-2</v>
      </c>
      <c r="T901" s="87">
        <f t="shared" si="85"/>
        <v>0</v>
      </c>
      <c r="U901" s="87">
        <f t="shared" si="84"/>
        <v>-6.1538655743782235E-3</v>
      </c>
      <c r="V901" s="87">
        <f t="shared" si="84"/>
        <v>0</v>
      </c>
      <c r="W901" s="87">
        <f t="shared" si="84"/>
        <v>-3.863779270541394E-2</v>
      </c>
      <c r="X901" s="87">
        <f t="shared" si="84"/>
        <v>9.8522964430116395E-3</v>
      </c>
      <c r="Y901" s="87">
        <f t="shared" si="84"/>
        <v>-2.6631174194837732E-3</v>
      </c>
      <c r="Z901" s="87">
        <f t="shared" si="86"/>
        <v>-3.404584140971699E-2</v>
      </c>
      <c r="AA901" s="87">
        <f t="shared" si="86"/>
        <v>0</v>
      </c>
      <c r="AB901" s="87">
        <f t="shared" si="86"/>
        <v>-1.0221554071538139E-2</v>
      </c>
      <c r="AC901" s="87">
        <f t="shared" si="86"/>
        <v>1.874414794350352E-3</v>
      </c>
      <c r="AD901" s="87">
        <f t="shared" si="86"/>
        <v>-7.4627212015896003E-3</v>
      </c>
      <c r="AE901" s="90">
        <f t="shared" si="83"/>
        <v>-3.2831494977350493E-3</v>
      </c>
    </row>
    <row r="902" spans="1:31" ht="15.5" x14ac:dyDescent="0.35">
      <c r="A902" s="82">
        <v>41073</v>
      </c>
      <c r="B902" s="83">
        <v>7506.4</v>
      </c>
      <c r="C902" s="84">
        <v>2818.6</v>
      </c>
      <c r="D902" s="61">
        <v>279.60000000000002</v>
      </c>
      <c r="E902" s="61">
        <v>15.3</v>
      </c>
      <c r="F902" s="61">
        <v>81.5</v>
      </c>
      <c r="G902" s="61">
        <v>29.1</v>
      </c>
      <c r="H902" s="61">
        <v>32.5</v>
      </c>
      <c r="I902" s="61">
        <v>10.1</v>
      </c>
      <c r="J902" s="61">
        <v>37.799999999999997</v>
      </c>
      <c r="K902" s="61">
        <v>23.6</v>
      </c>
      <c r="L902" s="61">
        <v>38.299999999999997</v>
      </c>
      <c r="M902" s="61">
        <v>29.1</v>
      </c>
      <c r="N902" s="61">
        <v>52.9</v>
      </c>
      <c r="O902" s="85">
        <v>25.3</v>
      </c>
      <c r="P902" s="105"/>
      <c r="Q902" s="87">
        <f t="shared" si="82"/>
        <v>-6.8241525564775281E-3</v>
      </c>
      <c r="R902" s="87">
        <f t="shared" si="85"/>
        <v>-8.654698386848245E-3</v>
      </c>
      <c r="S902" s="87">
        <f t="shared" si="85"/>
        <v>0</v>
      </c>
      <c r="T902" s="87">
        <f t="shared" si="85"/>
        <v>0</v>
      </c>
      <c r="U902" s="87">
        <f t="shared" si="84"/>
        <v>6.1538655743782859E-3</v>
      </c>
      <c r="V902" s="87">
        <f t="shared" si="84"/>
        <v>1.0362787035546658E-2</v>
      </c>
      <c r="W902" s="87">
        <f t="shared" si="84"/>
        <v>-1.5267472130788421E-2</v>
      </c>
      <c r="X902" s="87">
        <f t="shared" si="84"/>
        <v>-9.8522964430115944E-3</v>
      </c>
      <c r="Y902" s="87">
        <f t="shared" si="84"/>
        <v>7.9681696491768813E-3</v>
      </c>
      <c r="Z902" s="87">
        <f t="shared" si="86"/>
        <v>2.1414094503816573E-2</v>
      </c>
      <c r="AA902" s="87">
        <f t="shared" si="86"/>
        <v>-2.6075634070809417E-3</v>
      </c>
      <c r="AB902" s="87">
        <f t="shared" si="86"/>
        <v>-3.4305350967891368E-3</v>
      </c>
      <c r="AC902" s="87">
        <f t="shared" si="86"/>
        <v>-9.4074071018954812E-3</v>
      </c>
      <c r="AD902" s="87">
        <f t="shared" si="86"/>
        <v>-5.3859169672729197E-2</v>
      </c>
      <c r="AE902" s="90">
        <f t="shared" si="83"/>
        <v>-7.3810908792869643E-3</v>
      </c>
    </row>
    <row r="903" spans="1:31" ht="15.5" x14ac:dyDescent="0.35">
      <c r="A903" s="82">
        <v>41074</v>
      </c>
      <c r="B903" s="83">
        <v>7582.8</v>
      </c>
      <c r="C903" s="84">
        <v>2836.3</v>
      </c>
      <c r="D903" s="61">
        <v>278.5</v>
      </c>
      <c r="E903" s="61">
        <v>15.3</v>
      </c>
      <c r="F903" s="61">
        <v>81</v>
      </c>
      <c r="G903" s="61">
        <v>28.9</v>
      </c>
      <c r="H903" s="61">
        <v>32.299999999999997</v>
      </c>
      <c r="I903" s="61">
        <v>10.199999999999999</v>
      </c>
      <c r="J903" s="61">
        <v>37.5</v>
      </c>
      <c r="K903" s="61">
        <v>23.7</v>
      </c>
      <c r="L903" s="61">
        <v>38.4</v>
      </c>
      <c r="M903" s="61">
        <v>29</v>
      </c>
      <c r="N903" s="61">
        <v>52.9</v>
      </c>
      <c r="O903" s="85">
        <v>24.8</v>
      </c>
      <c r="P903" s="105"/>
      <c r="Q903" s="87">
        <f t="shared" si="82"/>
        <v>1.0126534591570107E-2</v>
      </c>
      <c r="R903" s="87">
        <f t="shared" si="85"/>
        <v>6.2600780926682859E-3</v>
      </c>
      <c r="S903" s="87">
        <f t="shared" si="85"/>
        <v>-3.9419509923165775E-3</v>
      </c>
      <c r="T903" s="87">
        <f t="shared" si="85"/>
        <v>0</v>
      </c>
      <c r="U903" s="87">
        <f t="shared" si="84"/>
        <v>-6.1538655743782235E-3</v>
      </c>
      <c r="V903" s="87">
        <f t="shared" si="84"/>
        <v>-6.8965790590604405E-3</v>
      </c>
      <c r="W903" s="87">
        <f t="shared" si="84"/>
        <v>-6.1728591070810794E-3</v>
      </c>
      <c r="X903" s="87">
        <f t="shared" si="84"/>
        <v>9.8522964430116395E-3</v>
      </c>
      <c r="Y903" s="87">
        <f t="shared" si="84"/>
        <v>-7.9681696491768449E-3</v>
      </c>
      <c r="Z903" s="87">
        <f t="shared" si="86"/>
        <v>4.2283361095211049E-3</v>
      </c>
      <c r="AA903" s="87">
        <f t="shared" si="86"/>
        <v>2.6075634070809911E-3</v>
      </c>
      <c r="AB903" s="87">
        <f t="shared" si="86"/>
        <v>-3.4423441909729015E-3</v>
      </c>
      <c r="AC903" s="87">
        <f t="shared" si="86"/>
        <v>0</v>
      </c>
      <c r="AD903" s="87">
        <f t="shared" si="86"/>
        <v>-1.9960742562538058E-2</v>
      </c>
      <c r="AE903" s="90">
        <f t="shared" si="83"/>
        <v>-3.4634365803766949E-3</v>
      </c>
    </row>
    <row r="904" spans="1:31" ht="15.5" x14ac:dyDescent="0.35">
      <c r="A904" s="82">
        <v>41075</v>
      </c>
      <c r="B904" s="83">
        <v>7664.3</v>
      </c>
      <c r="C904" s="84">
        <v>2872.8</v>
      </c>
      <c r="D904" s="61">
        <v>278.8</v>
      </c>
      <c r="E904" s="61">
        <v>15.3</v>
      </c>
      <c r="F904" s="61">
        <v>81.400000000000006</v>
      </c>
      <c r="G904" s="61">
        <v>29.5</v>
      </c>
      <c r="H904" s="61">
        <v>32.5</v>
      </c>
      <c r="I904" s="61">
        <v>10.6</v>
      </c>
      <c r="J904" s="61">
        <v>37.700000000000003</v>
      </c>
      <c r="K904" s="61">
        <v>24.3</v>
      </c>
      <c r="L904" s="61">
        <v>38.9</v>
      </c>
      <c r="M904" s="61">
        <v>29.2</v>
      </c>
      <c r="N904" s="61">
        <v>53.7</v>
      </c>
      <c r="O904" s="85">
        <v>24.9</v>
      </c>
      <c r="P904" s="105"/>
      <c r="Q904" s="87">
        <f t="shared" si="82"/>
        <v>1.0690659367282741E-2</v>
      </c>
      <c r="R904" s="87">
        <f t="shared" si="85"/>
        <v>1.278677806179435E-2</v>
      </c>
      <c r="S904" s="87">
        <f t="shared" si="85"/>
        <v>1.0766195190301858E-3</v>
      </c>
      <c r="T904" s="87">
        <f t="shared" si="85"/>
        <v>0</v>
      </c>
      <c r="U904" s="87">
        <f t="shared" si="84"/>
        <v>4.9261183360560026E-3</v>
      </c>
      <c r="V904" s="87">
        <f t="shared" si="84"/>
        <v>2.054866822738776E-2</v>
      </c>
      <c r="W904" s="87">
        <f t="shared" si="84"/>
        <v>6.1728591070810161E-3</v>
      </c>
      <c r="X904" s="87">
        <f t="shared" si="84"/>
        <v>3.8466280827796143E-2</v>
      </c>
      <c r="Y904" s="87">
        <f t="shared" si="84"/>
        <v>5.3191614776000266E-3</v>
      </c>
      <c r="Z904" s="87">
        <f t="shared" si="86"/>
        <v>2.5001302205417401E-2</v>
      </c>
      <c r="AA904" s="87">
        <f t="shared" si="86"/>
        <v>1.2936791030719362E-2</v>
      </c>
      <c r="AB904" s="87">
        <f t="shared" si="86"/>
        <v>6.8728792877620504E-3</v>
      </c>
      <c r="AC904" s="87">
        <f t="shared" si="86"/>
        <v>1.5009662650565449E-2</v>
      </c>
      <c r="AD904" s="87">
        <f t="shared" si="86"/>
        <v>4.0241502997253268E-3</v>
      </c>
      <c r="AE904" s="90">
        <f t="shared" si="83"/>
        <v>6.0457107486379356E-3</v>
      </c>
    </row>
    <row r="905" spans="1:31" ht="15.5" x14ac:dyDescent="0.35">
      <c r="A905" s="82">
        <v>41078</v>
      </c>
      <c r="B905" s="83">
        <v>7662.3</v>
      </c>
      <c r="C905" s="84">
        <v>2895.3</v>
      </c>
      <c r="D905" s="61">
        <v>279.89999999999998</v>
      </c>
      <c r="E905" s="61">
        <v>15.3</v>
      </c>
      <c r="F905" s="61">
        <v>81.5</v>
      </c>
      <c r="G905" s="61">
        <v>29.7</v>
      </c>
      <c r="H905" s="61">
        <v>32.6</v>
      </c>
      <c r="I905" s="61">
        <v>10.8</v>
      </c>
      <c r="J905" s="61">
        <v>38.200000000000003</v>
      </c>
      <c r="K905" s="61">
        <v>24.2</v>
      </c>
      <c r="L905" s="61">
        <v>38.700000000000003</v>
      </c>
      <c r="M905" s="61">
        <v>29.2</v>
      </c>
      <c r="N905" s="61">
        <v>52.8</v>
      </c>
      <c r="O905" s="85">
        <v>25</v>
      </c>
      <c r="P905" s="105"/>
      <c r="Q905" s="87">
        <f t="shared" si="82"/>
        <v>-2.6098417279134348E-4</v>
      </c>
      <c r="R905" s="87">
        <f t="shared" si="85"/>
        <v>7.8015686693269004E-3</v>
      </c>
      <c r="S905" s="87">
        <f t="shared" si="85"/>
        <v>3.9377176350389783E-3</v>
      </c>
      <c r="T905" s="87">
        <f t="shared" si="85"/>
        <v>0</v>
      </c>
      <c r="U905" s="87">
        <f t="shared" si="84"/>
        <v>1.2277472383223377E-3</v>
      </c>
      <c r="V905" s="87">
        <f t="shared" si="84"/>
        <v>6.7567824628796871E-3</v>
      </c>
      <c r="W905" s="87">
        <f t="shared" si="84"/>
        <v>3.07219903697028E-3</v>
      </c>
      <c r="X905" s="87">
        <f t="shared" si="84"/>
        <v>1.8692133012152546E-2</v>
      </c>
      <c r="Y905" s="87">
        <f t="shared" si="84"/>
        <v>1.3175421158564328E-2</v>
      </c>
      <c r="Z905" s="87">
        <f t="shared" si="86"/>
        <v>-4.1237171838621519E-3</v>
      </c>
      <c r="AA905" s="87">
        <f t="shared" si="86"/>
        <v>-5.1546505886644264E-3</v>
      </c>
      <c r="AB905" s="87">
        <f t="shared" si="86"/>
        <v>0</v>
      </c>
      <c r="AC905" s="87">
        <f t="shared" si="86"/>
        <v>-1.6901810802603365E-2</v>
      </c>
      <c r="AD905" s="87">
        <f t="shared" si="86"/>
        <v>4.0080213975388678E-3</v>
      </c>
      <c r="AE905" s="90">
        <f t="shared" si="83"/>
        <v>4.3295604748222905E-3</v>
      </c>
    </row>
    <row r="906" spans="1:31" ht="15.5" x14ac:dyDescent="0.35">
      <c r="A906" s="82">
        <v>41079</v>
      </c>
      <c r="B906" s="83">
        <v>7766.3</v>
      </c>
      <c r="C906" s="84">
        <v>2929.8</v>
      </c>
      <c r="D906" s="61">
        <v>286.89999999999998</v>
      </c>
      <c r="E906" s="61">
        <v>15.5</v>
      </c>
      <c r="F906" s="61">
        <v>83.3</v>
      </c>
      <c r="G906" s="61">
        <v>30.1</v>
      </c>
      <c r="H906" s="61">
        <v>33.299999999999997</v>
      </c>
      <c r="I906" s="61">
        <v>11</v>
      </c>
      <c r="J906" s="61">
        <v>39.299999999999997</v>
      </c>
      <c r="K906" s="61">
        <v>21.6</v>
      </c>
      <c r="L906" s="61">
        <v>38.9</v>
      </c>
      <c r="M906" s="61">
        <v>29.7</v>
      </c>
      <c r="N906" s="61">
        <v>53.5</v>
      </c>
      <c r="O906" s="85">
        <v>25.3</v>
      </c>
      <c r="P906" s="105"/>
      <c r="Q906" s="87">
        <f t="shared" si="82"/>
        <v>1.3481660708910635E-2</v>
      </c>
      <c r="R906" s="87">
        <f t="shared" si="85"/>
        <v>1.1845428714469508E-2</v>
      </c>
      <c r="S906" s="87">
        <f t="shared" si="85"/>
        <v>2.4701326465911267E-2</v>
      </c>
      <c r="T906" s="87">
        <f t="shared" si="85"/>
        <v>1.2987195526811112E-2</v>
      </c>
      <c r="U906" s="87">
        <f t="shared" si="84"/>
        <v>2.1845528925979858E-2</v>
      </c>
      <c r="V906" s="87">
        <f t="shared" si="84"/>
        <v>1.3378125946176269E-2</v>
      </c>
      <c r="W906" s="87">
        <f t="shared" si="84"/>
        <v>2.1245108613736061E-2</v>
      </c>
      <c r="X906" s="87">
        <f t="shared" si="84"/>
        <v>1.8349138668196398E-2</v>
      </c>
      <c r="Y906" s="87">
        <f t="shared" si="84"/>
        <v>2.8389003262685893E-2</v>
      </c>
      <c r="Z906" s="87">
        <f t="shared" si="86"/>
        <v>-0.11365931847252124</v>
      </c>
      <c r="AA906" s="87">
        <f t="shared" si="86"/>
        <v>5.1546505886644221E-3</v>
      </c>
      <c r="AB906" s="87">
        <f t="shared" si="86"/>
        <v>1.697833653441783E-2</v>
      </c>
      <c r="AC906" s="87">
        <f t="shared" si="86"/>
        <v>1.3170463189745227E-2</v>
      </c>
      <c r="AD906" s="87">
        <f t="shared" si="86"/>
        <v>1.1928570865273812E-2</v>
      </c>
      <c r="AE906" s="90">
        <f t="shared" si="83"/>
        <v>1.8478700637346482E-2</v>
      </c>
    </row>
    <row r="907" spans="1:31" ht="15.5" x14ac:dyDescent="0.35">
      <c r="A907" s="82">
        <v>41080</v>
      </c>
      <c r="B907" s="83">
        <v>7757.9</v>
      </c>
      <c r="C907" s="84">
        <v>2930.4</v>
      </c>
      <c r="D907" s="61">
        <v>287</v>
      </c>
      <c r="E907" s="61">
        <v>15.6</v>
      </c>
      <c r="F907" s="61">
        <v>83</v>
      </c>
      <c r="G907" s="61">
        <v>30.6</v>
      </c>
      <c r="H907" s="61">
        <v>33.700000000000003</v>
      </c>
      <c r="I907" s="61">
        <v>11.5</v>
      </c>
      <c r="J907" s="61">
        <v>40.6</v>
      </c>
      <c r="K907" s="61">
        <v>22.2</v>
      </c>
      <c r="L907" s="61">
        <v>39</v>
      </c>
      <c r="M907" s="61">
        <v>30.6</v>
      </c>
      <c r="N907" s="61">
        <v>53.9</v>
      </c>
      <c r="O907" s="85">
        <v>25.2</v>
      </c>
      <c r="P907" s="105"/>
      <c r="Q907" s="87">
        <f t="shared" si="82"/>
        <v>-1.0821814740576009E-3</v>
      </c>
      <c r="R907" s="87">
        <f t="shared" si="85"/>
        <v>2.0477116893507464E-4</v>
      </c>
      <c r="S907" s="87">
        <f t="shared" si="85"/>
        <v>3.4849277230211109E-4</v>
      </c>
      <c r="T907" s="87">
        <f t="shared" si="85"/>
        <v>6.4308903302903314E-3</v>
      </c>
      <c r="U907" s="87">
        <f t="shared" si="84"/>
        <v>-3.607941376199054E-3</v>
      </c>
      <c r="V907" s="87">
        <f t="shared" si="84"/>
        <v>1.6474837203505042E-2</v>
      </c>
      <c r="W907" s="87">
        <f t="shared" si="84"/>
        <v>1.1940440371918069E-2</v>
      </c>
      <c r="X907" s="87">
        <f t="shared" si="84"/>
        <v>4.4451762570833796E-2</v>
      </c>
      <c r="Y907" s="87">
        <f t="shared" si="84"/>
        <v>3.2543547732471423E-2</v>
      </c>
      <c r="Z907" s="87">
        <f t="shared" si="86"/>
        <v>2.7398974188114347E-2</v>
      </c>
      <c r="AA907" s="87">
        <f t="shared" si="86"/>
        <v>2.5673955052459545E-3</v>
      </c>
      <c r="AB907" s="87">
        <f t="shared" si="86"/>
        <v>2.9852963149681128E-2</v>
      </c>
      <c r="AC907" s="87">
        <f t="shared" si="86"/>
        <v>7.4488240129904747E-3</v>
      </c>
      <c r="AD907" s="87">
        <f t="shared" si="86"/>
        <v>-3.9604012160970167E-3</v>
      </c>
      <c r="AE907" s="90">
        <f t="shared" si="83"/>
        <v>-1.3496245990657566E-3</v>
      </c>
    </row>
    <row r="908" spans="1:31" ht="15.5" x14ac:dyDescent="0.35">
      <c r="A908" s="82">
        <v>41081</v>
      </c>
      <c r="B908" s="83">
        <v>7566.1</v>
      </c>
      <c r="C908" s="84">
        <v>2859.1</v>
      </c>
      <c r="D908" s="61">
        <v>282.2</v>
      </c>
      <c r="E908" s="61">
        <v>15.5</v>
      </c>
      <c r="F908" s="61">
        <v>82.5</v>
      </c>
      <c r="G908" s="61">
        <v>30.1</v>
      </c>
      <c r="H908" s="61">
        <v>33</v>
      </c>
      <c r="I908" s="61">
        <v>11.1</v>
      </c>
      <c r="J908" s="61">
        <v>39.6</v>
      </c>
      <c r="K908" s="61">
        <v>22.6</v>
      </c>
      <c r="L908" s="61">
        <v>39.299999999999997</v>
      </c>
      <c r="M908" s="61">
        <v>29.7</v>
      </c>
      <c r="N908" s="61">
        <v>52.8</v>
      </c>
      <c r="O908" s="85">
        <v>24.6</v>
      </c>
      <c r="P908" s="105"/>
      <c r="Q908" s="87">
        <f t="shared" si="82"/>
        <v>-2.5033935867597407E-2</v>
      </c>
      <c r="R908" s="87">
        <f t="shared" si="85"/>
        <v>-2.4632042489205287E-2</v>
      </c>
      <c r="S908" s="87">
        <f t="shared" si="85"/>
        <v>-1.6866176340907542E-2</v>
      </c>
      <c r="T908" s="87">
        <f t="shared" si="85"/>
        <v>-6.4308903302904025E-3</v>
      </c>
      <c r="U908" s="87">
        <f t="shared" si="84"/>
        <v>-6.0423144559625863E-3</v>
      </c>
      <c r="V908" s="87">
        <f t="shared" si="84"/>
        <v>-1.6474837203505097E-2</v>
      </c>
      <c r="W908" s="87">
        <f t="shared" si="84"/>
        <v>-2.0990275891835858E-2</v>
      </c>
      <c r="X908" s="87">
        <f t="shared" si="84"/>
        <v>-3.5401927050915952E-2</v>
      </c>
      <c r="Y908" s="87">
        <f t="shared" si="84"/>
        <v>-2.4938948347252066E-2</v>
      </c>
      <c r="Z908" s="87">
        <f t="shared" si="86"/>
        <v>1.7857617400006472E-2</v>
      </c>
      <c r="AA908" s="87">
        <f t="shared" si="86"/>
        <v>7.6628727455690972E-3</v>
      </c>
      <c r="AB908" s="87">
        <f t="shared" si="86"/>
        <v>-2.9852963149681274E-2</v>
      </c>
      <c r="AC908" s="87">
        <f t="shared" si="86"/>
        <v>-2.0619287202735703E-2</v>
      </c>
      <c r="AD908" s="87">
        <f t="shared" si="86"/>
        <v>-2.4097551579060416E-2</v>
      </c>
      <c r="AE908" s="90">
        <f t="shared" si="83"/>
        <v>-1.6977980657147222E-2</v>
      </c>
    </row>
    <row r="909" spans="1:31" ht="15.5" x14ac:dyDescent="0.35">
      <c r="A909" s="82">
        <v>41082</v>
      </c>
      <c r="B909" s="83">
        <v>7616.6</v>
      </c>
      <c r="C909" s="84">
        <v>2892.4</v>
      </c>
      <c r="D909" s="61">
        <v>283.2</v>
      </c>
      <c r="E909" s="61">
        <v>15.5</v>
      </c>
      <c r="F909" s="61">
        <v>82.2</v>
      </c>
      <c r="G909" s="61">
        <v>30</v>
      </c>
      <c r="H909" s="61">
        <v>33.1</v>
      </c>
      <c r="I909" s="61">
        <v>11.2</v>
      </c>
      <c r="J909" s="61">
        <v>39.5</v>
      </c>
      <c r="K909" s="61">
        <v>22.1</v>
      </c>
      <c r="L909" s="61">
        <v>39.6</v>
      </c>
      <c r="M909" s="61">
        <v>29.8</v>
      </c>
      <c r="N909" s="61">
        <v>52.8</v>
      </c>
      <c r="O909" s="85">
        <v>24.6</v>
      </c>
      <c r="P909" s="105"/>
      <c r="Q909" s="87">
        <f t="shared" si="82"/>
        <v>6.6523327515490933E-3</v>
      </c>
      <c r="R909" s="87">
        <f t="shared" si="85"/>
        <v>1.157971732539748E-2</v>
      </c>
      <c r="S909" s="87">
        <f t="shared" si="85"/>
        <v>3.5373224008510193E-3</v>
      </c>
      <c r="T909" s="87">
        <f t="shared" si="85"/>
        <v>0</v>
      </c>
      <c r="U909" s="87">
        <f t="shared" si="84"/>
        <v>-3.6429912785009805E-3</v>
      </c>
      <c r="V909" s="87">
        <f t="shared" si="84"/>
        <v>-3.327790092674691E-3</v>
      </c>
      <c r="W909" s="87">
        <f t="shared" si="84"/>
        <v>3.0257209165371114E-3</v>
      </c>
      <c r="X909" s="87">
        <f t="shared" si="84"/>
        <v>8.9686699827603161E-3</v>
      </c>
      <c r="Y909" s="87">
        <f t="shared" si="84"/>
        <v>-2.5284463533587487E-3</v>
      </c>
      <c r="Z909" s="87">
        <f t="shared" si="86"/>
        <v>-2.2372297754533099E-2</v>
      </c>
      <c r="AA909" s="87">
        <f t="shared" si="86"/>
        <v>7.6045993852194328E-3</v>
      </c>
      <c r="AB909" s="87">
        <f t="shared" si="86"/>
        <v>3.3613477027049274E-3</v>
      </c>
      <c r="AC909" s="87">
        <f t="shared" si="86"/>
        <v>0</v>
      </c>
      <c r="AD909" s="87">
        <f t="shared" si="86"/>
        <v>0</v>
      </c>
      <c r="AE909" s="90">
        <f t="shared" si="83"/>
        <v>3.4649317263167096E-3</v>
      </c>
    </row>
    <row r="910" spans="1:31" ht="15.5" x14ac:dyDescent="0.35">
      <c r="A910" s="82">
        <v>41085</v>
      </c>
      <c r="B910" s="83">
        <v>7491.9</v>
      </c>
      <c r="C910" s="84">
        <v>2836.2</v>
      </c>
      <c r="D910" s="61">
        <v>279</v>
      </c>
      <c r="E910" s="61">
        <v>15.3</v>
      </c>
      <c r="F910" s="61">
        <v>81.5</v>
      </c>
      <c r="G910" s="61">
        <v>29.6</v>
      </c>
      <c r="H910" s="61">
        <v>32.299999999999997</v>
      </c>
      <c r="I910" s="61">
        <v>10.8</v>
      </c>
      <c r="J910" s="61">
        <v>40.4</v>
      </c>
      <c r="K910" s="61">
        <v>21.3</v>
      </c>
      <c r="L910" s="61">
        <v>39.700000000000003</v>
      </c>
      <c r="M910" s="61">
        <v>29</v>
      </c>
      <c r="N910" s="61">
        <v>52.2</v>
      </c>
      <c r="O910" s="85">
        <v>24.2</v>
      </c>
      <c r="P910" s="105"/>
      <c r="Q910" s="87">
        <f t="shared" ref="Q910:Q973" si="87">+LN(B910/B909)</f>
        <v>-1.6507638976548618E-2</v>
      </c>
      <c r="R910" s="87">
        <f t="shared" si="85"/>
        <v>-1.9621479273551169E-2</v>
      </c>
      <c r="S910" s="87">
        <f t="shared" si="85"/>
        <v>-1.4941579998199027E-2</v>
      </c>
      <c r="T910" s="87">
        <f t="shared" si="85"/>
        <v>-1.2987195526811079E-2</v>
      </c>
      <c r="U910" s="87">
        <f t="shared" si="84"/>
        <v>-8.5522818153172531E-3</v>
      </c>
      <c r="V910" s="87">
        <f t="shared" si="84"/>
        <v>-1.3423020332140661E-2</v>
      </c>
      <c r="W910" s="87">
        <f t="shared" si="84"/>
        <v>-2.4466052154406497E-2</v>
      </c>
      <c r="X910" s="87">
        <f t="shared" si="84"/>
        <v>-3.6367644170874715E-2</v>
      </c>
      <c r="Y910" s="87">
        <f t="shared" si="84"/>
        <v>2.2529113060028104E-2</v>
      </c>
      <c r="Z910" s="87">
        <f t="shared" si="86"/>
        <v>-3.6870535808327685E-2</v>
      </c>
      <c r="AA910" s="87">
        <f t="shared" si="86"/>
        <v>2.5220694327099391E-3</v>
      </c>
      <c r="AB910" s="87">
        <f t="shared" si="86"/>
        <v>-2.7212563524884815E-2</v>
      </c>
      <c r="AC910" s="87">
        <f t="shared" si="86"/>
        <v>-1.1428695823622631E-2</v>
      </c>
      <c r="AD910" s="87">
        <f t="shared" si="86"/>
        <v>-1.6393809775676497E-2</v>
      </c>
      <c r="AE910" s="90">
        <f t="shared" si="83"/>
        <v>-1.4693939734596449E-2</v>
      </c>
    </row>
    <row r="911" spans="1:31" ht="15.5" x14ac:dyDescent="0.35">
      <c r="A911" s="82">
        <v>41086</v>
      </c>
      <c r="B911" s="83">
        <v>7527.1</v>
      </c>
      <c r="C911" s="84">
        <v>2854.1</v>
      </c>
      <c r="D911" s="61">
        <v>280</v>
      </c>
      <c r="E911" s="61">
        <v>15.2</v>
      </c>
      <c r="F911" s="61">
        <v>81.099999999999994</v>
      </c>
      <c r="G911" s="61">
        <v>29.9</v>
      </c>
      <c r="H911" s="61">
        <v>34.5</v>
      </c>
      <c r="I911" s="61">
        <v>10.8</v>
      </c>
      <c r="J911" s="61">
        <v>41.5</v>
      </c>
      <c r="K911" s="61">
        <v>21.5</v>
      </c>
      <c r="L911" s="61">
        <v>39.700000000000003</v>
      </c>
      <c r="M911" s="61">
        <v>29</v>
      </c>
      <c r="N911" s="61">
        <v>52.4</v>
      </c>
      <c r="O911" s="85">
        <v>24.3</v>
      </c>
      <c r="P911" s="105"/>
      <c r="Q911" s="87">
        <f t="shared" si="87"/>
        <v>4.6874045476366609E-3</v>
      </c>
      <c r="R911" s="87">
        <f t="shared" si="85"/>
        <v>6.2914289380973237E-3</v>
      </c>
      <c r="S911" s="87">
        <f t="shared" si="85"/>
        <v>3.5778213478839024E-3</v>
      </c>
      <c r="T911" s="87">
        <f t="shared" si="85"/>
        <v>-6.5574005461591636E-3</v>
      </c>
      <c r="U911" s="87">
        <f t="shared" si="84"/>
        <v>-4.9200591254498702E-3</v>
      </c>
      <c r="V911" s="87">
        <f t="shared" si="84"/>
        <v>1.0084119066626008E-2</v>
      </c>
      <c r="W911" s="87">
        <f t="shared" si="84"/>
        <v>6.5892093808703325E-2</v>
      </c>
      <c r="X911" s="87">
        <f t="shared" si="84"/>
        <v>0</v>
      </c>
      <c r="Y911" s="87">
        <f t="shared" si="84"/>
        <v>2.6863642269548252E-2</v>
      </c>
      <c r="Z911" s="87">
        <f t="shared" si="86"/>
        <v>9.345862418237599E-3</v>
      </c>
      <c r="AA911" s="87">
        <f t="shared" si="86"/>
        <v>0</v>
      </c>
      <c r="AB911" s="87">
        <f t="shared" si="86"/>
        <v>0</v>
      </c>
      <c r="AC911" s="87">
        <f t="shared" si="86"/>
        <v>3.8240964384032546E-3</v>
      </c>
      <c r="AD911" s="87">
        <f t="shared" si="86"/>
        <v>4.1237171838621562E-3</v>
      </c>
      <c r="AE911" s="90">
        <f t="shared" ref="AE911:AE974" si="88">+SUMPRODUCT(Q911:AD911,$Q$8:$AD$8)</f>
        <v>2.0276990444475758E-3</v>
      </c>
    </row>
    <row r="912" spans="1:31" ht="15.5" x14ac:dyDescent="0.35">
      <c r="A912" s="82">
        <v>41087</v>
      </c>
      <c r="B912" s="83">
        <v>7598</v>
      </c>
      <c r="C912" s="84">
        <v>2875.3</v>
      </c>
      <c r="D912" s="61">
        <v>283.3</v>
      </c>
      <c r="E912" s="61">
        <v>15.4</v>
      </c>
      <c r="F912" s="61">
        <v>81.7</v>
      </c>
      <c r="G912" s="61">
        <v>30</v>
      </c>
      <c r="H912" s="61">
        <v>34.9</v>
      </c>
      <c r="I912" s="61">
        <v>11.1</v>
      </c>
      <c r="J912" s="61">
        <v>42.7</v>
      </c>
      <c r="K912" s="61">
        <v>21.5</v>
      </c>
      <c r="L912" s="61">
        <v>40</v>
      </c>
      <c r="M912" s="61">
        <v>29.3</v>
      </c>
      <c r="N912" s="61">
        <v>53.2</v>
      </c>
      <c r="O912" s="85">
        <v>24.4</v>
      </c>
      <c r="P912" s="105"/>
      <c r="Q912" s="87">
        <f t="shared" si="87"/>
        <v>9.3752132957769605E-3</v>
      </c>
      <c r="R912" s="87">
        <f t="shared" si="85"/>
        <v>7.4004596483392641E-3</v>
      </c>
      <c r="S912" s="87">
        <f t="shared" si="85"/>
        <v>1.1716803667221262E-2</v>
      </c>
      <c r="T912" s="87">
        <f t="shared" si="85"/>
        <v>1.3072081567352921E-2</v>
      </c>
      <c r="U912" s="87">
        <f t="shared" si="84"/>
        <v>7.3710407445901705E-3</v>
      </c>
      <c r="V912" s="87">
        <f t="shared" si="84"/>
        <v>3.3389012655146303E-3</v>
      </c>
      <c r="W912" s="87">
        <f t="shared" si="84"/>
        <v>1.1527505171067414E-2</v>
      </c>
      <c r="X912" s="87">
        <f t="shared" si="84"/>
        <v>2.7398974188114347E-2</v>
      </c>
      <c r="Y912" s="87">
        <f t="shared" si="84"/>
        <v>2.8505492997926259E-2</v>
      </c>
      <c r="Z912" s="87">
        <f t="shared" si="86"/>
        <v>0</v>
      </c>
      <c r="AA912" s="87">
        <f t="shared" si="86"/>
        <v>7.5282664207915878E-3</v>
      </c>
      <c r="AB912" s="87">
        <f t="shared" si="86"/>
        <v>1.0291686036547724E-2</v>
      </c>
      <c r="AC912" s="87">
        <f t="shared" si="86"/>
        <v>1.5151805020602246E-2</v>
      </c>
      <c r="AD912" s="87">
        <f t="shared" si="86"/>
        <v>4.1067819526532812E-3</v>
      </c>
      <c r="AE912" s="90">
        <f t="shared" si="88"/>
        <v>8.2553784364856938E-3</v>
      </c>
    </row>
    <row r="913" spans="1:31" ht="15.5" x14ac:dyDescent="0.35">
      <c r="A913" s="82">
        <v>41088</v>
      </c>
      <c r="B913" s="83">
        <v>7597.5</v>
      </c>
      <c r="C913" s="84">
        <v>2849.5</v>
      </c>
      <c r="D913" s="61">
        <v>278.89999999999998</v>
      </c>
      <c r="E913" s="61">
        <v>15.3</v>
      </c>
      <c r="F913" s="61">
        <v>80.8</v>
      </c>
      <c r="G913" s="61">
        <v>29.4</v>
      </c>
      <c r="H913" s="61">
        <v>35.299999999999997</v>
      </c>
      <c r="I913" s="61">
        <v>11.3</v>
      </c>
      <c r="J913" s="61">
        <v>42.3</v>
      </c>
      <c r="K913" s="61">
        <v>21.4</v>
      </c>
      <c r="L913" s="61">
        <v>40.200000000000003</v>
      </c>
      <c r="M913" s="61">
        <v>28.9</v>
      </c>
      <c r="N913" s="61">
        <v>53.1</v>
      </c>
      <c r="O913" s="85">
        <v>24</v>
      </c>
      <c r="P913" s="105"/>
      <c r="Q913" s="87">
        <f t="shared" si="87"/>
        <v>-6.5808956622777294E-5</v>
      </c>
      <c r="R913" s="87">
        <f t="shared" si="85"/>
        <v>-9.0134763386278387E-3</v>
      </c>
      <c r="S913" s="87">
        <f t="shared" si="85"/>
        <v>-1.5653112203027748E-2</v>
      </c>
      <c r="T913" s="87">
        <f t="shared" si="85"/>
        <v>-6.5146810211936419E-3</v>
      </c>
      <c r="U913" s="87">
        <f t="shared" si="84"/>
        <v>-1.1077036338907607E-2</v>
      </c>
      <c r="V913" s="87">
        <f t="shared" si="84"/>
        <v>-2.0202707317519466E-2</v>
      </c>
      <c r="W913" s="87">
        <f t="shared" si="84"/>
        <v>1.1396134730869582E-2</v>
      </c>
      <c r="X913" s="87">
        <f t="shared" si="84"/>
        <v>1.7857617400006472E-2</v>
      </c>
      <c r="Y913" s="87">
        <f t="shared" si="84"/>
        <v>-9.4118341823467063E-3</v>
      </c>
      <c r="Z913" s="87">
        <f t="shared" si="86"/>
        <v>-4.662013105811413E-3</v>
      </c>
      <c r="AA913" s="87">
        <f t="shared" si="86"/>
        <v>4.9875415110391882E-3</v>
      </c>
      <c r="AB913" s="87">
        <f t="shared" si="86"/>
        <v>-1.3745920904635238E-2</v>
      </c>
      <c r="AC913" s="87">
        <f t="shared" si="86"/>
        <v>-1.8814680997056199E-3</v>
      </c>
      <c r="AD913" s="87">
        <f t="shared" si="86"/>
        <v>-1.6529301951210471E-2</v>
      </c>
      <c r="AE913" s="90">
        <f t="shared" si="88"/>
        <v>-1.2460912421498755E-2</v>
      </c>
    </row>
    <row r="914" spans="1:31" ht="15.5" x14ac:dyDescent="0.35">
      <c r="A914" s="82">
        <v>41089</v>
      </c>
      <c r="B914" s="83">
        <v>7801.8</v>
      </c>
      <c r="C914" s="84">
        <v>2935.1</v>
      </c>
      <c r="D914" s="61">
        <v>286.39999999999998</v>
      </c>
      <c r="E914" s="61">
        <v>15.5</v>
      </c>
      <c r="F914" s="61">
        <v>82</v>
      </c>
      <c r="G914" s="61">
        <v>30.1</v>
      </c>
      <c r="H914" s="61">
        <v>35.9</v>
      </c>
      <c r="I914" s="61">
        <v>11.7</v>
      </c>
      <c r="J914" s="61">
        <v>43.4</v>
      </c>
      <c r="K914" s="61">
        <v>22.7</v>
      </c>
      <c r="L914" s="61">
        <v>40.9</v>
      </c>
      <c r="M914" s="61">
        <v>30.2</v>
      </c>
      <c r="N914" s="61">
        <v>54.3</v>
      </c>
      <c r="O914" s="85">
        <v>21.3</v>
      </c>
      <c r="P914" s="105"/>
      <c r="Q914" s="87">
        <f t="shared" si="87"/>
        <v>2.6535230494381033E-2</v>
      </c>
      <c r="R914" s="87">
        <f t="shared" si="85"/>
        <v>2.9597983956975962E-2</v>
      </c>
      <c r="S914" s="87">
        <f t="shared" si="85"/>
        <v>2.653614045304719E-2</v>
      </c>
      <c r="T914" s="87">
        <f t="shared" ref="T914:AD949" si="89">+LN(E914/E913)</f>
        <v>1.2987195526811112E-2</v>
      </c>
      <c r="U914" s="87">
        <f t="shared" si="89"/>
        <v>1.4742281737203431E-2</v>
      </c>
      <c r="V914" s="87">
        <f t="shared" si="89"/>
        <v>2.3530497410194251E-2</v>
      </c>
      <c r="W914" s="87">
        <f t="shared" si="89"/>
        <v>1.6854331554982182E-2</v>
      </c>
      <c r="X914" s="87">
        <f t="shared" si="89"/>
        <v>3.4786116085415389E-2</v>
      </c>
      <c r="Y914" s="87">
        <f t="shared" si="89"/>
        <v>2.5672355054126818E-2</v>
      </c>
      <c r="Z914" s="87">
        <f t="shared" si="86"/>
        <v>5.8974002459551249E-2</v>
      </c>
      <c r="AA914" s="87">
        <f t="shared" si="86"/>
        <v>1.7263067423780552E-2</v>
      </c>
      <c r="AB914" s="87">
        <f t="shared" si="86"/>
        <v>4.40003292624375E-2</v>
      </c>
      <c r="AC914" s="87">
        <f t="shared" si="86"/>
        <v>2.2347298691996618E-2</v>
      </c>
      <c r="AD914" s="87">
        <f t="shared" si="86"/>
        <v>-0.11934675763256612</v>
      </c>
      <c r="AE914" s="90">
        <f t="shared" si="88"/>
        <v>6.3497895418854009E-3</v>
      </c>
    </row>
    <row r="915" spans="1:31" ht="15.5" x14ac:dyDescent="0.35">
      <c r="A915" s="82">
        <v>41092</v>
      </c>
      <c r="B915" s="83">
        <v>7832.1</v>
      </c>
      <c r="C915" s="84">
        <v>2951.2</v>
      </c>
      <c r="D915" s="61">
        <v>288.5</v>
      </c>
      <c r="E915" s="61">
        <v>15.8</v>
      </c>
      <c r="F915" s="61">
        <v>83.4</v>
      </c>
      <c r="G915" s="61">
        <v>30.2</v>
      </c>
      <c r="H915" s="61">
        <v>36.200000000000003</v>
      </c>
      <c r="I915" s="61">
        <v>11.3</v>
      </c>
      <c r="J915" s="61">
        <v>43.5</v>
      </c>
      <c r="K915" s="61">
        <v>22.5</v>
      </c>
      <c r="L915" s="61">
        <v>41.2</v>
      </c>
      <c r="M915" s="61">
        <v>30.3</v>
      </c>
      <c r="N915" s="61">
        <v>54.6</v>
      </c>
      <c r="O915" s="85">
        <v>22</v>
      </c>
      <c r="P915" s="105"/>
      <c r="Q915" s="87">
        <f t="shared" si="87"/>
        <v>3.8761969742508364E-3</v>
      </c>
      <c r="R915" s="87">
        <f t="shared" ref="R915:AC961" si="90">+LN(C915/C914)</f>
        <v>5.4703430504356105E-3</v>
      </c>
      <c r="S915" s="87">
        <f t="shared" si="90"/>
        <v>7.3056508616638769E-3</v>
      </c>
      <c r="T915" s="87">
        <f t="shared" si="89"/>
        <v>1.9169916107720123E-2</v>
      </c>
      <c r="U915" s="87">
        <f t="shared" si="89"/>
        <v>1.6929062100447975E-2</v>
      </c>
      <c r="V915" s="87">
        <f t="shared" si="89"/>
        <v>3.3167526259938207E-3</v>
      </c>
      <c r="W915" s="87">
        <f t="shared" si="89"/>
        <v>8.3218233374922779E-3</v>
      </c>
      <c r="X915" s="87">
        <f t="shared" si="89"/>
        <v>-3.4786116085415424E-2</v>
      </c>
      <c r="Y915" s="87">
        <f t="shared" si="89"/>
        <v>2.3014969882791674E-3</v>
      </c>
      <c r="Z915" s="87">
        <f t="shared" si="86"/>
        <v>-8.8496152769824993E-3</v>
      </c>
      <c r="AA915" s="87">
        <f t="shared" si="86"/>
        <v>7.3081933067248427E-3</v>
      </c>
      <c r="AB915" s="87">
        <f t="shared" si="86"/>
        <v>3.3057881344996315E-3</v>
      </c>
      <c r="AC915" s="87">
        <f t="shared" si="86"/>
        <v>5.5096558109696998E-3</v>
      </c>
      <c r="AD915" s="87">
        <f t="shared" si="86"/>
        <v>3.2335380642936451E-2</v>
      </c>
      <c r="AE915" s="90">
        <f t="shared" si="88"/>
        <v>1.2549547744041243E-2</v>
      </c>
    </row>
    <row r="916" spans="1:31" ht="15.5" x14ac:dyDescent="0.35">
      <c r="A916" s="82">
        <v>41093</v>
      </c>
      <c r="B916" s="83">
        <v>7901.7</v>
      </c>
      <c r="C916" s="84">
        <v>2976.1</v>
      </c>
      <c r="D916" s="61">
        <v>289.3</v>
      </c>
      <c r="E916" s="61">
        <v>15.8</v>
      </c>
      <c r="F916" s="61">
        <v>84.9</v>
      </c>
      <c r="G916" s="61">
        <v>30.2</v>
      </c>
      <c r="H916" s="61">
        <v>36.200000000000003</v>
      </c>
      <c r="I916" s="61">
        <v>11.3</v>
      </c>
      <c r="J916" s="61">
        <v>44.3</v>
      </c>
      <c r="K916" s="61">
        <v>21.5</v>
      </c>
      <c r="L916" s="61">
        <v>41.6</v>
      </c>
      <c r="M916" s="61">
        <v>30.4</v>
      </c>
      <c r="N916" s="61">
        <v>55</v>
      </c>
      <c r="O916" s="85">
        <v>22.1</v>
      </c>
      <c r="P916" s="105"/>
      <c r="Q916" s="87">
        <f t="shared" si="87"/>
        <v>8.8472529189306051E-3</v>
      </c>
      <c r="R916" s="87">
        <f t="shared" si="90"/>
        <v>8.4018512565146638E-3</v>
      </c>
      <c r="S916" s="87">
        <f t="shared" si="90"/>
        <v>2.7691260339352685E-3</v>
      </c>
      <c r="T916" s="87">
        <f t="shared" si="89"/>
        <v>0</v>
      </c>
      <c r="U916" s="87">
        <f t="shared" si="89"/>
        <v>1.7825783952600448E-2</v>
      </c>
      <c r="V916" s="87">
        <f t="shared" si="89"/>
        <v>0</v>
      </c>
      <c r="W916" s="87">
        <f t="shared" si="89"/>
        <v>0</v>
      </c>
      <c r="X916" s="87">
        <f t="shared" si="89"/>
        <v>0</v>
      </c>
      <c r="Y916" s="87">
        <f t="shared" si="89"/>
        <v>1.8223738956451435E-2</v>
      </c>
      <c r="Z916" s="87">
        <f t="shared" si="86"/>
        <v>-4.5462374076757288E-2</v>
      </c>
      <c r="AA916" s="87">
        <f t="shared" si="86"/>
        <v>9.6619109117368901E-3</v>
      </c>
      <c r="AB916" s="87">
        <f t="shared" si="86"/>
        <v>3.2948958968524846E-3</v>
      </c>
      <c r="AC916" s="87">
        <f t="shared" si="86"/>
        <v>7.2993024816115351E-3</v>
      </c>
      <c r="AD916" s="87">
        <f t="shared" si="86"/>
        <v>4.5351551653913628E-3</v>
      </c>
      <c r="AE916" s="90">
        <f t="shared" si="88"/>
        <v>8.9774692857842644E-3</v>
      </c>
    </row>
    <row r="917" spans="1:31" ht="15.5" x14ac:dyDescent="0.35">
      <c r="A917" s="82">
        <v>41095</v>
      </c>
      <c r="B917" s="83">
        <v>7837.8</v>
      </c>
      <c r="C917" s="84">
        <v>2976.1</v>
      </c>
      <c r="D917" s="61">
        <v>294.60000000000002</v>
      </c>
      <c r="E917" s="61">
        <v>15.8</v>
      </c>
      <c r="F917" s="61">
        <v>85.7</v>
      </c>
      <c r="G917" s="61">
        <v>30.4</v>
      </c>
      <c r="H917" s="61">
        <v>35.9</v>
      </c>
      <c r="I917" s="61">
        <v>11.2</v>
      </c>
      <c r="J917" s="61">
        <v>45</v>
      </c>
      <c r="K917" s="61">
        <v>21.7</v>
      </c>
      <c r="L917" s="61">
        <v>41.3</v>
      </c>
      <c r="M917" s="61">
        <v>30.5</v>
      </c>
      <c r="N917" s="61">
        <v>55.1</v>
      </c>
      <c r="O917" s="85">
        <v>22.6</v>
      </c>
      <c r="P917" s="105"/>
      <c r="Q917" s="87">
        <f t="shared" si="87"/>
        <v>-8.1197434579381549E-3</v>
      </c>
      <c r="R917" s="87">
        <f t="shared" si="90"/>
        <v>0</v>
      </c>
      <c r="S917" s="87">
        <f t="shared" si="90"/>
        <v>1.815429204644059E-2</v>
      </c>
      <c r="T917" s="87">
        <f t="shared" si="89"/>
        <v>0</v>
      </c>
      <c r="U917" s="87">
        <f t="shared" si="89"/>
        <v>9.3787322864325399E-3</v>
      </c>
      <c r="V917" s="87">
        <f t="shared" si="89"/>
        <v>6.6006840313520927E-3</v>
      </c>
      <c r="W917" s="87">
        <f t="shared" si="89"/>
        <v>-8.32182333749233E-3</v>
      </c>
      <c r="X917" s="87">
        <f t="shared" si="89"/>
        <v>-8.888947417246152E-3</v>
      </c>
      <c r="Y917" s="87">
        <f t="shared" si="89"/>
        <v>1.567781271922979E-2</v>
      </c>
      <c r="Z917" s="87">
        <f t="shared" si="86"/>
        <v>9.2593254127967262E-3</v>
      </c>
      <c r="AA917" s="87">
        <f t="shared" si="86"/>
        <v>-7.2376673002306135E-3</v>
      </c>
      <c r="AB917" s="87">
        <f t="shared" si="86"/>
        <v>3.2840752011900187E-3</v>
      </c>
      <c r="AC917" s="87">
        <f t="shared" si="86"/>
        <v>1.8165309263980069E-3</v>
      </c>
      <c r="AD917" s="87">
        <f t="shared" si="86"/>
        <v>2.2372297754532984E-2</v>
      </c>
      <c r="AE917" s="90">
        <f t="shared" si="88"/>
        <v>1.071598729450295E-2</v>
      </c>
    </row>
    <row r="918" spans="1:31" ht="15.5" x14ac:dyDescent="0.35">
      <c r="A918" s="82">
        <v>41096</v>
      </c>
      <c r="B918" s="83">
        <v>7756.6</v>
      </c>
      <c r="C918" s="84">
        <v>2937.3</v>
      </c>
      <c r="D918" s="61">
        <v>291.7</v>
      </c>
      <c r="E918" s="61">
        <v>15.7</v>
      </c>
      <c r="F918" s="61">
        <v>85.9</v>
      </c>
      <c r="G918" s="61">
        <v>30</v>
      </c>
      <c r="H918" s="61">
        <v>35.9</v>
      </c>
      <c r="I918" s="61">
        <v>11</v>
      </c>
      <c r="J918" s="61">
        <v>44.4</v>
      </c>
      <c r="K918" s="61">
        <v>22</v>
      </c>
      <c r="L918" s="61">
        <v>41.3</v>
      </c>
      <c r="M918" s="61">
        <v>30</v>
      </c>
      <c r="N918" s="61">
        <v>54.9</v>
      </c>
      <c r="O918" s="85">
        <v>22.7</v>
      </c>
      <c r="P918" s="105"/>
      <c r="Q918" s="87">
        <f t="shared" si="87"/>
        <v>-1.0414088886478066E-2</v>
      </c>
      <c r="R918" s="87">
        <f t="shared" si="90"/>
        <v>-1.3122926510845078E-2</v>
      </c>
      <c r="S918" s="87">
        <f t="shared" si="90"/>
        <v>-9.8926271548543006E-3</v>
      </c>
      <c r="T918" s="87">
        <f t="shared" si="89"/>
        <v>-6.3492276786588919E-3</v>
      </c>
      <c r="U918" s="87">
        <f t="shared" si="89"/>
        <v>2.3310033864756084E-3</v>
      </c>
      <c r="V918" s="87">
        <f t="shared" si="89"/>
        <v>-1.3245226750020567E-2</v>
      </c>
      <c r="W918" s="87">
        <f t="shared" si="89"/>
        <v>0</v>
      </c>
      <c r="X918" s="87">
        <f t="shared" si="89"/>
        <v>-1.801850550267825E-2</v>
      </c>
      <c r="Y918" s="87">
        <f t="shared" si="89"/>
        <v>-1.3423020332140774E-2</v>
      </c>
      <c r="Z918" s="87">
        <f t="shared" si="86"/>
        <v>1.3730192811902037E-2</v>
      </c>
      <c r="AA918" s="87">
        <f t="shared" si="86"/>
        <v>0</v>
      </c>
      <c r="AB918" s="87">
        <f t="shared" si="86"/>
        <v>-1.6529301951210582E-2</v>
      </c>
      <c r="AC918" s="87">
        <f t="shared" si="86"/>
        <v>-3.6363676433838745E-3</v>
      </c>
      <c r="AD918" s="87">
        <f t="shared" si="86"/>
        <v>4.4150182091166933E-3</v>
      </c>
      <c r="AE918" s="90">
        <f t="shared" si="88"/>
        <v>-5.6266235633817031E-3</v>
      </c>
    </row>
    <row r="919" spans="1:31" ht="15.5" x14ac:dyDescent="0.35">
      <c r="A919" s="82">
        <v>41099</v>
      </c>
      <c r="B919" s="83">
        <v>7736.4</v>
      </c>
      <c r="C919" s="84">
        <v>2931.8</v>
      </c>
      <c r="D919" s="61">
        <v>290.89999999999998</v>
      </c>
      <c r="E919" s="61">
        <v>15.7</v>
      </c>
      <c r="F919" s="61">
        <v>86.3</v>
      </c>
      <c r="G919" s="61">
        <v>29.8</v>
      </c>
      <c r="H919" s="61">
        <v>34.9</v>
      </c>
      <c r="I919" s="61">
        <v>10.9</v>
      </c>
      <c r="J919" s="61">
        <v>44.6</v>
      </c>
      <c r="K919" s="61">
        <v>21.8</v>
      </c>
      <c r="L919" s="61">
        <v>41.5</v>
      </c>
      <c r="M919" s="61">
        <v>30</v>
      </c>
      <c r="N919" s="61">
        <v>54.5</v>
      </c>
      <c r="O919" s="85">
        <v>22.5</v>
      </c>
      <c r="P919" s="105"/>
      <c r="Q919" s="87">
        <f t="shared" si="87"/>
        <v>-2.6076307295198079E-3</v>
      </c>
      <c r="R919" s="87">
        <f t="shared" si="90"/>
        <v>-1.8742231722045895E-3</v>
      </c>
      <c r="S919" s="87">
        <f t="shared" si="90"/>
        <v>-2.7463113725198101E-3</v>
      </c>
      <c r="T919" s="87">
        <f t="shared" si="89"/>
        <v>0</v>
      </c>
      <c r="U919" s="87">
        <f t="shared" si="89"/>
        <v>4.6457690991723683E-3</v>
      </c>
      <c r="V919" s="87">
        <f t="shared" si="89"/>
        <v>-6.6889881507965401E-3</v>
      </c>
      <c r="W919" s="87">
        <f t="shared" si="89"/>
        <v>-2.8250466285851733E-2</v>
      </c>
      <c r="X919" s="87">
        <f t="shared" si="89"/>
        <v>-9.1324835632724741E-3</v>
      </c>
      <c r="Y919" s="87">
        <f t="shared" si="89"/>
        <v>4.4943895878392674E-3</v>
      </c>
      <c r="Z919" s="87">
        <f t="shared" si="86"/>
        <v>-9.1324835632724741E-3</v>
      </c>
      <c r="AA919" s="87">
        <f t="shared" si="86"/>
        <v>4.8309272696655924E-3</v>
      </c>
      <c r="AB919" s="87">
        <f t="shared" si="86"/>
        <v>0</v>
      </c>
      <c r="AC919" s="87">
        <f t="shared" si="86"/>
        <v>-7.3126468462864904E-3</v>
      </c>
      <c r="AD919" s="87">
        <f t="shared" si="86"/>
        <v>-8.8496152769824993E-3</v>
      </c>
      <c r="AE919" s="90">
        <f t="shared" si="88"/>
        <v>-1.1130666030745122E-3</v>
      </c>
    </row>
    <row r="920" spans="1:31" ht="15.5" x14ac:dyDescent="0.35">
      <c r="A920" s="82">
        <v>41100</v>
      </c>
      <c r="B920" s="83">
        <v>7667.6</v>
      </c>
      <c r="C920" s="84">
        <v>2902.3</v>
      </c>
      <c r="D920" s="61">
        <v>289.7</v>
      </c>
      <c r="E920" s="61">
        <v>15.7</v>
      </c>
      <c r="F920" s="61">
        <v>86.5</v>
      </c>
      <c r="G920" s="61">
        <v>29.5</v>
      </c>
      <c r="H920" s="61">
        <v>33.9</v>
      </c>
      <c r="I920" s="61">
        <v>10.8</v>
      </c>
      <c r="J920" s="61">
        <v>43.7</v>
      </c>
      <c r="K920" s="61">
        <v>20.6</v>
      </c>
      <c r="L920" s="61">
        <v>41.3</v>
      </c>
      <c r="M920" s="61">
        <v>29.9</v>
      </c>
      <c r="N920" s="61">
        <v>54</v>
      </c>
      <c r="O920" s="85">
        <v>22.7</v>
      </c>
      <c r="P920" s="105"/>
      <c r="Q920" s="87">
        <f t="shared" si="87"/>
        <v>-8.9328041405694527E-3</v>
      </c>
      <c r="R920" s="87">
        <f t="shared" si="90"/>
        <v>-1.011304277343732E-2</v>
      </c>
      <c r="S920" s="87">
        <f t="shared" si="90"/>
        <v>-4.1336607258511734E-3</v>
      </c>
      <c r="T920" s="87">
        <f t="shared" si="89"/>
        <v>0</v>
      </c>
      <c r="U920" s="87">
        <f t="shared" si="89"/>
        <v>2.3148158484513179E-3</v>
      </c>
      <c r="V920" s="87">
        <f t="shared" si="89"/>
        <v>-1.0118130165584667E-2</v>
      </c>
      <c r="W920" s="87">
        <f t="shared" si="89"/>
        <v>-2.907181482197696E-2</v>
      </c>
      <c r="X920" s="87">
        <f t="shared" si="89"/>
        <v>-9.2166551049239522E-3</v>
      </c>
      <c r="Y920" s="87">
        <f t="shared" si="89"/>
        <v>-2.0385756924473863E-2</v>
      </c>
      <c r="Z920" s="87">
        <f t="shared" si="86"/>
        <v>-5.6618893999507931E-2</v>
      </c>
      <c r="AA920" s="87">
        <f t="shared" si="86"/>
        <v>-4.8309272696655803E-3</v>
      </c>
      <c r="AB920" s="87">
        <f t="shared" si="86"/>
        <v>-3.3389012655147096E-3</v>
      </c>
      <c r="AC920" s="87">
        <f t="shared" si="86"/>
        <v>-9.2166551049239522E-3</v>
      </c>
      <c r="AD920" s="87">
        <f t="shared" si="86"/>
        <v>8.8496152769826E-3</v>
      </c>
      <c r="AE920" s="90">
        <f t="shared" si="88"/>
        <v>-2.504006637003676E-3</v>
      </c>
    </row>
    <row r="921" spans="1:31" ht="15.5" x14ac:dyDescent="0.35">
      <c r="A921" s="82">
        <v>41101</v>
      </c>
      <c r="B921" s="83">
        <v>7685.3</v>
      </c>
      <c r="C921" s="84">
        <v>2888</v>
      </c>
      <c r="D921" s="61">
        <v>282.8</v>
      </c>
      <c r="E921" s="61">
        <v>15.7</v>
      </c>
      <c r="F921" s="61">
        <v>85.3</v>
      </c>
      <c r="G921" s="61">
        <v>29.1</v>
      </c>
      <c r="H921" s="61">
        <v>32</v>
      </c>
      <c r="I921" s="61">
        <v>10.5</v>
      </c>
      <c r="J921" s="61">
        <v>43.8</v>
      </c>
      <c r="K921" s="61">
        <v>20.100000000000001</v>
      </c>
      <c r="L921" s="61">
        <v>41.1</v>
      </c>
      <c r="M921" s="61">
        <v>30.1</v>
      </c>
      <c r="N921" s="61">
        <v>53.1</v>
      </c>
      <c r="O921" s="85">
        <v>22.6</v>
      </c>
      <c r="P921" s="105"/>
      <c r="Q921" s="87">
        <f t="shared" si="87"/>
        <v>2.3057543319948584E-3</v>
      </c>
      <c r="R921" s="87">
        <f t="shared" si="90"/>
        <v>-4.9393050697766443E-3</v>
      </c>
      <c r="S921" s="87">
        <f t="shared" si="90"/>
        <v>-2.4105970752886906E-2</v>
      </c>
      <c r="T921" s="87">
        <f t="shared" si="89"/>
        <v>0</v>
      </c>
      <c r="U921" s="87">
        <f t="shared" si="89"/>
        <v>-1.3969959440200196E-2</v>
      </c>
      <c r="V921" s="87">
        <f t="shared" si="89"/>
        <v>-1.3652089168327207E-2</v>
      </c>
      <c r="W921" s="87">
        <f t="shared" si="89"/>
        <v>-5.7679111586678045E-2</v>
      </c>
      <c r="X921" s="87">
        <f t="shared" si="89"/>
        <v>-2.8170876966696335E-2</v>
      </c>
      <c r="Y921" s="87">
        <f t="shared" si="89"/>
        <v>2.2857152808558609E-3</v>
      </c>
      <c r="Z921" s="87">
        <f t="shared" si="86"/>
        <v>-2.4571260730505317E-2</v>
      </c>
      <c r="AA921" s="87">
        <f t="shared" si="86"/>
        <v>-4.8543784647980884E-3</v>
      </c>
      <c r="AB921" s="87">
        <f t="shared" si="86"/>
        <v>6.6666913581892974E-3</v>
      </c>
      <c r="AC921" s="87">
        <f t="shared" si="86"/>
        <v>-1.6807118316381174E-2</v>
      </c>
      <c r="AD921" s="87">
        <f t="shared" si="86"/>
        <v>-4.4150182091167202E-3</v>
      </c>
      <c r="AE921" s="90">
        <f t="shared" si="88"/>
        <v>-1.3069110484941027E-2</v>
      </c>
    </row>
    <row r="922" spans="1:31" ht="15.5" x14ac:dyDescent="0.35">
      <c r="A922" s="82">
        <v>41102</v>
      </c>
      <c r="B922" s="83">
        <v>7638.6</v>
      </c>
      <c r="C922" s="84">
        <v>2866.2</v>
      </c>
      <c r="D922" s="61">
        <v>281.3</v>
      </c>
      <c r="E922" s="61">
        <v>15.5</v>
      </c>
      <c r="F922" s="61">
        <v>84.7</v>
      </c>
      <c r="G922" s="61">
        <v>28.5</v>
      </c>
      <c r="H922" s="61">
        <v>31.6</v>
      </c>
      <c r="I922" s="61">
        <v>10.1</v>
      </c>
      <c r="J922" s="61">
        <v>43.5</v>
      </c>
      <c r="K922" s="61">
        <v>19.399999999999999</v>
      </c>
      <c r="L922" s="61">
        <v>42.8</v>
      </c>
      <c r="M922" s="61">
        <v>29.7</v>
      </c>
      <c r="N922" s="61">
        <v>52.4</v>
      </c>
      <c r="O922" s="85">
        <v>22.6</v>
      </c>
      <c r="P922" s="105"/>
      <c r="Q922" s="87">
        <f t="shared" si="87"/>
        <v>-6.0950730003452641E-3</v>
      </c>
      <c r="R922" s="87">
        <f t="shared" si="90"/>
        <v>-7.5771103887457419E-3</v>
      </c>
      <c r="S922" s="87">
        <f t="shared" si="90"/>
        <v>-5.318218526606514E-3</v>
      </c>
      <c r="T922" s="87">
        <f t="shared" si="89"/>
        <v>-1.2820688429061434E-2</v>
      </c>
      <c r="U922" s="87">
        <f t="shared" si="89"/>
        <v>-7.0588528396246884E-3</v>
      </c>
      <c r="V922" s="87">
        <f t="shared" si="89"/>
        <v>-2.0834086902842025E-2</v>
      </c>
      <c r="W922" s="87">
        <f t="shared" si="89"/>
        <v>-1.2578782206860073E-2</v>
      </c>
      <c r="X922" s="87">
        <f t="shared" si="89"/>
        <v>-3.8839833316264012E-2</v>
      </c>
      <c r="Y922" s="87">
        <f t="shared" si="89"/>
        <v>-6.8728792877619524E-3</v>
      </c>
      <c r="Z922" s="87">
        <f t="shared" si="86"/>
        <v>-3.5446748995747804E-2</v>
      </c>
      <c r="AA922" s="87">
        <f t="shared" si="86"/>
        <v>4.0529981085562029E-2</v>
      </c>
      <c r="AB922" s="87">
        <f t="shared" si="86"/>
        <v>-1.3378125946176199E-2</v>
      </c>
      <c r="AC922" s="87">
        <f t="shared" si="86"/>
        <v>-1.3270336920896698E-2</v>
      </c>
      <c r="AD922" s="87">
        <f t="shared" si="86"/>
        <v>0</v>
      </c>
      <c r="AE922" s="90">
        <f t="shared" si="88"/>
        <v>-5.8466129366184921E-3</v>
      </c>
    </row>
    <row r="923" spans="1:31" ht="15.5" x14ac:dyDescent="0.35">
      <c r="A923" s="82">
        <v>41103</v>
      </c>
      <c r="B923" s="83">
        <v>7758.3</v>
      </c>
      <c r="C923" s="84">
        <v>2908.5</v>
      </c>
      <c r="D923" s="61">
        <v>284.60000000000002</v>
      </c>
      <c r="E923" s="61">
        <v>15.7</v>
      </c>
      <c r="F923" s="61">
        <v>85.7</v>
      </c>
      <c r="G923" s="61">
        <v>28.7</v>
      </c>
      <c r="H923" s="61">
        <v>30.9</v>
      </c>
      <c r="I923" s="61">
        <v>10.1</v>
      </c>
      <c r="J923" s="61">
        <v>43.7</v>
      </c>
      <c r="K923" s="61">
        <v>19.899999999999999</v>
      </c>
      <c r="L923" s="61">
        <v>42.9</v>
      </c>
      <c r="M923" s="61">
        <v>30</v>
      </c>
      <c r="N923" s="61">
        <v>53.1</v>
      </c>
      <c r="O923" s="85">
        <v>23</v>
      </c>
      <c r="P923" s="105"/>
      <c r="Q923" s="87">
        <f t="shared" si="87"/>
        <v>1.5548897716849332E-2</v>
      </c>
      <c r="R923" s="87">
        <f t="shared" si="90"/>
        <v>1.4650373726845045E-2</v>
      </c>
      <c r="S923" s="87">
        <f t="shared" si="90"/>
        <v>1.1662970159940864E-2</v>
      </c>
      <c r="T923" s="87">
        <f t="shared" si="89"/>
        <v>1.2820688429061469E-2</v>
      </c>
      <c r="U923" s="87">
        <f t="shared" si="89"/>
        <v>1.173722394572542E-2</v>
      </c>
      <c r="V923" s="87">
        <f t="shared" si="89"/>
        <v>6.9930354909706043E-3</v>
      </c>
      <c r="W923" s="87">
        <f t="shared" si="89"/>
        <v>-2.2400936689166772E-2</v>
      </c>
      <c r="X923" s="87">
        <f t="shared" si="89"/>
        <v>0</v>
      </c>
      <c r="Y923" s="87">
        <f t="shared" si="89"/>
        <v>4.5871640069061401E-3</v>
      </c>
      <c r="Z923" s="87">
        <f t="shared" si="86"/>
        <v>2.5446665661164176E-2</v>
      </c>
      <c r="AA923" s="87">
        <f t="shared" si="86"/>
        <v>2.3337233462203183E-3</v>
      </c>
      <c r="AB923" s="87">
        <f t="shared" si="86"/>
        <v>1.0050335853501506E-2</v>
      </c>
      <c r="AC923" s="87">
        <f t="shared" si="86"/>
        <v>1.327033692089683E-2</v>
      </c>
      <c r="AD923" s="87">
        <f t="shared" si="86"/>
        <v>1.7544309650909525E-2</v>
      </c>
      <c r="AE923" s="90">
        <f t="shared" si="88"/>
        <v>1.32945384610372E-2</v>
      </c>
    </row>
    <row r="924" spans="1:31" ht="15.5" x14ac:dyDescent="0.35">
      <c r="A924" s="82">
        <v>41106</v>
      </c>
      <c r="B924" s="83">
        <v>7743</v>
      </c>
      <c r="C924" s="84">
        <v>2896.9</v>
      </c>
      <c r="D924" s="61">
        <v>286.2</v>
      </c>
      <c r="E924" s="61">
        <v>15.6</v>
      </c>
      <c r="F924" s="61">
        <v>86.4</v>
      </c>
      <c r="G924" s="61">
        <v>29</v>
      </c>
      <c r="H924" s="61">
        <v>31.6</v>
      </c>
      <c r="I924" s="61">
        <v>10</v>
      </c>
      <c r="J924" s="61">
        <v>43.1</v>
      </c>
      <c r="K924" s="61">
        <v>19.5</v>
      </c>
      <c r="L924" s="61">
        <v>43</v>
      </c>
      <c r="M924" s="61">
        <v>30.2</v>
      </c>
      <c r="N924" s="61">
        <v>53.1</v>
      </c>
      <c r="O924" s="85">
        <v>23.2</v>
      </c>
      <c r="P924" s="105"/>
      <c r="Q924" s="87">
        <f t="shared" si="87"/>
        <v>-1.9740286257805416E-3</v>
      </c>
      <c r="R924" s="87">
        <f t="shared" si="90"/>
        <v>-3.9962846446217658E-3</v>
      </c>
      <c r="S924" s="87">
        <f t="shared" si="90"/>
        <v>5.6061814665984647E-3</v>
      </c>
      <c r="T924" s="87">
        <f t="shared" si="89"/>
        <v>-6.38979809877101E-3</v>
      </c>
      <c r="U924" s="87">
        <f t="shared" si="89"/>
        <v>8.1348502062758149E-3</v>
      </c>
      <c r="V924" s="87">
        <f t="shared" si="89"/>
        <v>1.0398707220898517E-2</v>
      </c>
      <c r="W924" s="87">
        <f t="shared" si="89"/>
        <v>2.2400936689166713E-2</v>
      </c>
      <c r="X924" s="87">
        <f t="shared" si="89"/>
        <v>-9.950330853168092E-3</v>
      </c>
      <c r="Y924" s="87">
        <f t="shared" si="89"/>
        <v>-1.3825104991842431E-2</v>
      </c>
      <c r="Z924" s="87">
        <f t="shared" si="86"/>
        <v>-2.0305266160745569E-2</v>
      </c>
      <c r="AA924" s="87">
        <f t="shared" si="86"/>
        <v>2.3282897595911681E-3</v>
      </c>
      <c r="AB924" s="87">
        <f t="shared" si="86"/>
        <v>6.6445427186685108E-3</v>
      </c>
      <c r="AC924" s="87">
        <f t="shared" si="86"/>
        <v>0</v>
      </c>
      <c r="AD924" s="87">
        <f t="shared" si="86"/>
        <v>8.6580627431145311E-3</v>
      </c>
      <c r="AE924" s="90">
        <f t="shared" si="88"/>
        <v>3.8218522749697307E-3</v>
      </c>
    </row>
    <row r="925" spans="1:31" ht="15.5" x14ac:dyDescent="0.35">
      <c r="A925" s="82">
        <v>41107</v>
      </c>
      <c r="B925" s="83">
        <v>7794.8</v>
      </c>
      <c r="C925" s="84">
        <v>2910</v>
      </c>
      <c r="D925" s="61">
        <v>284.5</v>
      </c>
      <c r="E925" s="61">
        <v>15.4</v>
      </c>
      <c r="F925" s="61">
        <v>86.2</v>
      </c>
      <c r="G925" s="61">
        <v>29.2</v>
      </c>
      <c r="H925" s="61">
        <v>30.3</v>
      </c>
      <c r="I925" s="61">
        <v>9.9</v>
      </c>
      <c r="J925" s="61">
        <v>44.5</v>
      </c>
      <c r="K925" s="61">
        <v>19.100000000000001</v>
      </c>
      <c r="L925" s="61">
        <v>43.2</v>
      </c>
      <c r="M925" s="61">
        <v>30</v>
      </c>
      <c r="N925" s="61">
        <v>53.8</v>
      </c>
      <c r="O925" s="85">
        <v>23</v>
      </c>
      <c r="P925" s="105"/>
      <c r="Q925" s="87">
        <f t="shared" si="87"/>
        <v>6.6676353032558205E-3</v>
      </c>
      <c r="R925" s="87">
        <f t="shared" si="90"/>
        <v>4.5118814593437797E-3</v>
      </c>
      <c r="S925" s="87">
        <f t="shared" si="90"/>
        <v>-5.9576135559648961E-3</v>
      </c>
      <c r="T925" s="87">
        <f t="shared" si="89"/>
        <v>-1.2903404835907841E-2</v>
      </c>
      <c r="U925" s="87">
        <f t="shared" si="89"/>
        <v>-2.3174981403625899E-3</v>
      </c>
      <c r="V925" s="87">
        <f t="shared" si="89"/>
        <v>6.8728792877620504E-3</v>
      </c>
      <c r="W925" s="87">
        <f t="shared" si="89"/>
        <v>-4.200940807754297E-2</v>
      </c>
      <c r="X925" s="87">
        <f t="shared" si="89"/>
        <v>-1.0050335853501451E-2</v>
      </c>
      <c r="Y925" s="87">
        <f t="shared" si="89"/>
        <v>3.1966192062492287E-2</v>
      </c>
      <c r="Z925" s="87">
        <f t="shared" si="86"/>
        <v>-2.0726130517116855E-2</v>
      </c>
      <c r="AA925" s="87">
        <f t="shared" si="86"/>
        <v>4.6403795565023009E-3</v>
      </c>
      <c r="AB925" s="87">
        <f t="shared" si="86"/>
        <v>-6.6445427186685013E-3</v>
      </c>
      <c r="AC925" s="87">
        <f t="shared" si="86"/>
        <v>1.30965389198455E-2</v>
      </c>
      <c r="AD925" s="87">
        <f t="shared" si="86"/>
        <v>-8.6580627431145415E-3</v>
      </c>
      <c r="AE925" s="90">
        <f t="shared" si="88"/>
        <v>-2.1067822932027951E-3</v>
      </c>
    </row>
    <row r="926" spans="1:31" ht="15.5" x14ac:dyDescent="0.35">
      <c r="A926" s="82">
        <v>41108</v>
      </c>
      <c r="B926" s="83">
        <v>7831.1</v>
      </c>
      <c r="C926" s="84">
        <v>2942.6</v>
      </c>
      <c r="D926" s="61">
        <v>288.39999999999998</v>
      </c>
      <c r="E926" s="61">
        <v>15.5</v>
      </c>
      <c r="F926" s="61">
        <v>86.2</v>
      </c>
      <c r="G926" s="61">
        <v>29.5</v>
      </c>
      <c r="H926" s="61">
        <v>30.4</v>
      </c>
      <c r="I926" s="61">
        <v>10.1</v>
      </c>
      <c r="J926" s="61">
        <v>45.4</v>
      </c>
      <c r="K926" s="61">
        <v>19.100000000000001</v>
      </c>
      <c r="L926" s="61">
        <v>43.7</v>
      </c>
      <c r="M926" s="61">
        <v>30.5</v>
      </c>
      <c r="N926" s="61">
        <v>54.3</v>
      </c>
      <c r="O926" s="85">
        <v>23</v>
      </c>
      <c r="P926" s="105"/>
      <c r="Q926" s="87">
        <f t="shared" si="87"/>
        <v>4.6461407406309984E-3</v>
      </c>
      <c r="R926" s="87">
        <f t="shared" si="90"/>
        <v>1.1140463098308425E-2</v>
      </c>
      <c r="S926" s="87">
        <f t="shared" si="90"/>
        <v>1.3615151844408367E-2</v>
      </c>
      <c r="T926" s="87">
        <f t="shared" si="89"/>
        <v>6.4725145056175196E-3</v>
      </c>
      <c r="U926" s="87">
        <f t="shared" si="89"/>
        <v>0</v>
      </c>
      <c r="V926" s="87">
        <f t="shared" si="89"/>
        <v>1.0221554071538009E-2</v>
      </c>
      <c r="W926" s="87">
        <f t="shared" si="89"/>
        <v>3.2948958968524846E-3</v>
      </c>
      <c r="X926" s="87">
        <f t="shared" si="89"/>
        <v>2.0000666706669435E-2</v>
      </c>
      <c r="Y926" s="87">
        <f t="shared" si="89"/>
        <v>2.0022915875107732E-2</v>
      </c>
      <c r="Z926" s="87">
        <f t="shared" si="86"/>
        <v>0</v>
      </c>
      <c r="AA926" s="87">
        <f t="shared" si="86"/>
        <v>1.1507606851479944E-2</v>
      </c>
      <c r="AB926" s="87">
        <f t="shared" si="86"/>
        <v>1.6529301951210506E-2</v>
      </c>
      <c r="AC926" s="87">
        <f t="shared" si="86"/>
        <v>9.2507597721509967E-3</v>
      </c>
      <c r="AD926" s="87">
        <f t="shared" si="86"/>
        <v>0</v>
      </c>
      <c r="AE926" s="90">
        <f t="shared" si="88"/>
        <v>7.3253678865824378E-3</v>
      </c>
    </row>
    <row r="927" spans="1:31" ht="15.5" x14ac:dyDescent="0.35">
      <c r="A927" s="82">
        <v>41109</v>
      </c>
      <c r="B927" s="83">
        <v>7849.8</v>
      </c>
      <c r="C927" s="84">
        <v>2965.9</v>
      </c>
      <c r="D927" s="61">
        <v>293.3</v>
      </c>
      <c r="E927" s="61">
        <v>15.6</v>
      </c>
      <c r="F927" s="61">
        <v>86.6</v>
      </c>
      <c r="G927" s="61">
        <v>30.4</v>
      </c>
      <c r="H927" s="61">
        <v>30.1</v>
      </c>
      <c r="I927" s="61">
        <v>10.1</v>
      </c>
      <c r="J927" s="61">
        <v>45.1</v>
      </c>
      <c r="K927" s="61">
        <v>20</v>
      </c>
      <c r="L927" s="61">
        <v>43.5</v>
      </c>
      <c r="M927" s="61">
        <v>30.6</v>
      </c>
      <c r="N927" s="61">
        <v>54.7</v>
      </c>
      <c r="O927" s="85">
        <v>23.5</v>
      </c>
      <c r="P927" s="105"/>
      <c r="Q927" s="87">
        <f t="shared" si="87"/>
        <v>2.3850683142750185E-3</v>
      </c>
      <c r="R927" s="87">
        <f t="shared" si="90"/>
        <v>7.8869834239801966E-3</v>
      </c>
      <c r="S927" s="87">
        <f t="shared" si="90"/>
        <v>1.6847570572611444E-2</v>
      </c>
      <c r="T927" s="87">
        <f t="shared" si="89"/>
        <v>6.4308903302903314E-3</v>
      </c>
      <c r="U927" s="87">
        <f t="shared" si="89"/>
        <v>4.6296378987419756E-3</v>
      </c>
      <c r="V927" s="87">
        <f t="shared" si="89"/>
        <v>3.0052345066401837E-2</v>
      </c>
      <c r="W927" s="87">
        <f t="shared" si="89"/>
        <v>-9.9174366573459155E-3</v>
      </c>
      <c r="X927" s="87">
        <f t="shared" si="89"/>
        <v>0</v>
      </c>
      <c r="Y927" s="87">
        <f t="shared" si="89"/>
        <v>-6.6298585386695766E-3</v>
      </c>
      <c r="Z927" s="87">
        <f t="shared" si="86"/>
        <v>4.6043938501406798E-2</v>
      </c>
      <c r="AA927" s="87">
        <f t="shared" si="86"/>
        <v>-4.5871640069061539E-3</v>
      </c>
      <c r="AB927" s="87">
        <f t="shared" si="86"/>
        <v>3.2733253449691085E-3</v>
      </c>
      <c r="AC927" s="87">
        <f t="shared" si="86"/>
        <v>7.3394824880459696E-3</v>
      </c>
      <c r="AD927" s="87">
        <f t="shared" si="86"/>
        <v>2.1506205220963682E-2</v>
      </c>
      <c r="AE927" s="90">
        <f t="shared" si="88"/>
        <v>1.1234314360207909E-2</v>
      </c>
    </row>
    <row r="928" spans="1:31" ht="15.5" x14ac:dyDescent="0.35">
      <c r="A928" s="82">
        <v>41110</v>
      </c>
      <c r="B928" s="83">
        <v>7759.6</v>
      </c>
      <c r="C928" s="84">
        <v>2925.3</v>
      </c>
      <c r="D928" s="61">
        <v>299.39999999999998</v>
      </c>
      <c r="E928" s="61">
        <v>15.7</v>
      </c>
      <c r="F928" s="61">
        <v>86.2</v>
      </c>
      <c r="G928" s="61">
        <v>30.1</v>
      </c>
      <c r="H928" s="61">
        <v>29.3</v>
      </c>
      <c r="I928" s="61">
        <v>9.8000000000000007</v>
      </c>
      <c r="J928" s="61">
        <v>44.7</v>
      </c>
      <c r="K928" s="61">
        <v>20.100000000000001</v>
      </c>
      <c r="L928" s="61">
        <v>43.3</v>
      </c>
      <c r="M928" s="61">
        <v>29.5</v>
      </c>
      <c r="N928" s="61">
        <v>54.5</v>
      </c>
      <c r="O928" s="85">
        <v>23.3</v>
      </c>
      <c r="P928" s="105"/>
      <c r="Q928" s="87">
        <f t="shared" si="87"/>
        <v>-1.1557267287934459E-2</v>
      </c>
      <c r="R928" s="87">
        <f t="shared" si="90"/>
        <v>-1.378348817864382E-2</v>
      </c>
      <c r="S928" s="87">
        <f t="shared" si="90"/>
        <v>2.0584496002122445E-2</v>
      </c>
      <c r="T928" s="87">
        <f t="shared" si="89"/>
        <v>6.3897980987709883E-3</v>
      </c>
      <c r="U928" s="87">
        <f t="shared" si="89"/>
        <v>-4.6296378987419938E-3</v>
      </c>
      <c r="V928" s="87">
        <f t="shared" si="89"/>
        <v>-9.9174366573459155E-3</v>
      </c>
      <c r="W928" s="87">
        <f t="shared" si="89"/>
        <v>-2.6937655731808487E-2</v>
      </c>
      <c r="X928" s="87">
        <f t="shared" si="89"/>
        <v>-3.0153038170687443E-2</v>
      </c>
      <c r="Y928" s="87">
        <f t="shared" si="89"/>
        <v>-8.908744889109442E-3</v>
      </c>
      <c r="Z928" s="87">
        <f t="shared" si="86"/>
        <v>4.9875415110391882E-3</v>
      </c>
      <c r="AA928" s="87">
        <f t="shared" si="86"/>
        <v>-4.6083030861943297E-3</v>
      </c>
      <c r="AB928" s="87">
        <f t="shared" si="86"/>
        <v>-3.6609745612561043E-2</v>
      </c>
      <c r="AC928" s="87">
        <f t="shared" si="86"/>
        <v>-3.6630077587371467E-3</v>
      </c>
      <c r="AD928" s="87">
        <f t="shared" si="86"/>
        <v>-8.5470605784584083E-3</v>
      </c>
      <c r="AE928" s="90">
        <f t="shared" si="88"/>
        <v>-4.6784773364227602E-4</v>
      </c>
    </row>
    <row r="929" spans="1:31" ht="15.5" x14ac:dyDescent="0.35">
      <c r="A929" s="82">
        <v>41113</v>
      </c>
      <c r="B929" s="83">
        <v>7670.5</v>
      </c>
      <c r="C929" s="84">
        <v>2890.1</v>
      </c>
      <c r="D929" s="61">
        <v>299.39999999999998</v>
      </c>
      <c r="E929" s="61">
        <v>15.6</v>
      </c>
      <c r="F929" s="61">
        <v>84</v>
      </c>
      <c r="G929" s="61">
        <v>29</v>
      </c>
      <c r="H929" s="61">
        <v>28.7</v>
      </c>
      <c r="I929" s="61">
        <v>9.6</v>
      </c>
      <c r="J929" s="61">
        <v>44</v>
      </c>
      <c r="K929" s="61">
        <v>20</v>
      </c>
      <c r="L929" s="61">
        <v>43.1</v>
      </c>
      <c r="M929" s="61">
        <v>28.5</v>
      </c>
      <c r="N929" s="61">
        <v>53.5</v>
      </c>
      <c r="O929" s="85">
        <v>22.8</v>
      </c>
      <c r="P929" s="105"/>
      <c r="Q929" s="87">
        <f t="shared" si="87"/>
        <v>-1.154898417212288E-2</v>
      </c>
      <c r="R929" s="87">
        <f t="shared" si="90"/>
        <v>-1.2105935925218764E-2</v>
      </c>
      <c r="S929" s="87">
        <f t="shared" si="90"/>
        <v>0</v>
      </c>
      <c r="T929" s="87">
        <f t="shared" si="89"/>
        <v>-6.38979809877101E-3</v>
      </c>
      <c r="U929" s="87">
        <f t="shared" si="89"/>
        <v>-2.5853378826333782E-2</v>
      </c>
      <c r="V929" s="87">
        <f t="shared" si="89"/>
        <v>-3.7229341768356038E-2</v>
      </c>
      <c r="W929" s="87">
        <f t="shared" si="89"/>
        <v>-2.0690393257446281E-2</v>
      </c>
      <c r="X929" s="87">
        <f t="shared" si="89"/>
        <v>-2.0619287202735818E-2</v>
      </c>
      <c r="Y929" s="87">
        <f t="shared" si="89"/>
        <v>-1.5783867701262E-2</v>
      </c>
      <c r="Z929" s="87">
        <f t="shared" si="86"/>
        <v>-4.9875415110391622E-3</v>
      </c>
      <c r="AA929" s="87">
        <f t="shared" si="86"/>
        <v>-4.6296378987419938E-3</v>
      </c>
      <c r="AB929" s="87">
        <f t="shared" si="86"/>
        <v>-3.4486176071169321E-2</v>
      </c>
      <c r="AC929" s="87">
        <f t="shared" si="86"/>
        <v>-1.8519047767237527E-2</v>
      </c>
      <c r="AD929" s="87">
        <f t="shared" si="86"/>
        <v>-2.1692824611259785E-2</v>
      </c>
      <c r="AE929" s="90">
        <f t="shared" si="88"/>
        <v>-1.3657948292119505E-2</v>
      </c>
    </row>
    <row r="930" spans="1:31" ht="15.5" x14ac:dyDescent="0.35">
      <c r="A930" s="82">
        <v>41114</v>
      </c>
      <c r="B930" s="83">
        <v>7590.6</v>
      </c>
      <c r="C930" s="84">
        <v>2863</v>
      </c>
      <c r="D930" s="61">
        <v>302.5</v>
      </c>
      <c r="E930" s="61">
        <v>15.2</v>
      </c>
      <c r="F930" s="61">
        <v>85.5</v>
      </c>
      <c r="G930" s="61">
        <v>28.9</v>
      </c>
      <c r="H930" s="61">
        <v>26.4</v>
      </c>
      <c r="I930" s="61">
        <v>9.6999999999999993</v>
      </c>
      <c r="J930" s="61">
        <v>43.8</v>
      </c>
      <c r="K930" s="61">
        <v>20.8</v>
      </c>
      <c r="L930" s="61">
        <v>42.3</v>
      </c>
      <c r="M930" s="61">
        <v>28.3</v>
      </c>
      <c r="N930" s="61">
        <v>53.6</v>
      </c>
      <c r="O930" s="85">
        <v>23.1</v>
      </c>
      <c r="P930" s="105"/>
      <c r="Q930" s="87">
        <f t="shared" si="87"/>
        <v>-1.0471162636149221E-2</v>
      </c>
      <c r="R930" s="87">
        <f t="shared" si="90"/>
        <v>-9.4210774858493242E-3</v>
      </c>
      <c r="S930" s="87">
        <f t="shared" si="90"/>
        <v>1.0300805485368309E-2</v>
      </c>
      <c r="T930" s="87">
        <f t="shared" si="89"/>
        <v>-2.5975486403260677E-2</v>
      </c>
      <c r="U930" s="87">
        <f t="shared" si="89"/>
        <v>1.7699577099400857E-2</v>
      </c>
      <c r="V930" s="87">
        <f t="shared" si="89"/>
        <v>-3.4542348680875576E-3</v>
      </c>
      <c r="W930" s="87">
        <f t="shared" si="89"/>
        <v>-8.3533112613304955E-2</v>
      </c>
      <c r="X930" s="87">
        <f t="shared" si="89"/>
        <v>1.0362787035546658E-2</v>
      </c>
      <c r="Y930" s="87">
        <f t="shared" si="89"/>
        <v>-4.5558165358608018E-3</v>
      </c>
      <c r="Z930" s="87">
        <f t="shared" si="86"/>
        <v>3.9220713153281329E-2</v>
      </c>
      <c r="AA930" s="87">
        <f t="shared" si="86"/>
        <v>-1.8735911057469929E-2</v>
      </c>
      <c r="AB930" s="87">
        <f t="shared" si="86"/>
        <v>-7.0422826254129232E-3</v>
      </c>
      <c r="AC930" s="87">
        <f t="shared" si="86"/>
        <v>1.8674141747954624E-3</v>
      </c>
      <c r="AD930" s="87">
        <f t="shared" si="86"/>
        <v>1.3072081567352701E-2</v>
      </c>
      <c r="AE930" s="90">
        <f t="shared" si="88"/>
        <v>6.8416411544132763E-3</v>
      </c>
    </row>
    <row r="931" spans="1:31" ht="15.5" x14ac:dyDescent="0.35">
      <c r="A931" s="82">
        <v>41115</v>
      </c>
      <c r="B931" s="83">
        <v>7607.6</v>
      </c>
      <c r="C931" s="84">
        <v>2854.2</v>
      </c>
      <c r="D931" s="61">
        <v>303</v>
      </c>
      <c r="E931" s="61">
        <v>15.4</v>
      </c>
      <c r="F931" s="61">
        <v>81.400000000000006</v>
      </c>
      <c r="G931" s="61">
        <v>28.8</v>
      </c>
      <c r="H931" s="61">
        <v>27.6</v>
      </c>
      <c r="I931" s="61">
        <v>9.6</v>
      </c>
      <c r="J931" s="61">
        <v>43.9</v>
      </c>
      <c r="K931" s="61">
        <v>20.9</v>
      </c>
      <c r="L931" s="61">
        <v>42.4</v>
      </c>
      <c r="M931" s="61">
        <v>28.5</v>
      </c>
      <c r="N931" s="61">
        <v>51.2</v>
      </c>
      <c r="O931" s="85">
        <v>23.3</v>
      </c>
      <c r="P931" s="105"/>
      <c r="Q931" s="87">
        <f t="shared" si="87"/>
        <v>2.2371079588270207E-3</v>
      </c>
      <c r="R931" s="87">
        <f t="shared" si="90"/>
        <v>-3.0784324318243119E-3</v>
      </c>
      <c r="S931" s="87">
        <f t="shared" si="90"/>
        <v>1.6515280384729392E-3</v>
      </c>
      <c r="T931" s="87">
        <f t="shared" si="89"/>
        <v>1.3072081567352921E-2</v>
      </c>
      <c r="U931" s="87">
        <f t="shared" si="89"/>
        <v>-4.9141102934219881E-2</v>
      </c>
      <c r="V931" s="87">
        <f t="shared" si="89"/>
        <v>-3.4662079764861725E-3</v>
      </c>
      <c r="W931" s="87">
        <f t="shared" si="89"/>
        <v>4.4451762570834011E-2</v>
      </c>
      <c r="X931" s="87">
        <f t="shared" si="89"/>
        <v>-1.0362787035546547E-2</v>
      </c>
      <c r="Y931" s="87">
        <f t="shared" si="89"/>
        <v>2.2805026987253031E-3</v>
      </c>
      <c r="Z931" s="87">
        <f t="shared" si="86"/>
        <v>4.7961722634930135E-3</v>
      </c>
      <c r="AA931" s="87">
        <f t="shared" si="86"/>
        <v>2.361276185679907E-3</v>
      </c>
      <c r="AB931" s="87">
        <f t="shared" si="86"/>
        <v>7.042282625412951E-3</v>
      </c>
      <c r="AC931" s="87">
        <f t="shared" si="86"/>
        <v>-4.5809536031294222E-2</v>
      </c>
      <c r="AD931" s="87">
        <f t="shared" si="86"/>
        <v>8.6207430439069546E-3</v>
      </c>
      <c r="AE931" s="90">
        <f t="shared" si="88"/>
        <v>-1.344276488177471E-2</v>
      </c>
    </row>
    <row r="932" spans="1:31" ht="15.5" x14ac:dyDescent="0.35">
      <c r="A932" s="82">
        <v>41116</v>
      </c>
      <c r="B932" s="83">
        <v>7754.5</v>
      </c>
      <c r="C932" s="84">
        <v>2893.3</v>
      </c>
      <c r="D932" s="61">
        <v>305.3</v>
      </c>
      <c r="E932" s="61">
        <v>15.6</v>
      </c>
      <c r="F932" s="61">
        <v>81.5</v>
      </c>
      <c r="G932" s="61">
        <v>29.1</v>
      </c>
      <c r="H932" s="61">
        <v>26.3</v>
      </c>
      <c r="I932" s="61">
        <v>9.8000000000000007</v>
      </c>
      <c r="J932" s="61">
        <v>43</v>
      </c>
      <c r="K932" s="61">
        <v>21.5</v>
      </c>
      <c r="L932" s="61">
        <v>43</v>
      </c>
      <c r="M932" s="61">
        <v>28.9</v>
      </c>
      <c r="N932" s="61">
        <v>51.9</v>
      </c>
      <c r="O932" s="85">
        <v>23.6</v>
      </c>
      <c r="P932" s="105"/>
      <c r="Q932" s="87">
        <f t="shared" si="87"/>
        <v>1.9125572392001477E-2</v>
      </c>
      <c r="R932" s="87">
        <f t="shared" si="90"/>
        <v>1.3606125516304171E-2</v>
      </c>
      <c r="S932" s="87">
        <f t="shared" si="90"/>
        <v>7.5620942314630988E-3</v>
      </c>
      <c r="T932" s="87">
        <f t="shared" si="89"/>
        <v>1.2903404835907782E-2</v>
      </c>
      <c r="U932" s="87">
        <f t="shared" si="89"/>
        <v>1.2277472383223377E-3</v>
      </c>
      <c r="V932" s="87">
        <f t="shared" si="89"/>
        <v>1.0362787035546658E-2</v>
      </c>
      <c r="W932" s="87">
        <f t="shared" si="89"/>
        <v>-4.8246833539385435E-2</v>
      </c>
      <c r="X932" s="87">
        <f t="shared" si="89"/>
        <v>2.0619287202735825E-2</v>
      </c>
      <c r="Y932" s="87">
        <f t="shared" si="89"/>
        <v>-2.0714204387563221E-2</v>
      </c>
      <c r="Z932" s="87">
        <f t="shared" si="86"/>
        <v>2.830377616285194E-2</v>
      </c>
      <c r="AA932" s="87">
        <f t="shared" si="86"/>
        <v>1.4051753455650287E-2</v>
      </c>
      <c r="AB932" s="87">
        <f t="shared" si="86"/>
        <v>1.3937507843781678E-2</v>
      </c>
      <c r="AC932" s="87">
        <f t="shared" si="86"/>
        <v>1.3579258126380854E-2</v>
      </c>
      <c r="AD932" s="87">
        <f t="shared" si="86"/>
        <v>1.2793351459909542E-2</v>
      </c>
      <c r="AE932" s="90">
        <f t="shared" si="88"/>
        <v>8.1983973431734736E-3</v>
      </c>
    </row>
    <row r="933" spans="1:31" ht="15.5" x14ac:dyDescent="0.35">
      <c r="A933" s="82">
        <v>41117</v>
      </c>
      <c r="B933" s="83">
        <v>7912.2</v>
      </c>
      <c r="C933" s="84">
        <v>2958.1</v>
      </c>
      <c r="D933" s="61">
        <v>309.10000000000002</v>
      </c>
      <c r="E933" s="61">
        <v>15.8</v>
      </c>
      <c r="F933" s="61">
        <v>81.7</v>
      </c>
      <c r="G933" s="61">
        <v>29.2</v>
      </c>
      <c r="H933" s="61">
        <v>27.6</v>
      </c>
      <c r="I933" s="61">
        <v>10</v>
      </c>
      <c r="J933" s="61">
        <v>44.9</v>
      </c>
      <c r="K933" s="61">
        <v>22.2</v>
      </c>
      <c r="L933" s="61">
        <v>43.5</v>
      </c>
      <c r="M933" s="61">
        <v>29.2</v>
      </c>
      <c r="N933" s="61">
        <v>52.1</v>
      </c>
      <c r="O933" s="85">
        <v>23.9</v>
      </c>
      <c r="P933" s="105"/>
      <c r="Q933" s="87">
        <f t="shared" si="87"/>
        <v>2.0132552042200758E-2</v>
      </c>
      <c r="R933" s="87">
        <f t="shared" si="90"/>
        <v>2.2149451142817897E-2</v>
      </c>
      <c r="S933" s="87">
        <f t="shared" si="90"/>
        <v>1.2369949397238546E-2</v>
      </c>
      <c r="T933" s="87">
        <f t="shared" si="89"/>
        <v>1.2739025777429932E-2</v>
      </c>
      <c r="U933" s="87">
        <f t="shared" si="89"/>
        <v>2.4509816191401607E-3</v>
      </c>
      <c r="V933" s="87">
        <f t="shared" si="89"/>
        <v>3.4305350967892222E-3</v>
      </c>
      <c r="W933" s="87">
        <f t="shared" si="89"/>
        <v>4.8246833539385532E-2</v>
      </c>
      <c r="X933" s="87">
        <f t="shared" si="89"/>
        <v>2.0202707317519469E-2</v>
      </c>
      <c r="Y933" s="87">
        <f t="shared" si="89"/>
        <v>4.3237679054646219E-2</v>
      </c>
      <c r="Z933" s="87">
        <f t="shared" si="86"/>
        <v>3.203935374461666E-2</v>
      </c>
      <c r="AA933" s="87">
        <f t="shared" si="86"/>
        <v>1.1560822401076006E-2</v>
      </c>
      <c r="AB933" s="87">
        <f t="shared" si="86"/>
        <v>1.0327114155849524E-2</v>
      </c>
      <c r="AC933" s="87">
        <f t="shared" si="86"/>
        <v>3.8461585874783148E-3</v>
      </c>
      <c r="AD933" s="87">
        <f t="shared" si="86"/>
        <v>1.2631746905900564E-2</v>
      </c>
      <c r="AE933" s="90">
        <f t="shared" si="88"/>
        <v>1.249694245293663E-2</v>
      </c>
    </row>
    <row r="934" spans="1:31" ht="15.5" x14ac:dyDescent="0.35">
      <c r="A934" s="82">
        <v>41120</v>
      </c>
      <c r="B934" s="83">
        <v>7911</v>
      </c>
      <c r="C934" s="84">
        <v>2945.8</v>
      </c>
      <c r="D934" s="61">
        <v>315.10000000000002</v>
      </c>
      <c r="E934" s="61">
        <v>15.9</v>
      </c>
      <c r="F934" s="61">
        <v>84</v>
      </c>
      <c r="G934" s="61">
        <v>29.5</v>
      </c>
      <c r="H934" s="61">
        <v>27</v>
      </c>
      <c r="I934" s="61">
        <v>10.3</v>
      </c>
      <c r="J934" s="61">
        <v>44.7</v>
      </c>
      <c r="K934" s="61">
        <v>21.6</v>
      </c>
      <c r="L934" s="61">
        <v>44.3</v>
      </c>
      <c r="M934" s="61">
        <v>30.1</v>
      </c>
      <c r="N934" s="61">
        <v>53.2</v>
      </c>
      <c r="O934" s="85">
        <v>23.9</v>
      </c>
      <c r="P934" s="105"/>
      <c r="Q934" s="87">
        <f t="shared" si="87"/>
        <v>-1.5167602031203854E-4</v>
      </c>
      <c r="R934" s="87">
        <f t="shared" si="90"/>
        <v>-4.166743269969902E-3</v>
      </c>
      <c r="S934" s="87">
        <f t="shared" si="90"/>
        <v>1.9225199625158354E-2</v>
      </c>
      <c r="T934" s="87">
        <f t="shared" si="89"/>
        <v>6.3091691932647556E-3</v>
      </c>
      <c r="U934" s="87">
        <f t="shared" si="89"/>
        <v>2.7762796977356476E-2</v>
      </c>
      <c r="V934" s="87">
        <f t="shared" si="89"/>
        <v>1.0221554071538009E-2</v>
      </c>
      <c r="W934" s="87">
        <f t="shared" si="89"/>
        <v>-2.1978906718775341E-2</v>
      </c>
      <c r="X934" s="87">
        <f t="shared" si="89"/>
        <v>2.9558802241544429E-2</v>
      </c>
      <c r="Y934" s="87">
        <f t="shared" si="89"/>
        <v>-4.4642931286853812E-3</v>
      </c>
      <c r="Z934" s="87">
        <f t="shared" si="86"/>
        <v>-2.7398974188114388E-2</v>
      </c>
      <c r="AA934" s="87">
        <f t="shared" si="86"/>
        <v>1.8223738956451435E-2</v>
      </c>
      <c r="AB934" s="87">
        <f t="shared" si="86"/>
        <v>3.0356462480593992E-2</v>
      </c>
      <c r="AC934" s="87">
        <f t="shared" si="86"/>
        <v>2.0893447588277388E-2</v>
      </c>
      <c r="AD934" s="87">
        <f t="shared" si="86"/>
        <v>0</v>
      </c>
      <c r="AE934" s="90">
        <f t="shared" si="88"/>
        <v>1.2317941855845031E-2</v>
      </c>
    </row>
    <row r="935" spans="1:31" ht="15.5" x14ac:dyDescent="0.35">
      <c r="A935" s="82">
        <v>41121</v>
      </c>
      <c r="B935" s="83">
        <v>7863.9</v>
      </c>
      <c r="C935" s="84">
        <v>2939.5</v>
      </c>
      <c r="D935" s="61">
        <v>314.39999999999998</v>
      </c>
      <c r="E935" s="61">
        <v>15.8</v>
      </c>
      <c r="F935" s="61">
        <v>86.1</v>
      </c>
      <c r="G935" s="61">
        <v>29.3</v>
      </c>
      <c r="H935" s="61">
        <v>26.9</v>
      </c>
      <c r="I935" s="61">
        <v>10.6</v>
      </c>
      <c r="J935" s="61">
        <v>44.1</v>
      </c>
      <c r="K935" s="61">
        <v>21.8</v>
      </c>
      <c r="L935" s="61">
        <v>44.2</v>
      </c>
      <c r="M935" s="61">
        <v>30.5</v>
      </c>
      <c r="N935" s="61">
        <v>52.4</v>
      </c>
      <c r="O935" s="85">
        <v>23.3</v>
      </c>
      <c r="P935" s="105"/>
      <c r="Q935" s="87">
        <f t="shared" si="87"/>
        <v>-5.9715294502197779E-3</v>
      </c>
      <c r="R935" s="87">
        <f t="shared" si="90"/>
        <v>-2.1409282131331464E-3</v>
      </c>
      <c r="S935" s="87">
        <f t="shared" si="90"/>
        <v>-2.2239882081776042E-3</v>
      </c>
      <c r="T935" s="87">
        <f t="shared" si="89"/>
        <v>-6.309169193264721E-3</v>
      </c>
      <c r="U935" s="87">
        <f t="shared" si="89"/>
        <v>2.4692612590371414E-2</v>
      </c>
      <c r="V935" s="87">
        <f t="shared" si="89"/>
        <v>-6.8027473227525231E-3</v>
      </c>
      <c r="W935" s="87">
        <f t="shared" si="89"/>
        <v>-3.710579396535713E-3</v>
      </c>
      <c r="X935" s="87">
        <f t="shared" si="89"/>
        <v>2.871010588243136E-2</v>
      </c>
      <c r="Y935" s="87">
        <f t="shared" si="89"/>
        <v>-1.351371916672282E-2</v>
      </c>
      <c r="Z935" s="87">
        <f t="shared" si="86"/>
        <v>9.2166551049240476E-3</v>
      </c>
      <c r="AA935" s="87">
        <f t="shared" si="86"/>
        <v>-2.2598879674373675E-3</v>
      </c>
      <c r="AB935" s="87">
        <f t="shared" si="86"/>
        <v>1.3201511858535761E-2</v>
      </c>
      <c r="AC935" s="87">
        <f t="shared" si="86"/>
        <v>-1.5151805020602333E-2</v>
      </c>
      <c r="AD935" s="87">
        <f t="shared" si="86"/>
        <v>-2.5425098365810056E-2</v>
      </c>
      <c r="AE935" s="90">
        <f t="shared" si="88"/>
        <v>2.6773584737276946E-3</v>
      </c>
    </row>
    <row r="936" spans="1:31" ht="15.5" x14ac:dyDescent="0.35">
      <c r="A936" s="82">
        <v>41122</v>
      </c>
      <c r="B936" s="83">
        <v>7841.3</v>
      </c>
      <c r="C936" s="84">
        <v>2920.2</v>
      </c>
      <c r="D936" s="61">
        <v>316</v>
      </c>
      <c r="E936" s="61">
        <v>15.8</v>
      </c>
      <c r="F936" s="61">
        <v>86.1</v>
      </c>
      <c r="G936" s="61">
        <v>29.2</v>
      </c>
      <c r="H936" s="61">
        <v>26.6</v>
      </c>
      <c r="I936" s="61">
        <v>11.3</v>
      </c>
      <c r="J936" s="61">
        <v>43.7</v>
      </c>
      <c r="K936" s="61">
        <v>20.7</v>
      </c>
      <c r="L936" s="61">
        <v>44.1</v>
      </c>
      <c r="M936" s="61">
        <v>30.1</v>
      </c>
      <c r="N936" s="61">
        <v>51.5</v>
      </c>
      <c r="O936" s="85">
        <v>23.2</v>
      </c>
      <c r="P936" s="105"/>
      <c r="Q936" s="87">
        <f t="shared" si="87"/>
        <v>-2.8780296462000135E-3</v>
      </c>
      <c r="R936" s="87">
        <f t="shared" si="90"/>
        <v>-6.5873917748461254E-3</v>
      </c>
      <c r="S936" s="87">
        <f t="shared" si="90"/>
        <v>5.0761530318607891E-3</v>
      </c>
      <c r="T936" s="87">
        <f t="shared" si="89"/>
        <v>0</v>
      </c>
      <c r="U936" s="87">
        <f t="shared" si="89"/>
        <v>0</v>
      </c>
      <c r="V936" s="87">
        <f t="shared" si="89"/>
        <v>-3.418806748785609E-3</v>
      </c>
      <c r="W936" s="87">
        <f t="shared" si="89"/>
        <v>-1.1215070820139957E-2</v>
      </c>
      <c r="X936" s="87">
        <f t="shared" si="89"/>
        <v>6.394872460027351E-2</v>
      </c>
      <c r="Y936" s="87">
        <f t="shared" si="89"/>
        <v>-9.1116803512557784E-3</v>
      </c>
      <c r="Z936" s="87">
        <f t="shared" si="86"/>
        <v>-5.177626952371997E-2</v>
      </c>
      <c r="AA936" s="87">
        <f t="shared" si="86"/>
        <v>-2.2650066308521248E-3</v>
      </c>
      <c r="AB936" s="87">
        <f t="shared" si="86"/>
        <v>-1.3201511858535842E-2</v>
      </c>
      <c r="AC936" s="87">
        <f t="shared" si="86"/>
        <v>-1.7324783657306018E-2</v>
      </c>
      <c r="AD936" s="87">
        <f t="shared" si="86"/>
        <v>-4.3010818993906973E-3</v>
      </c>
      <c r="AE936" s="90">
        <f t="shared" si="88"/>
        <v>-1.0112332594799911E-3</v>
      </c>
    </row>
    <row r="937" spans="1:31" ht="15.5" x14ac:dyDescent="0.35">
      <c r="A937" s="82">
        <v>41123</v>
      </c>
      <c r="B937" s="83">
        <v>7765.6</v>
      </c>
      <c r="C937" s="84">
        <v>2909.8</v>
      </c>
      <c r="D937" s="61">
        <v>312</v>
      </c>
      <c r="E937" s="61">
        <v>15.6</v>
      </c>
      <c r="F937" s="61">
        <v>85.8</v>
      </c>
      <c r="G937" s="61">
        <v>29</v>
      </c>
      <c r="H937" s="61">
        <v>25.8</v>
      </c>
      <c r="I937" s="61">
        <v>10.9</v>
      </c>
      <c r="J937" s="61">
        <v>41.8</v>
      </c>
      <c r="K937" s="61">
        <v>20.399999999999999</v>
      </c>
      <c r="L937" s="61">
        <v>43.5</v>
      </c>
      <c r="M937" s="61">
        <v>30.3</v>
      </c>
      <c r="N937" s="61">
        <v>50.9</v>
      </c>
      <c r="O937" s="85">
        <v>22.8</v>
      </c>
      <c r="P937" s="105"/>
      <c r="Q937" s="87">
        <f t="shared" si="87"/>
        <v>-9.7009135269600765E-3</v>
      </c>
      <c r="R937" s="87">
        <f t="shared" si="90"/>
        <v>-3.5677567861752287E-3</v>
      </c>
      <c r="S937" s="87">
        <f t="shared" si="90"/>
        <v>-1.2739025777429714E-2</v>
      </c>
      <c r="T937" s="87">
        <f t="shared" si="89"/>
        <v>-1.2739025777429826E-2</v>
      </c>
      <c r="U937" s="87">
        <f t="shared" si="89"/>
        <v>-3.4904049397684908E-3</v>
      </c>
      <c r="V937" s="87">
        <f t="shared" si="89"/>
        <v>-6.8728792877620643E-3</v>
      </c>
      <c r="W937" s="87">
        <f t="shared" si="89"/>
        <v>-3.053672386008165E-2</v>
      </c>
      <c r="X937" s="87">
        <f t="shared" si="89"/>
        <v>-3.6039936483196928E-2</v>
      </c>
      <c r="Y937" s="87">
        <f t="shared" si="89"/>
        <v>-4.4451762570833921E-2</v>
      </c>
      <c r="Z937" s="87">
        <f t="shared" si="86"/>
        <v>-1.4598799421152749E-2</v>
      </c>
      <c r="AA937" s="87">
        <f t="shared" si="86"/>
        <v>-1.3698844358161915E-2</v>
      </c>
      <c r="AB937" s="87">
        <f t="shared" si="86"/>
        <v>6.6225407604934569E-3</v>
      </c>
      <c r="AC937" s="87">
        <f t="shared" si="86"/>
        <v>-1.1718884113213375E-2</v>
      </c>
      <c r="AD937" s="87">
        <f t="shared" si="86"/>
        <v>-1.7391742711869107E-2</v>
      </c>
      <c r="AE937" s="90">
        <f t="shared" si="88"/>
        <v>-7.9109405409025987E-3</v>
      </c>
    </row>
    <row r="938" spans="1:31" ht="15.5" x14ac:dyDescent="0.35">
      <c r="A938" s="82">
        <v>41124</v>
      </c>
      <c r="B938" s="83">
        <v>7939.5</v>
      </c>
      <c r="C938" s="84">
        <v>2967.9</v>
      </c>
      <c r="D938" s="61">
        <v>318.39999999999998</v>
      </c>
      <c r="E938" s="61">
        <v>15.8</v>
      </c>
      <c r="F938" s="61">
        <v>87.4</v>
      </c>
      <c r="G938" s="61">
        <v>29.5</v>
      </c>
      <c r="H938" s="61">
        <v>26.4</v>
      </c>
      <c r="I938" s="61">
        <v>11.1</v>
      </c>
      <c r="J938" s="61">
        <v>42.7</v>
      </c>
      <c r="K938" s="61">
        <v>20.399999999999999</v>
      </c>
      <c r="L938" s="61">
        <v>44.1</v>
      </c>
      <c r="M938" s="61">
        <v>32.200000000000003</v>
      </c>
      <c r="N938" s="61">
        <v>51.6</v>
      </c>
      <c r="O938" s="85">
        <v>23.3</v>
      </c>
      <c r="P938" s="105"/>
      <c r="Q938" s="87">
        <f t="shared" si="87"/>
        <v>2.2146577568135348E-2</v>
      </c>
      <c r="R938" s="87">
        <f t="shared" si="90"/>
        <v>1.9770281715998199E-2</v>
      </c>
      <c r="S938" s="87">
        <f t="shared" si="90"/>
        <v>2.0305266160745523E-2</v>
      </c>
      <c r="T938" s="87">
        <f t="shared" si="89"/>
        <v>1.2739025777429932E-2</v>
      </c>
      <c r="U938" s="87">
        <f t="shared" si="89"/>
        <v>1.8476276167573212E-2</v>
      </c>
      <c r="V938" s="87">
        <f t="shared" si="89"/>
        <v>1.709443335930004E-2</v>
      </c>
      <c r="W938" s="87">
        <f t="shared" si="89"/>
        <v>2.2989518224698562E-2</v>
      </c>
      <c r="X938" s="87">
        <f t="shared" si="89"/>
        <v>1.8182319083190328E-2</v>
      </c>
      <c r="Y938" s="87">
        <f t="shared" si="89"/>
        <v>2.1302580703868406E-2</v>
      </c>
      <c r="Z938" s="87">
        <f t="shared" si="86"/>
        <v>0</v>
      </c>
      <c r="AA938" s="87">
        <f t="shared" si="86"/>
        <v>1.3698844358161927E-2</v>
      </c>
      <c r="AB938" s="87">
        <f t="shared" si="86"/>
        <v>6.0818740035039148E-2</v>
      </c>
      <c r="AC938" s="87">
        <f t="shared" si="86"/>
        <v>1.3658748931040044E-2</v>
      </c>
      <c r="AD938" s="87">
        <f t="shared" si="86"/>
        <v>2.1692824611259754E-2</v>
      </c>
      <c r="AE938" s="90">
        <f t="shared" si="88"/>
        <v>1.9790581243360427E-2</v>
      </c>
    </row>
    <row r="939" spans="1:31" ht="15.5" x14ac:dyDescent="0.35">
      <c r="A939" s="82">
        <v>41127</v>
      </c>
      <c r="B939" s="83">
        <v>7964.1</v>
      </c>
      <c r="C939" s="84">
        <v>2989.9</v>
      </c>
      <c r="D939" s="61">
        <v>319.89999999999998</v>
      </c>
      <c r="E939" s="61">
        <v>16</v>
      </c>
      <c r="F939" s="61">
        <v>87.9</v>
      </c>
      <c r="G939" s="61">
        <v>29.8</v>
      </c>
      <c r="H939" s="61">
        <v>26.4</v>
      </c>
      <c r="I939" s="61">
        <v>11</v>
      </c>
      <c r="J939" s="61">
        <v>42.3</v>
      </c>
      <c r="K939" s="61">
        <v>20.9</v>
      </c>
      <c r="L939" s="61">
        <v>44.2</v>
      </c>
      <c r="M939" s="61">
        <v>33.1</v>
      </c>
      <c r="N939" s="61">
        <v>51.8</v>
      </c>
      <c r="O939" s="85">
        <v>23.7</v>
      </c>
      <c r="P939" s="105"/>
      <c r="Q939" s="87">
        <f t="shared" si="87"/>
        <v>3.0936416433720083E-3</v>
      </c>
      <c r="R939" s="87">
        <f t="shared" si="90"/>
        <v>7.3853100121015801E-3</v>
      </c>
      <c r="S939" s="87">
        <f t="shared" si="90"/>
        <v>4.6999929852442881E-3</v>
      </c>
      <c r="T939" s="87">
        <f t="shared" si="89"/>
        <v>1.2578782206859965E-2</v>
      </c>
      <c r="U939" s="87">
        <f t="shared" si="89"/>
        <v>5.704522029641574E-3</v>
      </c>
      <c r="V939" s="87">
        <f t="shared" si="89"/>
        <v>1.0118130165584686E-2</v>
      </c>
      <c r="W939" s="87">
        <f t="shared" si="89"/>
        <v>0</v>
      </c>
      <c r="X939" s="87">
        <f t="shared" si="89"/>
        <v>-9.0498355199179273E-3</v>
      </c>
      <c r="Y939" s="87">
        <f t="shared" si="89"/>
        <v>-9.4118341823467063E-3</v>
      </c>
      <c r="Z939" s="87">
        <f t="shared" si="86"/>
        <v>2.421425812059453E-2</v>
      </c>
      <c r="AA939" s="87">
        <f t="shared" si="86"/>
        <v>2.2650066308520615E-3</v>
      </c>
      <c r="AB939" s="87">
        <f t="shared" si="86"/>
        <v>2.7566829832654592E-2</v>
      </c>
      <c r="AC939" s="87">
        <f t="shared" si="86"/>
        <v>3.8684767779203319E-3</v>
      </c>
      <c r="AD939" s="87">
        <f t="shared" si="86"/>
        <v>1.7021687569430524E-2</v>
      </c>
      <c r="AE939" s="90">
        <f t="shared" si="88"/>
        <v>7.2898270815070672E-3</v>
      </c>
    </row>
    <row r="940" spans="1:31" ht="15.5" x14ac:dyDescent="0.35">
      <c r="A940" s="82">
        <v>41128</v>
      </c>
      <c r="B940" s="83">
        <v>8017.7</v>
      </c>
      <c r="C940" s="84">
        <v>3015.9</v>
      </c>
      <c r="D940" s="61">
        <v>318.60000000000002</v>
      </c>
      <c r="E940" s="61">
        <v>16.100000000000001</v>
      </c>
      <c r="F940" s="61">
        <v>88.3</v>
      </c>
      <c r="G940" s="61">
        <v>29.9</v>
      </c>
      <c r="H940" s="61">
        <v>27.4</v>
      </c>
      <c r="I940" s="61">
        <v>11.2</v>
      </c>
      <c r="J940" s="61">
        <v>43</v>
      </c>
      <c r="K940" s="61">
        <v>21.2</v>
      </c>
      <c r="L940" s="61">
        <v>44</v>
      </c>
      <c r="M940" s="61">
        <v>33.4</v>
      </c>
      <c r="N940" s="61">
        <v>52.1</v>
      </c>
      <c r="O940" s="85">
        <v>23.9</v>
      </c>
      <c r="P940" s="105"/>
      <c r="Q940" s="87">
        <f t="shared" si="87"/>
        <v>6.7076550785216066E-3</v>
      </c>
      <c r="R940" s="87">
        <f t="shared" si="90"/>
        <v>8.6583510700957295E-3</v>
      </c>
      <c r="S940" s="87">
        <f t="shared" si="90"/>
        <v>-4.0720494795240605E-3</v>
      </c>
      <c r="T940" s="87">
        <f t="shared" si="89"/>
        <v>6.2305497506361628E-3</v>
      </c>
      <c r="U940" s="87">
        <f t="shared" si="89"/>
        <v>4.5403029187830101E-3</v>
      </c>
      <c r="V940" s="87">
        <f t="shared" si="89"/>
        <v>3.3500868852818057E-3</v>
      </c>
      <c r="W940" s="87">
        <f t="shared" si="89"/>
        <v>3.7179003241754029E-2</v>
      </c>
      <c r="X940" s="87">
        <f t="shared" si="89"/>
        <v>1.8018505502678212E-2</v>
      </c>
      <c r="Y940" s="87">
        <f t="shared" si="89"/>
        <v>1.6413029641330269E-2</v>
      </c>
      <c r="Z940" s="87">
        <f t="shared" si="86"/>
        <v>1.4252022707201413E-2</v>
      </c>
      <c r="AA940" s="87">
        <f t="shared" si="86"/>
        <v>-4.5351551653913741E-3</v>
      </c>
      <c r="AB940" s="87">
        <f t="shared" si="86"/>
        <v>9.0226175996373312E-3</v>
      </c>
      <c r="AC940" s="87">
        <f t="shared" si="86"/>
        <v>5.7747994938839578E-3</v>
      </c>
      <c r="AD940" s="87">
        <f t="shared" si="86"/>
        <v>8.4034107963793792E-3</v>
      </c>
      <c r="AE940" s="90">
        <f t="shared" si="88"/>
        <v>3.7228461249478005E-3</v>
      </c>
    </row>
    <row r="941" spans="1:31" ht="15.5" x14ac:dyDescent="0.35">
      <c r="A941" s="82">
        <v>41129</v>
      </c>
      <c r="B941" s="83">
        <v>8018.2</v>
      </c>
      <c r="C941" s="84">
        <v>3011.3</v>
      </c>
      <c r="D941" s="61">
        <v>319.60000000000002</v>
      </c>
      <c r="E941" s="61">
        <v>16.100000000000001</v>
      </c>
      <c r="F941" s="61">
        <v>88.2</v>
      </c>
      <c r="G941" s="61">
        <v>30.1</v>
      </c>
      <c r="H941" s="61">
        <v>28.1</v>
      </c>
      <c r="I941" s="61">
        <v>11.3</v>
      </c>
      <c r="J941" s="61">
        <v>42.3</v>
      </c>
      <c r="K941" s="61">
        <v>20.9</v>
      </c>
      <c r="L941" s="61">
        <v>43.8</v>
      </c>
      <c r="M941" s="61">
        <v>33.9</v>
      </c>
      <c r="N941" s="61">
        <v>52.5</v>
      </c>
      <c r="O941" s="85">
        <v>23.8</v>
      </c>
      <c r="P941" s="105"/>
      <c r="Q941" s="87">
        <f t="shared" si="87"/>
        <v>6.236007959169667E-5</v>
      </c>
      <c r="R941" s="87">
        <f t="shared" si="90"/>
        <v>-1.5264138880883961E-3</v>
      </c>
      <c r="S941" s="87">
        <f t="shared" si="90"/>
        <v>3.1338164161714842E-3</v>
      </c>
      <c r="T941" s="87">
        <f t="shared" si="89"/>
        <v>0</v>
      </c>
      <c r="U941" s="87">
        <f t="shared" si="89"/>
        <v>-1.1331445971686203E-3</v>
      </c>
      <c r="V941" s="87">
        <f t="shared" si="89"/>
        <v>6.6666913581892974E-3</v>
      </c>
      <c r="W941" s="87">
        <f t="shared" si="89"/>
        <v>2.5226562945675563E-2</v>
      </c>
      <c r="X941" s="87">
        <f t="shared" si="89"/>
        <v>8.8889474172462145E-3</v>
      </c>
      <c r="Y941" s="87">
        <f t="shared" si="89"/>
        <v>-1.6413029641330259E-2</v>
      </c>
      <c r="Z941" s="87">
        <f t="shared" si="86"/>
        <v>-1.4252022707201502E-2</v>
      </c>
      <c r="AA941" s="87">
        <f t="shared" si="86"/>
        <v>-4.5558165358608018E-3</v>
      </c>
      <c r="AB941" s="87">
        <f t="shared" si="86"/>
        <v>1.4859114403749905E-2</v>
      </c>
      <c r="AC941" s="87">
        <f t="shared" si="86"/>
        <v>7.6482208382568188E-3</v>
      </c>
      <c r="AD941" s="87">
        <f t="shared" si="86"/>
        <v>-4.1928782600359274E-3</v>
      </c>
      <c r="AE941" s="90">
        <f t="shared" si="88"/>
        <v>-3.7371777522176848E-4</v>
      </c>
    </row>
    <row r="942" spans="1:31" ht="15.5" x14ac:dyDescent="0.35">
      <c r="A942" s="82">
        <v>41130</v>
      </c>
      <c r="B942" s="83">
        <v>8025</v>
      </c>
      <c r="C942" s="84">
        <v>3018.6</v>
      </c>
      <c r="D942" s="61">
        <v>321.10000000000002</v>
      </c>
      <c r="E942" s="61">
        <v>16</v>
      </c>
      <c r="F942" s="61">
        <v>88.3</v>
      </c>
      <c r="G942" s="61">
        <v>30.3</v>
      </c>
      <c r="H942" s="61">
        <v>27.9</v>
      </c>
      <c r="I942" s="61">
        <v>11.5</v>
      </c>
      <c r="J942" s="61">
        <v>42.4</v>
      </c>
      <c r="K942" s="61">
        <v>21.2</v>
      </c>
      <c r="L942" s="61">
        <v>43.7</v>
      </c>
      <c r="M942" s="61">
        <v>34.200000000000003</v>
      </c>
      <c r="N942" s="61">
        <v>52.7</v>
      </c>
      <c r="O942" s="85">
        <v>23.7</v>
      </c>
      <c r="P942" s="105"/>
      <c r="Q942" s="87">
        <f t="shared" si="87"/>
        <v>8.477112305793872E-4</v>
      </c>
      <c r="R942" s="87">
        <f t="shared" si="90"/>
        <v>2.4212685339322308E-3</v>
      </c>
      <c r="S942" s="87">
        <f t="shared" si="90"/>
        <v>4.6823872033486579E-3</v>
      </c>
      <c r="T942" s="87">
        <f t="shared" si="89"/>
        <v>-6.2305497506361975E-3</v>
      </c>
      <c r="U942" s="87">
        <f t="shared" si="89"/>
        <v>1.1331445971686754E-3</v>
      </c>
      <c r="V942" s="87">
        <f t="shared" si="89"/>
        <v>6.6225407604934569E-3</v>
      </c>
      <c r="W942" s="87">
        <f t="shared" si="89"/>
        <v>-7.1428875123802247E-3</v>
      </c>
      <c r="X942" s="87">
        <f t="shared" si="89"/>
        <v>1.7544309650909525E-2</v>
      </c>
      <c r="Y942" s="87">
        <f t="shared" si="89"/>
        <v>2.361276185679907E-3</v>
      </c>
      <c r="Z942" s="87">
        <f t="shared" si="89"/>
        <v>1.4252022707201413E-2</v>
      </c>
      <c r="AA942" s="87">
        <f t="shared" si="89"/>
        <v>-2.2857152808558397E-3</v>
      </c>
      <c r="AB942" s="87">
        <f t="shared" si="89"/>
        <v>8.8106296821551262E-3</v>
      </c>
      <c r="AC942" s="87">
        <f t="shared" si="89"/>
        <v>3.8022859497386999E-3</v>
      </c>
      <c r="AD942" s="87">
        <f t="shared" si="89"/>
        <v>-4.2105325363436053E-3</v>
      </c>
      <c r="AE942" s="90">
        <f t="shared" si="88"/>
        <v>1.9088348469343945E-3</v>
      </c>
    </row>
    <row r="943" spans="1:31" ht="15.5" x14ac:dyDescent="0.35">
      <c r="A943" s="82">
        <v>41131</v>
      </c>
      <c r="B943" s="83">
        <v>8044.8</v>
      </c>
      <c r="C943" s="84">
        <v>3020.9</v>
      </c>
      <c r="D943" s="61">
        <v>318.39999999999998</v>
      </c>
      <c r="E943" s="61">
        <v>15</v>
      </c>
      <c r="F943" s="61">
        <v>88.4</v>
      </c>
      <c r="G943" s="61">
        <v>30.3</v>
      </c>
      <c r="H943" s="61">
        <v>28.1</v>
      </c>
      <c r="I943" s="61">
        <v>11.6</v>
      </c>
      <c r="J943" s="61">
        <v>42.8</v>
      </c>
      <c r="K943" s="61">
        <v>22.4</v>
      </c>
      <c r="L943" s="61">
        <v>44</v>
      </c>
      <c r="M943" s="61">
        <v>34.5</v>
      </c>
      <c r="N943" s="61">
        <v>53.1</v>
      </c>
      <c r="O943" s="85">
        <v>23.6</v>
      </c>
      <c r="P943" s="105"/>
      <c r="Q943" s="87">
        <f t="shared" si="87"/>
        <v>2.4642509576570993E-3</v>
      </c>
      <c r="R943" s="87">
        <f t="shared" si="90"/>
        <v>7.6165249149382798E-4</v>
      </c>
      <c r="S943" s="87">
        <f t="shared" si="90"/>
        <v>-8.4441471252404299E-3</v>
      </c>
      <c r="T943" s="87">
        <f t="shared" si="89"/>
        <v>-6.4538521137571178E-2</v>
      </c>
      <c r="U943" s="87">
        <f t="shared" si="89"/>
        <v>1.1318620336835527E-3</v>
      </c>
      <c r="V943" s="87">
        <f t="shared" si="89"/>
        <v>0</v>
      </c>
      <c r="W943" s="87">
        <f t="shared" si="89"/>
        <v>7.1428875123802039E-3</v>
      </c>
      <c r="X943" s="87">
        <f t="shared" si="89"/>
        <v>8.6580627431145311E-3</v>
      </c>
      <c r="Y943" s="87">
        <f t="shared" si="89"/>
        <v>9.3897403498389171E-3</v>
      </c>
      <c r="Z943" s="87">
        <f t="shared" si="89"/>
        <v>5.5059777183027389E-2</v>
      </c>
      <c r="AA943" s="87">
        <f t="shared" si="89"/>
        <v>6.8415318167165638E-3</v>
      </c>
      <c r="AB943" s="87">
        <f t="shared" si="89"/>
        <v>8.7336799687544112E-3</v>
      </c>
      <c r="AC943" s="87">
        <f t="shared" si="89"/>
        <v>7.561472700576488E-3</v>
      </c>
      <c r="AD943" s="87">
        <f t="shared" si="89"/>
        <v>-4.2283361095210642E-3</v>
      </c>
      <c r="AE943" s="90">
        <f t="shared" si="88"/>
        <v>-2.434144288267874E-3</v>
      </c>
    </row>
    <row r="944" spans="1:31" ht="15.5" x14ac:dyDescent="0.35">
      <c r="A944" s="82">
        <v>41134</v>
      </c>
      <c r="B944" s="83">
        <v>8018.6</v>
      </c>
      <c r="C944" s="84">
        <v>3022.5</v>
      </c>
      <c r="D944" s="61">
        <v>323.7</v>
      </c>
      <c r="E944" s="61">
        <v>15</v>
      </c>
      <c r="F944" s="61">
        <v>89</v>
      </c>
      <c r="G944" s="61">
        <v>30.2</v>
      </c>
      <c r="H944" s="61">
        <v>28.1</v>
      </c>
      <c r="I944" s="61">
        <v>11.6</v>
      </c>
      <c r="J944" s="61">
        <v>42.8</v>
      </c>
      <c r="K944" s="61">
        <v>22.5</v>
      </c>
      <c r="L944" s="61">
        <v>44.3</v>
      </c>
      <c r="M944" s="61">
        <v>34.5</v>
      </c>
      <c r="N944" s="61">
        <v>53.3</v>
      </c>
      <c r="O944" s="85">
        <v>23.5</v>
      </c>
      <c r="P944" s="105"/>
      <c r="Q944" s="87">
        <f t="shared" si="87"/>
        <v>-3.2620769243327987E-3</v>
      </c>
      <c r="R944" s="87">
        <f t="shared" si="90"/>
        <v>5.29503272126075E-4</v>
      </c>
      <c r="S944" s="87">
        <f t="shared" si="90"/>
        <v>1.6508706961970647E-2</v>
      </c>
      <c r="T944" s="87">
        <f t="shared" si="89"/>
        <v>0</v>
      </c>
      <c r="U944" s="87">
        <f t="shared" si="89"/>
        <v>6.7644000885420628E-3</v>
      </c>
      <c r="V944" s="87">
        <f t="shared" si="89"/>
        <v>-3.3057881344995439E-3</v>
      </c>
      <c r="W944" s="87">
        <f t="shared" si="89"/>
        <v>0</v>
      </c>
      <c r="X944" s="87">
        <f t="shared" si="89"/>
        <v>0</v>
      </c>
      <c r="Y944" s="87">
        <f t="shared" si="89"/>
        <v>0</v>
      </c>
      <c r="Z944" s="87">
        <f t="shared" si="89"/>
        <v>4.4543503493803746E-3</v>
      </c>
      <c r="AA944" s="87">
        <f t="shared" si="89"/>
        <v>6.7950431328288076E-3</v>
      </c>
      <c r="AB944" s="87">
        <f t="shared" si="89"/>
        <v>0</v>
      </c>
      <c r="AC944" s="87">
        <f t="shared" si="89"/>
        <v>3.7594029239055244E-3</v>
      </c>
      <c r="AD944" s="87">
        <f t="shared" si="89"/>
        <v>-4.2462908814512078E-3</v>
      </c>
      <c r="AE944" s="90">
        <f t="shared" si="88"/>
        <v>6.4099543551893855E-3</v>
      </c>
    </row>
    <row r="945" spans="1:31" ht="15.5" x14ac:dyDescent="0.35">
      <c r="A945" s="82">
        <v>41135</v>
      </c>
      <c r="B945" s="83">
        <v>8019.5</v>
      </c>
      <c r="C945" s="84">
        <v>3017</v>
      </c>
      <c r="D945" s="61">
        <v>329.8</v>
      </c>
      <c r="E945" s="61">
        <v>14.7</v>
      </c>
      <c r="F945" s="61">
        <v>90</v>
      </c>
      <c r="G945" s="61">
        <v>30</v>
      </c>
      <c r="H945" s="61">
        <v>27.9</v>
      </c>
      <c r="I945" s="61">
        <v>11.6</v>
      </c>
      <c r="J945" s="61">
        <v>42.9</v>
      </c>
      <c r="K945" s="61">
        <v>22.7</v>
      </c>
      <c r="L945" s="61">
        <v>44.3</v>
      </c>
      <c r="M945" s="61">
        <v>34.799999999999997</v>
      </c>
      <c r="N945" s="61">
        <v>53.5</v>
      </c>
      <c r="O945" s="85">
        <v>23.7</v>
      </c>
      <c r="P945" s="105"/>
      <c r="Q945" s="87">
        <f t="shared" si="87"/>
        <v>1.1223274589183511E-4</v>
      </c>
      <c r="R945" s="87">
        <f t="shared" si="90"/>
        <v>-1.8213433298865961E-3</v>
      </c>
      <c r="S945" s="87">
        <f t="shared" si="90"/>
        <v>1.8669249193299889E-2</v>
      </c>
      <c r="T945" s="87">
        <f t="shared" si="89"/>
        <v>-2.0202707317519466E-2</v>
      </c>
      <c r="U945" s="87">
        <f t="shared" si="89"/>
        <v>1.1173300598125255E-2</v>
      </c>
      <c r="V945" s="87">
        <f t="shared" si="89"/>
        <v>-6.6445427186685013E-3</v>
      </c>
      <c r="W945" s="87">
        <f t="shared" si="89"/>
        <v>-7.1428875123802247E-3</v>
      </c>
      <c r="X945" s="87">
        <f t="shared" si="89"/>
        <v>0</v>
      </c>
      <c r="Y945" s="87">
        <f t="shared" si="89"/>
        <v>2.3337233462203183E-3</v>
      </c>
      <c r="Z945" s="87">
        <f t="shared" si="89"/>
        <v>8.8496152769826E-3</v>
      </c>
      <c r="AA945" s="87">
        <f t="shared" si="89"/>
        <v>0</v>
      </c>
      <c r="AB945" s="87">
        <f t="shared" si="89"/>
        <v>8.6580627431145311E-3</v>
      </c>
      <c r="AC945" s="87">
        <f t="shared" si="89"/>
        <v>3.7453227301621132E-3</v>
      </c>
      <c r="AD945" s="87">
        <f t="shared" si="89"/>
        <v>8.4746269909722356E-3</v>
      </c>
      <c r="AE945" s="90">
        <f t="shared" si="88"/>
        <v>9.1447028438405784E-3</v>
      </c>
    </row>
    <row r="946" spans="1:31" ht="15.5" x14ac:dyDescent="0.35">
      <c r="A946" s="82">
        <v>41136</v>
      </c>
      <c r="B946" s="83">
        <v>8029</v>
      </c>
      <c r="C946" s="84">
        <v>3030.9</v>
      </c>
      <c r="D946" s="61">
        <v>332.4</v>
      </c>
      <c r="E946" s="61">
        <v>14.7</v>
      </c>
      <c r="F946" s="61">
        <v>89.7</v>
      </c>
      <c r="G946" s="61">
        <v>30</v>
      </c>
      <c r="H946" s="61">
        <v>27.3</v>
      </c>
      <c r="I946" s="61">
        <v>11.5</v>
      </c>
      <c r="J946" s="61">
        <v>43.2</v>
      </c>
      <c r="K946" s="61">
        <v>22.9</v>
      </c>
      <c r="L946" s="61">
        <v>44</v>
      </c>
      <c r="M946" s="61">
        <v>34.5</v>
      </c>
      <c r="N946" s="61">
        <v>53.5</v>
      </c>
      <c r="O946" s="85">
        <v>23.5</v>
      </c>
      <c r="P946" s="105"/>
      <c r="Q946" s="87">
        <f t="shared" si="87"/>
        <v>1.1839114072512583E-3</v>
      </c>
      <c r="R946" s="87">
        <f t="shared" si="90"/>
        <v>4.5966449427352323E-3</v>
      </c>
      <c r="S946" s="87">
        <f t="shared" si="90"/>
        <v>7.8526528557945705E-3</v>
      </c>
      <c r="T946" s="87">
        <f t="shared" si="89"/>
        <v>0</v>
      </c>
      <c r="U946" s="87">
        <f t="shared" si="89"/>
        <v>-3.3389012655145986E-3</v>
      </c>
      <c r="V946" s="87">
        <f t="shared" si="89"/>
        <v>0</v>
      </c>
      <c r="W946" s="87">
        <f t="shared" si="89"/>
        <v>-2.1739986636405764E-2</v>
      </c>
      <c r="X946" s="87">
        <f t="shared" si="89"/>
        <v>-8.6580627431145415E-3</v>
      </c>
      <c r="Y946" s="87">
        <f t="shared" si="89"/>
        <v>6.9686693160934355E-3</v>
      </c>
      <c r="Z946" s="87">
        <f t="shared" si="89"/>
        <v>8.7719860728370409E-3</v>
      </c>
      <c r="AA946" s="87">
        <f t="shared" si="89"/>
        <v>-6.7950431328286896E-3</v>
      </c>
      <c r="AB946" s="87">
        <f t="shared" si="89"/>
        <v>-8.6580627431145415E-3</v>
      </c>
      <c r="AC946" s="87">
        <f t="shared" si="89"/>
        <v>0</v>
      </c>
      <c r="AD946" s="87">
        <f t="shared" si="89"/>
        <v>-8.4746269909722321E-3</v>
      </c>
      <c r="AE946" s="90">
        <f t="shared" si="88"/>
        <v>1.6920161659014757E-3</v>
      </c>
    </row>
    <row r="947" spans="1:31" ht="15.5" x14ac:dyDescent="0.35">
      <c r="A947" s="82">
        <v>41137</v>
      </c>
      <c r="B947" s="83">
        <v>8090</v>
      </c>
      <c r="C947" s="84">
        <v>3062.4</v>
      </c>
      <c r="D947" s="61">
        <v>333.9</v>
      </c>
      <c r="E947" s="61">
        <v>14.8</v>
      </c>
      <c r="F947" s="61">
        <v>90.1</v>
      </c>
      <c r="G947" s="61">
        <v>30.3</v>
      </c>
      <c r="H947" s="61">
        <v>28.2</v>
      </c>
      <c r="I947" s="61">
        <v>11.6</v>
      </c>
      <c r="J947" s="61">
        <v>43.9</v>
      </c>
      <c r="K947" s="61">
        <v>23.5</v>
      </c>
      <c r="L947" s="61">
        <v>43.9</v>
      </c>
      <c r="M947" s="61">
        <v>34.5</v>
      </c>
      <c r="N947" s="61">
        <v>53.4</v>
      </c>
      <c r="O947" s="85">
        <v>23.4</v>
      </c>
      <c r="P947" s="105"/>
      <c r="Q947" s="87">
        <f t="shared" si="87"/>
        <v>7.5687438678534195E-3</v>
      </c>
      <c r="R947" s="87">
        <f t="shared" si="90"/>
        <v>1.0339317156838928E-2</v>
      </c>
      <c r="S947" s="87">
        <f t="shared" si="90"/>
        <v>4.5024839683157755E-3</v>
      </c>
      <c r="T947" s="87">
        <f t="shared" si="89"/>
        <v>6.7796869853787691E-3</v>
      </c>
      <c r="U947" s="87">
        <f t="shared" si="89"/>
        <v>4.4493955495416458E-3</v>
      </c>
      <c r="V947" s="87">
        <f t="shared" si="89"/>
        <v>9.950330853168092E-3</v>
      </c>
      <c r="W947" s="87">
        <f t="shared" si="89"/>
        <v>3.243527575315374E-2</v>
      </c>
      <c r="X947" s="87">
        <f t="shared" si="89"/>
        <v>8.6580627431145311E-3</v>
      </c>
      <c r="Y947" s="87">
        <f t="shared" si="89"/>
        <v>1.6073824831060835E-2</v>
      </c>
      <c r="Z947" s="87">
        <f t="shared" si="89"/>
        <v>2.5863510589919373E-2</v>
      </c>
      <c r="AA947" s="87">
        <f t="shared" si="89"/>
        <v>-2.2753138371355394E-3</v>
      </c>
      <c r="AB947" s="87">
        <f t="shared" si="89"/>
        <v>0</v>
      </c>
      <c r="AC947" s="87">
        <f t="shared" si="89"/>
        <v>-1.8709079358117313E-3</v>
      </c>
      <c r="AD947" s="87">
        <f t="shared" si="89"/>
        <v>-4.2643987864575397E-3</v>
      </c>
      <c r="AE947" s="90">
        <f t="shared" si="88"/>
        <v>5.1712866892085589E-3</v>
      </c>
    </row>
    <row r="948" spans="1:31" ht="15.5" x14ac:dyDescent="0.35">
      <c r="A948" s="82">
        <v>41138</v>
      </c>
      <c r="B948" s="83">
        <v>8102.1</v>
      </c>
      <c r="C948" s="84">
        <v>3076.6</v>
      </c>
      <c r="D948" s="61">
        <v>336.2</v>
      </c>
      <c r="E948" s="61">
        <v>14.9</v>
      </c>
      <c r="F948" s="61">
        <v>91.3</v>
      </c>
      <c r="G948" s="61">
        <v>30.6</v>
      </c>
      <c r="H948" s="61">
        <v>28.3</v>
      </c>
      <c r="I948" s="61">
        <v>11.7</v>
      </c>
      <c r="J948" s="61">
        <v>43.8</v>
      </c>
      <c r="K948" s="61">
        <v>23.8</v>
      </c>
      <c r="L948" s="61">
        <v>43.1</v>
      </c>
      <c r="M948" s="61">
        <v>34.4</v>
      </c>
      <c r="N948" s="61">
        <v>53.6</v>
      </c>
      <c r="O948" s="85">
        <v>23.7</v>
      </c>
      <c r="P948" s="105"/>
      <c r="Q948" s="87">
        <f t="shared" si="87"/>
        <v>1.4945562653779297E-3</v>
      </c>
      <c r="R948" s="87">
        <f t="shared" si="90"/>
        <v>4.6261688630155591E-3</v>
      </c>
      <c r="S948" s="87">
        <f t="shared" si="90"/>
        <v>6.8646740249064045E-3</v>
      </c>
      <c r="T948" s="87">
        <f t="shared" si="89"/>
        <v>6.7340321813441194E-3</v>
      </c>
      <c r="U948" s="87">
        <f t="shared" si="89"/>
        <v>1.3230622986630487E-2</v>
      </c>
      <c r="V948" s="87">
        <f t="shared" si="89"/>
        <v>9.8522964430116395E-3</v>
      </c>
      <c r="W948" s="87">
        <f t="shared" si="89"/>
        <v>3.5398267051239868E-3</v>
      </c>
      <c r="X948" s="87">
        <f t="shared" si="89"/>
        <v>8.583743691391435E-3</v>
      </c>
      <c r="Y948" s="87">
        <f t="shared" si="89"/>
        <v>-2.2805026987252177E-3</v>
      </c>
      <c r="Z948" s="87">
        <f t="shared" si="89"/>
        <v>1.2685159527315861E-2</v>
      </c>
      <c r="AA948" s="87">
        <f t="shared" si="89"/>
        <v>-1.8391322971423544E-2</v>
      </c>
      <c r="AB948" s="87">
        <f t="shared" si="89"/>
        <v>-2.9027596579614626E-3</v>
      </c>
      <c r="AC948" s="87">
        <f t="shared" si="89"/>
        <v>3.7383221106071581E-3</v>
      </c>
      <c r="AD948" s="87">
        <f t="shared" si="89"/>
        <v>1.2739025777429712E-2</v>
      </c>
      <c r="AE948" s="90">
        <f t="shared" si="88"/>
        <v>8.7279752126989529E-3</v>
      </c>
    </row>
    <row r="949" spans="1:31" ht="15.5" x14ac:dyDescent="0.35">
      <c r="A949" s="82">
        <v>41141</v>
      </c>
      <c r="B949" s="83">
        <v>8094.3</v>
      </c>
      <c r="C949" s="84">
        <v>3076.2</v>
      </c>
      <c r="D949" s="61">
        <v>336.7</v>
      </c>
      <c r="E949" s="61">
        <v>14.9</v>
      </c>
      <c r="F949" s="61">
        <v>92.8</v>
      </c>
      <c r="G949" s="61">
        <v>30.6</v>
      </c>
      <c r="H949" s="61">
        <v>28.2</v>
      </c>
      <c r="I949" s="61">
        <v>11.9</v>
      </c>
      <c r="J949" s="61">
        <v>43.5</v>
      </c>
      <c r="K949" s="61">
        <v>23.9</v>
      </c>
      <c r="L949" s="61">
        <v>43.2</v>
      </c>
      <c r="M949" s="61">
        <v>34.6</v>
      </c>
      <c r="N949" s="61">
        <v>54.1</v>
      </c>
      <c r="O949" s="85">
        <v>23.9</v>
      </c>
      <c r="P949" s="105"/>
      <c r="Q949" s="87">
        <f t="shared" si="87"/>
        <v>-9.6317707675920735E-4</v>
      </c>
      <c r="R949" s="87">
        <f t="shared" si="90"/>
        <v>-1.3002210394080663E-4</v>
      </c>
      <c r="S949" s="87">
        <f t="shared" si="90"/>
        <v>1.4861051925134615E-3</v>
      </c>
      <c r="T949" s="87">
        <f t="shared" si="89"/>
        <v>0</v>
      </c>
      <c r="U949" s="87">
        <f t="shared" si="89"/>
        <v>1.6295852191232169E-2</v>
      </c>
      <c r="V949" s="87">
        <f t="shared" si="89"/>
        <v>0</v>
      </c>
      <c r="W949" s="87">
        <f t="shared" si="89"/>
        <v>-3.5398267051240623E-3</v>
      </c>
      <c r="X949" s="87">
        <f t="shared" si="89"/>
        <v>1.6949558313773424E-2</v>
      </c>
      <c r="Y949" s="87">
        <f t="shared" si="89"/>
        <v>-6.8728792877619524E-3</v>
      </c>
      <c r="Z949" s="87">
        <f t="shared" si="89"/>
        <v>4.1928782600359578E-3</v>
      </c>
      <c r="AA949" s="87">
        <f t="shared" si="89"/>
        <v>2.3174981403624824E-3</v>
      </c>
      <c r="AB949" s="87">
        <f t="shared" si="89"/>
        <v>5.7971176843259146E-3</v>
      </c>
      <c r="AC949" s="87">
        <f t="shared" si="89"/>
        <v>9.285117775679478E-3</v>
      </c>
      <c r="AD949" s="87">
        <f t="shared" ref="AD949:AD1012" si="91">+LN(O949/O948)</f>
        <v>8.4034107963793792E-3</v>
      </c>
      <c r="AE949" s="90">
        <f t="shared" si="88"/>
        <v>6.0771429481685443E-3</v>
      </c>
    </row>
    <row r="950" spans="1:31" ht="15.5" x14ac:dyDescent="0.35">
      <c r="A950" s="82">
        <v>41142</v>
      </c>
      <c r="B950" s="83">
        <v>8082.7</v>
      </c>
      <c r="C950" s="84">
        <v>3067.3</v>
      </c>
      <c r="D950" s="61">
        <v>331.4</v>
      </c>
      <c r="E950" s="61">
        <v>14.9</v>
      </c>
      <c r="F950" s="61">
        <v>92.9</v>
      </c>
      <c r="G950" s="61">
        <v>30.6</v>
      </c>
      <c r="H950" s="61">
        <v>28.6</v>
      </c>
      <c r="I950" s="61">
        <v>11.9</v>
      </c>
      <c r="J950" s="61">
        <v>42.7</v>
      </c>
      <c r="K950" s="61">
        <v>23.8</v>
      </c>
      <c r="L950" s="61">
        <v>42.9</v>
      </c>
      <c r="M950" s="61">
        <v>35.1</v>
      </c>
      <c r="N950" s="61">
        <v>54.3</v>
      </c>
      <c r="O950" s="85">
        <v>23.8</v>
      </c>
      <c r="P950" s="105"/>
      <c r="Q950" s="87">
        <f t="shared" si="87"/>
        <v>-1.4341351286623891E-3</v>
      </c>
      <c r="R950" s="87">
        <f t="shared" si="90"/>
        <v>-2.8973732322360802E-3</v>
      </c>
      <c r="S950" s="87">
        <f t="shared" si="90"/>
        <v>-1.5866221174566354E-2</v>
      </c>
      <c r="T950" s="87">
        <f t="shared" si="90"/>
        <v>0</v>
      </c>
      <c r="U950" s="87">
        <f t="shared" si="90"/>
        <v>1.0770060276379661E-3</v>
      </c>
      <c r="V950" s="87">
        <f t="shared" si="90"/>
        <v>0</v>
      </c>
      <c r="W950" s="87">
        <f t="shared" si="90"/>
        <v>1.4084739881739023E-2</v>
      </c>
      <c r="X950" s="87">
        <f t="shared" si="90"/>
        <v>0</v>
      </c>
      <c r="Y950" s="87">
        <f t="shared" si="90"/>
        <v>-1.8562017860059427E-2</v>
      </c>
      <c r="Z950" s="87">
        <f t="shared" si="90"/>
        <v>-4.1928782600359274E-3</v>
      </c>
      <c r="AA950" s="87">
        <f t="shared" si="90"/>
        <v>-6.9686693160934277E-3</v>
      </c>
      <c r="AB950" s="87">
        <f t="shared" si="90"/>
        <v>1.4347448408141575E-2</v>
      </c>
      <c r="AC950" s="87">
        <f t="shared" si="90"/>
        <v>3.690041087453742E-3</v>
      </c>
      <c r="AD950" s="87">
        <f t="shared" si="91"/>
        <v>-4.1928782600359274E-3</v>
      </c>
      <c r="AE950" s="90">
        <f t="shared" si="88"/>
        <v>-5.7152259069619005E-3</v>
      </c>
    </row>
    <row r="951" spans="1:31" ht="15.5" x14ac:dyDescent="0.35">
      <c r="A951" s="82">
        <v>41143</v>
      </c>
      <c r="B951" s="83">
        <v>8074.2</v>
      </c>
      <c r="C951" s="84">
        <v>3073.7</v>
      </c>
      <c r="D951" s="61">
        <v>333.7</v>
      </c>
      <c r="E951" s="61">
        <v>14.9</v>
      </c>
      <c r="F951" s="61">
        <v>92.6</v>
      </c>
      <c r="G951" s="61">
        <v>30.5</v>
      </c>
      <c r="H951" s="61">
        <v>27.9</v>
      </c>
      <c r="I951" s="61">
        <v>11.7</v>
      </c>
      <c r="J951" s="61">
        <v>41.8</v>
      </c>
      <c r="K951" s="61">
        <v>24.1</v>
      </c>
      <c r="L951" s="61">
        <v>42.8</v>
      </c>
      <c r="M951" s="61">
        <v>34.6</v>
      </c>
      <c r="N951" s="61">
        <v>53.4</v>
      </c>
      <c r="O951" s="85">
        <v>23.8</v>
      </c>
      <c r="P951" s="105"/>
      <c r="Q951" s="87">
        <f t="shared" si="87"/>
        <v>-1.0521821369429676E-3</v>
      </c>
      <c r="R951" s="87">
        <f t="shared" si="90"/>
        <v>2.0843518375112734E-3</v>
      </c>
      <c r="S951" s="87">
        <f t="shared" si="90"/>
        <v>6.9162807648658845E-3</v>
      </c>
      <c r="T951" s="87">
        <f t="shared" si="90"/>
        <v>0</v>
      </c>
      <c r="U951" s="87">
        <f t="shared" si="90"/>
        <v>-3.2345041676592632E-3</v>
      </c>
      <c r="V951" s="87">
        <f t="shared" si="90"/>
        <v>-3.273325344969249E-3</v>
      </c>
      <c r="W951" s="87">
        <f t="shared" si="90"/>
        <v>-2.478002899848708E-2</v>
      </c>
      <c r="X951" s="87">
        <f t="shared" si="90"/>
        <v>-1.694955831377332E-2</v>
      </c>
      <c r="Y951" s="87">
        <f t="shared" si="90"/>
        <v>-2.1302580703868378E-2</v>
      </c>
      <c r="Z951" s="87">
        <f t="shared" si="90"/>
        <v>1.2526259819180256E-2</v>
      </c>
      <c r="AA951" s="87">
        <f t="shared" si="90"/>
        <v>-2.3337233462202116E-3</v>
      </c>
      <c r="AB951" s="87">
        <f t="shared" si="90"/>
        <v>-1.434744840814154E-2</v>
      </c>
      <c r="AC951" s="87">
        <f t="shared" si="90"/>
        <v>-1.6713480973740556E-2</v>
      </c>
      <c r="AD951" s="87">
        <f t="shared" si="91"/>
        <v>0</v>
      </c>
      <c r="AE951" s="90">
        <f t="shared" si="88"/>
        <v>1.7247509820295819E-3</v>
      </c>
    </row>
    <row r="952" spans="1:31" ht="15.5" x14ac:dyDescent="0.35">
      <c r="A952" s="82">
        <v>41144</v>
      </c>
      <c r="B952" s="83">
        <v>8011.4</v>
      </c>
      <c r="C952" s="84">
        <v>3053.4</v>
      </c>
      <c r="D952" s="61">
        <v>335.8</v>
      </c>
      <c r="E952" s="61">
        <v>14.8</v>
      </c>
      <c r="F952" s="61">
        <v>94.5</v>
      </c>
      <c r="G952" s="61">
        <v>30.1</v>
      </c>
      <c r="H952" s="61">
        <v>27.3</v>
      </c>
      <c r="I952" s="61">
        <v>11.7</v>
      </c>
      <c r="J952" s="61">
        <v>41.1</v>
      </c>
      <c r="K952" s="61">
        <v>24.1</v>
      </c>
      <c r="L952" s="61">
        <v>42.6</v>
      </c>
      <c r="M952" s="61">
        <v>34.4</v>
      </c>
      <c r="N952" s="61">
        <v>53.8</v>
      </c>
      <c r="O952" s="85">
        <v>23.7</v>
      </c>
      <c r="P952" s="105"/>
      <c r="Q952" s="87">
        <f t="shared" si="87"/>
        <v>-7.8082656625605576E-3</v>
      </c>
      <c r="R952" s="87">
        <f t="shared" si="90"/>
        <v>-6.6263238001429631E-3</v>
      </c>
      <c r="S952" s="87">
        <f t="shared" si="90"/>
        <v>6.2733588861121504E-3</v>
      </c>
      <c r="T952" s="87">
        <f t="shared" si="90"/>
        <v>-6.7340321813440683E-3</v>
      </c>
      <c r="U952" s="87">
        <f t="shared" si="90"/>
        <v>2.0310692847563434E-2</v>
      </c>
      <c r="V952" s="87">
        <f t="shared" si="90"/>
        <v>-1.3201511858535842E-2</v>
      </c>
      <c r="W952" s="87">
        <f t="shared" si="90"/>
        <v>-2.1739986636405764E-2</v>
      </c>
      <c r="X952" s="87">
        <f t="shared" si="90"/>
        <v>0</v>
      </c>
      <c r="Y952" s="87">
        <f t="shared" si="90"/>
        <v>-1.6888218028521626E-2</v>
      </c>
      <c r="Z952" s="87">
        <f t="shared" si="90"/>
        <v>0</v>
      </c>
      <c r="AA952" s="87">
        <f t="shared" si="90"/>
        <v>-4.6838493124263143E-3</v>
      </c>
      <c r="AB952" s="87">
        <f t="shared" si="90"/>
        <v>-5.7971176843259579E-3</v>
      </c>
      <c r="AC952" s="87">
        <f t="shared" si="90"/>
        <v>7.4627212015895943E-3</v>
      </c>
      <c r="AD952" s="87">
        <f t="shared" si="91"/>
        <v>-4.2105325363436053E-3</v>
      </c>
      <c r="AE952" s="90">
        <f t="shared" si="88"/>
        <v>5.1462198572867169E-3</v>
      </c>
    </row>
    <row r="953" spans="1:31" ht="15.5" x14ac:dyDescent="0.35">
      <c r="A953" s="82">
        <v>41145</v>
      </c>
      <c r="B953" s="83">
        <v>8047.9</v>
      </c>
      <c r="C953" s="84">
        <v>3069.8</v>
      </c>
      <c r="D953" s="61">
        <v>337.4</v>
      </c>
      <c r="E953" s="61">
        <v>14.8</v>
      </c>
      <c r="F953" s="61">
        <v>93.7</v>
      </c>
      <c r="G953" s="61">
        <v>30.2</v>
      </c>
      <c r="H953" s="61">
        <v>26.7</v>
      </c>
      <c r="I953" s="61">
        <v>11.7</v>
      </c>
      <c r="J953" s="61">
        <v>41</v>
      </c>
      <c r="K953" s="61">
        <v>24.1</v>
      </c>
      <c r="L953" s="61">
        <v>42.6</v>
      </c>
      <c r="M953" s="61">
        <v>34.200000000000003</v>
      </c>
      <c r="N953" s="61">
        <v>53.7</v>
      </c>
      <c r="O953" s="85">
        <v>23.9</v>
      </c>
      <c r="P953" s="105"/>
      <c r="Q953" s="87">
        <f t="shared" si="87"/>
        <v>4.5456605020177321E-3</v>
      </c>
      <c r="R953" s="87">
        <f t="shared" si="90"/>
        <v>5.3566890564656199E-3</v>
      </c>
      <c r="S953" s="87">
        <f t="shared" si="90"/>
        <v>4.7534254684273173E-3</v>
      </c>
      <c r="T953" s="87">
        <f t="shared" si="90"/>
        <v>0</v>
      </c>
      <c r="U953" s="87">
        <f t="shared" si="90"/>
        <v>-8.5016452553204978E-3</v>
      </c>
      <c r="V953" s="87">
        <f t="shared" si="90"/>
        <v>3.3167526259938207E-3</v>
      </c>
      <c r="W953" s="87">
        <f t="shared" si="90"/>
        <v>-2.2223136784710235E-2</v>
      </c>
      <c r="X953" s="87">
        <f t="shared" si="90"/>
        <v>0</v>
      </c>
      <c r="Y953" s="87">
        <f t="shared" si="90"/>
        <v>-2.4360547978811158E-3</v>
      </c>
      <c r="Z953" s="87">
        <f t="shared" si="90"/>
        <v>0</v>
      </c>
      <c r="AA953" s="87">
        <f t="shared" si="90"/>
        <v>0</v>
      </c>
      <c r="AB953" s="87">
        <f t="shared" si="90"/>
        <v>-5.8309203107930986E-3</v>
      </c>
      <c r="AC953" s="87">
        <f t="shared" si="90"/>
        <v>-1.8604656529195673E-3</v>
      </c>
      <c r="AD953" s="87">
        <f t="shared" si="91"/>
        <v>8.4034107963793792E-3</v>
      </c>
      <c r="AE953" s="90">
        <f t="shared" si="88"/>
        <v>1.5877614911017155E-3</v>
      </c>
    </row>
    <row r="954" spans="1:31" ht="15.5" x14ac:dyDescent="0.35">
      <c r="A954" s="82">
        <v>41148</v>
      </c>
      <c r="B954" s="83">
        <v>8036.2</v>
      </c>
      <c r="C954" s="84">
        <v>3073.2</v>
      </c>
      <c r="D954" s="61">
        <v>330</v>
      </c>
      <c r="E954" s="61">
        <v>14.8</v>
      </c>
      <c r="F954" s="61">
        <v>96.2</v>
      </c>
      <c r="G954" s="61">
        <v>30.6</v>
      </c>
      <c r="H954" s="61">
        <v>26.8</v>
      </c>
      <c r="I954" s="61">
        <v>11.7</v>
      </c>
      <c r="J954" s="61">
        <v>41.1</v>
      </c>
      <c r="K954" s="61">
        <v>24.6</v>
      </c>
      <c r="L954" s="61">
        <v>42.8</v>
      </c>
      <c r="M954" s="61">
        <v>34.299999999999997</v>
      </c>
      <c r="N954" s="61">
        <v>53.8</v>
      </c>
      <c r="O954" s="85">
        <v>24</v>
      </c>
      <c r="P954" s="105"/>
      <c r="Q954" s="87">
        <f t="shared" si="87"/>
        <v>-1.4548531859019042E-3</v>
      </c>
      <c r="R954" s="87">
        <f t="shared" si="90"/>
        <v>1.1069511141720233E-3</v>
      </c>
      <c r="S954" s="87">
        <f t="shared" si="90"/>
        <v>-2.2176515651341926E-2</v>
      </c>
      <c r="T954" s="87">
        <f t="shared" si="90"/>
        <v>0</v>
      </c>
      <c r="U954" s="87">
        <f t="shared" si="90"/>
        <v>2.6331168427284408E-2</v>
      </c>
      <c r="V954" s="87">
        <f t="shared" si="90"/>
        <v>1.3158084577511201E-2</v>
      </c>
      <c r="W954" s="87">
        <f t="shared" si="90"/>
        <v>3.7383221106071581E-3</v>
      </c>
      <c r="X954" s="87">
        <f t="shared" si="90"/>
        <v>0</v>
      </c>
      <c r="Y954" s="87">
        <f t="shared" si="90"/>
        <v>2.436054797881121E-3</v>
      </c>
      <c r="Z954" s="87">
        <f t="shared" si="90"/>
        <v>2.0534602441707735E-2</v>
      </c>
      <c r="AA954" s="87">
        <f t="shared" si="90"/>
        <v>4.6838493124262163E-3</v>
      </c>
      <c r="AB954" s="87">
        <f t="shared" si="90"/>
        <v>2.9197101033346246E-3</v>
      </c>
      <c r="AC954" s="87">
        <f t="shared" si="90"/>
        <v>1.8604656529196708E-3</v>
      </c>
      <c r="AD954" s="87">
        <f t="shared" si="91"/>
        <v>4.175371410480592E-3</v>
      </c>
      <c r="AE954" s="90">
        <f t="shared" si="88"/>
        <v>1.8759293009884899E-3</v>
      </c>
    </row>
    <row r="955" spans="1:31" ht="15.5" x14ac:dyDescent="0.35">
      <c r="A955" s="82">
        <v>41149</v>
      </c>
      <c r="B955" s="83">
        <v>8033.9</v>
      </c>
      <c r="C955" s="84">
        <v>3077.1</v>
      </c>
      <c r="D955" s="61">
        <v>332.7</v>
      </c>
      <c r="E955" s="61">
        <v>14.7</v>
      </c>
      <c r="F955" s="61">
        <v>95.8</v>
      </c>
      <c r="G955" s="61">
        <v>30.5</v>
      </c>
      <c r="H955" s="61">
        <v>26.6</v>
      </c>
      <c r="I955" s="61">
        <v>11.6</v>
      </c>
      <c r="J955" s="61">
        <v>40.700000000000003</v>
      </c>
      <c r="K955" s="61">
        <v>24.5</v>
      </c>
      <c r="L955" s="61">
        <v>42.8</v>
      </c>
      <c r="M955" s="61">
        <v>34.1</v>
      </c>
      <c r="N955" s="61">
        <v>53.2</v>
      </c>
      <c r="O955" s="85">
        <v>24</v>
      </c>
      <c r="P955" s="105"/>
      <c r="Q955" s="87">
        <f t="shared" si="87"/>
        <v>-2.8624588716991953E-4</v>
      </c>
      <c r="R955" s="87">
        <f t="shared" si="90"/>
        <v>1.2682309879951483E-3</v>
      </c>
      <c r="S955" s="87">
        <f t="shared" si="90"/>
        <v>8.1485285639050099E-3</v>
      </c>
      <c r="T955" s="87">
        <f t="shared" si="90"/>
        <v>-6.7796869853788038E-3</v>
      </c>
      <c r="U955" s="87">
        <f t="shared" si="90"/>
        <v>-4.1666726948460572E-3</v>
      </c>
      <c r="V955" s="87">
        <f t="shared" si="90"/>
        <v>-3.273325344969249E-3</v>
      </c>
      <c r="W955" s="87">
        <f t="shared" si="90"/>
        <v>-7.4906717291576257E-3</v>
      </c>
      <c r="X955" s="87">
        <f t="shared" si="90"/>
        <v>-8.5837436913914419E-3</v>
      </c>
      <c r="Y955" s="87">
        <f t="shared" si="90"/>
        <v>-9.7800290536396058E-3</v>
      </c>
      <c r="Z955" s="87">
        <f t="shared" si="90"/>
        <v>-4.0733253876358982E-3</v>
      </c>
      <c r="AA955" s="87">
        <f t="shared" si="90"/>
        <v>0</v>
      </c>
      <c r="AB955" s="87">
        <f t="shared" si="90"/>
        <v>-5.8479698824229886E-3</v>
      </c>
      <c r="AC955" s="87">
        <f t="shared" si="90"/>
        <v>-1.1215070820139957E-2</v>
      </c>
      <c r="AD955" s="87">
        <f t="shared" si="91"/>
        <v>0</v>
      </c>
      <c r="AE955" s="90">
        <f t="shared" si="88"/>
        <v>1.5743349120026823E-3</v>
      </c>
    </row>
    <row r="956" spans="1:31" ht="15.5" x14ac:dyDescent="0.35">
      <c r="A956" s="82">
        <v>41150</v>
      </c>
      <c r="B956" s="83">
        <v>8031.6</v>
      </c>
      <c r="C956" s="84">
        <v>3081.2</v>
      </c>
      <c r="D956" s="61">
        <v>338.4</v>
      </c>
      <c r="E956" s="61">
        <v>14.7</v>
      </c>
      <c r="F956" s="61">
        <v>96.1</v>
      </c>
      <c r="G956" s="61">
        <v>30.4</v>
      </c>
      <c r="H956" s="61">
        <v>26.1</v>
      </c>
      <c r="I956" s="61">
        <v>11.5</v>
      </c>
      <c r="J956" s="61">
        <v>40.5</v>
      </c>
      <c r="K956" s="61">
        <v>25.5</v>
      </c>
      <c r="L956" s="61">
        <v>42.7</v>
      </c>
      <c r="M956" s="61">
        <v>34</v>
      </c>
      <c r="N956" s="61">
        <v>53.1</v>
      </c>
      <c r="O956" s="85">
        <v>24.6</v>
      </c>
      <c r="P956" s="105"/>
      <c r="Q956" s="87">
        <f t="shared" si="87"/>
        <v>-2.8632784733909934E-4</v>
      </c>
      <c r="R956" s="87">
        <f t="shared" si="90"/>
        <v>1.3315364973357378E-3</v>
      </c>
      <c r="S956" s="87">
        <f t="shared" si="90"/>
        <v>1.6987444707637144E-2</v>
      </c>
      <c r="T956" s="87">
        <f t="shared" si="90"/>
        <v>0</v>
      </c>
      <c r="U956" s="87">
        <f t="shared" si="90"/>
        <v>3.1266309994319222E-3</v>
      </c>
      <c r="V956" s="87">
        <f t="shared" si="90"/>
        <v>-3.2840752011899961E-3</v>
      </c>
      <c r="W956" s="87">
        <f t="shared" si="90"/>
        <v>-1.8975901459005691E-2</v>
      </c>
      <c r="X956" s="87">
        <f t="shared" si="90"/>
        <v>-8.6580627431145415E-3</v>
      </c>
      <c r="Y956" s="87">
        <f t="shared" si="90"/>
        <v>-4.926118336055889E-3</v>
      </c>
      <c r="Z956" s="87">
        <f t="shared" si="90"/>
        <v>4.0005334613699206E-2</v>
      </c>
      <c r="AA956" s="87">
        <f t="shared" si="90"/>
        <v>-2.3391823531721551E-3</v>
      </c>
      <c r="AB956" s="87">
        <f t="shared" si="90"/>
        <v>-2.9368596733097135E-3</v>
      </c>
      <c r="AC956" s="87">
        <f t="shared" si="90"/>
        <v>-1.8814680997056199E-3</v>
      </c>
      <c r="AD956" s="87">
        <f t="shared" si="91"/>
        <v>2.4692612590371633E-2</v>
      </c>
      <c r="AE956" s="90">
        <f t="shared" si="88"/>
        <v>9.2678131795289782E-3</v>
      </c>
    </row>
    <row r="957" spans="1:31" ht="15.5" x14ac:dyDescent="0.35">
      <c r="A957" s="82">
        <v>41151</v>
      </c>
      <c r="B957" s="83">
        <v>7966.2</v>
      </c>
      <c r="C957" s="84">
        <v>3048.7</v>
      </c>
      <c r="D957" s="61">
        <v>340.4</v>
      </c>
      <c r="E957" s="61">
        <v>14.6</v>
      </c>
      <c r="F957" s="61">
        <v>94.7</v>
      </c>
      <c r="G957" s="61">
        <v>30.2</v>
      </c>
      <c r="H957" s="61">
        <v>26</v>
      </c>
      <c r="I957" s="61">
        <v>11.7</v>
      </c>
      <c r="J957" s="61">
        <v>40</v>
      </c>
      <c r="K957" s="61">
        <v>25.8</v>
      </c>
      <c r="L957" s="61">
        <v>42.6</v>
      </c>
      <c r="M957" s="61">
        <v>33.6</v>
      </c>
      <c r="N957" s="61">
        <v>52.6</v>
      </c>
      <c r="O957" s="85">
        <v>24.4</v>
      </c>
      <c r="P957" s="105"/>
      <c r="Q957" s="87">
        <f t="shared" si="87"/>
        <v>-8.1761697646855706E-3</v>
      </c>
      <c r="R957" s="87">
        <f t="shared" si="90"/>
        <v>-1.0603861247166547E-2</v>
      </c>
      <c r="S957" s="87">
        <f t="shared" si="90"/>
        <v>5.8927689671509197E-3</v>
      </c>
      <c r="T957" s="87">
        <f t="shared" si="90"/>
        <v>-6.8259650703998706E-3</v>
      </c>
      <c r="U957" s="87">
        <f t="shared" si="90"/>
        <v>-1.4675315784214108E-2</v>
      </c>
      <c r="V957" s="87">
        <f t="shared" si="90"/>
        <v>-6.6006840313520242E-3</v>
      </c>
      <c r="W957" s="87">
        <f t="shared" si="90"/>
        <v>-3.8387763071657129E-3</v>
      </c>
      <c r="X957" s="87">
        <f t="shared" si="90"/>
        <v>1.7241806434505954E-2</v>
      </c>
      <c r="Y957" s="87">
        <f t="shared" si="90"/>
        <v>-1.2422519998557209E-2</v>
      </c>
      <c r="Z957" s="87">
        <f t="shared" si="90"/>
        <v>1.1696039763191236E-2</v>
      </c>
      <c r="AA957" s="87">
        <f t="shared" si="90"/>
        <v>-2.3446669592541345E-3</v>
      </c>
      <c r="AB957" s="87">
        <f t="shared" si="90"/>
        <v>-1.1834457647002796E-2</v>
      </c>
      <c r="AC957" s="87">
        <f t="shared" si="90"/>
        <v>-9.46080850422896E-3</v>
      </c>
      <c r="AD957" s="87">
        <f t="shared" si="91"/>
        <v>-8.1633106391610939E-3</v>
      </c>
      <c r="AE957" s="90">
        <f t="shared" si="88"/>
        <v>-6.6417790870925333E-3</v>
      </c>
    </row>
    <row r="958" spans="1:31" ht="15.5" x14ac:dyDescent="0.35">
      <c r="A958" s="82">
        <v>41152</v>
      </c>
      <c r="B958" s="83">
        <v>8014.9</v>
      </c>
      <c r="C958" s="84">
        <v>3067</v>
      </c>
      <c r="D958" s="61">
        <v>340.4</v>
      </c>
      <c r="E958" s="61">
        <v>14.6</v>
      </c>
      <c r="F958" s="61">
        <v>93.9</v>
      </c>
      <c r="G958" s="61">
        <v>30.4</v>
      </c>
      <c r="H958" s="61">
        <v>26.6</v>
      </c>
      <c r="I958" s="61">
        <v>11.8</v>
      </c>
      <c r="J958" s="61">
        <v>40.299999999999997</v>
      </c>
      <c r="K958" s="61">
        <v>25.9</v>
      </c>
      <c r="L958" s="61">
        <v>42.9</v>
      </c>
      <c r="M958" s="61">
        <v>34</v>
      </c>
      <c r="N958" s="61">
        <v>52.4</v>
      </c>
      <c r="O958" s="85">
        <v>24.2</v>
      </c>
      <c r="P958" s="105"/>
      <c r="Q958" s="87">
        <f t="shared" si="87"/>
        <v>6.0947182295453253E-3</v>
      </c>
      <c r="R958" s="87">
        <f t="shared" si="90"/>
        <v>5.9846148826073579E-3</v>
      </c>
      <c r="S958" s="87">
        <f t="shared" si="90"/>
        <v>0</v>
      </c>
      <c r="T958" s="87">
        <f t="shared" si="90"/>
        <v>0</v>
      </c>
      <c r="U958" s="87">
        <f t="shared" si="90"/>
        <v>-8.4836139778152551E-3</v>
      </c>
      <c r="V958" s="87">
        <f t="shared" si="90"/>
        <v>6.6006840313520927E-3</v>
      </c>
      <c r="W958" s="87">
        <f t="shared" si="90"/>
        <v>2.2814677766171482E-2</v>
      </c>
      <c r="X958" s="87">
        <f t="shared" si="90"/>
        <v>8.5106896679088308E-3</v>
      </c>
      <c r="Y958" s="87">
        <f t="shared" si="90"/>
        <v>7.4720148387008361E-3</v>
      </c>
      <c r="Z958" s="87">
        <f t="shared" si="90"/>
        <v>3.8684767779203319E-3</v>
      </c>
      <c r="AA958" s="87">
        <f t="shared" si="90"/>
        <v>7.0175726586465398E-3</v>
      </c>
      <c r="AB958" s="87">
        <f t="shared" si="90"/>
        <v>1.1834457647002798E-2</v>
      </c>
      <c r="AC958" s="87">
        <f t="shared" si="90"/>
        <v>-3.8095284166677302E-3</v>
      </c>
      <c r="AD958" s="87">
        <f t="shared" si="91"/>
        <v>-8.23049913651548E-3</v>
      </c>
      <c r="AE958" s="90">
        <f t="shared" si="88"/>
        <v>-1.6323188526247456E-3</v>
      </c>
    </row>
    <row r="959" spans="1:31" ht="15.5" x14ac:dyDescent="0.35">
      <c r="A959" s="82">
        <v>41156</v>
      </c>
      <c r="B959" s="83">
        <v>8002.3</v>
      </c>
      <c r="C959" s="84">
        <v>3075.1</v>
      </c>
      <c r="D959" s="61">
        <v>337.1</v>
      </c>
      <c r="E959" s="61">
        <v>14.6</v>
      </c>
      <c r="F959" s="61">
        <v>94.9</v>
      </c>
      <c r="G959" s="61">
        <v>30.2</v>
      </c>
      <c r="H959" s="61">
        <v>26.8</v>
      </c>
      <c r="I959" s="61">
        <v>11.9</v>
      </c>
      <c r="J959" s="61">
        <v>40.4</v>
      </c>
      <c r="K959" s="61">
        <v>25.7</v>
      </c>
      <c r="L959" s="61">
        <v>42.9</v>
      </c>
      <c r="M959" s="61">
        <v>33.799999999999997</v>
      </c>
      <c r="N959" s="61">
        <v>53</v>
      </c>
      <c r="O959" s="85">
        <v>24.1</v>
      </c>
      <c r="P959" s="105"/>
      <c r="Q959" s="87">
        <f t="shared" si="87"/>
        <v>-1.5733090176892164E-3</v>
      </c>
      <c r="R959" s="87">
        <f t="shared" si="90"/>
        <v>2.6375359227955911E-3</v>
      </c>
      <c r="S959" s="87">
        <f t="shared" si="90"/>
        <v>-9.7417744592038988E-3</v>
      </c>
      <c r="T959" s="87">
        <f t="shared" si="90"/>
        <v>0</v>
      </c>
      <c r="U959" s="87">
        <f t="shared" si="90"/>
        <v>1.0593319401665021E-2</v>
      </c>
      <c r="V959" s="87">
        <f t="shared" si="90"/>
        <v>-6.6006840313520242E-3</v>
      </c>
      <c r="W959" s="87">
        <f t="shared" si="90"/>
        <v>7.4906717291576587E-3</v>
      </c>
      <c r="X959" s="87">
        <f t="shared" si="90"/>
        <v>8.4388686458646035E-3</v>
      </c>
      <c r="Y959" s="87">
        <f t="shared" si="90"/>
        <v>2.4783160144672216E-3</v>
      </c>
      <c r="Z959" s="87">
        <f t="shared" si="90"/>
        <v>-7.7519768043179359E-3</v>
      </c>
      <c r="AA959" s="87">
        <f t="shared" si="90"/>
        <v>0</v>
      </c>
      <c r="AB959" s="87">
        <f t="shared" si="90"/>
        <v>-5.8997221271883827E-3</v>
      </c>
      <c r="AC959" s="87">
        <f t="shared" si="90"/>
        <v>1.1385322225125429E-2</v>
      </c>
      <c r="AD959" s="87">
        <f t="shared" si="91"/>
        <v>-4.1407926660312769E-3</v>
      </c>
      <c r="AE959" s="90">
        <f t="shared" si="88"/>
        <v>4.6428965495962375E-4</v>
      </c>
    </row>
    <row r="960" spans="1:31" ht="15.5" x14ac:dyDescent="0.35">
      <c r="A960" s="82">
        <v>41157</v>
      </c>
      <c r="B960" s="83">
        <v>7992</v>
      </c>
      <c r="C960" s="84">
        <v>3069.3</v>
      </c>
      <c r="D960" s="61">
        <v>339.9</v>
      </c>
      <c r="E960" s="61">
        <v>14.9</v>
      </c>
      <c r="F960" s="61">
        <v>95.7</v>
      </c>
      <c r="G960" s="61">
        <v>30.2</v>
      </c>
      <c r="H960" s="61">
        <v>27.2</v>
      </c>
      <c r="I960" s="61">
        <v>12</v>
      </c>
      <c r="J960" s="61">
        <v>40.200000000000003</v>
      </c>
      <c r="K960" s="61">
        <v>25.8</v>
      </c>
      <c r="L960" s="61">
        <v>43.1</v>
      </c>
      <c r="M960" s="61">
        <v>33.9</v>
      </c>
      <c r="N960" s="61">
        <v>53.2</v>
      </c>
      <c r="O960" s="85">
        <v>24.2</v>
      </c>
      <c r="P960" s="105"/>
      <c r="Q960" s="87">
        <f t="shared" si="87"/>
        <v>-1.287959013378069E-3</v>
      </c>
      <c r="R960" s="87">
        <f t="shared" si="90"/>
        <v>-1.8878984840431706E-3</v>
      </c>
      <c r="S960" s="87">
        <f t="shared" si="90"/>
        <v>8.2718344620551203E-3</v>
      </c>
      <c r="T960" s="87">
        <f t="shared" si="90"/>
        <v>2.0339684237122783E-2</v>
      </c>
      <c r="U960" s="87">
        <f t="shared" si="90"/>
        <v>8.3945928430262957E-3</v>
      </c>
      <c r="V960" s="87">
        <f t="shared" si="90"/>
        <v>0</v>
      </c>
      <c r="W960" s="87">
        <f t="shared" si="90"/>
        <v>1.4815085785140682E-2</v>
      </c>
      <c r="X960" s="87">
        <f t="shared" si="90"/>
        <v>8.3682496705165792E-3</v>
      </c>
      <c r="Y960" s="87">
        <f t="shared" si="90"/>
        <v>-4.962789342128902E-3</v>
      </c>
      <c r="Z960" s="87">
        <f t="shared" si="90"/>
        <v>3.8835000263976122E-3</v>
      </c>
      <c r="AA960" s="87">
        <f t="shared" si="90"/>
        <v>4.6511711757308803E-3</v>
      </c>
      <c r="AB960" s="87">
        <f t="shared" si="90"/>
        <v>2.9542118974316043E-3</v>
      </c>
      <c r="AC960" s="87">
        <f t="shared" si="90"/>
        <v>3.7664827954768648E-3</v>
      </c>
      <c r="AD960" s="87">
        <f t="shared" si="91"/>
        <v>4.1407926660313871E-3</v>
      </c>
      <c r="AE960" s="90">
        <f t="shared" si="88"/>
        <v>4.7594502396261975E-3</v>
      </c>
    </row>
    <row r="961" spans="1:31" ht="15.5" x14ac:dyDescent="0.35">
      <c r="A961" s="82">
        <v>41158</v>
      </c>
      <c r="B961" s="83">
        <v>8160.6</v>
      </c>
      <c r="C961" s="84">
        <v>3135.8</v>
      </c>
      <c r="D961" s="61">
        <v>342.7</v>
      </c>
      <c r="E961" s="61">
        <v>15</v>
      </c>
      <c r="F961" s="61">
        <v>95.8</v>
      </c>
      <c r="G961" s="61">
        <v>30.5</v>
      </c>
      <c r="H961" s="61">
        <v>28.3</v>
      </c>
      <c r="I961" s="61">
        <v>12.6</v>
      </c>
      <c r="J961" s="61">
        <v>41.3</v>
      </c>
      <c r="K961" s="61">
        <v>26.5</v>
      </c>
      <c r="L961" s="61">
        <v>43.6</v>
      </c>
      <c r="M961" s="61">
        <v>34.200000000000003</v>
      </c>
      <c r="N961" s="61">
        <v>53.4</v>
      </c>
      <c r="O961" s="85">
        <v>24.4</v>
      </c>
      <c r="P961" s="105"/>
      <c r="Q961" s="87">
        <f t="shared" si="87"/>
        <v>2.0876654338373359E-2</v>
      </c>
      <c r="R961" s="87">
        <f t="shared" si="90"/>
        <v>2.1434802373346155E-2</v>
      </c>
      <c r="S961" s="87">
        <f t="shared" si="90"/>
        <v>8.2039721784929482E-3</v>
      </c>
      <c r="T961" s="87">
        <f t="shared" si="90"/>
        <v>6.6889881507964889E-3</v>
      </c>
      <c r="U961" s="87">
        <f t="shared" si="90"/>
        <v>1.0443865179062505E-3</v>
      </c>
      <c r="V961" s="87">
        <f t="shared" si="90"/>
        <v>9.8847592325419249E-3</v>
      </c>
      <c r="W961" s="87">
        <f t="shared" si="90"/>
        <v>3.9644831347240381E-2</v>
      </c>
      <c r="X961" s="87">
        <f t="shared" ref="X961:AC1003" si="92">+LN(I961/I960)</f>
        <v>4.8790164169432049E-2</v>
      </c>
      <c r="Y961" s="87">
        <f t="shared" si="92"/>
        <v>2.699550434201152E-2</v>
      </c>
      <c r="Z961" s="87">
        <f t="shared" si="92"/>
        <v>2.6770241064604832E-2</v>
      </c>
      <c r="AA961" s="87">
        <f t="shared" si="92"/>
        <v>1.1534153245286545E-2</v>
      </c>
      <c r="AB961" s="87">
        <f t="shared" si="92"/>
        <v>8.8106296821551262E-3</v>
      </c>
      <c r="AC961" s="87">
        <f t="shared" si="92"/>
        <v>3.7523496185503718E-3</v>
      </c>
      <c r="AD961" s="87">
        <f t="shared" si="91"/>
        <v>8.2304991365154435E-3</v>
      </c>
      <c r="AE961" s="90">
        <f t="shared" si="88"/>
        <v>1.0125913795596152E-2</v>
      </c>
    </row>
    <row r="962" spans="1:31" ht="15.5" x14ac:dyDescent="0.35">
      <c r="A962" s="82">
        <v>41159</v>
      </c>
      <c r="B962" s="83">
        <v>8234.5</v>
      </c>
      <c r="C962" s="84">
        <v>3136.4</v>
      </c>
      <c r="D962" s="61">
        <v>349.2</v>
      </c>
      <c r="E962" s="61">
        <v>15.1</v>
      </c>
      <c r="F962" s="61">
        <v>96.5</v>
      </c>
      <c r="G962" s="61">
        <v>30.7</v>
      </c>
      <c r="H962" s="61">
        <v>29.5</v>
      </c>
      <c r="I962" s="61">
        <v>12.9</v>
      </c>
      <c r="J962" s="61">
        <v>42.3</v>
      </c>
      <c r="K962" s="61">
        <v>27.5</v>
      </c>
      <c r="L962" s="61">
        <v>43.9</v>
      </c>
      <c r="M962" s="61">
        <v>35.1</v>
      </c>
      <c r="N962" s="61">
        <v>54.3</v>
      </c>
      <c r="O962" s="85">
        <v>24.7</v>
      </c>
      <c r="P962" s="105"/>
      <c r="Q962" s="87">
        <f t="shared" si="87"/>
        <v>9.0149496475004313E-3</v>
      </c>
      <c r="R962" s="87">
        <f t="shared" ref="R962:W998" si="93">+LN(C962/C961)</f>
        <v>1.91320430416884E-4</v>
      </c>
      <c r="S962" s="87">
        <f t="shared" si="93"/>
        <v>1.8789395084883902E-2</v>
      </c>
      <c r="T962" s="87">
        <f t="shared" si="93"/>
        <v>6.6445427186685108E-3</v>
      </c>
      <c r="U962" s="87">
        <f t="shared" si="93"/>
        <v>7.2803233681253236E-3</v>
      </c>
      <c r="V962" s="87">
        <f t="shared" si="93"/>
        <v>6.5359709797854493E-3</v>
      </c>
      <c r="W962" s="87">
        <f t="shared" si="93"/>
        <v>4.1528458696582275E-2</v>
      </c>
      <c r="X962" s="87">
        <f t="shared" si="92"/>
        <v>2.3530497410194251E-2</v>
      </c>
      <c r="Y962" s="87">
        <f t="shared" si="92"/>
        <v>2.3924586085245243E-2</v>
      </c>
      <c r="Z962" s="87">
        <f t="shared" si="92"/>
        <v>3.7041271680349076E-2</v>
      </c>
      <c r="AA962" s="87">
        <f t="shared" si="92"/>
        <v>6.8571697261370452E-3</v>
      </c>
      <c r="AB962" s="87">
        <f t="shared" si="92"/>
        <v>2.5975486403260521E-2</v>
      </c>
      <c r="AC962" s="87">
        <f t="shared" si="92"/>
        <v>1.6713480973740532E-2</v>
      </c>
      <c r="AD962" s="87">
        <f t="shared" si="91"/>
        <v>1.2220111334775397E-2</v>
      </c>
      <c r="AE962" s="90">
        <f t="shared" si="88"/>
        <v>9.1252735621633694E-3</v>
      </c>
    </row>
    <row r="963" spans="1:31" ht="15.5" x14ac:dyDescent="0.35">
      <c r="A963" s="82">
        <v>41162</v>
      </c>
      <c r="B963" s="83">
        <v>8192.4</v>
      </c>
      <c r="C963" s="84">
        <v>3104</v>
      </c>
      <c r="D963" s="61">
        <v>349.5</v>
      </c>
      <c r="E963" s="61">
        <v>15.1</v>
      </c>
      <c r="F963" s="61">
        <v>94.6</v>
      </c>
      <c r="G963" s="61">
        <v>30.5</v>
      </c>
      <c r="H963" s="61">
        <v>28</v>
      </c>
      <c r="I963" s="61">
        <v>13.1</v>
      </c>
      <c r="J963" s="61">
        <v>42.8</v>
      </c>
      <c r="K963" s="61">
        <v>28.2</v>
      </c>
      <c r="L963" s="61">
        <v>43.9</v>
      </c>
      <c r="M963" s="61">
        <v>34.9</v>
      </c>
      <c r="N963" s="61">
        <v>55</v>
      </c>
      <c r="O963" s="85">
        <v>24.8</v>
      </c>
      <c r="P963" s="105"/>
      <c r="Q963" s="87">
        <f t="shared" si="87"/>
        <v>-5.1257501020282488E-3</v>
      </c>
      <c r="R963" s="87">
        <f t="shared" si="93"/>
        <v>-1.0384043053657532E-2</v>
      </c>
      <c r="S963" s="87">
        <f t="shared" si="93"/>
        <v>8.5873770841780449E-4</v>
      </c>
      <c r="T963" s="87">
        <f t="shared" si="93"/>
        <v>0</v>
      </c>
      <c r="U963" s="87">
        <f t="shared" si="93"/>
        <v>-1.9885532287107675E-2</v>
      </c>
      <c r="V963" s="87">
        <f t="shared" si="93"/>
        <v>-6.5359709797855334E-3</v>
      </c>
      <c r="W963" s="87">
        <f t="shared" si="93"/>
        <v>-5.2185753170570191E-2</v>
      </c>
      <c r="X963" s="87">
        <f t="shared" si="92"/>
        <v>1.5384918839479456E-2</v>
      </c>
      <c r="Y963" s="87">
        <f t="shared" si="92"/>
        <v>1.175101653551873E-2</v>
      </c>
      <c r="Z963" s="87">
        <f t="shared" si="92"/>
        <v>2.5135973271542239E-2</v>
      </c>
      <c r="AA963" s="87">
        <f t="shared" si="92"/>
        <v>0</v>
      </c>
      <c r="AB963" s="87">
        <f t="shared" si="92"/>
        <v>-5.7143012634387758E-3</v>
      </c>
      <c r="AC963" s="87">
        <f t="shared" si="92"/>
        <v>1.2808958292581241E-2</v>
      </c>
      <c r="AD963" s="87">
        <f t="shared" si="91"/>
        <v>4.040409537005127E-3</v>
      </c>
      <c r="AE963" s="90">
        <f t="shared" si="88"/>
        <v>-8.056136579521837E-3</v>
      </c>
    </row>
    <row r="964" spans="1:31" ht="15.5" x14ac:dyDescent="0.35">
      <c r="A964" s="82">
        <v>41163</v>
      </c>
      <c r="B964" s="83">
        <v>8246.1</v>
      </c>
      <c r="C964" s="84">
        <v>3104.5</v>
      </c>
      <c r="D964" s="61">
        <v>345.9</v>
      </c>
      <c r="E964" s="61">
        <v>15.1</v>
      </c>
      <c r="F964" s="61">
        <v>93.8</v>
      </c>
      <c r="G964" s="61">
        <v>30.6</v>
      </c>
      <c r="H964" s="61">
        <v>27.9</v>
      </c>
      <c r="I964" s="61">
        <v>13</v>
      </c>
      <c r="J964" s="61">
        <v>42.5</v>
      </c>
      <c r="K964" s="61">
        <v>28.6</v>
      </c>
      <c r="L964" s="61">
        <v>44.3</v>
      </c>
      <c r="M964" s="61">
        <v>35</v>
      </c>
      <c r="N964" s="61">
        <v>55.3</v>
      </c>
      <c r="O964" s="85">
        <v>24.8</v>
      </c>
      <c r="P964" s="105"/>
      <c r="Q964" s="87">
        <f t="shared" si="87"/>
        <v>6.5334660730013584E-3</v>
      </c>
      <c r="R964" s="87">
        <f t="shared" si="93"/>
        <v>1.6106950183817181E-4</v>
      </c>
      <c r="S964" s="87">
        <f t="shared" si="93"/>
        <v>-1.035384573074199E-2</v>
      </c>
      <c r="T964" s="87">
        <f t="shared" si="93"/>
        <v>0</v>
      </c>
      <c r="U964" s="87">
        <f t="shared" si="93"/>
        <v>-8.4926200456535879E-3</v>
      </c>
      <c r="V964" s="87">
        <f t="shared" si="93"/>
        <v>3.2733253449691085E-3</v>
      </c>
      <c r="W964" s="87">
        <f t="shared" si="93"/>
        <v>-3.577821347884078E-3</v>
      </c>
      <c r="X964" s="87">
        <f t="shared" si="92"/>
        <v>-7.6628727455691371E-3</v>
      </c>
      <c r="Y964" s="87">
        <f t="shared" si="92"/>
        <v>-7.0340266573799357E-3</v>
      </c>
      <c r="Z964" s="87">
        <f t="shared" si="92"/>
        <v>1.4084739881739023E-2</v>
      </c>
      <c r="AA964" s="87">
        <f t="shared" si="92"/>
        <v>9.0703569699642789E-3</v>
      </c>
      <c r="AB964" s="87">
        <f t="shared" si="92"/>
        <v>2.8612322810321949E-3</v>
      </c>
      <c r="AC964" s="87">
        <f t="shared" si="92"/>
        <v>5.4397232958181213E-3</v>
      </c>
      <c r="AD964" s="87">
        <f t="shared" si="91"/>
        <v>0</v>
      </c>
      <c r="AE964" s="90">
        <f t="shared" si="88"/>
        <v>-5.4113269669988284E-3</v>
      </c>
    </row>
    <row r="965" spans="1:31" ht="15.5" x14ac:dyDescent="0.35">
      <c r="A965" s="82">
        <v>41164</v>
      </c>
      <c r="B965" s="83">
        <v>8267.2999999999993</v>
      </c>
      <c r="C965" s="84">
        <v>3114.3</v>
      </c>
      <c r="D965" s="61">
        <v>340.8</v>
      </c>
      <c r="E965" s="61">
        <v>15.3</v>
      </c>
      <c r="F965" s="61">
        <v>93.7</v>
      </c>
      <c r="G965" s="61">
        <v>30.7</v>
      </c>
      <c r="H965" s="61">
        <v>28.6</v>
      </c>
      <c r="I965" s="61">
        <v>12.9</v>
      </c>
      <c r="J965" s="61">
        <v>41.8</v>
      </c>
      <c r="K965" s="61">
        <v>29</v>
      </c>
      <c r="L965" s="61">
        <v>44.3</v>
      </c>
      <c r="M965" s="61">
        <v>34.299999999999997</v>
      </c>
      <c r="N965" s="61">
        <v>55.8</v>
      </c>
      <c r="O965" s="85">
        <v>24.9</v>
      </c>
      <c r="P965" s="105"/>
      <c r="Q965" s="87">
        <f t="shared" si="87"/>
        <v>2.5676131683349331E-3</v>
      </c>
      <c r="R965" s="87">
        <f t="shared" si="93"/>
        <v>3.1517360623619615E-3</v>
      </c>
      <c r="S965" s="87">
        <f t="shared" si="93"/>
        <v>-1.4853920987962238E-2</v>
      </c>
      <c r="T965" s="87">
        <f t="shared" si="93"/>
        <v>1.3158084577511201E-2</v>
      </c>
      <c r="U965" s="87">
        <f t="shared" si="93"/>
        <v>-1.0666667678024576E-3</v>
      </c>
      <c r="V965" s="87">
        <f t="shared" si="93"/>
        <v>3.2626456348163694E-3</v>
      </c>
      <c r="W965" s="87">
        <f t="shared" si="93"/>
        <v>2.4780028998487084E-2</v>
      </c>
      <c r="X965" s="87">
        <f t="shared" si="92"/>
        <v>-7.7220460939102778E-3</v>
      </c>
      <c r="Y965" s="87">
        <f t="shared" si="92"/>
        <v>-1.6607736399660636E-2</v>
      </c>
      <c r="Z965" s="87">
        <f t="shared" si="92"/>
        <v>1.3889112160667093E-2</v>
      </c>
      <c r="AA965" s="87">
        <f t="shared" si="92"/>
        <v>0</v>
      </c>
      <c r="AB965" s="87">
        <f t="shared" si="92"/>
        <v>-2.020270731751958E-2</v>
      </c>
      <c r="AC965" s="87">
        <f t="shared" si="92"/>
        <v>9.0009608589761234E-3</v>
      </c>
      <c r="AD965" s="87">
        <f t="shared" si="91"/>
        <v>4.0241502997253268E-3</v>
      </c>
      <c r="AE965" s="90">
        <f t="shared" si="88"/>
        <v>-3.219843143860826E-3</v>
      </c>
    </row>
    <row r="966" spans="1:31" ht="15.5" x14ac:dyDescent="0.35">
      <c r="A966" s="82">
        <v>41165</v>
      </c>
      <c r="B966" s="83">
        <v>8407</v>
      </c>
      <c r="C966" s="84">
        <v>3155.8</v>
      </c>
      <c r="D966" s="61">
        <v>345.6</v>
      </c>
      <c r="E966" s="61">
        <v>15.4</v>
      </c>
      <c r="F966" s="61">
        <v>96.4</v>
      </c>
      <c r="G966" s="61">
        <v>30.4</v>
      </c>
      <c r="H966" s="61">
        <v>28.1</v>
      </c>
      <c r="I966" s="61">
        <v>12.9</v>
      </c>
      <c r="J966" s="61">
        <v>41.5</v>
      </c>
      <c r="K966" s="61">
        <v>28.1</v>
      </c>
      <c r="L966" s="61">
        <v>44</v>
      </c>
      <c r="M966" s="61">
        <v>33.9</v>
      </c>
      <c r="N966" s="61">
        <v>55.7</v>
      </c>
      <c r="O966" s="85">
        <v>24.6</v>
      </c>
      <c r="P966" s="105"/>
      <c r="Q966" s="87">
        <f t="shared" si="87"/>
        <v>1.6756717681725763E-2</v>
      </c>
      <c r="R966" s="87">
        <f t="shared" si="93"/>
        <v>1.3237621734259106E-2</v>
      </c>
      <c r="S966" s="87">
        <f t="shared" si="93"/>
        <v>1.398624197473987E-2</v>
      </c>
      <c r="T966" s="87">
        <f t="shared" si="93"/>
        <v>6.5146810211936723E-3</v>
      </c>
      <c r="U966" s="87">
        <f t="shared" si="93"/>
        <v>2.8408012372123453E-2</v>
      </c>
      <c r="V966" s="87">
        <f t="shared" si="93"/>
        <v>-9.820046180975461E-3</v>
      </c>
      <c r="W966" s="87">
        <f t="shared" si="93"/>
        <v>-1.7637141486106844E-2</v>
      </c>
      <c r="X966" s="87">
        <f t="shared" si="92"/>
        <v>0</v>
      </c>
      <c r="Y966" s="87">
        <f t="shared" si="92"/>
        <v>-7.2029122940579973E-3</v>
      </c>
      <c r="Z966" s="87">
        <f t="shared" si="92"/>
        <v>-3.1526253646773895E-2</v>
      </c>
      <c r="AA966" s="87">
        <f t="shared" si="92"/>
        <v>-6.7950431328286896E-3</v>
      </c>
      <c r="AB966" s="87">
        <f t="shared" si="92"/>
        <v>-1.1730339785489605E-2</v>
      </c>
      <c r="AC966" s="87">
        <f t="shared" si="92"/>
        <v>-1.7937224540267663E-3</v>
      </c>
      <c r="AD966" s="87">
        <f t="shared" si="91"/>
        <v>-1.2121360532344737E-2</v>
      </c>
      <c r="AE966" s="90">
        <f t="shared" si="88"/>
        <v>1.4712256343994383E-2</v>
      </c>
    </row>
    <row r="967" spans="1:31" ht="15.5" x14ac:dyDescent="0.35">
      <c r="A967" s="82">
        <v>41166</v>
      </c>
      <c r="B967" s="83">
        <v>8458.9</v>
      </c>
      <c r="C967" s="84">
        <v>3183.9</v>
      </c>
      <c r="D967" s="61">
        <v>353.9</v>
      </c>
      <c r="E967" s="61">
        <v>15.6</v>
      </c>
      <c r="F967" s="61">
        <v>98.3</v>
      </c>
      <c r="G967" s="61">
        <v>30.8</v>
      </c>
      <c r="H967" s="61">
        <v>28.9</v>
      </c>
      <c r="I967" s="61">
        <v>13.3</v>
      </c>
      <c r="J967" s="61">
        <v>42.4</v>
      </c>
      <c r="K967" s="61">
        <v>28.3</v>
      </c>
      <c r="L967" s="61">
        <v>43.4</v>
      </c>
      <c r="M967" s="61">
        <v>35.700000000000003</v>
      </c>
      <c r="N967" s="61">
        <v>57</v>
      </c>
      <c r="O967" s="85">
        <v>24</v>
      </c>
      <c r="P967" s="105"/>
      <c r="Q967" s="87">
        <f t="shared" si="87"/>
        <v>6.1544493705036982E-3</v>
      </c>
      <c r="R967" s="87">
        <f t="shared" si="93"/>
        <v>8.864830834317829E-3</v>
      </c>
      <c r="S967" s="87">
        <f t="shared" si="93"/>
        <v>2.3732350421516939E-2</v>
      </c>
      <c r="T967" s="87">
        <f t="shared" si="93"/>
        <v>1.2903404835907782E-2</v>
      </c>
      <c r="U967" s="87">
        <f t="shared" si="93"/>
        <v>1.9517825536620868E-2</v>
      </c>
      <c r="V967" s="87">
        <f t="shared" si="93"/>
        <v>1.3072081567352921E-2</v>
      </c>
      <c r="W967" s="87">
        <f t="shared" si="93"/>
        <v>2.8072018778686307E-2</v>
      </c>
      <c r="X967" s="87">
        <f t="shared" si="92"/>
        <v>3.0536723860081702E-2</v>
      </c>
      <c r="Y967" s="87">
        <f t="shared" si="92"/>
        <v>2.1454935001259466E-2</v>
      </c>
      <c r="Z967" s="87">
        <f t="shared" si="92"/>
        <v>7.0922283094918366E-3</v>
      </c>
      <c r="AA967" s="87">
        <f t="shared" si="92"/>
        <v>-1.373019281190202E-2</v>
      </c>
      <c r="AB967" s="87">
        <f t="shared" si="92"/>
        <v>5.1735674399188893E-2</v>
      </c>
      <c r="AC967" s="87">
        <f t="shared" si="92"/>
        <v>2.3071120901311835E-2</v>
      </c>
      <c r="AD967" s="87">
        <f t="shared" si="91"/>
        <v>-2.4692612590371522E-2</v>
      </c>
      <c r="AE967" s="90">
        <f t="shared" si="88"/>
        <v>1.2184767585457053E-2</v>
      </c>
    </row>
    <row r="968" spans="1:31" ht="15.5" x14ac:dyDescent="0.35">
      <c r="A968" s="82">
        <v>41169</v>
      </c>
      <c r="B968" s="83">
        <v>8409</v>
      </c>
      <c r="C968" s="84">
        <v>3178.7</v>
      </c>
      <c r="D968" s="61">
        <v>352.9</v>
      </c>
      <c r="E968" s="61">
        <v>15.6</v>
      </c>
      <c r="F968" s="61">
        <v>99.2</v>
      </c>
      <c r="G968" s="61">
        <v>31</v>
      </c>
      <c r="H968" s="61">
        <v>28.7</v>
      </c>
      <c r="I968" s="61">
        <v>13.1</v>
      </c>
      <c r="J968" s="61">
        <v>42</v>
      </c>
      <c r="K968" s="61">
        <v>28.5</v>
      </c>
      <c r="L968" s="61">
        <v>43.5</v>
      </c>
      <c r="M968" s="61">
        <v>35.700000000000003</v>
      </c>
      <c r="N968" s="61">
        <v>56.2</v>
      </c>
      <c r="O968" s="85">
        <v>24</v>
      </c>
      <c r="P968" s="105"/>
      <c r="Q968" s="87">
        <f t="shared" si="87"/>
        <v>-5.9165806729026974E-3</v>
      </c>
      <c r="R968" s="87">
        <f t="shared" si="93"/>
        <v>-1.6345522766678651E-3</v>
      </c>
      <c r="S968" s="87">
        <f t="shared" si="93"/>
        <v>-2.8296566701932879E-3</v>
      </c>
      <c r="T968" s="87">
        <f t="shared" si="93"/>
        <v>0</v>
      </c>
      <c r="U968" s="87">
        <f t="shared" si="93"/>
        <v>9.1139871377063624E-3</v>
      </c>
      <c r="V968" s="87">
        <f t="shared" si="93"/>
        <v>6.4725145056175196E-3</v>
      </c>
      <c r="W968" s="87">
        <f t="shared" si="93"/>
        <v>-6.9444723528110461E-3</v>
      </c>
      <c r="X968" s="87">
        <f t="shared" si="92"/>
        <v>-1.5151805020602333E-2</v>
      </c>
      <c r="Y968" s="87">
        <f t="shared" si="92"/>
        <v>-9.47874395454377E-3</v>
      </c>
      <c r="Z968" s="87">
        <f t="shared" si="92"/>
        <v>7.042282625412951E-3</v>
      </c>
      <c r="AA968" s="87">
        <f t="shared" si="92"/>
        <v>2.3014969882791674E-3</v>
      </c>
      <c r="AB968" s="87">
        <f t="shared" si="92"/>
        <v>0</v>
      </c>
      <c r="AC968" s="87">
        <f t="shared" si="92"/>
        <v>-1.4134510934904693E-2</v>
      </c>
      <c r="AD968" s="87">
        <f t="shared" si="91"/>
        <v>0</v>
      </c>
      <c r="AE968" s="90">
        <f t="shared" si="88"/>
        <v>1.2876665459812873E-3</v>
      </c>
    </row>
    <row r="969" spans="1:31" ht="15.5" x14ac:dyDescent="0.35">
      <c r="A969" s="82">
        <v>41170</v>
      </c>
      <c r="B969" s="83">
        <v>8387.4</v>
      </c>
      <c r="C969" s="84">
        <v>3177.8</v>
      </c>
      <c r="D969" s="61">
        <v>353.7</v>
      </c>
      <c r="E969" s="61">
        <v>15.6</v>
      </c>
      <c r="F969" s="61">
        <v>99.5</v>
      </c>
      <c r="G969" s="61">
        <v>31</v>
      </c>
      <c r="H969" s="61">
        <v>29</v>
      </c>
      <c r="I969" s="61">
        <v>12.8</v>
      </c>
      <c r="J969" s="61">
        <v>42.4</v>
      </c>
      <c r="K969" s="61">
        <v>28.5</v>
      </c>
      <c r="L969" s="61">
        <v>43.7</v>
      </c>
      <c r="M969" s="61">
        <v>35</v>
      </c>
      <c r="N969" s="61">
        <v>55.6</v>
      </c>
      <c r="O969" s="85">
        <v>24.3</v>
      </c>
      <c r="P969" s="105"/>
      <c r="Q969" s="87">
        <f t="shared" si="87"/>
        <v>-2.5719811277602213E-3</v>
      </c>
      <c r="R969" s="87">
        <f t="shared" si="93"/>
        <v>-2.8317470495196656E-4</v>
      </c>
      <c r="S969" s="87">
        <f t="shared" si="93"/>
        <v>2.2643655302105104E-3</v>
      </c>
      <c r="T969" s="87">
        <f t="shared" si="93"/>
        <v>0</v>
      </c>
      <c r="U969" s="87">
        <f t="shared" si="93"/>
        <v>3.0196298737198914E-3</v>
      </c>
      <c r="V969" s="87">
        <f t="shared" si="93"/>
        <v>0</v>
      </c>
      <c r="W969" s="87">
        <f t="shared" si="93"/>
        <v>1.0398707220898517E-2</v>
      </c>
      <c r="X969" s="87">
        <f t="shared" si="92"/>
        <v>-2.3167059281534303E-2</v>
      </c>
      <c r="Y969" s="87">
        <f t="shared" si="92"/>
        <v>9.4787439545437387E-3</v>
      </c>
      <c r="Z969" s="87">
        <f t="shared" si="92"/>
        <v>0</v>
      </c>
      <c r="AA969" s="87">
        <f t="shared" si="92"/>
        <v>4.5871640069061401E-3</v>
      </c>
      <c r="AB969" s="87">
        <f t="shared" si="92"/>
        <v>-1.9802627296179754E-2</v>
      </c>
      <c r="AC969" s="87">
        <f t="shared" si="92"/>
        <v>-1.0733555643108777E-2</v>
      </c>
      <c r="AD969" s="87">
        <f t="shared" si="91"/>
        <v>1.242251999855711E-2</v>
      </c>
      <c r="AE969" s="90">
        <f t="shared" si="88"/>
        <v>2.9514095113615892E-3</v>
      </c>
    </row>
    <row r="970" spans="1:31" ht="15.5" x14ac:dyDescent="0.35">
      <c r="A970" s="82">
        <v>41171</v>
      </c>
      <c r="B970" s="83">
        <v>8400.5</v>
      </c>
      <c r="C970" s="84">
        <v>3182.6</v>
      </c>
      <c r="D970" s="61">
        <v>358.6</v>
      </c>
      <c r="E970" s="61">
        <v>15.8</v>
      </c>
      <c r="F970" s="61">
        <v>99.9</v>
      </c>
      <c r="G970" s="61">
        <v>31</v>
      </c>
      <c r="H970" s="61">
        <v>29.5</v>
      </c>
      <c r="I970" s="61">
        <v>12.9</v>
      </c>
      <c r="J970" s="61">
        <v>42.6</v>
      </c>
      <c r="K970" s="61">
        <v>28.8</v>
      </c>
      <c r="L970" s="61">
        <v>44.1</v>
      </c>
      <c r="M970" s="61">
        <v>35</v>
      </c>
      <c r="N970" s="61">
        <v>55.6</v>
      </c>
      <c r="O970" s="85">
        <v>24.4</v>
      </c>
      <c r="P970" s="105"/>
      <c r="Q970" s="87">
        <f t="shared" si="87"/>
        <v>1.5606481643192468E-3</v>
      </c>
      <c r="R970" s="87">
        <f t="shared" si="93"/>
        <v>1.5093393218168362E-3</v>
      </c>
      <c r="S970" s="87">
        <f t="shared" si="93"/>
        <v>1.3758464959597637E-2</v>
      </c>
      <c r="T970" s="87">
        <f t="shared" si="93"/>
        <v>1.2739025777429932E-2</v>
      </c>
      <c r="U970" s="87">
        <f t="shared" si="93"/>
        <v>4.0120414899608541E-3</v>
      </c>
      <c r="V970" s="87">
        <f t="shared" si="93"/>
        <v>0</v>
      </c>
      <c r="W970" s="87">
        <f t="shared" si="93"/>
        <v>1.709443335930004E-2</v>
      </c>
      <c r="X970" s="87">
        <f t="shared" si="92"/>
        <v>7.782140442054949E-3</v>
      </c>
      <c r="Y970" s="87">
        <f t="shared" si="92"/>
        <v>4.7058910374127138E-3</v>
      </c>
      <c r="Z970" s="87">
        <f t="shared" si="92"/>
        <v>1.0471299867295437E-2</v>
      </c>
      <c r="AA970" s="87">
        <f t="shared" si="92"/>
        <v>9.1116803512558131E-3</v>
      </c>
      <c r="AB970" s="87">
        <f t="shared" si="92"/>
        <v>0</v>
      </c>
      <c r="AC970" s="87">
        <f t="shared" si="92"/>
        <v>0</v>
      </c>
      <c r="AD970" s="87">
        <f t="shared" si="91"/>
        <v>4.1067819526532812E-3</v>
      </c>
      <c r="AE970" s="90">
        <f t="shared" si="88"/>
        <v>6.1267809067378264E-3</v>
      </c>
    </row>
    <row r="971" spans="1:31" ht="15.5" x14ac:dyDescent="0.35">
      <c r="A971" s="82">
        <v>41172</v>
      </c>
      <c r="B971" s="83">
        <v>8372.9</v>
      </c>
      <c r="C971" s="84">
        <v>3176</v>
      </c>
      <c r="D971" s="61">
        <v>361</v>
      </c>
      <c r="E971" s="61">
        <v>15.7</v>
      </c>
      <c r="F971" s="61">
        <v>99.1</v>
      </c>
      <c r="G971" s="61">
        <v>30.9</v>
      </c>
      <c r="H971" s="61">
        <v>29.2</v>
      </c>
      <c r="I971" s="61">
        <v>13.1</v>
      </c>
      <c r="J971" s="61">
        <v>43</v>
      </c>
      <c r="K971" s="61">
        <v>25.8</v>
      </c>
      <c r="L971" s="61">
        <v>44.4</v>
      </c>
      <c r="M971" s="61">
        <v>34.4</v>
      </c>
      <c r="N971" s="61">
        <v>55.9</v>
      </c>
      <c r="O971" s="85">
        <v>24.1</v>
      </c>
      <c r="P971" s="105"/>
      <c r="Q971" s="87">
        <f t="shared" si="87"/>
        <v>-3.2909278869483944E-3</v>
      </c>
      <c r="R971" s="87">
        <f t="shared" si="93"/>
        <v>-2.0759294090571148E-3</v>
      </c>
      <c r="S971" s="87">
        <f t="shared" si="93"/>
        <v>6.6703971618483782E-3</v>
      </c>
      <c r="T971" s="87">
        <f t="shared" si="93"/>
        <v>-6.3492276786588919E-3</v>
      </c>
      <c r="U971" s="87">
        <f t="shared" si="93"/>
        <v>-8.0402443185656827E-3</v>
      </c>
      <c r="V971" s="87">
        <f t="shared" si="93"/>
        <v>-3.2310205814465318E-3</v>
      </c>
      <c r="W971" s="87">
        <f t="shared" si="93"/>
        <v>-1.0221554071538139E-2</v>
      </c>
      <c r="X971" s="87">
        <f t="shared" si="92"/>
        <v>1.5384918839479456E-2</v>
      </c>
      <c r="Y971" s="87">
        <f t="shared" si="92"/>
        <v>9.345862418237599E-3</v>
      </c>
      <c r="Z971" s="87">
        <f t="shared" si="92"/>
        <v>-0.11000089521432846</v>
      </c>
      <c r="AA971" s="87">
        <f t="shared" si="92"/>
        <v>6.7796869853787691E-3</v>
      </c>
      <c r="AB971" s="87">
        <f t="shared" si="92"/>
        <v>-1.7291497110061109E-2</v>
      </c>
      <c r="AC971" s="87">
        <f t="shared" si="92"/>
        <v>5.38117890451675E-3</v>
      </c>
      <c r="AD971" s="87">
        <f t="shared" si="91"/>
        <v>-1.2371291802546718E-2</v>
      </c>
      <c r="AE971" s="90">
        <f t="shared" si="88"/>
        <v>-2.472130044088403E-3</v>
      </c>
    </row>
    <row r="972" spans="1:31" ht="15.5" x14ac:dyDescent="0.35">
      <c r="A972" s="82">
        <v>41173</v>
      </c>
      <c r="B972" s="83">
        <v>8377.5</v>
      </c>
      <c r="C972" s="84">
        <v>3180</v>
      </c>
      <c r="D972" s="61">
        <v>365.4</v>
      </c>
      <c r="E972" s="61">
        <v>15.7</v>
      </c>
      <c r="F972" s="61">
        <v>99.9</v>
      </c>
      <c r="G972" s="61">
        <v>31.1</v>
      </c>
      <c r="H972" s="61">
        <v>29.2</v>
      </c>
      <c r="I972" s="61">
        <v>12.7</v>
      </c>
      <c r="J972" s="61">
        <v>43.8</v>
      </c>
      <c r="K972" s="61">
        <v>25.6</v>
      </c>
      <c r="L972" s="61">
        <v>44.9</v>
      </c>
      <c r="M972" s="61">
        <v>34.5</v>
      </c>
      <c r="N972" s="61">
        <v>55.4</v>
      </c>
      <c r="O972" s="85">
        <v>24.1</v>
      </c>
      <c r="P972" s="105"/>
      <c r="Q972" s="87">
        <f t="shared" si="87"/>
        <v>5.4924062895667254E-4</v>
      </c>
      <c r="R972" s="87">
        <f t="shared" si="93"/>
        <v>1.2586534071961062E-3</v>
      </c>
      <c r="S972" s="87">
        <f t="shared" si="93"/>
        <v>1.2114685611025262E-2</v>
      </c>
      <c r="T972" s="87">
        <f t="shared" si="93"/>
        <v>0</v>
      </c>
      <c r="U972" s="87">
        <f t="shared" si="93"/>
        <v>8.0402443185655439E-3</v>
      </c>
      <c r="V972" s="87">
        <f t="shared" si="93"/>
        <v>6.4516352814888165E-3</v>
      </c>
      <c r="W972" s="87">
        <f t="shared" si="93"/>
        <v>0</v>
      </c>
      <c r="X972" s="87">
        <f t="shared" si="92"/>
        <v>-3.1010236742560322E-2</v>
      </c>
      <c r="Y972" s="87">
        <f t="shared" si="92"/>
        <v>1.8433701688837966E-2</v>
      </c>
      <c r="Z972" s="87">
        <f t="shared" si="92"/>
        <v>-7.7821404420549628E-3</v>
      </c>
      <c r="AA972" s="87">
        <f t="shared" si="92"/>
        <v>1.1198325310029535E-2</v>
      </c>
      <c r="AB972" s="87">
        <f t="shared" si="92"/>
        <v>2.9027596579614102E-3</v>
      </c>
      <c r="AC972" s="87">
        <f t="shared" si="92"/>
        <v>-8.984786407815297E-3</v>
      </c>
      <c r="AD972" s="87">
        <f t="shared" si="91"/>
        <v>0</v>
      </c>
      <c r="AE972" s="90">
        <f t="shared" si="88"/>
        <v>6.2230460555669255E-3</v>
      </c>
    </row>
    <row r="973" spans="1:31" ht="15.5" x14ac:dyDescent="0.35">
      <c r="A973" s="82">
        <v>41176</v>
      </c>
      <c r="B973" s="83">
        <v>8356.6</v>
      </c>
      <c r="C973" s="84">
        <v>3160.8</v>
      </c>
      <c r="D973" s="61">
        <v>365.5</v>
      </c>
      <c r="E973" s="61">
        <v>15.6</v>
      </c>
      <c r="F973" s="61">
        <v>97.6</v>
      </c>
      <c r="G973" s="61">
        <v>30.6</v>
      </c>
      <c r="H973" s="61">
        <v>29.2</v>
      </c>
      <c r="I973" s="61">
        <v>12.6</v>
      </c>
      <c r="J973" s="61">
        <v>43.5</v>
      </c>
      <c r="K973" s="61">
        <v>24.5</v>
      </c>
      <c r="L973" s="61">
        <v>44.8</v>
      </c>
      <c r="M973" s="61">
        <v>34.9</v>
      </c>
      <c r="N973" s="61">
        <v>55.3</v>
      </c>
      <c r="O973" s="85">
        <v>23.5</v>
      </c>
      <c r="P973" s="105"/>
      <c r="Q973" s="87">
        <f t="shared" si="87"/>
        <v>-2.4978948216026623E-3</v>
      </c>
      <c r="R973" s="87">
        <f t="shared" si="93"/>
        <v>-6.056036677041474E-3</v>
      </c>
      <c r="S973" s="87">
        <f t="shared" si="93"/>
        <v>2.7363524592698298E-4</v>
      </c>
      <c r="T973" s="87">
        <f t="shared" si="93"/>
        <v>-6.38979809877101E-3</v>
      </c>
      <c r="U973" s="87">
        <f t="shared" si="93"/>
        <v>-2.3292192235461182E-2</v>
      </c>
      <c r="V973" s="87">
        <f t="shared" si="93"/>
        <v>-1.620781022685331E-2</v>
      </c>
      <c r="W973" s="87">
        <f t="shared" si="93"/>
        <v>0</v>
      </c>
      <c r="X973" s="87">
        <f t="shared" si="92"/>
        <v>-7.9051795071132611E-3</v>
      </c>
      <c r="Y973" s="87">
        <f t="shared" si="92"/>
        <v>-6.8728792877619524E-3</v>
      </c>
      <c r="Z973" s="87">
        <f t="shared" si="92"/>
        <v>-4.3919233934835489E-2</v>
      </c>
      <c r="AA973" s="87">
        <f t="shared" si="92"/>
        <v>-2.2296553272692031E-3</v>
      </c>
      <c r="AB973" s="87">
        <f t="shared" si="92"/>
        <v>1.1527505171067414E-2</v>
      </c>
      <c r="AC973" s="87">
        <f t="shared" si="92"/>
        <v>-1.8066852249490357E-3</v>
      </c>
      <c r="AD973" s="87">
        <f t="shared" si="91"/>
        <v>-2.5211419346496056E-2</v>
      </c>
      <c r="AE973" s="90">
        <f t="shared" si="88"/>
        <v>-1.1459725505431576E-2</v>
      </c>
    </row>
    <row r="974" spans="1:31" ht="15.5" x14ac:dyDescent="0.35">
      <c r="A974" s="82">
        <v>41177</v>
      </c>
      <c r="B974" s="83">
        <v>8274.7999999999993</v>
      </c>
      <c r="C974" s="84">
        <v>3117.7</v>
      </c>
      <c r="D974" s="61">
        <v>374.2</v>
      </c>
      <c r="E974" s="61">
        <v>15.7</v>
      </c>
      <c r="F974" s="61">
        <v>96.1</v>
      </c>
      <c r="G974" s="61">
        <v>30.4</v>
      </c>
      <c r="H974" s="61">
        <v>28.1</v>
      </c>
      <c r="I974" s="61">
        <v>12.1</v>
      </c>
      <c r="J974" s="61">
        <v>43.2</v>
      </c>
      <c r="K974" s="61">
        <v>24.6</v>
      </c>
      <c r="L974" s="61">
        <v>44.9</v>
      </c>
      <c r="M974" s="61">
        <v>34.700000000000003</v>
      </c>
      <c r="N974" s="61">
        <v>54.8</v>
      </c>
      <c r="O974" s="85">
        <v>23.8</v>
      </c>
      <c r="P974" s="105"/>
      <c r="Q974" s="87">
        <f t="shared" ref="Q974:Q1037" si="94">+LN(B974/B973)</f>
        <v>-9.8368940209687152E-3</v>
      </c>
      <c r="R974" s="87">
        <f t="shared" si="93"/>
        <v>-1.3729609631240577E-2</v>
      </c>
      <c r="S974" s="87">
        <f t="shared" si="93"/>
        <v>2.352413465015606E-2</v>
      </c>
      <c r="T974" s="87">
        <f t="shared" si="93"/>
        <v>6.3897980987709883E-3</v>
      </c>
      <c r="U974" s="87">
        <f t="shared" si="93"/>
        <v>-1.5488177442800026E-2</v>
      </c>
      <c r="V974" s="87">
        <f t="shared" si="93"/>
        <v>-6.5574005461591636E-3</v>
      </c>
      <c r="W974" s="87">
        <f t="shared" si="93"/>
        <v>-3.8399132934535909E-2</v>
      </c>
      <c r="X974" s="87">
        <f t="shared" si="92"/>
        <v>-4.0491361354736875E-2</v>
      </c>
      <c r="Y974" s="87">
        <f t="shared" si="92"/>
        <v>-6.9204428445736833E-3</v>
      </c>
      <c r="Z974" s="87">
        <f t="shared" si="92"/>
        <v>4.0733253876358688E-3</v>
      </c>
      <c r="AA974" s="87">
        <f t="shared" si="92"/>
        <v>2.2296553272690683E-3</v>
      </c>
      <c r="AB974" s="87">
        <f t="shared" si="92"/>
        <v>-5.7471422555678475E-3</v>
      </c>
      <c r="AC974" s="87">
        <f t="shared" si="92"/>
        <v>-9.0827145743192506E-3</v>
      </c>
      <c r="AD974" s="87">
        <f t="shared" si="91"/>
        <v>1.2685159527315861E-2</v>
      </c>
      <c r="AE974" s="90">
        <f t="shared" si="88"/>
        <v>-1.1521634846717419E-4</v>
      </c>
    </row>
    <row r="975" spans="1:31" ht="15.5" x14ac:dyDescent="0.35">
      <c r="A975" s="82">
        <v>41178</v>
      </c>
      <c r="B975" s="83">
        <v>8221.2999999999993</v>
      </c>
      <c r="C975" s="84">
        <v>3093.7</v>
      </c>
      <c r="D975" s="61">
        <v>370.9</v>
      </c>
      <c r="E975" s="61">
        <v>15.5</v>
      </c>
      <c r="F975" s="61">
        <v>94.5</v>
      </c>
      <c r="G975" s="61">
        <v>30</v>
      </c>
      <c r="H975" s="61">
        <v>28.1</v>
      </c>
      <c r="I975" s="61">
        <v>11.9</v>
      </c>
      <c r="J975" s="61">
        <v>42.9</v>
      </c>
      <c r="K975" s="61">
        <v>23.6</v>
      </c>
      <c r="L975" s="61">
        <v>45</v>
      </c>
      <c r="M975" s="61">
        <v>33.700000000000003</v>
      </c>
      <c r="N975" s="61">
        <v>53.9</v>
      </c>
      <c r="O975" s="85">
        <v>23.6</v>
      </c>
      <c r="P975" s="105"/>
      <c r="Q975" s="87">
        <f t="shared" si="94"/>
        <v>-6.4864043716145927E-3</v>
      </c>
      <c r="R975" s="87">
        <f t="shared" si="93"/>
        <v>-7.727764895702015E-3</v>
      </c>
      <c r="S975" s="87">
        <f t="shared" si="93"/>
        <v>-8.8579293444441907E-3</v>
      </c>
      <c r="T975" s="87">
        <f t="shared" si="93"/>
        <v>-1.2820688429061434E-2</v>
      </c>
      <c r="U975" s="87">
        <f t="shared" si="93"/>
        <v>-1.6789481476549691E-2</v>
      </c>
      <c r="V975" s="87">
        <f t="shared" si="93"/>
        <v>-1.3245226750020567E-2</v>
      </c>
      <c r="W975" s="87">
        <f t="shared" si="93"/>
        <v>0</v>
      </c>
      <c r="X975" s="87">
        <f t="shared" si="92"/>
        <v>-1.6667052485211647E-2</v>
      </c>
      <c r="Y975" s="87">
        <f t="shared" si="92"/>
        <v>-6.9686693160934277E-3</v>
      </c>
      <c r="Z975" s="87">
        <f t="shared" si="92"/>
        <v>-4.1499730906752734E-2</v>
      </c>
      <c r="AA975" s="87">
        <f t="shared" si="92"/>
        <v>2.2246950221111086E-3</v>
      </c>
      <c r="AB975" s="87">
        <f t="shared" si="92"/>
        <v>-2.9241849594497417E-2</v>
      </c>
      <c r="AC975" s="87">
        <f t="shared" si="92"/>
        <v>-1.6559716039018332E-2</v>
      </c>
      <c r="AD975" s="87">
        <f t="shared" si="91"/>
        <v>-8.4388686458645949E-3</v>
      </c>
      <c r="AE975" s="90">
        <f t="shared" ref="AE975:AE1038" si="95">+SUMPRODUCT(Q975:AD975,$Q$8:$AD$8)</f>
        <v>-1.0736167629711527E-2</v>
      </c>
    </row>
    <row r="976" spans="1:31" ht="15.5" x14ac:dyDescent="0.35">
      <c r="A976" s="82">
        <v>41179</v>
      </c>
      <c r="B976" s="83">
        <v>8303.7000000000007</v>
      </c>
      <c r="C976" s="84">
        <v>3136.6</v>
      </c>
      <c r="D976" s="61">
        <v>376.2</v>
      </c>
      <c r="E976" s="61">
        <v>15.8</v>
      </c>
      <c r="F976" s="61">
        <v>94.3</v>
      </c>
      <c r="G976" s="61">
        <v>29.9</v>
      </c>
      <c r="H976" s="61">
        <v>28.8</v>
      </c>
      <c r="I976" s="61">
        <v>12.4</v>
      </c>
      <c r="J976" s="61">
        <v>43.3</v>
      </c>
      <c r="K976" s="61">
        <v>24.4</v>
      </c>
      <c r="L976" s="61">
        <v>45</v>
      </c>
      <c r="M976" s="61">
        <v>34.1</v>
      </c>
      <c r="N976" s="61">
        <v>53.7</v>
      </c>
      <c r="O976" s="85">
        <v>23.7</v>
      </c>
      <c r="P976" s="105"/>
      <c r="Q976" s="87">
        <f t="shared" si="94"/>
        <v>9.9728511881585144E-3</v>
      </c>
      <c r="R976" s="87">
        <f t="shared" si="93"/>
        <v>1.3771625130085834E-2</v>
      </c>
      <c r="S976" s="87">
        <f t="shared" si="93"/>
        <v>1.4188432371384924E-2</v>
      </c>
      <c r="T976" s="87">
        <f t="shared" si="93"/>
        <v>1.9169916107720123E-2</v>
      </c>
      <c r="U976" s="87">
        <f t="shared" si="93"/>
        <v>-2.1186448602853259E-3</v>
      </c>
      <c r="V976" s="87">
        <f t="shared" si="93"/>
        <v>-3.3389012655147096E-3</v>
      </c>
      <c r="W976" s="87">
        <f t="shared" si="93"/>
        <v>2.4605810802200194E-2</v>
      </c>
      <c r="X976" s="87">
        <f t="shared" si="92"/>
        <v>4.1158072493507551E-2</v>
      </c>
      <c r="Y976" s="87">
        <f t="shared" si="92"/>
        <v>9.2808090744727831E-3</v>
      </c>
      <c r="Z976" s="87">
        <f t="shared" si="92"/>
        <v>3.3336420267591711E-2</v>
      </c>
      <c r="AA976" s="87">
        <f t="shared" si="92"/>
        <v>0</v>
      </c>
      <c r="AB976" s="87">
        <f t="shared" si="92"/>
        <v>1.1799546931155031E-2</v>
      </c>
      <c r="AC976" s="87">
        <f t="shared" si="92"/>
        <v>-3.7174764001324202E-3</v>
      </c>
      <c r="AD976" s="87">
        <f t="shared" si="91"/>
        <v>4.2283361095211049E-3</v>
      </c>
      <c r="AE976" s="90">
        <f t="shared" si="95"/>
        <v>8.1900346656316597E-3</v>
      </c>
    </row>
    <row r="977" spans="1:31" ht="15.5" x14ac:dyDescent="0.35">
      <c r="A977" s="82">
        <v>41180</v>
      </c>
      <c r="B977" s="83">
        <v>8251</v>
      </c>
      <c r="C977" s="84">
        <v>3116.2</v>
      </c>
      <c r="D977" s="61">
        <v>376</v>
      </c>
      <c r="E977" s="61">
        <v>15.9</v>
      </c>
      <c r="F977" s="61">
        <v>95.3</v>
      </c>
      <c r="G977" s="61">
        <v>29.7</v>
      </c>
      <c r="H977" s="61">
        <v>28.9</v>
      </c>
      <c r="I977" s="61">
        <v>12.1</v>
      </c>
      <c r="J977" s="61">
        <v>43.1</v>
      </c>
      <c r="K977" s="61">
        <v>24.2</v>
      </c>
      <c r="L977" s="61">
        <v>44.8</v>
      </c>
      <c r="M977" s="61">
        <v>34.200000000000003</v>
      </c>
      <c r="N977" s="61">
        <v>53.3</v>
      </c>
      <c r="O977" s="85">
        <v>23.2</v>
      </c>
      <c r="P977" s="105"/>
      <c r="Q977" s="87">
        <f t="shared" si="94"/>
        <v>-6.3667934810948479E-3</v>
      </c>
      <c r="R977" s="87">
        <f t="shared" si="93"/>
        <v>-6.5250999170701181E-3</v>
      </c>
      <c r="S977" s="87">
        <f t="shared" si="93"/>
        <v>-5.3177347703551225E-4</v>
      </c>
      <c r="T977" s="87">
        <f t="shared" si="93"/>
        <v>6.3091691932647556E-3</v>
      </c>
      <c r="U977" s="87">
        <f t="shared" si="93"/>
        <v>1.0548621020744541E-2</v>
      </c>
      <c r="V977" s="87">
        <f t="shared" si="93"/>
        <v>-6.7114345879868038E-3</v>
      </c>
      <c r="W977" s="87">
        <f t="shared" si="93"/>
        <v>3.4662079764861075E-3</v>
      </c>
      <c r="X977" s="87">
        <f t="shared" si="92"/>
        <v>-2.449102000829587E-2</v>
      </c>
      <c r="Y977" s="87">
        <f t="shared" si="92"/>
        <v>-4.6296378987419938E-3</v>
      </c>
      <c r="Z977" s="87">
        <f t="shared" si="92"/>
        <v>-8.23049913651548E-3</v>
      </c>
      <c r="AA977" s="87">
        <f t="shared" si="92"/>
        <v>-4.4543503493803087E-3</v>
      </c>
      <c r="AB977" s="87">
        <f t="shared" si="92"/>
        <v>2.9282597790883597E-3</v>
      </c>
      <c r="AC977" s="87">
        <f t="shared" si="92"/>
        <v>-7.4766703430202515E-3</v>
      </c>
      <c r="AD977" s="87">
        <f t="shared" si="91"/>
        <v>-2.1322769468821192E-2</v>
      </c>
      <c r="AE977" s="90">
        <f t="shared" si="95"/>
        <v>-1.6870571556473835E-3</v>
      </c>
    </row>
    <row r="978" spans="1:31" ht="15.5" x14ac:dyDescent="0.35">
      <c r="A978" s="82">
        <v>41183</v>
      </c>
      <c r="B978" s="83">
        <v>8284.4</v>
      </c>
      <c r="C978" s="84">
        <v>3113.5</v>
      </c>
      <c r="D978" s="61">
        <v>378.5</v>
      </c>
      <c r="E978" s="61">
        <v>15.8</v>
      </c>
      <c r="F978" s="61">
        <v>93.8</v>
      </c>
      <c r="G978" s="61">
        <v>29.4</v>
      </c>
      <c r="H978" s="61">
        <v>28.3</v>
      </c>
      <c r="I978" s="61">
        <v>12.2</v>
      </c>
      <c r="J978" s="61">
        <v>43.6</v>
      </c>
      <c r="K978" s="61">
        <v>24.5</v>
      </c>
      <c r="L978" s="61">
        <v>45</v>
      </c>
      <c r="M978" s="61">
        <v>34.200000000000003</v>
      </c>
      <c r="N978" s="61">
        <v>52.8</v>
      </c>
      <c r="O978" s="85">
        <v>23.7</v>
      </c>
      <c r="P978" s="105"/>
      <c r="Q978" s="87">
        <f t="shared" si="94"/>
        <v>4.0398230976526287E-3</v>
      </c>
      <c r="R978" s="87">
        <f t="shared" si="93"/>
        <v>-8.6681547074751535E-4</v>
      </c>
      <c r="S978" s="87">
        <f t="shared" si="93"/>
        <v>6.626929487608858E-3</v>
      </c>
      <c r="T978" s="87">
        <f t="shared" si="93"/>
        <v>-6.309169193264721E-3</v>
      </c>
      <c r="U978" s="87">
        <f t="shared" si="93"/>
        <v>-1.5864954647977457E-2</v>
      </c>
      <c r="V978" s="87">
        <f t="shared" si="93"/>
        <v>-1.0152371464018073E-2</v>
      </c>
      <c r="W978" s="87">
        <f t="shared" si="93"/>
        <v>-2.0979790469194407E-2</v>
      </c>
      <c r="X978" s="87">
        <f t="shared" si="92"/>
        <v>8.2304991365154435E-3</v>
      </c>
      <c r="Y978" s="87">
        <f t="shared" si="92"/>
        <v>1.1534153245286545E-2</v>
      </c>
      <c r="Z978" s="87">
        <f t="shared" si="92"/>
        <v>1.2320484388040657E-2</v>
      </c>
      <c r="AA978" s="87">
        <f t="shared" si="92"/>
        <v>4.4543503493803746E-3</v>
      </c>
      <c r="AB978" s="87">
        <f t="shared" si="92"/>
        <v>0</v>
      </c>
      <c r="AC978" s="87">
        <f t="shared" si="92"/>
        <v>-9.4251404595831097E-3</v>
      </c>
      <c r="AD978" s="87">
        <f t="shared" si="91"/>
        <v>2.1322769468821244E-2</v>
      </c>
      <c r="AE978" s="90">
        <f t="shared" si="95"/>
        <v>-2.6436087693176152E-4</v>
      </c>
    </row>
    <row r="979" spans="1:31" ht="15.5" x14ac:dyDescent="0.35">
      <c r="A979" s="82">
        <v>41184</v>
      </c>
      <c r="B979" s="83">
        <v>8295.1</v>
      </c>
      <c r="C979" s="84">
        <v>3120</v>
      </c>
      <c r="D979" s="61">
        <v>375.5</v>
      </c>
      <c r="E979" s="61">
        <v>15.9</v>
      </c>
      <c r="F979" s="61">
        <v>93</v>
      </c>
      <c r="G979" s="61">
        <v>29.5</v>
      </c>
      <c r="H979" s="61">
        <v>28.4</v>
      </c>
      <c r="I979" s="61">
        <v>12.1</v>
      </c>
      <c r="J979" s="61">
        <v>42.3</v>
      </c>
      <c r="K979" s="61">
        <v>23.2</v>
      </c>
      <c r="L979" s="61">
        <v>45.1</v>
      </c>
      <c r="M979" s="61">
        <v>34.1</v>
      </c>
      <c r="N979" s="61">
        <v>53.5</v>
      </c>
      <c r="O979" s="85">
        <v>23.6</v>
      </c>
      <c r="P979" s="105"/>
      <c r="Q979" s="87">
        <f t="shared" si="94"/>
        <v>1.290750804976145E-3</v>
      </c>
      <c r="R979" s="87">
        <f t="shared" si="93"/>
        <v>2.0855064910213611E-3</v>
      </c>
      <c r="S979" s="87">
        <f t="shared" si="93"/>
        <v>-7.9576016733140884E-3</v>
      </c>
      <c r="T979" s="87">
        <f t="shared" si="93"/>
        <v>6.3091691932647556E-3</v>
      </c>
      <c r="U979" s="87">
        <f t="shared" si="93"/>
        <v>-8.5653628589230455E-3</v>
      </c>
      <c r="V979" s="87">
        <f t="shared" si="93"/>
        <v>3.3955890011383287E-3</v>
      </c>
      <c r="W979" s="87">
        <f t="shared" si="93"/>
        <v>3.5273405179684406E-3</v>
      </c>
      <c r="X979" s="87">
        <f t="shared" si="92"/>
        <v>-8.23049913651548E-3</v>
      </c>
      <c r="Y979" s="87">
        <f t="shared" si="92"/>
        <v>-3.0270064302756451E-2</v>
      </c>
      <c r="Z979" s="87">
        <f t="shared" si="92"/>
        <v>-5.4520838878417112E-2</v>
      </c>
      <c r="AA979" s="87">
        <f t="shared" si="92"/>
        <v>2.2197567383130316E-3</v>
      </c>
      <c r="AB979" s="87">
        <f t="shared" si="92"/>
        <v>-2.9282597790884456E-3</v>
      </c>
      <c r="AC979" s="87">
        <f t="shared" si="92"/>
        <v>1.3170463189745227E-2</v>
      </c>
      <c r="AD979" s="87">
        <f t="shared" si="91"/>
        <v>-4.2283361095210642E-3</v>
      </c>
      <c r="AE979" s="90">
        <f t="shared" si="95"/>
        <v>-4.6676919314462134E-3</v>
      </c>
    </row>
    <row r="980" spans="1:31" ht="15.5" x14ac:dyDescent="0.35">
      <c r="A980" s="82">
        <v>41185</v>
      </c>
      <c r="B980" s="83">
        <v>8297.5</v>
      </c>
      <c r="C980" s="84">
        <v>3135.2</v>
      </c>
      <c r="D980" s="61">
        <v>376.5</v>
      </c>
      <c r="E980" s="61">
        <v>16</v>
      </c>
      <c r="F980" s="61">
        <v>94.7</v>
      </c>
      <c r="G980" s="61">
        <v>29.7</v>
      </c>
      <c r="H980" s="61">
        <v>27.7</v>
      </c>
      <c r="I980" s="61">
        <v>12.3</v>
      </c>
      <c r="J980" s="61">
        <v>41.3</v>
      </c>
      <c r="K980" s="61">
        <v>23.6</v>
      </c>
      <c r="L980" s="61">
        <v>45.3</v>
      </c>
      <c r="M980" s="61">
        <v>33.9</v>
      </c>
      <c r="N980" s="61">
        <v>53.4</v>
      </c>
      <c r="O980" s="85">
        <v>23.4</v>
      </c>
      <c r="P980" s="105"/>
      <c r="Q980" s="87">
        <f t="shared" si="94"/>
        <v>2.8928558715772274E-4</v>
      </c>
      <c r="R980" s="87">
        <f t="shared" si="93"/>
        <v>4.8599660818936909E-3</v>
      </c>
      <c r="S980" s="87">
        <f t="shared" si="93"/>
        <v>2.659576035758796E-3</v>
      </c>
      <c r="T980" s="87">
        <f t="shared" si="93"/>
        <v>6.269613013595395E-3</v>
      </c>
      <c r="U980" s="87">
        <f t="shared" si="93"/>
        <v>1.811450703877665E-2</v>
      </c>
      <c r="V980" s="87">
        <f t="shared" si="93"/>
        <v>6.7567824628796871E-3</v>
      </c>
      <c r="W980" s="87">
        <f t="shared" si="93"/>
        <v>-2.4956731973867507E-2</v>
      </c>
      <c r="X980" s="87">
        <f t="shared" si="92"/>
        <v>1.639380977567657E-2</v>
      </c>
      <c r="Y980" s="87">
        <f t="shared" si="92"/>
        <v>-2.392458608524525E-2</v>
      </c>
      <c r="Z980" s="87">
        <f t="shared" si="92"/>
        <v>1.7094433359300255E-2</v>
      </c>
      <c r="AA980" s="87">
        <f t="shared" si="92"/>
        <v>4.4247859803556357E-3</v>
      </c>
      <c r="AB980" s="87">
        <f t="shared" si="92"/>
        <v>-5.8823699030666364E-3</v>
      </c>
      <c r="AC980" s="87">
        <f t="shared" si="92"/>
        <v>-1.8709079358117313E-3</v>
      </c>
      <c r="AD980" s="87">
        <f t="shared" si="91"/>
        <v>-8.5106896679087302E-3</v>
      </c>
      <c r="AE980" s="90">
        <f t="shared" si="95"/>
        <v>6.3805797672862753E-3</v>
      </c>
    </row>
    <row r="981" spans="1:31" ht="15.5" x14ac:dyDescent="0.35">
      <c r="A981" s="82">
        <v>41186</v>
      </c>
      <c r="B981" s="83">
        <v>8376.2999999999993</v>
      </c>
      <c r="C981" s="84">
        <v>3149.5</v>
      </c>
      <c r="D981" s="61">
        <v>380.1</v>
      </c>
      <c r="E981" s="61">
        <v>16.2</v>
      </c>
      <c r="F981" s="61">
        <v>95.1</v>
      </c>
      <c r="G981" s="61">
        <v>29.6</v>
      </c>
      <c r="H981" s="61">
        <v>27.8</v>
      </c>
      <c r="I981" s="61">
        <v>12.4</v>
      </c>
      <c r="J981" s="61">
        <v>41.5</v>
      </c>
      <c r="K981" s="61">
        <v>23.5</v>
      </c>
      <c r="L981" s="61">
        <v>45.9</v>
      </c>
      <c r="M981" s="61">
        <v>34.299999999999997</v>
      </c>
      <c r="N981" s="61">
        <v>54.2</v>
      </c>
      <c r="O981" s="85">
        <v>23.5</v>
      </c>
      <c r="P981" s="105"/>
      <c r="Q981" s="87">
        <f t="shared" si="94"/>
        <v>9.4520249337544226E-3</v>
      </c>
      <c r="R981" s="87">
        <f t="shared" si="93"/>
        <v>4.5507421765620844E-3</v>
      </c>
      <c r="S981" s="87">
        <f t="shared" si="93"/>
        <v>9.5163287552548267E-3</v>
      </c>
      <c r="T981" s="87">
        <f t="shared" si="93"/>
        <v>1.242251999855711E-2</v>
      </c>
      <c r="U981" s="87">
        <f t="shared" si="93"/>
        <v>4.2149693593119108E-3</v>
      </c>
      <c r="V981" s="87">
        <f t="shared" si="93"/>
        <v>-3.3726844786391187E-3</v>
      </c>
      <c r="W981" s="87">
        <f t="shared" si="93"/>
        <v>3.6036075032986181E-3</v>
      </c>
      <c r="X981" s="87">
        <f t="shared" si="92"/>
        <v>8.0972102326193028E-3</v>
      </c>
      <c r="Y981" s="87">
        <f t="shared" si="92"/>
        <v>4.8309272696655924E-3</v>
      </c>
      <c r="Z981" s="87">
        <f t="shared" si="92"/>
        <v>-4.2462908814512078E-3</v>
      </c>
      <c r="AA981" s="87">
        <f t="shared" si="92"/>
        <v>1.3158084577511201E-2</v>
      </c>
      <c r="AB981" s="87">
        <f t="shared" si="92"/>
        <v>1.17303397854896E-2</v>
      </c>
      <c r="AC981" s="87">
        <f t="shared" si="92"/>
        <v>1.4870162479451407E-2</v>
      </c>
      <c r="AD981" s="87">
        <f t="shared" si="91"/>
        <v>4.264398786457518E-3</v>
      </c>
      <c r="AE981" s="90">
        <f t="shared" si="95"/>
        <v>5.8736737327625722E-3</v>
      </c>
    </row>
    <row r="982" spans="1:31" ht="15.5" x14ac:dyDescent="0.35">
      <c r="A982" s="82">
        <v>41187</v>
      </c>
      <c r="B982" s="83">
        <v>8384.1</v>
      </c>
      <c r="C982" s="84">
        <v>3136.2</v>
      </c>
      <c r="D982" s="61">
        <v>382.9</v>
      </c>
      <c r="E982" s="61">
        <v>16.100000000000001</v>
      </c>
      <c r="F982" s="61">
        <v>93</v>
      </c>
      <c r="G982" s="61">
        <v>29.7</v>
      </c>
      <c r="H982" s="61">
        <v>28.7</v>
      </c>
      <c r="I982" s="61">
        <v>12.7</v>
      </c>
      <c r="J982" s="61">
        <v>41.8</v>
      </c>
      <c r="K982" s="61">
        <v>23.8</v>
      </c>
      <c r="L982" s="61">
        <v>45.9</v>
      </c>
      <c r="M982" s="61">
        <v>34.9</v>
      </c>
      <c r="N982" s="61">
        <v>54.5</v>
      </c>
      <c r="O982" s="85">
        <v>23.7</v>
      </c>
      <c r="P982" s="105"/>
      <c r="Q982" s="87">
        <f t="shared" si="94"/>
        <v>9.3076544272361521E-4</v>
      </c>
      <c r="R982" s="87">
        <f t="shared" si="93"/>
        <v>-4.2318341150525494E-3</v>
      </c>
      <c r="S982" s="87">
        <f t="shared" si="93"/>
        <v>7.3394824880457484E-3</v>
      </c>
      <c r="T982" s="87">
        <f t="shared" si="93"/>
        <v>-6.1919702479209951E-3</v>
      </c>
      <c r="U982" s="87">
        <f t="shared" si="93"/>
        <v>-2.2329476398088657E-2</v>
      </c>
      <c r="V982" s="87">
        <f t="shared" si="93"/>
        <v>3.372684478639156E-3</v>
      </c>
      <c r="W982" s="87">
        <f t="shared" si="93"/>
        <v>3.1861102068984064E-2</v>
      </c>
      <c r="X982" s="87">
        <f t="shared" si="92"/>
        <v>2.3905520853554386E-2</v>
      </c>
      <c r="Y982" s="87">
        <f t="shared" si="92"/>
        <v>7.2029122940580163E-3</v>
      </c>
      <c r="Z982" s="87">
        <f t="shared" si="92"/>
        <v>1.2685159527315861E-2</v>
      </c>
      <c r="AA982" s="87">
        <f t="shared" si="92"/>
        <v>0</v>
      </c>
      <c r="AB982" s="87">
        <f t="shared" si="92"/>
        <v>1.7341475036487392E-2</v>
      </c>
      <c r="AC982" s="87">
        <f t="shared" si="92"/>
        <v>5.5197932235979017E-3</v>
      </c>
      <c r="AD982" s="87">
        <f t="shared" si="91"/>
        <v>8.4746269909722356E-3</v>
      </c>
      <c r="AE982" s="90">
        <f t="shared" si="95"/>
        <v>-4.4745376715696573E-3</v>
      </c>
    </row>
    <row r="983" spans="1:31" ht="15.5" x14ac:dyDescent="0.35">
      <c r="A983" s="82">
        <v>41190</v>
      </c>
      <c r="B983" s="83">
        <v>8359.1</v>
      </c>
      <c r="C983" s="84">
        <v>3112.4</v>
      </c>
      <c r="D983" s="61">
        <v>377.5</v>
      </c>
      <c r="E983" s="61">
        <v>16</v>
      </c>
      <c r="F983" s="61">
        <v>90.9</v>
      </c>
      <c r="G983" s="61">
        <v>29.6</v>
      </c>
      <c r="H983" s="61">
        <v>28.9</v>
      </c>
      <c r="I983" s="61">
        <v>12.5</v>
      </c>
      <c r="J983" s="61">
        <v>41.5</v>
      </c>
      <c r="K983" s="61">
        <v>23.7</v>
      </c>
      <c r="L983" s="61">
        <v>45.8</v>
      </c>
      <c r="M983" s="61">
        <v>34.799999999999997</v>
      </c>
      <c r="N983" s="61">
        <v>54.2</v>
      </c>
      <c r="O983" s="85">
        <v>23.7</v>
      </c>
      <c r="P983" s="105"/>
      <c r="Q983" s="87">
        <f t="shared" si="94"/>
        <v>-2.986289189522112E-3</v>
      </c>
      <c r="R983" s="87">
        <f t="shared" si="93"/>
        <v>-7.6177432041560434E-3</v>
      </c>
      <c r="S983" s="87">
        <f t="shared" si="93"/>
        <v>-1.4203289794169318E-2</v>
      </c>
      <c r="T983" s="87">
        <f t="shared" si="93"/>
        <v>-6.2305497506361975E-3</v>
      </c>
      <c r="U983" s="87">
        <f t="shared" si="93"/>
        <v>-2.2839491969822677E-2</v>
      </c>
      <c r="V983" s="87">
        <f t="shared" si="93"/>
        <v>-3.3726844786391187E-3</v>
      </c>
      <c r="W983" s="87">
        <f t="shared" si="93"/>
        <v>6.944472352810995E-3</v>
      </c>
      <c r="X983" s="87">
        <f t="shared" si="92"/>
        <v>-1.5873349156290122E-2</v>
      </c>
      <c r="Y983" s="87">
        <f t="shared" si="92"/>
        <v>-7.2029122940579973E-3</v>
      </c>
      <c r="Z983" s="87">
        <f t="shared" si="92"/>
        <v>-4.2105325363436053E-3</v>
      </c>
      <c r="AA983" s="87">
        <f t="shared" si="92"/>
        <v>-2.1810259463602259E-3</v>
      </c>
      <c r="AB983" s="87">
        <f t="shared" si="92"/>
        <v>-2.8694424279528201E-3</v>
      </c>
      <c r="AC983" s="87">
        <f t="shared" si="92"/>
        <v>-5.5197932235978098E-3</v>
      </c>
      <c r="AD983" s="87">
        <f t="shared" si="91"/>
        <v>0</v>
      </c>
      <c r="AE983" s="90">
        <f t="shared" si="95"/>
        <v>-1.2972323436547013E-2</v>
      </c>
    </row>
    <row r="984" spans="1:31" ht="15.5" x14ac:dyDescent="0.35">
      <c r="A984" s="82">
        <v>41191</v>
      </c>
      <c r="B984" s="83">
        <v>8279.1</v>
      </c>
      <c r="C984" s="84">
        <v>3065</v>
      </c>
      <c r="D984" s="61">
        <v>371.6</v>
      </c>
      <c r="E984" s="61">
        <v>15.8</v>
      </c>
      <c r="F984" s="61">
        <v>89.1</v>
      </c>
      <c r="G984" s="61">
        <v>29.2</v>
      </c>
      <c r="H984" s="61">
        <v>28.3</v>
      </c>
      <c r="I984" s="61">
        <v>12.3</v>
      </c>
      <c r="J984" s="61">
        <v>41.4</v>
      </c>
      <c r="K984" s="61">
        <v>23.9</v>
      </c>
      <c r="L984" s="61">
        <v>46</v>
      </c>
      <c r="M984" s="61">
        <v>34.9</v>
      </c>
      <c r="N984" s="61">
        <v>54.5</v>
      </c>
      <c r="O984" s="85">
        <v>23.6</v>
      </c>
      <c r="P984" s="105"/>
      <c r="Q984" s="87">
        <f t="shared" si="94"/>
        <v>-9.6164989617544445E-3</v>
      </c>
      <c r="R984" s="87">
        <f t="shared" si="93"/>
        <v>-1.534656337246328E-2</v>
      </c>
      <c r="S984" s="87">
        <f t="shared" si="93"/>
        <v>-1.5752561749395832E-2</v>
      </c>
      <c r="T984" s="87">
        <f t="shared" si="93"/>
        <v>-1.2578782206860073E-2</v>
      </c>
      <c r="U984" s="87">
        <f t="shared" si="93"/>
        <v>-2.0000666706669654E-2</v>
      </c>
      <c r="V984" s="87">
        <f t="shared" si="93"/>
        <v>-1.3605652055778709E-2</v>
      </c>
      <c r="W984" s="87">
        <f t="shared" si="93"/>
        <v>-2.0979790469194407E-2</v>
      </c>
      <c r="X984" s="87">
        <f t="shared" si="92"/>
        <v>-1.6129381929883529E-2</v>
      </c>
      <c r="Y984" s="87">
        <f t="shared" si="92"/>
        <v>-2.4125464053839896E-3</v>
      </c>
      <c r="Z984" s="87">
        <f t="shared" si="92"/>
        <v>8.4034107963793792E-3</v>
      </c>
      <c r="AA984" s="87">
        <f t="shared" si="92"/>
        <v>4.3573053689558473E-3</v>
      </c>
      <c r="AB984" s="87">
        <f t="shared" si="92"/>
        <v>2.8694424279529607E-3</v>
      </c>
      <c r="AC984" s="87">
        <f t="shared" si="92"/>
        <v>5.5197932235979017E-3</v>
      </c>
      <c r="AD984" s="87">
        <f t="shared" si="91"/>
        <v>-4.2283361095210642E-3</v>
      </c>
      <c r="AE984" s="90">
        <f t="shared" si="95"/>
        <v>-1.5444813469145351E-2</v>
      </c>
    </row>
    <row r="985" spans="1:31" ht="15.5" x14ac:dyDescent="0.35">
      <c r="A985" s="82">
        <v>41192</v>
      </c>
      <c r="B985" s="83">
        <v>8229.2000000000007</v>
      </c>
      <c r="C985" s="84">
        <v>3051.8</v>
      </c>
      <c r="D985" s="61">
        <v>369.5</v>
      </c>
      <c r="E985" s="61">
        <v>15.8</v>
      </c>
      <c r="F985" s="61">
        <v>91</v>
      </c>
      <c r="G985" s="61">
        <v>29</v>
      </c>
      <c r="H985" s="61">
        <v>28</v>
      </c>
      <c r="I985" s="61">
        <v>12.3</v>
      </c>
      <c r="J985" s="61">
        <v>41.4</v>
      </c>
      <c r="K985" s="61">
        <v>24.1</v>
      </c>
      <c r="L985" s="61">
        <v>45.4</v>
      </c>
      <c r="M985" s="61">
        <v>34.6</v>
      </c>
      <c r="N985" s="61">
        <v>54.5</v>
      </c>
      <c r="O985" s="85">
        <v>23.5</v>
      </c>
      <c r="P985" s="105"/>
      <c r="Q985" s="87">
        <f t="shared" si="94"/>
        <v>-6.0454622192553072E-3</v>
      </c>
      <c r="R985" s="87">
        <f t="shared" si="93"/>
        <v>-4.3159889126764446E-3</v>
      </c>
      <c r="S985" s="87">
        <f t="shared" si="93"/>
        <v>-5.6672665514270748E-3</v>
      </c>
      <c r="T985" s="87">
        <f t="shared" si="93"/>
        <v>0</v>
      </c>
      <c r="U985" s="87">
        <f t="shared" si="93"/>
        <v>2.1100172040086428E-2</v>
      </c>
      <c r="V985" s="87">
        <f t="shared" si="93"/>
        <v>-6.8728792877620643E-3</v>
      </c>
      <c r="W985" s="87">
        <f t="shared" si="93"/>
        <v>-1.0657294473988093E-2</v>
      </c>
      <c r="X985" s="87">
        <f t="shared" si="92"/>
        <v>0</v>
      </c>
      <c r="Y985" s="87">
        <f t="shared" si="92"/>
        <v>0</v>
      </c>
      <c r="Z985" s="87">
        <f t="shared" si="92"/>
        <v>8.3333815591444607E-3</v>
      </c>
      <c r="AA985" s="87">
        <f t="shared" si="92"/>
        <v>-1.3129291441792736E-2</v>
      </c>
      <c r="AB985" s="87">
        <f t="shared" si="92"/>
        <v>-8.6331471447027783E-3</v>
      </c>
      <c r="AC985" s="87">
        <f t="shared" si="92"/>
        <v>0</v>
      </c>
      <c r="AD985" s="87">
        <f t="shared" si="91"/>
        <v>-4.2462908814512078E-3</v>
      </c>
      <c r="AE985" s="90">
        <f t="shared" si="95"/>
        <v>2.5643465780715285E-3</v>
      </c>
    </row>
    <row r="986" spans="1:31" ht="15.5" x14ac:dyDescent="0.35">
      <c r="A986" s="82">
        <v>41193</v>
      </c>
      <c r="B986" s="83">
        <v>8256.6</v>
      </c>
      <c r="C986" s="84">
        <v>3049.4</v>
      </c>
      <c r="D986" s="61">
        <v>375.5</v>
      </c>
      <c r="E986" s="61">
        <v>15.8</v>
      </c>
      <c r="F986" s="61">
        <v>89.7</v>
      </c>
      <c r="G986" s="61">
        <v>28.9</v>
      </c>
      <c r="H986" s="61">
        <v>27.5</v>
      </c>
      <c r="I986" s="61">
        <v>12.4</v>
      </c>
      <c r="J986" s="61">
        <v>41.8</v>
      </c>
      <c r="K986" s="61">
        <v>24.6</v>
      </c>
      <c r="L986" s="61">
        <v>45.4</v>
      </c>
      <c r="M986" s="61">
        <v>34.799999999999997</v>
      </c>
      <c r="N986" s="61">
        <v>54.5</v>
      </c>
      <c r="O986" s="85">
        <v>23.6</v>
      </c>
      <c r="P986" s="105"/>
      <c r="Q986" s="87">
        <f t="shared" si="94"/>
        <v>3.3240758992152848E-3</v>
      </c>
      <c r="R986" s="87">
        <f t="shared" si="93"/>
        <v>-7.8673051982858005E-4</v>
      </c>
      <c r="S986" s="87">
        <f t="shared" si="93"/>
        <v>1.610773081593295E-2</v>
      </c>
      <c r="T986" s="87">
        <f t="shared" si="93"/>
        <v>0</v>
      </c>
      <c r="U986" s="87">
        <f t="shared" si="93"/>
        <v>-1.4388737452099556E-2</v>
      </c>
      <c r="V986" s="87">
        <f t="shared" si="93"/>
        <v>-3.4542348680875576E-3</v>
      </c>
      <c r="W986" s="87">
        <f t="shared" si="93"/>
        <v>-1.8018505502678365E-2</v>
      </c>
      <c r="X986" s="87">
        <f t="shared" si="92"/>
        <v>8.0972102326193028E-3</v>
      </c>
      <c r="Y986" s="87">
        <f t="shared" si="92"/>
        <v>9.6154586994419734E-3</v>
      </c>
      <c r="Z986" s="87">
        <f t="shared" si="92"/>
        <v>2.0534602441707735E-2</v>
      </c>
      <c r="AA986" s="87">
        <f t="shared" si="92"/>
        <v>0</v>
      </c>
      <c r="AB986" s="87">
        <f t="shared" si="92"/>
        <v>5.7637047167499126E-3</v>
      </c>
      <c r="AC986" s="87">
        <f t="shared" si="92"/>
        <v>0</v>
      </c>
      <c r="AD986" s="87">
        <f t="shared" si="91"/>
        <v>4.2462908814512243E-3</v>
      </c>
      <c r="AE986" s="90">
        <f t="shared" si="95"/>
        <v>8.8177678972545161E-4</v>
      </c>
    </row>
    <row r="987" spans="1:31" ht="15.5" x14ac:dyDescent="0.35">
      <c r="A987" s="82">
        <v>41194</v>
      </c>
      <c r="B987" s="83">
        <v>8227.1</v>
      </c>
      <c r="C987" s="84">
        <v>3044.1</v>
      </c>
      <c r="D987" s="61">
        <v>372.4</v>
      </c>
      <c r="E987" s="61">
        <v>15.9</v>
      </c>
      <c r="F987" s="61">
        <v>89.3</v>
      </c>
      <c r="G987" s="61">
        <v>28.8</v>
      </c>
      <c r="H987" s="61">
        <v>28.2</v>
      </c>
      <c r="I987" s="61">
        <v>12.2</v>
      </c>
      <c r="J987" s="61">
        <v>41.3</v>
      </c>
      <c r="K987" s="61">
        <v>25.6</v>
      </c>
      <c r="L987" s="61">
        <v>45.6</v>
      </c>
      <c r="M987" s="61">
        <v>34.6</v>
      </c>
      <c r="N987" s="61">
        <v>54</v>
      </c>
      <c r="O987" s="85">
        <v>23.6</v>
      </c>
      <c r="P987" s="105"/>
      <c r="Q987" s="87">
        <f t="shared" si="94"/>
        <v>-3.5792973051692739E-3</v>
      </c>
      <c r="R987" s="87">
        <f t="shared" si="93"/>
        <v>-1.7395589846598614E-3</v>
      </c>
      <c r="S987" s="87">
        <f t="shared" si="93"/>
        <v>-8.2899258012775357E-3</v>
      </c>
      <c r="T987" s="87">
        <f t="shared" si="93"/>
        <v>6.3091691932647556E-3</v>
      </c>
      <c r="U987" s="87">
        <f t="shared" si="93"/>
        <v>-4.469281182297143E-3</v>
      </c>
      <c r="V987" s="87">
        <f t="shared" si="93"/>
        <v>-3.4662079764861725E-3</v>
      </c>
      <c r="W987" s="87">
        <f t="shared" si="93"/>
        <v>2.5135973271542239E-2</v>
      </c>
      <c r="X987" s="87">
        <f t="shared" si="92"/>
        <v>-1.6260520871780405E-2</v>
      </c>
      <c r="Y987" s="87">
        <f t="shared" si="92"/>
        <v>-1.2033839563723565E-2</v>
      </c>
      <c r="Z987" s="87">
        <f t="shared" si="92"/>
        <v>3.9845908547199563E-2</v>
      </c>
      <c r="AA987" s="87">
        <f t="shared" si="92"/>
        <v>4.3956114730381293E-3</v>
      </c>
      <c r="AB987" s="87">
        <f t="shared" si="92"/>
        <v>-5.7637047167499065E-3</v>
      </c>
      <c r="AC987" s="87">
        <f t="shared" si="92"/>
        <v>-9.2166551049239522E-3</v>
      </c>
      <c r="AD987" s="87">
        <f t="shared" si="91"/>
        <v>0</v>
      </c>
      <c r="AE987" s="90">
        <f t="shared" si="95"/>
        <v>-4.2263661959158925E-3</v>
      </c>
    </row>
    <row r="988" spans="1:31" ht="15.5" x14ac:dyDescent="0.35">
      <c r="A988" s="82">
        <v>41197</v>
      </c>
      <c r="B988" s="83">
        <v>8293.5</v>
      </c>
      <c r="C988" s="84">
        <v>3064.2</v>
      </c>
      <c r="D988" s="61">
        <v>365.7</v>
      </c>
      <c r="E988" s="61">
        <v>15.7</v>
      </c>
      <c r="F988" s="61">
        <v>89.1</v>
      </c>
      <c r="G988" s="61">
        <v>29.3</v>
      </c>
      <c r="H988" s="61">
        <v>27.6</v>
      </c>
      <c r="I988" s="61">
        <v>12.2</v>
      </c>
      <c r="J988" s="61">
        <v>41.6</v>
      </c>
      <c r="K988" s="61">
        <v>25.6</v>
      </c>
      <c r="L988" s="61">
        <v>45.7</v>
      </c>
      <c r="M988" s="61">
        <v>34.700000000000003</v>
      </c>
      <c r="N988" s="61">
        <v>54.3</v>
      </c>
      <c r="O988" s="85">
        <v>23.6</v>
      </c>
      <c r="P988" s="105"/>
      <c r="Q988" s="87">
        <f t="shared" si="94"/>
        <v>8.0384922519756256E-3</v>
      </c>
      <c r="R988" s="87">
        <f t="shared" si="93"/>
        <v>6.5812329285063805E-3</v>
      </c>
      <c r="S988" s="87">
        <f t="shared" si="93"/>
        <v>-1.815522024757639E-2</v>
      </c>
      <c r="T988" s="87">
        <f t="shared" si="93"/>
        <v>-1.2658396871923577E-2</v>
      </c>
      <c r="U988" s="87">
        <f t="shared" si="93"/>
        <v>-2.2421534056897229E-3</v>
      </c>
      <c r="V988" s="87">
        <f t="shared" si="93"/>
        <v>1.7212128881121426E-2</v>
      </c>
      <c r="W988" s="87">
        <f t="shared" si="93"/>
        <v>-2.1506205220963505E-2</v>
      </c>
      <c r="X988" s="87">
        <f t="shared" si="92"/>
        <v>0</v>
      </c>
      <c r="Y988" s="87">
        <f t="shared" si="92"/>
        <v>7.2376673002306031E-3</v>
      </c>
      <c r="Z988" s="87">
        <f t="shared" si="92"/>
        <v>0</v>
      </c>
      <c r="AA988" s="87">
        <f t="shared" si="92"/>
        <v>2.1905813798186818E-3</v>
      </c>
      <c r="AB988" s="87">
        <f t="shared" si="92"/>
        <v>2.886004889135073E-3</v>
      </c>
      <c r="AC988" s="87">
        <f t="shared" si="92"/>
        <v>5.5401803756153509E-3</v>
      </c>
      <c r="AD988" s="87">
        <f t="shared" si="91"/>
        <v>0</v>
      </c>
      <c r="AE988" s="90">
        <f t="shared" si="95"/>
        <v>-3.9836050529947625E-3</v>
      </c>
    </row>
    <row r="989" spans="1:31" ht="15.5" x14ac:dyDescent="0.35">
      <c r="A989" s="82">
        <v>41198</v>
      </c>
      <c r="B989" s="83">
        <v>8386.5</v>
      </c>
      <c r="C989" s="84">
        <v>3101.2</v>
      </c>
      <c r="D989" s="61">
        <v>368.6</v>
      </c>
      <c r="E989" s="61">
        <v>15.8</v>
      </c>
      <c r="F989" s="61">
        <v>90.1</v>
      </c>
      <c r="G989" s="61">
        <v>29.3</v>
      </c>
      <c r="H989" s="61">
        <v>27.3</v>
      </c>
      <c r="I989" s="61">
        <v>11.9</v>
      </c>
      <c r="J989" s="61">
        <v>41.6</v>
      </c>
      <c r="K989" s="61">
        <v>25.9</v>
      </c>
      <c r="L989" s="61">
        <v>46.7</v>
      </c>
      <c r="M989" s="61">
        <v>35.1</v>
      </c>
      <c r="N989" s="61">
        <v>55</v>
      </c>
      <c r="O989" s="85">
        <v>24</v>
      </c>
      <c r="P989" s="105"/>
      <c r="Q989" s="87">
        <f t="shared" si="94"/>
        <v>1.1151194688712365E-2</v>
      </c>
      <c r="R989" s="87">
        <f t="shared" si="93"/>
        <v>1.2002609463150793E-2</v>
      </c>
      <c r="S989" s="87">
        <f t="shared" si="93"/>
        <v>7.8987200803874308E-3</v>
      </c>
      <c r="T989" s="87">
        <f t="shared" si="93"/>
        <v>6.3492276786587445E-3</v>
      </c>
      <c r="U989" s="87">
        <f t="shared" si="93"/>
        <v>1.1160830137528555E-2</v>
      </c>
      <c r="V989" s="87">
        <f t="shared" si="93"/>
        <v>0</v>
      </c>
      <c r="W989" s="87">
        <f t="shared" si="93"/>
        <v>-1.0929070532190317E-2</v>
      </c>
      <c r="X989" s="87">
        <f t="shared" si="92"/>
        <v>-2.4897551621727087E-2</v>
      </c>
      <c r="Y989" s="87">
        <f t="shared" si="92"/>
        <v>0</v>
      </c>
      <c r="Z989" s="87">
        <f t="shared" si="92"/>
        <v>1.1650617219975054E-2</v>
      </c>
      <c r="AA989" s="87">
        <f t="shared" si="92"/>
        <v>2.1645866774692508E-2</v>
      </c>
      <c r="AB989" s="87">
        <f t="shared" si="92"/>
        <v>1.1461443519006598E-2</v>
      </c>
      <c r="AC989" s="87">
        <f t="shared" si="92"/>
        <v>1.2808958292581241E-2</v>
      </c>
      <c r="AD989" s="87">
        <f t="shared" si="91"/>
        <v>1.6807118316381191E-2</v>
      </c>
      <c r="AE989" s="90">
        <f t="shared" si="95"/>
        <v>1.1144419209480791E-2</v>
      </c>
    </row>
    <row r="990" spans="1:31" ht="15.5" x14ac:dyDescent="0.35">
      <c r="A990" s="82">
        <v>41199</v>
      </c>
      <c r="B990" s="83">
        <v>8446.5</v>
      </c>
      <c r="C990" s="84">
        <v>3104.1</v>
      </c>
      <c r="D990" s="61">
        <v>370.5</v>
      </c>
      <c r="E990" s="61">
        <v>15.8</v>
      </c>
      <c r="F990" s="61">
        <v>92</v>
      </c>
      <c r="G990" s="61">
        <v>29.1</v>
      </c>
      <c r="H990" s="61">
        <v>21.3</v>
      </c>
      <c r="I990" s="61">
        <v>12.6</v>
      </c>
      <c r="J990" s="61">
        <v>40.700000000000003</v>
      </c>
      <c r="K990" s="61">
        <v>25.9</v>
      </c>
      <c r="L990" s="61">
        <v>47.1</v>
      </c>
      <c r="M990" s="61">
        <v>36.4</v>
      </c>
      <c r="N990" s="61">
        <v>55.3</v>
      </c>
      <c r="O990" s="85">
        <v>24.2</v>
      </c>
      <c r="P990" s="105"/>
      <c r="Q990" s="87">
        <f t="shared" si="94"/>
        <v>7.1288842279731476E-3</v>
      </c>
      <c r="R990" s="87">
        <f t="shared" si="93"/>
        <v>9.346849342107092E-4</v>
      </c>
      <c r="S990" s="87">
        <f t="shared" si="93"/>
        <v>5.1413995004186523E-3</v>
      </c>
      <c r="T990" s="87">
        <f t="shared" si="93"/>
        <v>0</v>
      </c>
      <c r="U990" s="87">
        <f t="shared" si="93"/>
        <v>2.0868412434748101E-2</v>
      </c>
      <c r="V990" s="87">
        <f t="shared" si="93"/>
        <v>-6.849341845574783E-3</v>
      </c>
      <c r="W990" s="87">
        <f t="shared" si="93"/>
        <v>-0.24817962947553462</v>
      </c>
      <c r="X990" s="87">
        <f t="shared" si="92"/>
        <v>5.7158413839948623E-2</v>
      </c>
      <c r="Y990" s="87">
        <f t="shared" si="92"/>
        <v>-2.1872074818668215E-2</v>
      </c>
      <c r="Z990" s="87">
        <f t="shared" si="92"/>
        <v>0</v>
      </c>
      <c r="AA990" s="87">
        <f t="shared" si="92"/>
        <v>8.5288363475205017E-3</v>
      </c>
      <c r="AB990" s="87">
        <f t="shared" si="92"/>
        <v>3.6367644170874791E-2</v>
      </c>
      <c r="AC990" s="87">
        <f t="shared" si="92"/>
        <v>5.4397232958181213E-3</v>
      </c>
      <c r="AD990" s="87">
        <f t="shared" si="91"/>
        <v>8.2988028146950641E-3</v>
      </c>
      <c r="AE990" s="90">
        <f t="shared" si="95"/>
        <v>8.7611851021074452E-3</v>
      </c>
    </row>
    <row r="991" spans="1:31" ht="15.5" x14ac:dyDescent="0.35">
      <c r="A991" s="82">
        <v>41200</v>
      </c>
      <c r="B991" s="83">
        <v>8442.7999999999993</v>
      </c>
      <c r="C991" s="84">
        <v>3072.9</v>
      </c>
      <c r="D991" s="61">
        <v>338.3</v>
      </c>
      <c r="E991" s="61">
        <v>15.8</v>
      </c>
      <c r="F991" s="61">
        <v>90</v>
      </c>
      <c r="G991" s="61">
        <v>29.3</v>
      </c>
      <c r="H991" s="61">
        <v>20.5</v>
      </c>
      <c r="I991" s="61">
        <v>12.6</v>
      </c>
      <c r="J991" s="61">
        <v>41.1</v>
      </c>
      <c r="K991" s="61">
        <v>26.4</v>
      </c>
      <c r="L991" s="61">
        <v>47.3</v>
      </c>
      <c r="M991" s="61">
        <v>36.9</v>
      </c>
      <c r="N991" s="61">
        <v>56.5</v>
      </c>
      <c r="O991" s="85">
        <v>24.3</v>
      </c>
      <c r="P991" s="105"/>
      <c r="Q991" s="87">
        <f t="shared" si="94"/>
        <v>-4.3814723632036779E-4</v>
      </c>
      <c r="R991" s="87">
        <f t="shared" si="93"/>
        <v>-1.0102077168415937E-2</v>
      </c>
      <c r="S991" s="87">
        <f t="shared" si="93"/>
        <v>-9.0920368949478733E-2</v>
      </c>
      <c r="T991" s="87">
        <f t="shared" si="93"/>
        <v>0</v>
      </c>
      <c r="U991" s="87">
        <f t="shared" si="93"/>
        <v>-2.197890671877523E-2</v>
      </c>
      <c r="V991" s="87">
        <f t="shared" si="93"/>
        <v>6.8493418455747683E-3</v>
      </c>
      <c r="W991" s="87">
        <f t="shared" si="93"/>
        <v>-3.8282186571016924E-2</v>
      </c>
      <c r="X991" s="87">
        <f t="shared" si="92"/>
        <v>0</v>
      </c>
      <c r="Y991" s="87">
        <f t="shared" si="92"/>
        <v>9.7800290536394791E-3</v>
      </c>
      <c r="Z991" s="87">
        <f t="shared" si="92"/>
        <v>1.9121041446778377E-2</v>
      </c>
      <c r="AA991" s="87">
        <f t="shared" si="92"/>
        <v>4.2372944755152174E-3</v>
      </c>
      <c r="AB991" s="87">
        <f t="shared" si="92"/>
        <v>1.3642776403786479E-2</v>
      </c>
      <c r="AC991" s="87">
        <f t="shared" si="92"/>
        <v>2.1467729624106195E-2</v>
      </c>
      <c r="AD991" s="87">
        <f t="shared" si="91"/>
        <v>4.1237171838621562E-3</v>
      </c>
      <c r="AE991" s="90">
        <f t="shared" si="95"/>
        <v>-3.5429717428782877E-2</v>
      </c>
    </row>
    <row r="992" spans="1:31" ht="15.5" x14ac:dyDescent="0.35">
      <c r="A992" s="82">
        <v>41201</v>
      </c>
      <c r="B992" s="83">
        <v>8324.1</v>
      </c>
      <c r="C992" s="84">
        <v>3005.6</v>
      </c>
      <c r="D992" s="61">
        <v>336.3</v>
      </c>
      <c r="E992" s="61">
        <v>15.8</v>
      </c>
      <c r="F992" s="61">
        <v>87.1</v>
      </c>
      <c r="G992" s="61">
        <v>28.5</v>
      </c>
      <c r="H992" s="61">
        <v>19.5</v>
      </c>
      <c r="I992" s="61">
        <v>12.4</v>
      </c>
      <c r="J992" s="61">
        <v>40.5</v>
      </c>
      <c r="K992" s="61">
        <v>25.7</v>
      </c>
      <c r="L992" s="61">
        <v>46.9</v>
      </c>
      <c r="M992" s="61">
        <v>35.6</v>
      </c>
      <c r="N992" s="61">
        <v>55.3</v>
      </c>
      <c r="O992" s="85">
        <v>24</v>
      </c>
      <c r="P992" s="105"/>
      <c r="Q992" s="87">
        <f t="shared" si="94"/>
        <v>-1.4159085230028835E-2</v>
      </c>
      <c r="R992" s="87">
        <f t="shared" si="93"/>
        <v>-2.2144525850839536E-2</v>
      </c>
      <c r="S992" s="87">
        <f t="shared" si="93"/>
        <v>-5.9294570404388666E-3</v>
      </c>
      <c r="T992" s="87">
        <f t="shared" si="93"/>
        <v>0</v>
      </c>
      <c r="U992" s="87">
        <f t="shared" si="93"/>
        <v>-3.2752786471807994E-2</v>
      </c>
      <c r="V992" s="87">
        <f t="shared" si="93"/>
        <v>-2.7683428748416856E-2</v>
      </c>
      <c r="W992" s="87">
        <f t="shared" si="93"/>
        <v>-5.0010420574661422E-2</v>
      </c>
      <c r="X992" s="87">
        <f t="shared" si="92"/>
        <v>-1.6000341346441075E-2</v>
      </c>
      <c r="Y992" s="87">
        <f t="shared" si="92"/>
        <v>-1.4706147389695449E-2</v>
      </c>
      <c r="Z992" s="87">
        <f t="shared" si="92"/>
        <v>-2.687301825109634E-2</v>
      </c>
      <c r="AA992" s="87">
        <f t="shared" si="92"/>
        <v>-8.4926200456535879E-3</v>
      </c>
      <c r="AB992" s="87">
        <f t="shared" si="92"/>
        <v>-3.5865913188496697E-2</v>
      </c>
      <c r="AC992" s="87">
        <f t="shared" si="92"/>
        <v>-2.1467729624106199E-2</v>
      </c>
      <c r="AD992" s="87">
        <f t="shared" si="91"/>
        <v>-1.2422519998557209E-2</v>
      </c>
      <c r="AE992" s="90">
        <f t="shared" si="95"/>
        <v>-1.9248953994685257E-2</v>
      </c>
    </row>
    <row r="993" spans="1:31" ht="15.5" x14ac:dyDescent="0.35">
      <c r="A993" s="82">
        <v>41204</v>
      </c>
      <c r="B993" s="83">
        <v>8329.2000000000007</v>
      </c>
      <c r="C993" s="84">
        <v>3017</v>
      </c>
      <c r="D993" s="61">
        <v>335.2</v>
      </c>
      <c r="E993" s="61">
        <v>15.7</v>
      </c>
      <c r="F993" s="61">
        <v>87.3</v>
      </c>
      <c r="G993" s="61">
        <v>27.8</v>
      </c>
      <c r="H993" s="61">
        <v>19.899999999999999</v>
      </c>
      <c r="I993" s="61">
        <v>12.2</v>
      </c>
      <c r="J993" s="61">
        <v>40.4</v>
      </c>
      <c r="K993" s="61">
        <v>25.9</v>
      </c>
      <c r="L993" s="61">
        <v>46.2</v>
      </c>
      <c r="M993" s="61">
        <v>35.6</v>
      </c>
      <c r="N993" s="61">
        <v>54.7</v>
      </c>
      <c r="O993" s="85">
        <v>23.5</v>
      </c>
      <c r="P993" s="105"/>
      <c r="Q993" s="87">
        <f t="shared" si="94"/>
        <v>6.1249123710455274E-4</v>
      </c>
      <c r="R993" s="87">
        <f t="shared" si="93"/>
        <v>3.7857448993018866E-3</v>
      </c>
      <c r="S993" s="87">
        <f t="shared" si="93"/>
        <v>-3.2762501382960474E-3</v>
      </c>
      <c r="T993" s="87">
        <f t="shared" si="93"/>
        <v>-6.3492276786588919E-3</v>
      </c>
      <c r="U993" s="87">
        <f t="shared" si="93"/>
        <v>2.2935789870993646E-3</v>
      </c>
      <c r="V993" s="87">
        <f t="shared" si="93"/>
        <v>-2.4868066578013423E-2</v>
      </c>
      <c r="W993" s="87">
        <f t="shared" si="93"/>
        <v>2.0305266160745523E-2</v>
      </c>
      <c r="X993" s="87">
        <f t="shared" si="92"/>
        <v>-1.6260520871780405E-2</v>
      </c>
      <c r="Y993" s="87">
        <f t="shared" si="92"/>
        <v>-2.4721891453891483E-3</v>
      </c>
      <c r="Z993" s="87">
        <f t="shared" si="92"/>
        <v>7.7519768043179237E-3</v>
      </c>
      <c r="AA993" s="87">
        <f t="shared" si="92"/>
        <v>-1.5037877364540446E-2</v>
      </c>
      <c r="AB993" s="87">
        <f t="shared" si="92"/>
        <v>0</v>
      </c>
      <c r="AC993" s="87">
        <f t="shared" si="92"/>
        <v>-1.0909199100353508E-2</v>
      </c>
      <c r="AD993" s="87">
        <f t="shared" si="91"/>
        <v>-2.1053409197832381E-2</v>
      </c>
      <c r="AE993" s="90">
        <f t="shared" si="95"/>
        <v>-1.727579295588044E-3</v>
      </c>
    </row>
    <row r="994" spans="1:31" ht="15.5" x14ac:dyDescent="0.35">
      <c r="A994" s="82">
        <v>41205</v>
      </c>
      <c r="B994" s="83">
        <v>8195.2999999999993</v>
      </c>
      <c r="C994" s="84">
        <v>2990.5</v>
      </c>
      <c r="D994" s="61">
        <v>336.3</v>
      </c>
      <c r="E994" s="61">
        <v>16.3</v>
      </c>
      <c r="F994" s="61">
        <v>87.4</v>
      </c>
      <c r="G994" s="61">
        <v>27.8</v>
      </c>
      <c r="H994" s="61">
        <v>19.399999999999999</v>
      </c>
      <c r="I994" s="61">
        <v>12.2</v>
      </c>
      <c r="J994" s="61">
        <v>40.4</v>
      </c>
      <c r="K994" s="61">
        <v>24.9</v>
      </c>
      <c r="L994" s="61">
        <v>45.9</v>
      </c>
      <c r="M994" s="61">
        <v>34.9</v>
      </c>
      <c r="N994" s="61">
        <v>53.9</v>
      </c>
      <c r="O994" s="85">
        <v>23.2</v>
      </c>
      <c r="P994" s="105"/>
      <c r="Q994" s="87">
        <f t="shared" si="94"/>
        <v>-1.6206593938039061E-2</v>
      </c>
      <c r="R994" s="87">
        <f t="shared" si="93"/>
        <v>-8.8223626744493681E-3</v>
      </c>
      <c r="S994" s="87">
        <f t="shared" si="93"/>
        <v>3.2762501382959689E-3</v>
      </c>
      <c r="T994" s="87">
        <f t="shared" si="93"/>
        <v>3.750439545845427E-2</v>
      </c>
      <c r="U994" s="87">
        <f t="shared" si="93"/>
        <v>1.1448198159332513E-3</v>
      </c>
      <c r="V994" s="87">
        <f t="shared" si="93"/>
        <v>0</v>
      </c>
      <c r="W994" s="87">
        <f t="shared" si="93"/>
        <v>-2.5446665661164262E-2</v>
      </c>
      <c r="X994" s="87">
        <f t="shared" si="92"/>
        <v>0</v>
      </c>
      <c r="Y994" s="87">
        <f t="shared" si="92"/>
        <v>0</v>
      </c>
      <c r="Z994" s="87">
        <f t="shared" si="92"/>
        <v>-3.9375165234830173E-2</v>
      </c>
      <c r="AA994" s="87">
        <f t="shared" si="92"/>
        <v>-6.5146810211937538E-3</v>
      </c>
      <c r="AB994" s="87">
        <f t="shared" si="92"/>
        <v>-1.9858808649603401E-2</v>
      </c>
      <c r="AC994" s="87">
        <f t="shared" si="92"/>
        <v>-1.4733231512984116E-2</v>
      </c>
      <c r="AD994" s="87">
        <f t="shared" si="91"/>
        <v>-1.2848142477849024E-2</v>
      </c>
      <c r="AE994" s="90">
        <f t="shared" si="95"/>
        <v>-2.9196414884577531E-3</v>
      </c>
    </row>
    <row r="995" spans="1:31" ht="15.5" x14ac:dyDescent="0.35">
      <c r="A995" s="82">
        <v>41206</v>
      </c>
      <c r="B995" s="83">
        <v>8179.3</v>
      </c>
      <c r="C995" s="84">
        <v>2981.7</v>
      </c>
      <c r="D995" s="61">
        <v>338</v>
      </c>
      <c r="E995" s="61">
        <v>16.5</v>
      </c>
      <c r="F995" s="61">
        <v>87.2</v>
      </c>
      <c r="G995" s="61">
        <v>27.9</v>
      </c>
      <c r="H995" s="61">
        <v>19.8</v>
      </c>
      <c r="I995" s="61">
        <v>12.2</v>
      </c>
      <c r="J995" s="61">
        <v>40.4</v>
      </c>
      <c r="K995" s="61">
        <v>24.7</v>
      </c>
      <c r="L995" s="61">
        <v>45.8</v>
      </c>
      <c r="M995" s="61">
        <v>34.9</v>
      </c>
      <c r="N995" s="61">
        <v>58</v>
      </c>
      <c r="O995" s="85">
        <v>23.1</v>
      </c>
      <c r="P995" s="105"/>
      <c r="Q995" s="87">
        <f t="shared" si="94"/>
        <v>-1.954246832546276E-3</v>
      </c>
      <c r="R995" s="87">
        <f t="shared" si="93"/>
        <v>-2.9469898425422123E-3</v>
      </c>
      <c r="S995" s="87">
        <f t="shared" si="93"/>
        <v>5.0422767367948231E-3</v>
      </c>
      <c r="T995" s="87">
        <f t="shared" si="93"/>
        <v>1.2195273093818206E-2</v>
      </c>
      <c r="U995" s="87">
        <f t="shared" si="93"/>
        <v>-2.2909517465558244E-3</v>
      </c>
      <c r="V995" s="87">
        <f t="shared" si="93"/>
        <v>3.59066813072854E-3</v>
      </c>
      <c r="W995" s="87">
        <f t="shared" si="93"/>
        <v>2.0408871631207252E-2</v>
      </c>
      <c r="X995" s="87">
        <f t="shared" si="92"/>
        <v>0</v>
      </c>
      <c r="Y995" s="87">
        <f t="shared" si="92"/>
        <v>0</v>
      </c>
      <c r="Z995" s="87">
        <f t="shared" si="92"/>
        <v>-8.0645598367304078E-3</v>
      </c>
      <c r="AA995" s="87">
        <f t="shared" si="92"/>
        <v>-2.1810259463602259E-3</v>
      </c>
      <c r="AB995" s="87">
        <f t="shared" si="92"/>
        <v>0</v>
      </c>
      <c r="AC995" s="87">
        <f t="shared" si="92"/>
        <v>7.3312532631467961E-2</v>
      </c>
      <c r="AD995" s="87">
        <f t="shared" si="91"/>
        <v>-4.3196611445162842E-3</v>
      </c>
      <c r="AE995" s="90">
        <f t="shared" si="95"/>
        <v>-5.872765560081104E-4</v>
      </c>
    </row>
    <row r="996" spans="1:31" ht="15.5" x14ac:dyDescent="0.35">
      <c r="A996" s="82">
        <v>41207</v>
      </c>
      <c r="B996" s="83">
        <v>8211.9</v>
      </c>
      <c r="C996" s="84">
        <v>2986.1</v>
      </c>
      <c r="D996" s="61">
        <v>337.1</v>
      </c>
      <c r="E996" s="61">
        <v>16.5</v>
      </c>
      <c r="F996" s="61">
        <v>86.5</v>
      </c>
      <c r="G996" s="61">
        <v>27.9</v>
      </c>
      <c r="H996" s="61">
        <v>19.2</v>
      </c>
      <c r="I996" s="61">
        <v>12.1</v>
      </c>
      <c r="J996" s="61">
        <v>40.299999999999997</v>
      </c>
      <c r="K996" s="61">
        <v>24.6</v>
      </c>
      <c r="L996" s="61">
        <v>46</v>
      </c>
      <c r="M996" s="61">
        <v>35.200000000000003</v>
      </c>
      <c r="N996" s="61">
        <v>58.4</v>
      </c>
      <c r="O996" s="85">
        <v>22.8</v>
      </c>
      <c r="P996" s="105"/>
      <c r="Q996" s="87">
        <f t="shared" si="94"/>
        <v>3.9777494002171728E-3</v>
      </c>
      <c r="R996" s="87">
        <f t="shared" si="93"/>
        <v>1.4745805145197355E-3</v>
      </c>
      <c r="S996" s="87">
        <f t="shared" si="93"/>
        <v>-2.666273243003653E-3</v>
      </c>
      <c r="T996" s="87">
        <f t="shared" si="93"/>
        <v>0</v>
      </c>
      <c r="U996" s="87">
        <f t="shared" si="93"/>
        <v>-8.0599169771002864E-3</v>
      </c>
      <c r="V996" s="87">
        <f t="shared" si="93"/>
        <v>0</v>
      </c>
      <c r="W996" s="87">
        <f t="shared" si="93"/>
        <v>-3.0771658666753774E-2</v>
      </c>
      <c r="X996" s="87">
        <f t="shared" si="92"/>
        <v>-8.23049913651548E-3</v>
      </c>
      <c r="Y996" s="87">
        <f t="shared" si="92"/>
        <v>-2.4783160144670898E-3</v>
      </c>
      <c r="Z996" s="87">
        <f t="shared" si="92"/>
        <v>-4.056800695614318E-3</v>
      </c>
      <c r="AA996" s="87">
        <f t="shared" si="92"/>
        <v>4.3573053689558473E-3</v>
      </c>
      <c r="AB996" s="87">
        <f t="shared" si="92"/>
        <v>8.5592533956701314E-3</v>
      </c>
      <c r="AC996" s="87">
        <f t="shared" si="92"/>
        <v>6.8728792877620504E-3</v>
      </c>
      <c r="AD996" s="87">
        <f t="shared" si="91"/>
        <v>-1.3072081567352775E-2</v>
      </c>
      <c r="AE996" s="90">
        <f t="shared" si="95"/>
        <v>-4.2321189853770785E-3</v>
      </c>
    </row>
    <row r="997" spans="1:31" ht="15.5" x14ac:dyDescent="0.35">
      <c r="A997" s="82">
        <v>41208</v>
      </c>
      <c r="B997" s="83">
        <v>8190.2</v>
      </c>
      <c r="C997" s="84">
        <v>2987.9</v>
      </c>
      <c r="D997" s="61">
        <v>335.9</v>
      </c>
      <c r="E997" s="61">
        <v>16.5</v>
      </c>
      <c r="F997" s="61">
        <v>84.4</v>
      </c>
      <c r="G997" s="61">
        <v>27.8</v>
      </c>
      <c r="H997" s="61">
        <v>19.5</v>
      </c>
      <c r="I997" s="61">
        <v>11</v>
      </c>
      <c r="J997" s="61">
        <v>40</v>
      </c>
      <c r="K997" s="61">
        <v>24.8</v>
      </c>
      <c r="L997" s="61">
        <v>45.8</v>
      </c>
      <c r="M997" s="61">
        <v>34.9</v>
      </c>
      <c r="N997" s="61">
        <v>57.9</v>
      </c>
      <c r="O997" s="85">
        <v>22.6</v>
      </c>
      <c r="P997" s="105"/>
      <c r="Q997" s="87">
        <f t="shared" si="94"/>
        <v>-2.646004189799087E-3</v>
      </c>
      <c r="R997" s="87">
        <f t="shared" si="93"/>
        <v>6.026113339374509E-4</v>
      </c>
      <c r="S997" s="87">
        <f t="shared" si="93"/>
        <v>-3.5661256217681342E-3</v>
      </c>
      <c r="T997" s="87">
        <f t="shared" si="93"/>
        <v>0</v>
      </c>
      <c r="U997" s="87">
        <f t="shared" si="93"/>
        <v>-2.4577012335922136E-2</v>
      </c>
      <c r="V997" s="87">
        <f t="shared" si="93"/>
        <v>-3.5906681307284844E-3</v>
      </c>
      <c r="W997" s="87">
        <f t="shared" si="93"/>
        <v>1.5504186535965254E-2</v>
      </c>
      <c r="X997" s="87">
        <f t="shared" si="92"/>
        <v>-9.5310179804324768E-2</v>
      </c>
      <c r="Y997" s="87">
        <f t="shared" si="92"/>
        <v>-7.4720148387009541E-3</v>
      </c>
      <c r="Z997" s="87">
        <f t="shared" si="92"/>
        <v>8.0972102326193028E-3</v>
      </c>
      <c r="AA997" s="87">
        <f t="shared" si="92"/>
        <v>-4.3573053689558126E-3</v>
      </c>
      <c r="AB997" s="87">
        <f t="shared" si="92"/>
        <v>-8.5592533956700603E-3</v>
      </c>
      <c r="AC997" s="87">
        <f t="shared" si="92"/>
        <v>-8.5985052552317934E-3</v>
      </c>
      <c r="AD997" s="87">
        <f t="shared" si="91"/>
        <v>-8.810629682154807E-3</v>
      </c>
      <c r="AE997" s="90">
        <f t="shared" si="95"/>
        <v>-8.9618435751321335E-3</v>
      </c>
    </row>
    <row r="998" spans="1:31" ht="15.5" x14ac:dyDescent="0.35">
      <c r="A998" s="82">
        <v>41213</v>
      </c>
      <c r="B998" s="83">
        <v>8221.4</v>
      </c>
      <c r="C998" s="84">
        <v>2977.2</v>
      </c>
      <c r="D998" s="61">
        <v>337.8</v>
      </c>
      <c r="E998" s="61">
        <v>16.600000000000001</v>
      </c>
      <c r="F998" s="61">
        <v>84</v>
      </c>
      <c r="G998" s="61">
        <v>28.5</v>
      </c>
      <c r="H998" s="61">
        <v>19.7</v>
      </c>
      <c r="I998" s="61">
        <v>10.9</v>
      </c>
      <c r="J998" s="61">
        <v>40.1</v>
      </c>
      <c r="K998" s="61">
        <v>23.9</v>
      </c>
      <c r="L998" s="61">
        <v>45.4</v>
      </c>
      <c r="M998" s="61">
        <v>35</v>
      </c>
      <c r="N998" s="61">
        <v>57.8</v>
      </c>
      <c r="O998" s="85">
        <v>22.7</v>
      </c>
      <c r="P998" s="105"/>
      <c r="Q998" s="87">
        <f t="shared" si="94"/>
        <v>3.8021932763829332E-3</v>
      </c>
      <c r="R998" s="87">
        <f t="shared" si="93"/>
        <v>-3.5875380047712337E-3</v>
      </c>
      <c r="S998" s="87">
        <f t="shared" si="93"/>
        <v>5.6405077554526357E-3</v>
      </c>
      <c r="T998" s="87">
        <f t="shared" ref="T998:Z1036" si="96">+LN(E998/E997)</f>
        <v>6.0423144559626617E-3</v>
      </c>
      <c r="U998" s="87">
        <f t="shared" si="96"/>
        <v>-4.7506027585978647E-3</v>
      </c>
      <c r="V998" s="87">
        <f t="shared" si="96"/>
        <v>2.4868066578013524E-2</v>
      </c>
      <c r="W998" s="87">
        <f t="shared" si="96"/>
        <v>1.0204170174241668E-2</v>
      </c>
      <c r="X998" s="87">
        <f t="shared" si="92"/>
        <v>-9.1324835632724741E-3</v>
      </c>
      <c r="Y998" s="87">
        <f t="shared" si="92"/>
        <v>2.4968801985871458E-3</v>
      </c>
      <c r="Z998" s="87">
        <f t="shared" si="92"/>
        <v>-3.6965194233471589E-2</v>
      </c>
      <c r="AA998" s="87">
        <f t="shared" si="92"/>
        <v>-8.7719860728369941E-3</v>
      </c>
      <c r="AB998" s="87">
        <f t="shared" si="92"/>
        <v>2.8612322810321949E-3</v>
      </c>
      <c r="AC998" s="87">
        <f t="shared" si="92"/>
        <v>-1.7286089006177425E-3</v>
      </c>
      <c r="AD998" s="87">
        <f t="shared" si="91"/>
        <v>4.4150182091166933E-3</v>
      </c>
      <c r="AE998" s="90">
        <f t="shared" si="95"/>
        <v>-2.4576419883146051E-4</v>
      </c>
    </row>
    <row r="999" spans="1:31" ht="15.5" x14ac:dyDescent="0.35">
      <c r="A999" s="82">
        <v>41214</v>
      </c>
      <c r="B999" s="83">
        <v>8311.4</v>
      </c>
      <c r="C999" s="84">
        <v>3020.1</v>
      </c>
      <c r="D999" s="61">
        <v>339.7</v>
      </c>
      <c r="E999" s="61">
        <v>16.899999999999999</v>
      </c>
      <c r="F999" s="61">
        <v>84.9</v>
      </c>
      <c r="G999" s="61">
        <v>28.8</v>
      </c>
      <c r="H999" s="61">
        <v>19.899999999999999</v>
      </c>
      <c r="I999" s="61">
        <v>11.4</v>
      </c>
      <c r="J999" s="61">
        <v>40.299999999999997</v>
      </c>
      <c r="K999" s="61">
        <v>24</v>
      </c>
      <c r="L999" s="61">
        <v>45.7</v>
      </c>
      <c r="M999" s="61">
        <v>34.700000000000003</v>
      </c>
      <c r="N999" s="61">
        <v>60</v>
      </c>
      <c r="O999" s="85">
        <v>23</v>
      </c>
      <c r="P999" s="105"/>
      <c r="Q999" s="87">
        <f t="shared" si="94"/>
        <v>1.0887555530791444E-2</v>
      </c>
      <c r="R999" s="87">
        <f t="shared" ref="R999:Z1050" si="97">+LN(C999/C998)</f>
        <v>1.4306681917731627E-2</v>
      </c>
      <c r="S999" s="87">
        <f t="shared" si="97"/>
        <v>5.6088707928385701E-3</v>
      </c>
      <c r="T999" s="87">
        <f t="shared" si="96"/>
        <v>1.7910926566530025E-2</v>
      </c>
      <c r="U999" s="87">
        <f t="shared" si="96"/>
        <v>1.0657294473987979E-2</v>
      </c>
      <c r="V999" s="87">
        <f t="shared" si="96"/>
        <v>1.0471299867295437E-2</v>
      </c>
      <c r="W999" s="87">
        <f t="shared" si="96"/>
        <v>1.0101095986503919E-2</v>
      </c>
      <c r="X999" s="87">
        <f t="shared" si="92"/>
        <v>4.4850566165351713E-2</v>
      </c>
      <c r="Y999" s="87">
        <f t="shared" si="92"/>
        <v>4.9751346401137077E-3</v>
      </c>
      <c r="Z999" s="87">
        <f t="shared" si="92"/>
        <v>4.175371410480592E-3</v>
      </c>
      <c r="AA999" s="87">
        <f t="shared" si="92"/>
        <v>6.5861928528568757E-3</v>
      </c>
      <c r="AB999" s="87">
        <f t="shared" si="92"/>
        <v>-8.6083745366000511E-3</v>
      </c>
      <c r="AC999" s="87">
        <f t="shared" si="92"/>
        <v>3.7355786543769032E-2</v>
      </c>
      <c r="AD999" s="87">
        <f t="shared" si="91"/>
        <v>1.3129291441792802E-2</v>
      </c>
      <c r="AE999" s="90">
        <f t="shared" si="95"/>
        <v>1.0573661432945445E-2</v>
      </c>
    </row>
    <row r="1000" spans="1:31" ht="15.5" x14ac:dyDescent="0.35">
      <c r="A1000" s="82">
        <v>41215</v>
      </c>
      <c r="B1000" s="83">
        <v>8234.9</v>
      </c>
      <c r="C1000" s="84">
        <v>2982.1</v>
      </c>
      <c r="D1000" s="61">
        <v>344</v>
      </c>
      <c r="E1000" s="61">
        <v>17</v>
      </c>
      <c r="F1000" s="61">
        <v>82.1</v>
      </c>
      <c r="G1000" s="61">
        <v>29.3</v>
      </c>
      <c r="H1000" s="61">
        <v>19.7</v>
      </c>
      <c r="I1000" s="61">
        <v>11.6</v>
      </c>
      <c r="J1000" s="61">
        <v>40.299999999999997</v>
      </c>
      <c r="K1000" s="61">
        <v>23.5</v>
      </c>
      <c r="L1000" s="61">
        <v>46</v>
      </c>
      <c r="M1000" s="61">
        <v>34.700000000000003</v>
      </c>
      <c r="N1000" s="61">
        <v>61.7</v>
      </c>
      <c r="O1000" s="85">
        <v>23.6</v>
      </c>
      <c r="P1000" s="105"/>
      <c r="Q1000" s="87">
        <f t="shared" si="94"/>
        <v>-9.2468461333669334E-3</v>
      </c>
      <c r="R1000" s="87">
        <f t="shared" si="97"/>
        <v>-1.2662193100496912E-2</v>
      </c>
      <c r="S1000" s="87">
        <f t="shared" si="97"/>
        <v>1.2578782206860185E-2</v>
      </c>
      <c r="T1000" s="87">
        <f t="shared" si="96"/>
        <v>5.899722127188322E-3</v>
      </c>
      <c r="U1000" s="87">
        <f t="shared" si="96"/>
        <v>-3.3536076858919225E-2</v>
      </c>
      <c r="V1000" s="87">
        <f t="shared" si="96"/>
        <v>1.7212128881121426E-2</v>
      </c>
      <c r="W1000" s="87">
        <f t="shared" si="96"/>
        <v>-1.0101095986503821E-2</v>
      </c>
      <c r="X1000" s="87">
        <f t="shared" si="92"/>
        <v>1.739174271186902E-2</v>
      </c>
      <c r="Y1000" s="87">
        <f t="shared" si="92"/>
        <v>0</v>
      </c>
      <c r="Z1000" s="87">
        <f t="shared" si="92"/>
        <v>-2.1053409197832381E-2</v>
      </c>
      <c r="AA1000" s="87">
        <f t="shared" si="92"/>
        <v>6.5430985889358868E-3</v>
      </c>
      <c r="AB1000" s="87">
        <f t="shared" si="92"/>
        <v>0</v>
      </c>
      <c r="AC1000" s="87">
        <f t="shared" si="92"/>
        <v>2.7939368689241434E-2</v>
      </c>
      <c r="AD1000" s="87">
        <f t="shared" si="91"/>
        <v>2.5752496102414764E-2</v>
      </c>
      <c r="AE1000" s="90">
        <f t="shared" si="95"/>
        <v>-6.5719536496337263E-3</v>
      </c>
    </row>
    <row r="1001" spans="1:31" ht="15.5" x14ac:dyDescent="0.35">
      <c r="A1001" s="82">
        <v>41218</v>
      </c>
      <c r="B1001" s="83">
        <v>8240.2999999999993</v>
      </c>
      <c r="C1001" s="84">
        <v>2999.7</v>
      </c>
      <c r="D1001" s="61">
        <v>338.1</v>
      </c>
      <c r="E1001" s="61">
        <v>17</v>
      </c>
      <c r="F1001" s="61">
        <v>82.5</v>
      </c>
      <c r="G1001" s="61">
        <v>29.3</v>
      </c>
      <c r="H1001" s="61">
        <v>19.8</v>
      </c>
      <c r="I1001" s="61">
        <v>11.6</v>
      </c>
      <c r="J1001" s="61">
        <v>40.1</v>
      </c>
      <c r="K1001" s="61">
        <v>23.3</v>
      </c>
      <c r="L1001" s="61">
        <v>45.3</v>
      </c>
      <c r="M1001" s="61">
        <v>34.1</v>
      </c>
      <c r="N1001" s="61">
        <v>61.4</v>
      </c>
      <c r="O1001" s="85">
        <v>23.6</v>
      </c>
      <c r="P1001" s="105"/>
      <c r="Q1001" s="87">
        <f t="shared" si="94"/>
        <v>6.5553076058253823E-4</v>
      </c>
      <c r="R1001" s="87">
        <f t="shared" si="97"/>
        <v>5.8845333469229495E-3</v>
      </c>
      <c r="S1001" s="87">
        <f t="shared" si="97"/>
        <v>-1.7299947659557984E-2</v>
      </c>
      <c r="T1001" s="87">
        <f t="shared" si="96"/>
        <v>0</v>
      </c>
      <c r="U1001" s="87">
        <f t="shared" si="96"/>
        <v>4.8602768822528838E-3</v>
      </c>
      <c r="V1001" s="87">
        <f t="shared" si="96"/>
        <v>0</v>
      </c>
      <c r="W1001" s="87">
        <f t="shared" si="96"/>
        <v>5.0633019565468548E-3</v>
      </c>
      <c r="X1001" s="87">
        <f t="shared" si="92"/>
        <v>0</v>
      </c>
      <c r="Y1001" s="87">
        <f t="shared" si="92"/>
        <v>-4.975134640113732E-3</v>
      </c>
      <c r="Z1001" s="87">
        <f t="shared" si="92"/>
        <v>-8.5470605784584083E-3</v>
      </c>
      <c r="AA1001" s="87">
        <f t="shared" si="92"/>
        <v>-1.5334364000106687E-2</v>
      </c>
      <c r="AB1001" s="87">
        <f t="shared" si="92"/>
        <v>-1.7442302663342485E-2</v>
      </c>
      <c r="AC1001" s="87">
        <f t="shared" si="92"/>
        <v>-4.8740957582454067E-3</v>
      </c>
      <c r="AD1001" s="87">
        <f t="shared" si="91"/>
        <v>0</v>
      </c>
      <c r="AE1001" s="90">
        <f t="shared" si="95"/>
        <v>-1.9111851338254715E-3</v>
      </c>
    </row>
    <row r="1002" spans="1:31" ht="15.5" x14ac:dyDescent="0.35">
      <c r="A1002" s="82">
        <v>41219</v>
      </c>
      <c r="B1002" s="83">
        <v>8312.2999999999993</v>
      </c>
      <c r="C1002" s="84">
        <v>3011.9</v>
      </c>
      <c r="D1002" s="61">
        <v>339.1</v>
      </c>
      <c r="E1002" s="61">
        <v>17.3</v>
      </c>
      <c r="F1002" s="61">
        <v>82.9</v>
      </c>
      <c r="G1002" s="61">
        <v>29.6</v>
      </c>
      <c r="H1002" s="61">
        <v>20.2</v>
      </c>
      <c r="I1002" s="61">
        <v>11.7</v>
      </c>
      <c r="J1002" s="61">
        <v>40.299999999999997</v>
      </c>
      <c r="K1002" s="61">
        <v>23.2</v>
      </c>
      <c r="L1002" s="61">
        <v>45.7</v>
      </c>
      <c r="M1002" s="61">
        <v>34.5</v>
      </c>
      <c r="N1002" s="61">
        <v>62.3</v>
      </c>
      <c r="O1002" s="85">
        <v>23.7</v>
      </c>
      <c r="P1002" s="105"/>
      <c r="Q1002" s="87">
        <f t="shared" si="94"/>
        <v>8.6995945165226317E-3</v>
      </c>
      <c r="R1002" s="87">
        <f t="shared" si="97"/>
        <v>4.0588251875126576E-3</v>
      </c>
      <c r="S1002" s="87">
        <f t="shared" si="97"/>
        <v>2.9533394177527106E-3</v>
      </c>
      <c r="T1002" s="87">
        <f t="shared" si="96"/>
        <v>1.7493157447517119E-2</v>
      </c>
      <c r="U1002" s="87">
        <f t="shared" si="96"/>
        <v>4.8367688006140212E-3</v>
      </c>
      <c r="V1002" s="87">
        <f t="shared" si="96"/>
        <v>1.0186845306992997E-2</v>
      </c>
      <c r="W1002" s="87">
        <f t="shared" si="96"/>
        <v>2.0000666706669435E-2</v>
      </c>
      <c r="X1002" s="87">
        <f t="shared" si="92"/>
        <v>8.583743691391435E-3</v>
      </c>
      <c r="Y1002" s="87">
        <f t="shared" si="92"/>
        <v>4.9751346401137077E-3</v>
      </c>
      <c r="Z1002" s="87">
        <f t="shared" si="92"/>
        <v>-4.3010818993906973E-3</v>
      </c>
      <c r="AA1002" s="87">
        <f t="shared" si="92"/>
        <v>8.7912654111707237E-3</v>
      </c>
      <c r="AB1002" s="87">
        <f t="shared" si="92"/>
        <v>1.1661939747842957E-2</v>
      </c>
      <c r="AC1002" s="87">
        <f t="shared" si="92"/>
        <v>1.4551590640310686E-2</v>
      </c>
      <c r="AD1002" s="87">
        <f t="shared" si="91"/>
        <v>4.2283361095211049E-3</v>
      </c>
      <c r="AE1002" s="90">
        <f t="shared" si="95"/>
        <v>3.9782265053491224E-3</v>
      </c>
    </row>
    <row r="1003" spans="1:31" ht="15.5" x14ac:dyDescent="0.35">
      <c r="A1003" s="82">
        <v>41220</v>
      </c>
      <c r="B1003" s="83">
        <v>8138.8</v>
      </c>
      <c r="C1003" s="84">
        <v>2937.3</v>
      </c>
      <c r="D1003" s="61">
        <v>333.6</v>
      </c>
      <c r="E1003" s="61">
        <v>17.2</v>
      </c>
      <c r="F1003" s="61">
        <v>79.400000000000006</v>
      </c>
      <c r="G1003" s="61">
        <v>29.1</v>
      </c>
      <c r="H1003" s="61">
        <v>18.5</v>
      </c>
      <c r="I1003" s="61">
        <v>11.7</v>
      </c>
      <c r="J1003" s="61">
        <v>39.700000000000003</v>
      </c>
      <c r="K1003" s="61">
        <v>22.7</v>
      </c>
      <c r="L1003" s="61">
        <v>44.2</v>
      </c>
      <c r="M1003" s="61">
        <v>32.6</v>
      </c>
      <c r="N1003" s="61">
        <v>60.4</v>
      </c>
      <c r="O1003" s="85">
        <v>23.7</v>
      </c>
      <c r="P1003" s="105"/>
      <c r="Q1003" s="87">
        <f t="shared" si="94"/>
        <v>-2.1093596542535641E-2</v>
      </c>
      <c r="R1003" s="87">
        <f t="shared" si="97"/>
        <v>-2.5080316809290466E-2</v>
      </c>
      <c r="S1003" s="87">
        <f t="shared" si="97"/>
        <v>-1.6352378647001245E-2</v>
      </c>
      <c r="T1003" s="87">
        <f t="shared" si="96"/>
        <v>-5.7971176843259579E-3</v>
      </c>
      <c r="U1003" s="87">
        <f t="shared" si="96"/>
        <v>-4.313669388815923E-2</v>
      </c>
      <c r="V1003" s="87">
        <f t="shared" si="96"/>
        <v>-1.7036187152567852E-2</v>
      </c>
      <c r="W1003" s="87">
        <f t="shared" si="96"/>
        <v>-8.7911872322879905E-2</v>
      </c>
      <c r="X1003" s="87">
        <f t="shared" si="92"/>
        <v>0</v>
      </c>
      <c r="Y1003" s="87">
        <f t="shared" si="92"/>
        <v>-1.5000281259492373E-2</v>
      </c>
      <c r="Z1003" s="87">
        <f t="shared" si="92"/>
        <v>-2.1787354184907296E-2</v>
      </c>
      <c r="AA1003" s="87">
        <f t="shared" ref="AA1003:AD1066" si="98">+LN(L1003/L1002)</f>
        <v>-3.3373508816506518E-2</v>
      </c>
      <c r="AB1003" s="87">
        <f t="shared" si="98"/>
        <v>-5.6647035664652089E-2</v>
      </c>
      <c r="AC1003" s="87">
        <f t="shared" si="98"/>
        <v>-3.097232085263819E-2</v>
      </c>
      <c r="AD1003" s="87">
        <f t="shared" si="91"/>
        <v>0</v>
      </c>
      <c r="AE1003" s="90">
        <f t="shared" si="95"/>
        <v>-2.4639640333184398E-2</v>
      </c>
    </row>
    <row r="1004" spans="1:31" ht="15.5" x14ac:dyDescent="0.35">
      <c r="A1004" s="82">
        <v>41221</v>
      </c>
      <c r="B1004" s="83">
        <v>8050.8</v>
      </c>
      <c r="C1004" s="84">
        <v>2895.6</v>
      </c>
      <c r="D1004" s="61">
        <v>325.89999999999998</v>
      </c>
      <c r="E1004" s="61">
        <v>17.2</v>
      </c>
      <c r="F1004" s="61">
        <v>76.5</v>
      </c>
      <c r="G1004" s="61">
        <v>28.8</v>
      </c>
      <c r="H1004" s="61">
        <v>19.399999999999999</v>
      </c>
      <c r="I1004" s="61">
        <v>11.6</v>
      </c>
      <c r="J1004" s="61">
        <v>39.299999999999997</v>
      </c>
      <c r="K1004" s="61">
        <v>21.3</v>
      </c>
      <c r="L1004" s="61">
        <v>43.8</v>
      </c>
      <c r="M1004" s="61">
        <v>32</v>
      </c>
      <c r="N1004" s="61">
        <v>60.7</v>
      </c>
      <c r="O1004" s="85">
        <v>23</v>
      </c>
      <c r="P1004" s="105"/>
      <c r="Q1004" s="87">
        <f t="shared" si="94"/>
        <v>-1.0871283624905121E-2</v>
      </c>
      <c r="R1004" s="87">
        <f t="shared" si="97"/>
        <v>-1.4298448609149108E-2</v>
      </c>
      <c r="S1004" s="87">
        <f t="shared" si="97"/>
        <v>-2.3352084641076028E-2</v>
      </c>
      <c r="T1004" s="87">
        <f t="shared" si="96"/>
        <v>0</v>
      </c>
      <c r="U1004" s="87">
        <f t="shared" si="96"/>
        <v>-3.7207627420599916E-2</v>
      </c>
      <c r="V1004" s="87">
        <f t="shared" si="96"/>
        <v>-1.0362787035546659E-2</v>
      </c>
      <c r="W1004" s="87">
        <f t="shared" si="96"/>
        <v>4.750233398500326E-2</v>
      </c>
      <c r="X1004" s="87">
        <f t="shared" si="96"/>
        <v>-8.5837436913914419E-3</v>
      </c>
      <c r="Y1004" s="87">
        <f t="shared" si="96"/>
        <v>-1.0126668817929271E-2</v>
      </c>
      <c r="Z1004" s="87">
        <f t="shared" si="96"/>
        <v>-6.3657851771977483E-2</v>
      </c>
      <c r="AA1004" s="87">
        <f t="shared" si="98"/>
        <v>-9.0909717012520753E-3</v>
      </c>
      <c r="AB1004" s="87">
        <f t="shared" si="98"/>
        <v>-1.8576385572935419E-2</v>
      </c>
      <c r="AC1004" s="87">
        <f t="shared" si="98"/>
        <v>4.9545931246833949E-3</v>
      </c>
      <c r="AD1004" s="87">
        <f t="shared" si="91"/>
        <v>-2.9980832211935784E-2</v>
      </c>
      <c r="AE1004" s="90">
        <f t="shared" si="95"/>
        <v>-2.5405822445111956E-2</v>
      </c>
    </row>
    <row r="1005" spans="1:31" ht="15.5" x14ac:dyDescent="0.35">
      <c r="A1005" s="82">
        <v>41222</v>
      </c>
      <c r="B1005" s="83">
        <v>8053.6</v>
      </c>
      <c r="C1005" s="84">
        <v>2904.9</v>
      </c>
      <c r="D1005" s="61">
        <v>325.5</v>
      </c>
      <c r="E1005" s="61">
        <v>17.2</v>
      </c>
      <c r="F1005" s="61">
        <v>76.3</v>
      </c>
      <c r="G1005" s="61">
        <v>28.8</v>
      </c>
      <c r="H1005" s="61">
        <v>18.7</v>
      </c>
      <c r="I1005" s="61">
        <v>11.5</v>
      </c>
      <c r="J1005" s="61">
        <v>39</v>
      </c>
      <c r="K1005" s="61">
        <v>19.5</v>
      </c>
      <c r="L1005" s="61">
        <v>43.6</v>
      </c>
      <c r="M1005" s="61">
        <v>31.7</v>
      </c>
      <c r="N1005" s="61">
        <v>61</v>
      </c>
      <c r="O1005" s="85">
        <v>22.9</v>
      </c>
      <c r="P1005" s="105"/>
      <c r="Q1005" s="87">
        <f t="shared" si="94"/>
        <v>3.4773105837084607E-4</v>
      </c>
      <c r="R1005" s="87">
        <f t="shared" si="97"/>
        <v>3.2066228666088438E-3</v>
      </c>
      <c r="S1005" s="87">
        <f t="shared" si="97"/>
        <v>-1.2281241948918699E-3</v>
      </c>
      <c r="T1005" s="87">
        <f t="shared" si="96"/>
        <v>0</v>
      </c>
      <c r="U1005" s="87">
        <f t="shared" si="96"/>
        <v>-2.617802542078823E-3</v>
      </c>
      <c r="V1005" s="87">
        <f t="shared" si="96"/>
        <v>0</v>
      </c>
      <c r="W1005" s="87">
        <f t="shared" si="96"/>
        <v>-3.6749542208741492E-2</v>
      </c>
      <c r="X1005" s="87">
        <f t="shared" si="96"/>
        <v>-8.6580627431145415E-3</v>
      </c>
      <c r="Y1005" s="87">
        <f t="shared" si="96"/>
        <v>-7.6628727455690252E-3</v>
      </c>
      <c r="Z1005" s="87">
        <f t="shared" si="96"/>
        <v>-8.8292607145678312E-2</v>
      </c>
      <c r="AA1005" s="87">
        <f t="shared" si="98"/>
        <v>-4.5766670274117547E-3</v>
      </c>
      <c r="AB1005" s="87">
        <f t="shared" si="98"/>
        <v>-9.4192219164916397E-3</v>
      </c>
      <c r="AC1005" s="87">
        <f t="shared" si="98"/>
        <v>4.9301661078585864E-3</v>
      </c>
      <c r="AD1005" s="87">
        <f t="shared" si="91"/>
        <v>-4.3573053689558126E-3</v>
      </c>
      <c r="AE1005" s="90">
        <f t="shared" si="95"/>
        <v>-6.7652502667283547E-4</v>
      </c>
    </row>
    <row r="1006" spans="1:31" ht="15.5" x14ac:dyDescent="0.35">
      <c r="A1006" s="82">
        <v>41225</v>
      </c>
      <c r="B1006" s="83">
        <v>8054</v>
      </c>
      <c r="C1006" s="84">
        <v>2904.3</v>
      </c>
      <c r="D1006" s="61">
        <v>330.8</v>
      </c>
      <c r="E1006" s="61">
        <v>17.2</v>
      </c>
      <c r="F1006" s="61">
        <v>77</v>
      </c>
      <c r="G1006" s="61">
        <v>28.2</v>
      </c>
      <c r="H1006" s="61">
        <v>18.600000000000001</v>
      </c>
      <c r="I1006" s="61">
        <v>11.5</v>
      </c>
      <c r="J1006" s="61">
        <v>39</v>
      </c>
      <c r="K1006" s="61">
        <v>17.899999999999999</v>
      </c>
      <c r="L1006" s="61">
        <v>43.9</v>
      </c>
      <c r="M1006" s="61">
        <v>31.7</v>
      </c>
      <c r="N1006" s="61">
        <v>61.2</v>
      </c>
      <c r="O1006" s="85">
        <v>23</v>
      </c>
      <c r="P1006" s="105"/>
      <c r="Q1006" s="87">
        <f t="shared" si="94"/>
        <v>4.9665996185782058E-5</v>
      </c>
      <c r="R1006" s="87">
        <f t="shared" si="97"/>
        <v>-2.065688914595604E-4</v>
      </c>
      <c r="S1006" s="87">
        <f t="shared" si="97"/>
        <v>1.6151501500912414E-2</v>
      </c>
      <c r="T1006" s="87">
        <f t="shared" si="96"/>
        <v>0</v>
      </c>
      <c r="U1006" s="87">
        <f t="shared" si="96"/>
        <v>9.1324835632724723E-3</v>
      </c>
      <c r="V1006" s="87">
        <f t="shared" si="96"/>
        <v>-2.1053409197832381E-2</v>
      </c>
      <c r="W1006" s="87">
        <f t="shared" si="96"/>
        <v>-5.3619431413852872E-3</v>
      </c>
      <c r="X1006" s="87">
        <f t="shared" si="96"/>
        <v>0</v>
      </c>
      <c r="Y1006" s="87">
        <f t="shared" si="96"/>
        <v>0</v>
      </c>
      <c r="Z1006" s="87">
        <f t="shared" si="96"/>
        <v>-8.5613752722991848E-2</v>
      </c>
      <c r="AA1006" s="87">
        <f t="shared" si="98"/>
        <v>6.8571697261370452E-3</v>
      </c>
      <c r="AB1006" s="87">
        <f t="shared" si="98"/>
        <v>0</v>
      </c>
      <c r="AC1006" s="87">
        <f t="shared" si="98"/>
        <v>3.2733253449691085E-3</v>
      </c>
      <c r="AD1006" s="87">
        <f t="shared" si="91"/>
        <v>4.3573053689558473E-3</v>
      </c>
      <c r="AE1006" s="90">
        <f t="shared" si="95"/>
        <v>7.8076200994995903E-3</v>
      </c>
    </row>
    <row r="1007" spans="1:31" ht="15.5" x14ac:dyDescent="0.35">
      <c r="A1007" s="82">
        <v>41226</v>
      </c>
      <c r="B1007" s="83">
        <v>8023.2</v>
      </c>
      <c r="C1007" s="84">
        <v>2883.9</v>
      </c>
      <c r="D1007" s="61">
        <v>329.4</v>
      </c>
      <c r="E1007" s="61">
        <v>17.399999999999999</v>
      </c>
      <c r="F1007" s="61">
        <v>76.599999999999994</v>
      </c>
      <c r="G1007" s="61">
        <v>26.8</v>
      </c>
      <c r="H1007" s="61">
        <v>18.899999999999999</v>
      </c>
      <c r="I1007" s="61">
        <v>11.3</v>
      </c>
      <c r="J1007" s="61">
        <v>38.6</v>
      </c>
      <c r="K1007" s="61">
        <v>17.3</v>
      </c>
      <c r="L1007" s="61">
        <v>43.7</v>
      </c>
      <c r="M1007" s="61">
        <v>31.4</v>
      </c>
      <c r="N1007" s="61">
        <v>61.3</v>
      </c>
      <c r="O1007" s="85">
        <v>22.8</v>
      </c>
      <c r="P1007" s="105"/>
      <c r="Q1007" s="87">
        <f t="shared" si="94"/>
        <v>-3.8315176374009627E-3</v>
      </c>
      <c r="R1007" s="87">
        <f t="shared" si="97"/>
        <v>-7.0488526542553959E-3</v>
      </c>
      <c r="S1007" s="87">
        <f t="shared" si="97"/>
        <v>-4.2411454059964561E-3</v>
      </c>
      <c r="T1007" s="87">
        <f t="shared" si="96"/>
        <v>1.1560822401076006E-2</v>
      </c>
      <c r="U1007" s="87">
        <f t="shared" si="96"/>
        <v>-5.2083451071383473E-3</v>
      </c>
      <c r="V1007" s="87">
        <f t="shared" si="96"/>
        <v>-5.092009042725687E-2</v>
      </c>
      <c r="W1007" s="87">
        <f t="shared" si="96"/>
        <v>1.6000341346440902E-2</v>
      </c>
      <c r="X1007" s="87">
        <f t="shared" si="96"/>
        <v>-1.7544309650909393E-2</v>
      </c>
      <c r="Y1007" s="87">
        <f t="shared" si="96"/>
        <v>-1.0309369658861213E-2</v>
      </c>
      <c r="Z1007" s="87">
        <f t="shared" si="96"/>
        <v>-3.4094211342975897E-2</v>
      </c>
      <c r="AA1007" s="87">
        <f t="shared" si="98"/>
        <v>-4.5662179795810829E-3</v>
      </c>
      <c r="AB1007" s="87">
        <f t="shared" si="98"/>
        <v>-9.5087879690273006E-3</v>
      </c>
      <c r="AC1007" s="87">
        <f t="shared" si="98"/>
        <v>1.6326534238853118E-3</v>
      </c>
      <c r="AD1007" s="87">
        <f t="shared" si="91"/>
        <v>-8.7336799687545534E-3</v>
      </c>
      <c r="AE1007" s="90">
        <f t="shared" si="95"/>
        <v>-5.9053711931005828E-3</v>
      </c>
    </row>
    <row r="1008" spans="1:31" ht="15.5" x14ac:dyDescent="0.35">
      <c r="A1008" s="82">
        <v>41227</v>
      </c>
      <c r="B1008" s="83">
        <v>7903.4</v>
      </c>
      <c r="C1008" s="84">
        <v>2846.8</v>
      </c>
      <c r="D1008" s="61">
        <v>325.60000000000002</v>
      </c>
      <c r="E1008" s="61">
        <v>17.8</v>
      </c>
      <c r="F1008" s="61">
        <v>76.599999999999994</v>
      </c>
      <c r="G1008" s="61">
        <v>26.8</v>
      </c>
      <c r="H1008" s="61">
        <v>19</v>
      </c>
      <c r="I1008" s="61">
        <v>10.9</v>
      </c>
      <c r="J1008" s="61">
        <v>37.5</v>
      </c>
      <c r="K1008" s="61">
        <v>16.8</v>
      </c>
      <c r="L1008" s="61">
        <v>42.9</v>
      </c>
      <c r="M1008" s="61">
        <v>30.8</v>
      </c>
      <c r="N1008" s="61">
        <v>61.6</v>
      </c>
      <c r="O1008" s="85">
        <v>22.4</v>
      </c>
      <c r="P1008" s="105"/>
      <c r="Q1008" s="87">
        <f t="shared" si="94"/>
        <v>-1.5044298158849443E-2</v>
      </c>
      <c r="R1008" s="87">
        <f t="shared" si="97"/>
        <v>-1.2947988314764083E-2</v>
      </c>
      <c r="S1008" s="87">
        <f t="shared" si="97"/>
        <v>-1.1603183615154554E-2</v>
      </c>
      <c r="T1008" s="87">
        <f t="shared" si="96"/>
        <v>2.272825107755631E-2</v>
      </c>
      <c r="U1008" s="87">
        <f t="shared" si="96"/>
        <v>0</v>
      </c>
      <c r="V1008" s="87">
        <f t="shared" si="96"/>
        <v>0</v>
      </c>
      <c r="W1008" s="87">
        <f t="shared" si="96"/>
        <v>5.2770571008438193E-3</v>
      </c>
      <c r="X1008" s="87">
        <f t="shared" si="96"/>
        <v>-3.6039936483196928E-2</v>
      </c>
      <c r="Y1008" s="87">
        <f t="shared" si="96"/>
        <v>-2.8911343494420035E-2</v>
      </c>
      <c r="Z1008" s="87">
        <f t="shared" si="96"/>
        <v>-2.9327615094520063E-2</v>
      </c>
      <c r="AA1008" s="87">
        <f t="shared" si="98"/>
        <v>-1.8476276167573233E-2</v>
      </c>
      <c r="AB1008" s="87">
        <f t="shared" si="98"/>
        <v>-1.9293202934678781E-2</v>
      </c>
      <c r="AC1008" s="87">
        <f t="shared" si="98"/>
        <v>4.88202759730854E-3</v>
      </c>
      <c r="AD1008" s="87">
        <f t="shared" si="91"/>
        <v>-1.7699577099400975E-2</v>
      </c>
      <c r="AE1008" s="90">
        <f t="shared" si="95"/>
        <v>-9.4294909216790217E-3</v>
      </c>
    </row>
    <row r="1009" spans="1:31" ht="15.5" x14ac:dyDescent="0.35">
      <c r="A1009" s="82">
        <v>41228</v>
      </c>
      <c r="B1009" s="83">
        <v>7896.9</v>
      </c>
      <c r="C1009" s="84">
        <v>2836.9</v>
      </c>
      <c r="D1009" s="61">
        <v>322.3</v>
      </c>
      <c r="E1009" s="61">
        <v>17.7</v>
      </c>
      <c r="F1009" s="61">
        <v>74.7</v>
      </c>
      <c r="G1009" s="61">
        <v>26.6</v>
      </c>
      <c r="H1009" s="61">
        <v>19.100000000000001</v>
      </c>
      <c r="I1009" s="61">
        <v>10.9</v>
      </c>
      <c r="J1009" s="61">
        <v>37.4</v>
      </c>
      <c r="K1009" s="61">
        <v>16.3</v>
      </c>
      <c r="L1009" s="61">
        <v>42.6</v>
      </c>
      <c r="M1009" s="61">
        <v>30.6</v>
      </c>
      <c r="N1009" s="61">
        <v>61.6</v>
      </c>
      <c r="O1009" s="85">
        <v>22.5</v>
      </c>
      <c r="P1009" s="105"/>
      <c r="Q1009" s="87">
        <f t="shared" si="94"/>
        <v>-8.2276923434126948E-4</v>
      </c>
      <c r="R1009" s="87">
        <f t="shared" si="97"/>
        <v>-3.4836497394464712E-3</v>
      </c>
      <c r="S1009" s="87">
        <f t="shared" si="97"/>
        <v>-1.018684530699313E-2</v>
      </c>
      <c r="T1009" s="87">
        <f t="shared" si="96"/>
        <v>-5.633817718256131E-3</v>
      </c>
      <c r="U1009" s="87">
        <f t="shared" si="96"/>
        <v>-2.5116984607773837E-2</v>
      </c>
      <c r="V1009" s="87">
        <f t="shared" si="96"/>
        <v>-7.4906717291576257E-3</v>
      </c>
      <c r="W1009" s="87">
        <f t="shared" si="96"/>
        <v>5.249355886143745E-3</v>
      </c>
      <c r="X1009" s="87">
        <f t="shared" si="96"/>
        <v>0</v>
      </c>
      <c r="Y1009" s="87">
        <f t="shared" si="96"/>
        <v>-2.6702285558789208E-3</v>
      </c>
      <c r="Z1009" s="87">
        <f t="shared" si="96"/>
        <v>-3.0213778596496595E-2</v>
      </c>
      <c r="AA1009" s="87">
        <f t="shared" si="98"/>
        <v>-7.0175726586465346E-3</v>
      </c>
      <c r="AB1009" s="87">
        <f t="shared" si="98"/>
        <v>-6.5146810211936419E-3</v>
      </c>
      <c r="AC1009" s="87">
        <f t="shared" si="98"/>
        <v>0</v>
      </c>
      <c r="AD1009" s="87">
        <f t="shared" si="91"/>
        <v>4.4543503493803746E-3</v>
      </c>
      <c r="AE1009" s="90">
        <f t="shared" si="95"/>
        <v>-1.0667068761222965E-2</v>
      </c>
    </row>
    <row r="1010" spans="1:31" ht="15.5" x14ac:dyDescent="0.35">
      <c r="A1010" s="82">
        <v>41229</v>
      </c>
      <c r="B1010" s="83">
        <v>7931.5</v>
      </c>
      <c r="C1010" s="84">
        <v>2853.1</v>
      </c>
      <c r="D1010" s="61">
        <v>318.3</v>
      </c>
      <c r="E1010" s="61">
        <v>17.8</v>
      </c>
      <c r="F1010" s="61">
        <v>72.3</v>
      </c>
      <c r="G1010" s="61">
        <v>26.3</v>
      </c>
      <c r="H1010" s="61">
        <v>19.2</v>
      </c>
      <c r="I1010" s="61">
        <v>11</v>
      </c>
      <c r="J1010" s="61">
        <v>36.9</v>
      </c>
      <c r="K1010" s="61">
        <v>15.7</v>
      </c>
      <c r="L1010" s="61">
        <v>42.4</v>
      </c>
      <c r="M1010" s="61">
        <v>31</v>
      </c>
      <c r="N1010" s="61">
        <v>61.7</v>
      </c>
      <c r="O1010" s="85">
        <v>22.9</v>
      </c>
      <c r="P1010" s="105"/>
      <c r="Q1010" s="87">
        <f t="shared" si="94"/>
        <v>4.3718954677021537E-3</v>
      </c>
      <c r="R1010" s="87">
        <f t="shared" si="97"/>
        <v>5.694215737258976E-3</v>
      </c>
      <c r="S1010" s="87">
        <f t="shared" si="97"/>
        <v>-1.2488454533344996E-2</v>
      </c>
      <c r="T1010" s="87">
        <f t="shared" si="96"/>
        <v>5.6338177182560642E-3</v>
      </c>
      <c r="U1010" s="87">
        <f t="shared" si="96"/>
        <v>-3.2655962974052689E-2</v>
      </c>
      <c r="V1010" s="87">
        <f t="shared" si="96"/>
        <v>-1.1342276603934495E-2</v>
      </c>
      <c r="W1010" s="87">
        <f t="shared" si="96"/>
        <v>5.2219439811516249E-3</v>
      </c>
      <c r="X1010" s="87">
        <f t="shared" si="96"/>
        <v>9.1324835632724723E-3</v>
      </c>
      <c r="Y1010" s="87">
        <f t="shared" si="96"/>
        <v>-1.3459153374004801E-2</v>
      </c>
      <c r="Z1010" s="87">
        <f t="shared" si="96"/>
        <v>-3.7504395458454402E-2</v>
      </c>
      <c r="AA1010" s="87">
        <f t="shared" si="98"/>
        <v>-4.7058910374127277E-3</v>
      </c>
      <c r="AB1010" s="87">
        <f t="shared" si="98"/>
        <v>1.2987195526811112E-2</v>
      </c>
      <c r="AC1010" s="87">
        <f t="shared" si="98"/>
        <v>1.6220603718680509E-3</v>
      </c>
      <c r="AD1010" s="87">
        <f t="shared" si="91"/>
        <v>1.762160134981941E-2</v>
      </c>
      <c r="AE1010" s="90">
        <f t="shared" si="95"/>
        <v>-9.1450774815421687E-3</v>
      </c>
    </row>
    <row r="1011" spans="1:31" ht="15.5" x14ac:dyDescent="0.35">
      <c r="A1011" s="82">
        <v>41232</v>
      </c>
      <c r="B1011" s="83">
        <v>8080.3</v>
      </c>
      <c r="C1011" s="84">
        <v>2916.1</v>
      </c>
      <c r="D1011" s="61">
        <v>328.1</v>
      </c>
      <c r="E1011" s="61">
        <v>17.899999999999999</v>
      </c>
      <c r="F1011" s="61">
        <v>77.099999999999994</v>
      </c>
      <c r="G1011" s="61">
        <v>26.5</v>
      </c>
      <c r="H1011" s="61">
        <v>19.399999999999999</v>
      </c>
      <c r="I1011" s="61">
        <v>11.2</v>
      </c>
      <c r="J1011" s="61">
        <v>37.5</v>
      </c>
      <c r="K1011" s="61">
        <v>16.600000000000001</v>
      </c>
      <c r="L1011" s="61">
        <v>43.1</v>
      </c>
      <c r="M1011" s="61">
        <v>31.8</v>
      </c>
      <c r="N1011" s="61">
        <v>63.2</v>
      </c>
      <c r="O1011" s="85">
        <v>23.4</v>
      </c>
      <c r="P1011" s="105"/>
      <c r="Q1011" s="87">
        <f t="shared" si="94"/>
        <v>1.8586827690248903E-2</v>
      </c>
      <c r="R1011" s="87">
        <f t="shared" si="97"/>
        <v>2.1840984670421899E-2</v>
      </c>
      <c r="S1011" s="87">
        <f t="shared" si="97"/>
        <v>3.032410567900877E-2</v>
      </c>
      <c r="T1011" s="87">
        <f t="shared" si="96"/>
        <v>5.6022555486697516E-3</v>
      </c>
      <c r="U1011" s="87">
        <f t="shared" si="96"/>
        <v>6.4279151404564791E-2</v>
      </c>
      <c r="V1011" s="87">
        <f t="shared" si="96"/>
        <v>7.5757938084577226E-3</v>
      </c>
      <c r="W1011" s="87">
        <f t="shared" si="96"/>
        <v>1.0362787035546658E-2</v>
      </c>
      <c r="X1011" s="87">
        <f t="shared" si="96"/>
        <v>1.8018505502678212E-2</v>
      </c>
      <c r="Y1011" s="87">
        <f t="shared" si="96"/>
        <v>1.6129381929883717E-2</v>
      </c>
      <c r="Z1011" s="87">
        <f t="shared" si="96"/>
        <v>5.5741983008235373E-2</v>
      </c>
      <c r="AA1011" s="87">
        <f t="shared" si="98"/>
        <v>1.6374634871790104E-2</v>
      </c>
      <c r="AB1011" s="87">
        <f t="shared" si="98"/>
        <v>2.5479085300984968E-2</v>
      </c>
      <c r="AC1011" s="87">
        <f t="shared" si="98"/>
        <v>2.4020370241469659E-2</v>
      </c>
      <c r="AD1011" s="87">
        <f t="shared" si="91"/>
        <v>2.1599111803461721E-2</v>
      </c>
      <c r="AE1011" s="90">
        <f t="shared" si="95"/>
        <v>3.6429864374039549E-2</v>
      </c>
    </row>
    <row r="1012" spans="1:31" ht="15.5" x14ac:dyDescent="0.35">
      <c r="A1012" s="82">
        <v>41233</v>
      </c>
      <c r="B1012" s="83">
        <v>8086.4</v>
      </c>
      <c r="C1012" s="84">
        <v>2916.7</v>
      </c>
      <c r="D1012" s="61">
        <v>332.6</v>
      </c>
      <c r="E1012" s="61">
        <v>18.2</v>
      </c>
      <c r="F1012" s="61">
        <v>79.2</v>
      </c>
      <c r="G1012" s="61">
        <v>26.5</v>
      </c>
      <c r="H1012" s="61">
        <v>18.399999999999999</v>
      </c>
      <c r="I1012" s="61">
        <v>11.2</v>
      </c>
      <c r="J1012" s="61">
        <v>37.799999999999997</v>
      </c>
      <c r="K1012" s="61">
        <v>16.8</v>
      </c>
      <c r="L1012" s="61">
        <v>43.2</v>
      </c>
      <c r="M1012" s="61">
        <v>31.6</v>
      </c>
      <c r="N1012" s="61">
        <v>63</v>
      </c>
      <c r="O1012" s="85">
        <v>23.8</v>
      </c>
      <c r="P1012" s="105"/>
      <c r="Q1012" s="87">
        <f t="shared" si="94"/>
        <v>7.5463765511623281E-4</v>
      </c>
      <c r="R1012" s="87">
        <f t="shared" si="97"/>
        <v>2.0573309632295676E-4</v>
      </c>
      <c r="S1012" s="87">
        <f t="shared" si="97"/>
        <v>1.3622126791771376E-2</v>
      </c>
      <c r="T1012" s="87">
        <f t="shared" si="96"/>
        <v>1.66208812360405E-2</v>
      </c>
      <c r="U1012" s="87">
        <f t="shared" si="96"/>
        <v>2.6873018251096486E-2</v>
      </c>
      <c r="V1012" s="87">
        <f t="shared" si="96"/>
        <v>0</v>
      </c>
      <c r="W1012" s="87">
        <f t="shared" si="96"/>
        <v>-5.2922401454342551E-2</v>
      </c>
      <c r="X1012" s="87">
        <f t="shared" si="96"/>
        <v>0</v>
      </c>
      <c r="Y1012" s="87">
        <f t="shared" si="96"/>
        <v>7.9681696491768813E-3</v>
      </c>
      <c r="Z1012" s="87">
        <f t="shared" si="96"/>
        <v>1.197619104671562E-2</v>
      </c>
      <c r="AA1012" s="87">
        <f t="shared" si="98"/>
        <v>2.3174981403624824E-3</v>
      </c>
      <c r="AB1012" s="87">
        <f t="shared" si="98"/>
        <v>-6.309169193264721E-3</v>
      </c>
      <c r="AC1012" s="87">
        <f t="shared" si="98"/>
        <v>-3.1695747612790672E-3</v>
      </c>
      <c r="AD1012" s="87">
        <f t="shared" si="91"/>
        <v>1.6949558313773424E-2</v>
      </c>
      <c r="AE1012" s="90">
        <f t="shared" si="95"/>
        <v>1.3793971993354241E-2</v>
      </c>
    </row>
    <row r="1013" spans="1:31" ht="15.5" x14ac:dyDescent="0.35">
      <c r="A1013" s="82">
        <v>41234</v>
      </c>
      <c r="B1013" s="83">
        <v>8112.2</v>
      </c>
      <c r="C1013" s="84">
        <v>2926.6</v>
      </c>
      <c r="D1013" s="61">
        <v>330.5</v>
      </c>
      <c r="E1013" s="61">
        <v>18.2</v>
      </c>
      <c r="F1013" s="61">
        <v>79.5</v>
      </c>
      <c r="G1013" s="61">
        <v>26.7</v>
      </c>
      <c r="H1013" s="61">
        <v>18.5</v>
      </c>
      <c r="I1013" s="61">
        <v>11.4</v>
      </c>
      <c r="J1013" s="61">
        <v>38</v>
      </c>
      <c r="K1013" s="61">
        <v>16.899999999999999</v>
      </c>
      <c r="L1013" s="61">
        <v>43.6</v>
      </c>
      <c r="M1013" s="61">
        <v>32.200000000000003</v>
      </c>
      <c r="N1013" s="61">
        <v>63.6</v>
      </c>
      <c r="O1013" s="85">
        <v>23.7</v>
      </c>
      <c r="P1013" s="105"/>
      <c r="Q1013" s="87">
        <f t="shared" si="94"/>
        <v>3.1854631655110132E-3</v>
      </c>
      <c r="R1013" s="87">
        <f t="shared" si="97"/>
        <v>3.3884994686526979E-3</v>
      </c>
      <c r="S1013" s="87">
        <f t="shared" si="97"/>
        <v>-6.333907467086391E-3</v>
      </c>
      <c r="T1013" s="87">
        <f t="shared" si="96"/>
        <v>0</v>
      </c>
      <c r="U1013" s="87">
        <f t="shared" si="96"/>
        <v>3.7807228399059311E-3</v>
      </c>
      <c r="V1013" s="87">
        <f t="shared" si="96"/>
        <v>7.518832414027319E-3</v>
      </c>
      <c r="W1013" s="87">
        <f t="shared" si="96"/>
        <v>5.4200674693393345E-3</v>
      </c>
      <c r="X1013" s="87">
        <f t="shared" si="96"/>
        <v>1.7699577099401075E-2</v>
      </c>
      <c r="Y1013" s="87">
        <f t="shared" si="96"/>
        <v>5.2770571008438193E-3</v>
      </c>
      <c r="Z1013" s="87">
        <f t="shared" si="96"/>
        <v>5.9347355198145265E-3</v>
      </c>
      <c r="AA1013" s="87">
        <f t="shared" si="98"/>
        <v>9.2166551049240476E-3</v>
      </c>
      <c r="AB1013" s="87">
        <f t="shared" si="98"/>
        <v>1.8809331957496293E-2</v>
      </c>
      <c r="AC1013" s="87">
        <f t="shared" si="98"/>
        <v>9.4787439545437387E-3</v>
      </c>
      <c r="AD1013" s="87">
        <f t="shared" si="98"/>
        <v>-4.2105325363436053E-3</v>
      </c>
      <c r="AE1013" s="90">
        <f t="shared" si="95"/>
        <v>-2.6937154866572214E-4</v>
      </c>
    </row>
    <row r="1014" spans="1:31" ht="15.5" x14ac:dyDescent="0.35">
      <c r="A1014" s="82">
        <v>41236</v>
      </c>
      <c r="B1014" s="83">
        <v>8225.5</v>
      </c>
      <c r="C1014" s="84">
        <v>2966.9</v>
      </c>
      <c r="D1014" s="61">
        <v>333.4</v>
      </c>
      <c r="E1014" s="61">
        <v>18.399999999999999</v>
      </c>
      <c r="F1014" s="61">
        <v>80.400000000000006</v>
      </c>
      <c r="G1014" s="61">
        <v>27.2</v>
      </c>
      <c r="H1014" s="61">
        <v>18.5</v>
      </c>
      <c r="I1014" s="61">
        <v>11.6</v>
      </c>
      <c r="J1014" s="61">
        <v>38.299999999999997</v>
      </c>
      <c r="K1014" s="61">
        <v>17.100000000000001</v>
      </c>
      <c r="L1014" s="61">
        <v>43.9</v>
      </c>
      <c r="M1014" s="61">
        <v>32.9</v>
      </c>
      <c r="N1014" s="61">
        <v>64.400000000000006</v>
      </c>
      <c r="O1014" s="85">
        <v>24</v>
      </c>
      <c r="P1014" s="105"/>
      <c r="Q1014" s="87">
        <f t="shared" si="94"/>
        <v>1.3869983700088859E-2</v>
      </c>
      <c r="R1014" s="87">
        <f t="shared" si="97"/>
        <v>1.3676296986307148E-2</v>
      </c>
      <c r="S1014" s="87">
        <f t="shared" si="97"/>
        <v>8.7363110249525158E-3</v>
      </c>
      <c r="T1014" s="87">
        <f t="shared" si="96"/>
        <v>1.092907053219023E-2</v>
      </c>
      <c r="U1014" s="87">
        <f t="shared" si="96"/>
        <v>1.1257154524634468E-2</v>
      </c>
      <c r="V1014" s="87">
        <f t="shared" si="96"/>
        <v>1.8553407895747834E-2</v>
      </c>
      <c r="W1014" s="87">
        <f t="shared" si="96"/>
        <v>0</v>
      </c>
      <c r="X1014" s="87">
        <f t="shared" si="96"/>
        <v>1.739174271186902E-2</v>
      </c>
      <c r="Y1014" s="87">
        <f t="shared" si="96"/>
        <v>7.8637364602144513E-3</v>
      </c>
      <c r="Z1014" s="87">
        <f t="shared" si="96"/>
        <v>1.1764841579586431E-2</v>
      </c>
      <c r="AA1014" s="87">
        <f t="shared" si="98"/>
        <v>6.8571697261370452E-3</v>
      </c>
      <c r="AB1014" s="87">
        <f t="shared" si="98"/>
        <v>2.1506205220963463E-2</v>
      </c>
      <c r="AC1014" s="87">
        <f t="shared" si="98"/>
        <v>1.2500162764231468E-2</v>
      </c>
      <c r="AD1014" s="87">
        <f t="shared" si="98"/>
        <v>1.2578782206860185E-2</v>
      </c>
      <c r="AE1014" s="90">
        <f t="shared" si="95"/>
        <v>1.1404917332367552E-2</v>
      </c>
    </row>
    <row r="1015" spans="1:31" ht="15.5" x14ac:dyDescent="0.35">
      <c r="A1015" s="82">
        <v>41239</v>
      </c>
      <c r="B1015" s="83">
        <v>8197.6</v>
      </c>
      <c r="C1015" s="84">
        <v>2976.8</v>
      </c>
      <c r="D1015" s="61">
        <v>329.8</v>
      </c>
      <c r="E1015" s="61">
        <v>18.7</v>
      </c>
      <c r="F1015" s="61">
        <v>82</v>
      </c>
      <c r="G1015" s="61">
        <v>27.2</v>
      </c>
      <c r="H1015" s="61">
        <v>18.8</v>
      </c>
      <c r="I1015" s="61">
        <v>11.7</v>
      </c>
      <c r="J1015" s="61">
        <v>38.200000000000003</v>
      </c>
      <c r="K1015" s="61">
        <v>16.899999999999999</v>
      </c>
      <c r="L1015" s="61">
        <v>43.9</v>
      </c>
      <c r="M1015" s="61">
        <v>32.700000000000003</v>
      </c>
      <c r="N1015" s="61">
        <v>63.9</v>
      </c>
      <c r="O1015" s="85">
        <v>23.8</v>
      </c>
      <c r="P1015" s="105"/>
      <c r="Q1015" s="87">
        <f t="shared" si="94"/>
        <v>-3.3976565739668417E-3</v>
      </c>
      <c r="R1015" s="87">
        <f t="shared" si="97"/>
        <v>3.3312613877796147E-3</v>
      </c>
      <c r="S1015" s="87">
        <f t="shared" si="97"/>
        <v>-1.0856560191195045E-2</v>
      </c>
      <c r="T1015" s="87">
        <f t="shared" si="96"/>
        <v>1.6172859245600968E-2</v>
      </c>
      <c r="U1015" s="87">
        <f t="shared" si="96"/>
        <v>1.9705071079332337E-2</v>
      </c>
      <c r="V1015" s="87">
        <f t="shared" si="96"/>
        <v>0</v>
      </c>
      <c r="W1015" s="87">
        <f t="shared" si="96"/>
        <v>1.6086137751624444E-2</v>
      </c>
      <c r="X1015" s="87">
        <f t="shared" si="96"/>
        <v>8.583743691391435E-3</v>
      </c>
      <c r="Y1015" s="87">
        <f t="shared" si="96"/>
        <v>-2.6143805740707093E-3</v>
      </c>
      <c r="Z1015" s="87">
        <f t="shared" si="96"/>
        <v>-1.1764841579586483E-2</v>
      </c>
      <c r="AA1015" s="87">
        <f t="shared" si="98"/>
        <v>0</v>
      </c>
      <c r="AB1015" s="87">
        <f t="shared" si="98"/>
        <v>-6.0975798681183338E-3</v>
      </c>
      <c r="AC1015" s="87">
        <f t="shared" si="98"/>
        <v>-7.7942717268189091E-3</v>
      </c>
      <c r="AD1015" s="87">
        <f t="shared" si="98"/>
        <v>-8.3682496705165792E-3</v>
      </c>
      <c r="AE1015" s="90">
        <f t="shared" si="95"/>
        <v>2.4374278049035828E-3</v>
      </c>
    </row>
    <row r="1016" spans="1:31" ht="15.5" x14ac:dyDescent="0.35">
      <c r="A1016" s="82">
        <v>41240</v>
      </c>
      <c r="B1016" s="83">
        <v>8150.8</v>
      </c>
      <c r="C1016" s="84">
        <v>2967.8</v>
      </c>
      <c r="D1016" s="61">
        <v>329.3</v>
      </c>
      <c r="E1016" s="61">
        <v>18.8</v>
      </c>
      <c r="F1016" s="61">
        <v>82.9</v>
      </c>
      <c r="G1016" s="61">
        <v>27</v>
      </c>
      <c r="H1016" s="61">
        <v>18.8</v>
      </c>
      <c r="I1016" s="61">
        <v>11.7</v>
      </c>
      <c r="J1016" s="61">
        <v>38.299999999999997</v>
      </c>
      <c r="K1016" s="61">
        <v>17.2</v>
      </c>
      <c r="L1016" s="61">
        <v>43.9</v>
      </c>
      <c r="M1016" s="61">
        <v>32.6</v>
      </c>
      <c r="N1016" s="61">
        <v>63.9</v>
      </c>
      <c r="O1016" s="85">
        <v>24</v>
      </c>
      <c r="P1016" s="105"/>
      <c r="Q1016" s="87">
        <f t="shared" si="94"/>
        <v>-5.7253465587266935E-3</v>
      </c>
      <c r="R1016" s="87">
        <f t="shared" si="97"/>
        <v>-3.027960460386708E-3</v>
      </c>
      <c r="S1016" s="87">
        <f t="shared" si="97"/>
        <v>-1.5172207431799237E-3</v>
      </c>
      <c r="T1016" s="87">
        <f t="shared" si="96"/>
        <v>5.3333459753626029E-3</v>
      </c>
      <c r="U1016" s="87">
        <f t="shared" si="96"/>
        <v>1.0915814876996187E-2</v>
      </c>
      <c r="V1016" s="87">
        <f t="shared" si="96"/>
        <v>-7.3801072976225337E-3</v>
      </c>
      <c r="W1016" s="87">
        <f t="shared" si="96"/>
        <v>0</v>
      </c>
      <c r="X1016" s="87">
        <f t="shared" si="96"/>
        <v>0</v>
      </c>
      <c r="Y1016" s="87">
        <f t="shared" si="96"/>
        <v>2.614380574070672E-3</v>
      </c>
      <c r="Z1016" s="87">
        <f t="shared" si="96"/>
        <v>1.759576189037966E-2</v>
      </c>
      <c r="AA1016" s="87">
        <f t="shared" si="98"/>
        <v>0</v>
      </c>
      <c r="AB1016" s="87">
        <f t="shared" si="98"/>
        <v>-3.0627895305457668E-3</v>
      </c>
      <c r="AC1016" s="87">
        <f t="shared" si="98"/>
        <v>0</v>
      </c>
      <c r="AD1016" s="87">
        <f t="shared" si="98"/>
        <v>8.3682496705165792E-3</v>
      </c>
      <c r="AE1016" s="90">
        <f t="shared" si="95"/>
        <v>2.7865877199894371E-3</v>
      </c>
    </row>
    <row r="1017" spans="1:31" ht="15.5" x14ac:dyDescent="0.35">
      <c r="A1017" s="82">
        <v>41241</v>
      </c>
      <c r="B1017" s="83">
        <v>8207.4</v>
      </c>
      <c r="C1017" s="84">
        <v>2991.8</v>
      </c>
      <c r="D1017" s="61">
        <v>332.3</v>
      </c>
      <c r="E1017" s="61">
        <v>18.5</v>
      </c>
      <c r="F1017" s="61">
        <v>81.8</v>
      </c>
      <c r="G1017" s="61">
        <v>26.8</v>
      </c>
      <c r="H1017" s="61">
        <v>18.8</v>
      </c>
      <c r="I1017" s="61">
        <v>11.5</v>
      </c>
      <c r="J1017" s="61">
        <v>38.1</v>
      </c>
      <c r="K1017" s="61">
        <v>17.399999999999999</v>
      </c>
      <c r="L1017" s="61">
        <v>43.5</v>
      </c>
      <c r="M1017" s="61">
        <v>32.200000000000003</v>
      </c>
      <c r="N1017" s="61">
        <v>63</v>
      </c>
      <c r="O1017" s="85">
        <v>24.2</v>
      </c>
      <c r="P1017" s="105"/>
      <c r="Q1017" s="87">
        <f t="shared" si="94"/>
        <v>6.9201043966721672E-3</v>
      </c>
      <c r="R1017" s="87">
        <f t="shared" si="97"/>
        <v>8.0542753683344234E-3</v>
      </c>
      <c r="S1017" s="87">
        <f t="shared" si="97"/>
        <v>9.0689859782300021E-3</v>
      </c>
      <c r="T1017" s="87">
        <f t="shared" si="96"/>
        <v>-1.6086137751624381E-2</v>
      </c>
      <c r="U1017" s="87">
        <f t="shared" si="96"/>
        <v>-1.3357818532547987E-2</v>
      </c>
      <c r="V1017" s="87">
        <f t="shared" si="96"/>
        <v>-7.4349784875180902E-3</v>
      </c>
      <c r="W1017" s="87">
        <f t="shared" si="96"/>
        <v>0</v>
      </c>
      <c r="X1017" s="87">
        <f t="shared" si="96"/>
        <v>-1.7241806434505992E-2</v>
      </c>
      <c r="Y1017" s="87">
        <f t="shared" si="96"/>
        <v>-5.2356140539449401E-3</v>
      </c>
      <c r="Z1017" s="87">
        <f t="shared" si="96"/>
        <v>1.1560822401076006E-2</v>
      </c>
      <c r="AA1017" s="87">
        <f t="shared" si="98"/>
        <v>-9.1533819864872482E-3</v>
      </c>
      <c r="AB1017" s="87">
        <f t="shared" si="98"/>
        <v>-1.2345835822299266E-2</v>
      </c>
      <c r="AC1017" s="87">
        <f t="shared" si="98"/>
        <v>-1.4184634991956413E-2</v>
      </c>
      <c r="AD1017" s="87">
        <f t="shared" si="98"/>
        <v>8.2988028146950641E-3</v>
      </c>
      <c r="AE1017" s="90">
        <f t="shared" si="95"/>
        <v>2.2585172371086403E-3</v>
      </c>
    </row>
    <row r="1018" spans="1:31" ht="15.5" x14ac:dyDescent="0.35">
      <c r="A1018" s="82">
        <v>41242</v>
      </c>
      <c r="B1018" s="83">
        <v>8256.1</v>
      </c>
      <c r="C1018" s="84">
        <v>3012</v>
      </c>
      <c r="D1018" s="61">
        <v>341.3</v>
      </c>
      <c r="E1018" s="61">
        <v>18.899999999999999</v>
      </c>
      <c r="F1018" s="61">
        <v>83.6</v>
      </c>
      <c r="G1018" s="61">
        <v>26.9</v>
      </c>
      <c r="H1018" s="61">
        <v>19.3</v>
      </c>
      <c r="I1018" s="61">
        <v>12</v>
      </c>
      <c r="J1018" s="61">
        <v>38.6</v>
      </c>
      <c r="K1018" s="61">
        <v>17.7</v>
      </c>
      <c r="L1018" s="61">
        <v>44.5</v>
      </c>
      <c r="M1018" s="61">
        <v>33.1</v>
      </c>
      <c r="N1018" s="61">
        <v>64.099999999999994</v>
      </c>
      <c r="O1018" s="85">
        <v>24.7</v>
      </c>
      <c r="P1018" s="105"/>
      <c r="Q1018" s="87">
        <f t="shared" si="94"/>
        <v>5.9161347276367234E-3</v>
      </c>
      <c r="R1018" s="87">
        <f t="shared" si="97"/>
        <v>6.7290969794235149E-3</v>
      </c>
      <c r="S1018" s="87">
        <f t="shared" si="97"/>
        <v>2.6723680552112723E-2</v>
      </c>
      <c r="T1018" s="87">
        <f t="shared" si="96"/>
        <v>2.139118998131756E-2</v>
      </c>
      <c r="U1018" s="87">
        <f t="shared" si="96"/>
        <v>2.1766276481954505E-2</v>
      </c>
      <c r="V1018" s="87">
        <f t="shared" si="96"/>
        <v>3.7243990909822727E-3</v>
      </c>
      <c r="W1018" s="87">
        <f t="shared" si="96"/>
        <v>2.6248226074936411E-2</v>
      </c>
      <c r="X1018" s="87">
        <f t="shared" si="96"/>
        <v>4.2559614418795903E-2</v>
      </c>
      <c r="Y1018" s="87">
        <f t="shared" si="96"/>
        <v>1.3037994338129801E-2</v>
      </c>
      <c r="Z1018" s="87">
        <f t="shared" si="96"/>
        <v>1.7094433359300255E-2</v>
      </c>
      <c r="AA1018" s="87">
        <f t="shared" si="98"/>
        <v>2.2728251077556091E-2</v>
      </c>
      <c r="AB1018" s="87">
        <f t="shared" si="98"/>
        <v>2.7566829832654592E-2</v>
      </c>
      <c r="AC1018" s="87">
        <f t="shared" si="98"/>
        <v>1.7309637535091606E-2</v>
      </c>
      <c r="AD1018" s="87">
        <f t="shared" si="98"/>
        <v>2.0450610471290841E-2</v>
      </c>
      <c r="AE1018" s="90">
        <f t="shared" si="95"/>
        <v>1.8550338620573974E-2</v>
      </c>
    </row>
    <row r="1019" spans="1:31" ht="15.5" x14ac:dyDescent="0.35">
      <c r="A1019" s="82">
        <v>41243</v>
      </c>
      <c r="B1019" s="83">
        <v>8260.4</v>
      </c>
      <c r="C1019" s="84">
        <v>3010.2</v>
      </c>
      <c r="D1019" s="61">
        <v>343.2</v>
      </c>
      <c r="E1019" s="61">
        <v>18.7</v>
      </c>
      <c r="F1019" s="61">
        <v>83.2</v>
      </c>
      <c r="G1019" s="61">
        <v>26.5</v>
      </c>
      <c r="H1019" s="61">
        <v>19.100000000000001</v>
      </c>
      <c r="I1019" s="61">
        <v>12.3</v>
      </c>
      <c r="J1019" s="61">
        <v>38.5</v>
      </c>
      <c r="K1019" s="61">
        <v>17.7</v>
      </c>
      <c r="L1019" s="61">
        <v>44.1</v>
      </c>
      <c r="M1019" s="61">
        <v>33.1</v>
      </c>
      <c r="N1019" s="61">
        <v>64.400000000000006</v>
      </c>
      <c r="O1019" s="85">
        <v>24.2</v>
      </c>
      <c r="P1019" s="105"/>
      <c r="Q1019" s="87">
        <f t="shared" si="94"/>
        <v>5.2069144154645683E-4</v>
      </c>
      <c r="R1019" s="87">
        <f t="shared" si="97"/>
        <v>-5.9778820152194944E-4</v>
      </c>
      <c r="S1019" s="87">
        <f t="shared" si="97"/>
        <v>5.5515117011458153E-3</v>
      </c>
      <c r="T1019" s="87">
        <f t="shared" si="96"/>
        <v>-1.0638398205055754E-2</v>
      </c>
      <c r="U1019" s="87">
        <f t="shared" si="96"/>
        <v>-4.7961722634929441E-3</v>
      </c>
      <c r="V1019" s="87">
        <f t="shared" si="96"/>
        <v>-1.4981553615616833E-2</v>
      </c>
      <c r="W1019" s="87">
        <f t="shared" si="96"/>
        <v>-1.0416760858255604E-2</v>
      </c>
      <c r="X1019" s="87">
        <f t="shared" si="96"/>
        <v>2.4692612590371633E-2</v>
      </c>
      <c r="Y1019" s="87">
        <f t="shared" si="96"/>
        <v>-2.5940351770466466E-3</v>
      </c>
      <c r="Z1019" s="87">
        <f t="shared" si="96"/>
        <v>0</v>
      </c>
      <c r="AA1019" s="87">
        <f t="shared" si="98"/>
        <v>-9.0294067193941521E-3</v>
      </c>
      <c r="AB1019" s="87">
        <f t="shared" si="98"/>
        <v>0</v>
      </c>
      <c r="AC1019" s="87">
        <f t="shared" si="98"/>
        <v>4.6692691836836926E-3</v>
      </c>
      <c r="AD1019" s="87">
        <f t="shared" si="98"/>
        <v>-2.0450610471290768E-2</v>
      </c>
      <c r="AE1019" s="90">
        <f t="shared" si="95"/>
        <v>-2.4110497363135494E-3</v>
      </c>
    </row>
    <row r="1020" spans="1:31" ht="15.5" x14ac:dyDescent="0.35">
      <c r="A1020" s="82">
        <v>41246</v>
      </c>
      <c r="B1020" s="83">
        <v>8223.5</v>
      </c>
      <c r="C1020" s="84">
        <v>3002.2</v>
      </c>
      <c r="D1020" s="61">
        <v>347.4</v>
      </c>
      <c r="E1020" s="61">
        <v>18.3</v>
      </c>
      <c r="F1020" s="61">
        <v>83.6</v>
      </c>
      <c r="G1020" s="61">
        <v>26.4</v>
      </c>
      <c r="H1020" s="61">
        <v>19</v>
      </c>
      <c r="I1020" s="61">
        <v>12.5</v>
      </c>
      <c r="J1020" s="61">
        <v>38.5</v>
      </c>
      <c r="K1020" s="61">
        <v>17.2</v>
      </c>
      <c r="L1020" s="61">
        <v>44.4</v>
      </c>
      <c r="M1020" s="61">
        <v>33.299999999999997</v>
      </c>
      <c r="N1020" s="61">
        <v>64.400000000000006</v>
      </c>
      <c r="O1020" s="85">
        <v>24.3</v>
      </c>
      <c r="P1020" s="105"/>
      <c r="Q1020" s="87">
        <f t="shared" si="94"/>
        <v>-4.4771033113128736E-3</v>
      </c>
      <c r="R1020" s="87">
        <f t="shared" si="97"/>
        <v>-2.6611684921865691E-3</v>
      </c>
      <c r="S1020" s="87">
        <f t="shared" si="97"/>
        <v>1.2163486193197402E-2</v>
      </c>
      <c r="T1020" s="87">
        <f t="shared" si="96"/>
        <v>-2.1622464013165657E-2</v>
      </c>
      <c r="U1020" s="87">
        <f t="shared" si="96"/>
        <v>4.7961722634930135E-3</v>
      </c>
      <c r="V1020" s="87">
        <f t="shared" si="96"/>
        <v>-3.7807228399060443E-3</v>
      </c>
      <c r="W1020" s="87">
        <f t="shared" si="96"/>
        <v>-5.2493558861437901E-3</v>
      </c>
      <c r="X1020" s="87">
        <f t="shared" si="96"/>
        <v>1.6129381929883498E-2</v>
      </c>
      <c r="Y1020" s="87">
        <f t="shared" si="96"/>
        <v>0</v>
      </c>
      <c r="Z1020" s="87">
        <f t="shared" si="96"/>
        <v>-2.8655255760376062E-2</v>
      </c>
      <c r="AA1020" s="87">
        <f t="shared" si="98"/>
        <v>6.7796869853787691E-3</v>
      </c>
      <c r="AB1020" s="87">
        <f t="shared" si="98"/>
        <v>6.0241146033808762E-3</v>
      </c>
      <c r="AC1020" s="87">
        <f t="shared" si="98"/>
        <v>0</v>
      </c>
      <c r="AD1020" s="87">
        <f t="shared" si="98"/>
        <v>4.1237171838621562E-3</v>
      </c>
      <c r="AE1020" s="90">
        <f t="shared" si="95"/>
        <v>4.6359965098877395E-3</v>
      </c>
    </row>
    <row r="1021" spans="1:31" ht="15.5" x14ac:dyDescent="0.35">
      <c r="A1021" s="82">
        <v>41247</v>
      </c>
      <c r="B1021" s="83">
        <v>8223.9</v>
      </c>
      <c r="C1021" s="84">
        <v>2996.7</v>
      </c>
      <c r="D1021" s="61">
        <v>343.2</v>
      </c>
      <c r="E1021" s="61">
        <v>18.600000000000001</v>
      </c>
      <c r="F1021" s="61">
        <v>81.7</v>
      </c>
      <c r="G1021" s="61">
        <v>26.3</v>
      </c>
      <c r="H1021" s="61">
        <v>19.100000000000001</v>
      </c>
      <c r="I1021" s="61">
        <v>12.5</v>
      </c>
      <c r="J1021" s="61">
        <v>38.4</v>
      </c>
      <c r="K1021" s="61">
        <v>17.100000000000001</v>
      </c>
      <c r="L1021" s="61">
        <v>44.4</v>
      </c>
      <c r="M1021" s="61">
        <v>33.200000000000003</v>
      </c>
      <c r="N1021" s="61">
        <v>63.9</v>
      </c>
      <c r="O1021" s="85">
        <v>24.3</v>
      </c>
      <c r="P1021" s="105"/>
      <c r="Q1021" s="87">
        <f t="shared" si="94"/>
        <v>4.8639906620937727E-5</v>
      </c>
      <c r="R1021" s="87">
        <f t="shared" si="97"/>
        <v>-1.8336700198620455E-3</v>
      </c>
      <c r="S1021" s="87">
        <f t="shared" si="97"/>
        <v>-1.216348619319735E-2</v>
      </c>
      <c r="T1021" s="87">
        <f t="shared" si="96"/>
        <v>1.6260520871780326E-2</v>
      </c>
      <c r="U1021" s="87">
        <f t="shared" si="96"/>
        <v>-2.2989518224698604E-2</v>
      </c>
      <c r="V1021" s="87">
        <f t="shared" si="96"/>
        <v>-3.7950709685514979E-3</v>
      </c>
      <c r="W1021" s="87">
        <f t="shared" si="96"/>
        <v>5.249355886143745E-3</v>
      </c>
      <c r="X1021" s="87">
        <f t="shared" si="96"/>
        <v>0</v>
      </c>
      <c r="Y1021" s="87">
        <f t="shared" si="96"/>
        <v>-2.6007817000573675E-3</v>
      </c>
      <c r="Z1021" s="87">
        <f t="shared" si="96"/>
        <v>-5.8309203107930986E-3</v>
      </c>
      <c r="AA1021" s="87">
        <f t="shared" si="98"/>
        <v>0</v>
      </c>
      <c r="AB1021" s="87">
        <f t="shared" si="98"/>
        <v>-3.0075210639551055E-3</v>
      </c>
      <c r="AC1021" s="87">
        <f t="shared" si="98"/>
        <v>-7.7942717268189091E-3</v>
      </c>
      <c r="AD1021" s="87">
        <f t="shared" si="98"/>
        <v>0</v>
      </c>
      <c r="AE1021" s="90">
        <f t="shared" si="95"/>
        <v>-1.0684272782905475E-2</v>
      </c>
    </row>
    <row r="1022" spans="1:31" ht="15.5" x14ac:dyDescent="0.35">
      <c r="A1022" s="82">
        <v>41248</v>
      </c>
      <c r="B1022" s="83">
        <v>8264.7999999999993</v>
      </c>
      <c r="C1022" s="84">
        <v>2973.7</v>
      </c>
      <c r="D1022" s="61">
        <v>341.5</v>
      </c>
      <c r="E1022" s="61">
        <v>18.8</v>
      </c>
      <c r="F1022" s="61">
        <v>77</v>
      </c>
      <c r="G1022" s="61">
        <v>26.3</v>
      </c>
      <c r="H1022" s="61">
        <v>20.3</v>
      </c>
      <c r="I1022" s="61">
        <v>12.7</v>
      </c>
      <c r="J1022" s="61">
        <v>39.1</v>
      </c>
      <c r="K1022" s="61">
        <v>17.100000000000001</v>
      </c>
      <c r="L1022" s="61">
        <v>44.2</v>
      </c>
      <c r="M1022" s="61">
        <v>33.1</v>
      </c>
      <c r="N1022" s="61">
        <v>64.900000000000006</v>
      </c>
      <c r="O1022" s="85">
        <v>24.2</v>
      </c>
      <c r="P1022" s="105"/>
      <c r="Q1022" s="87">
        <f t="shared" si="94"/>
        <v>4.9609834472908202E-3</v>
      </c>
      <c r="R1022" s="87">
        <f t="shared" si="97"/>
        <v>-7.7047145177051544E-3</v>
      </c>
      <c r="S1022" s="87">
        <f t="shared" si="97"/>
        <v>-4.9656886029624744E-3</v>
      </c>
      <c r="T1022" s="87">
        <f t="shared" si="96"/>
        <v>1.069528911674795E-2</v>
      </c>
      <c r="U1022" s="87">
        <f t="shared" si="96"/>
        <v>-5.9248580012273427E-2</v>
      </c>
      <c r="V1022" s="87">
        <f t="shared" si="96"/>
        <v>0</v>
      </c>
      <c r="W1022" s="87">
        <f t="shared" si="96"/>
        <v>6.0932550995157521E-2</v>
      </c>
      <c r="X1022" s="87">
        <f t="shared" si="96"/>
        <v>1.5873349156290163E-2</v>
      </c>
      <c r="Y1022" s="87">
        <f t="shared" si="96"/>
        <v>1.8065007397638985E-2</v>
      </c>
      <c r="Z1022" s="87">
        <f t="shared" si="96"/>
        <v>0</v>
      </c>
      <c r="AA1022" s="87">
        <f t="shared" si="98"/>
        <v>-4.5146803545265827E-3</v>
      </c>
      <c r="AB1022" s="87">
        <f t="shared" si="98"/>
        <v>-3.0165935394256792E-3</v>
      </c>
      <c r="AC1022" s="87">
        <f t="shared" si="98"/>
        <v>1.5528262326555194E-2</v>
      </c>
      <c r="AD1022" s="87">
        <f t="shared" si="98"/>
        <v>-4.1237171838621519E-3</v>
      </c>
      <c r="AE1022" s="90">
        <f t="shared" si="95"/>
        <v>-2.1205958907114589E-2</v>
      </c>
    </row>
    <row r="1023" spans="1:31" ht="15.5" x14ac:dyDescent="0.35">
      <c r="A1023" s="82">
        <v>41249</v>
      </c>
      <c r="B1023" s="83">
        <v>8280.9</v>
      </c>
      <c r="C1023" s="84">
        <v>2989.3</v>
      </c>
      <c r="D1023" s="61">
        <v>342.6</v>
      </c>
      <c r="E1023" s="61">
        <v>18.8</v>
      </c>
      <c r="F1023" s="61">
        <v>74.099999999999994</v>
      </c>
      <c r="G1023" s="61">
        <v>26.6</v>
      </c>
      <c r="H1023" s="61">
        <v>20.100000000000001</v>
      </c>
      <c r="I1023" s="61">
        <v>12.6</v>
      </c>
      <c r="J1023" s="61">
        <v>39.200000000000003</v>
      </c>
      <c r="K1023" s="61">
        <v>17.5</v>
      </c>
      <c r="L1023" s="61">
        <v>44.4</v>
      </c>
      <c r="M1023" s="61">
        <v>32.700000000000003</v>
      </c>
      <c r="N1023" s="61">
        <v>64.599999999999994</v>
      </c>
      <c r="O1023" s="85">
        <v>24.3</v>
      </c>
      <c r="P1023" s="105"/>
      <c r="Q1023" s="87">
        <f t="shared" si="94"/>
        <v>1.9461255892992226E-3</v>
      </c>
      <c r="R1023" s="87">
        <f t="shared" si="97"/>
        <v>5.2322775749559739E-3</v>
      </c>
      <c r="S1023" s="87">
        <f t="shared" si="97"/>
        <v>3.2159068791748186E-3</v>
      </c>
      <c r="T1023" s="87">
        <f t="shared" si="96"/>
        <v>0</v>
      </c>
      <c r="U1023" s="87">
        <f t="shared" si="96"/>
        <v>-3.8389889551642714E-2</v>
      </c>
      <c r="V1023" s="87">
        <f t="shared" si="96"/>
        <v>1.134227660393451E-2</v>
      </c>
      <c r="W1023" s="87">
        <f t="shared" si="96"/>
        <v>-9.9010709827115698E-3</v>
      </c>
      <c r="X1023" s="87">
        <f t="shared" si="96"/>
        <v>-7.9051795071132611E-3</v>
      </c>
      <c r="Y1023" s="87">
        <f t="shared" si="96"/>
        <v>2.5542798050967007E-3</v>
      </c>
      <c r="Z1023" s="87">
        <f t="shared" si="96"/>
        <v>2.3122417420854212E-2</v>
      </c>
      <c r="AA1023" s="87">
        <f t="shared" si="98"/>
        <v>4.514680354526613E-3</v>
      </c>
      <c r="AB1023" s="87">
        <f t="shared" si="98"/>
        <v>-1.2158204479809519E-2</v>
      </c>
      <c r="AC1023" s="87">
        <f t="shared" si="98"/>
        <v>-4.6332129214883659E-3</v>
      </c>
      <c r="AD1023" s="87">
        <f t="shared" si="98"/>
        <v>4.1237171838621562E-3</v>
      </c>
      <c r="AE1023" s="90">
        <f t="shared" si="95"/>
        <v>-7.9660629213448401E-3</v>
      </c>
    </row>
    <row r="1024" spans="1:31" ht="15.5" x14ac:dyDescent="0.35">
      <c r="A1024" s="82">
        <v>41250</v>
      </c>
      <c r="B1024" s="83">
        <v>8314.2999999999993</v>
      </c>
      <c r="C1024" s="84">
        <v>2978</v>
      </c>
      <c r="D1024" s="61">
        <v>341.6</v>
      </c>
      <c r="E1024" s="61">
        <v>19.100000000000001</v>
      </c>
      <c r="F1024" s="61">
        <v>75.7</v>
      </c>
      <c r="G1024" s="61">
        <v>26.4</v>
      </c>
      <c r="H1024" s="61">
        <v>20</v>
      </c>
      <c r="I1024" s="61">
        <v>12.7</v>
      </c>
      <c r="J1024" s="61">
        <v>39.4</v>
      </c>
      <c r="K1024" s="61">
        <v>17.8</v>
      </c>
      <c r="L1024" s="61">
        <v>44.2</v>
      </c>
      <c r="M1024" s="61">
        <v>32.700000000000003</v>
      </c>
      <c r="N1024" s="61">
        <v>64.5</v>
      </c>
      <c r="O1024" s="85">
        <v>24.4</v>
      </c>
      <c r="P1024" s="105"/>
      <c r="Q1024" s="87">
        <f t="shared" si="94"/>
        <v>4.0252657512632427E-3</v>
      </c>
      <c r="R1024" s="87">
        <f t="shared" si="97"/>
        <v>-3.7873120195102417E-3</v>
      </c>
      <c r="S1024" s="87">
        <f t="shared" si="97"/>
        <v>-2.9231239756047005E-3</v>
      </c>
      <c r="T1024" s="87">
        <f t="shared" si="96"/>
        <v>1.5831465216680662E-2</v>
      </c>
      <c r="U1024" s="87">
        <f t="shared" si="96"/>
        <v>2.1362628141362087E-2</v>
      </c>
      <c r="V1024" s="87">
        <f t="shared" si="96"/>
        <v>-7.5472056353829663E-3</v>
      </c>
      <c r="W1024" s="87">
        <f t="shared" si="96"/>
        <v>-4.9875415110391622E-3</v>
      </c>
      <c r="X1024" s="87">
        <f t="shared" si="96"/>
        <v>7.9051795071132473E-3</v>
      </c>
      <c r="Y1024" s="87">
        <f t="shared" si="96"/>
        <v>5.0890695074712281E-3</v>
      </c>
      <c r="Z1024" s="87">
        <f t="shared" si="96"/>
        <v>1.6997576368571077E-2</v>
      </c>
      <c r="AA1024" s="87">
        <f t="shared" si="98"/>
        <v>-4.5146803545265827E-3</v>
      </c>
      <c r="AB1024" s="87">
        <f t="shared" si="98"/>
        <v>0</v>
      </c>
      <c r="AC1024" s="87">
        <f t="shared" si="98"/>
        <v>-1.5491869868292669E-3</v>
      </c>
      <c r="AD1024" s="87">
        <f t="shared" si="98"/>
        <v>4.1067819526532812E-3</v>
      </c>
      <c r="AE1024" s="90">
        <f t="shared" si="95"/>
        <v>4.6165515203151573E-3</v>
      </c>
    </row>
    <row r="1025" spans="1:31" ht="15.5" x14ac:dyDescent="0.35">
      <c r="A1025" s="82">
        <v>41253</v>
      </c>
      <c r="B1025" s="83">
        <v>8322.7000000000007</v>
      </c>
      <c r="C1025" s="84">
        <v>2987</v>
      </c>
      <c r="D1025" s="61">
        <v>342.2</v>
      </c>
      <c r="E1025" s="61">
        <v>19.2</v>
      </c>
      <c r="F1025" s="61">
        <v>74.5</v>
      </c>
      <c r="G1025" s="61">
        <v>26.5</v>
      </c>
      <c r="H1025" s="61">
        <v>19.899999999999999</v>
      </c>
      <c r="I1025" s="61">
        <v>12.5</v>
      </c>
      <c r="J1025" s="61">
        <v>39.5</v>
      </c>
      <c r="K1025" s="61">
        <v>18</v>
      </c>
      <c r="L1025" s="61">
        <v>44.4</v>
      </c>
      <c r="M1025" s="61">
        <v>32.6</v>
      </c>
      <c r="N1025" s="61">
        <v>64.7</v>
      </c>
      <c r="O1025" s="85">
        <v>24.5</v>
      </c>
      <c r="P1025" s="105"/>
      <c r="Q1025" s="87">
        <f t="shared" si="94"/>
        <v>1.009797525249122E-3</v>
      </c>
      <c r="R1025" s="87">
        <f t="shared" si="97"/>
        <v>3.0176049721555398E-3</v>
      </c>
      <c r="S1025" s="87">
        <f t="shared" si="97"/>
        <v>1.7548995436782516E-3</v>
      </c>
      <c r="T1025" s="87">
        <f t="shared" si="96"/>
        <v>5.2219439811516249E-3</v>
      </c>
      <c r="U1025" s="87">
        <f t="shared" si="96"/>
        <v>-1.5979035057889258E-2</v>
      </c>
      <c r="V1025" s="87">
        <f t="shared" si="96"/>
        <v>3.7807228399061523E-3</v>
      </c>
      <c r="W1025" s="87">
        <f t="shared" si="96"/>
        <v>-5.0125418235443982E-3</v>
      </c>
      <c r="X1025" s="87">
        <f t="shared" si="96"/>
        <v>-1.5873349156290122E-2</v>
      </c>
      <c r="Y1025" s="87">
        <f t="shared" si="96"/>
        <v>2.5348556031881157E-3</v>
      </c>
      <c r="Z1025" s="87">
        <f t="shared" si="96"/>
        <v>1.1173300598125255E-2</v>
      </c>
      <c r="AA1025" s="87">
        <f t="shared" si="98"/>
        <v>4.514680354526613E-3</v>
      </c>
      <c r="AB1025" s="87">
        <f t="shared" si="98"/>
        <v>-3.0627895305457668E-3</v>
      </c>
      <c r="AC1025" s="87">
        <f t="shared" si="98"/>
        <v>3.0959777051282134E-3</v>
      </c>
      <c r="AD1025" s="87">
        <f t="shared" si="98"/>
        <v>4.0899852515250664E-3</v>
      </c>
      <c r="AE1025" s="90">
        <f t="shared" si="95"/>
        <v>-2.6536029910370776E-3</v>
      </c>
    </row>
    <row r="1026" spans="1:31" ht="15.5" x14ac:dyDescent="0.35">
      <c r="A1026" s="82">
        <v>41254</v>
      </c>
      <c r="B1026" s="83">
        <v>8366.5</v>
      </c>
      <c r="C1026" s="84">
        <v>3022.3</v>
      </c>
      <c r="D1026" s="61">
        <v>344.2</v>
      </c>
      <c r="E1026" s="61">
        <v>19.399999999999999</v>
      </c>
      <c r="F1026" s="61">
        <v>76.8</v>
      </c>
      <c r="G1026" s="61">
        <v>27.1</v>
      </c>
      <c r="H1026" s="61">
        <v>20.100000000000001</v>
      </c>
      <c r="I1026" s="61">
        <v>13</v>
      </c>
      <c r="J1026" s="61">
        <v>40</v>
      </c>
      <c r="K1026" s="61">
        <v>18.7</v>
      </c>
      <c r="L1026" s="61">
        <v>44.5</v>
      </c>
      <c r="M1026" s="61">
        <v>32.9</v>
      </c>
      <c r="N1026" s="61">
        <v>66.3</v>
      </c>
      <c r="O1026" s="85">
        <v>24.5</v>
      </c>
      <c r="P1026" s="105"/>
      <c r="Q1026" s="87">
        <f t="shared" si="94"/>
        <v>5.2489155335810013E-3</v>
      </c>
      <c r="R1026" s="87">
        <f t="shared" si="97"/>
        <v>1.1748591694730189E-2</v>
      </c>
      <c r="S1026" s="87">
        <f t="shared" si="97"/>
        <v>5.8275223193459784E-3</v>
      </c>
      <c r="T1026" s="87">
        <f t="shared" si="96"/>
        <v>1.0362787035546658E-2</v>
      </c>
      <c r="U1026" s="87">
        <f t="shared" si="96"/>
        <v>3.0405514768112544E-2</v>
      </c>
      <c r="V1026" s="87">
        <f t="shared" si="96"/>
        <v>2.2388994893478686E-2</v>
      </c>
      <c r="W1026" s="87">
        <f t="shared" si="96"/>
        <v>1.0000083334583399E-2</v>
      </c>
      <c r="X1026" s="87">
        <f t="shared" si="96"/>
        <v>3.9220713153281329E-2</v>
      </c>
      <c r="Y1026" s="87">
        <f t="shared" si="96"/>
        <v>1.2578782206860185E-2</v>
      </c>
      <c r="Z1026" s="87">
        <f t="shared" si="96"/>
        <v>3.8151765964376118E-2</v>
      </c>
      <c r="AA1026" s="87">
        <f t="shared" si="98"/>
        <v>2.2497197340155461E-3</v>
      </c>
      <c r="AB1026" s="87">
        <f t="shared" si="98"/>
        <v>9.1603693986641952E-3</v>
      </c>
      <c r="AC1026" s="87">
        <f t="shared" si="98"/>
        <v>2.4428695684961865E-2</v>
      </c>
      <c r="AD1026" s="87">
        <f t="shared" si="98"/>
        <v>0</v>
      </c>
      <c r="AE1026" s="90">
        <f t="shared" si="95"/>
        <v>1.3921833572439788E-2</v>
      </c>
    </row>
    <row r="1027" spans="1:31" ht="15.5" x14ac:dyDescent="0.35">
      <c r="A1027" s="82">
        <v>41255</v>
      </c>
      <c r="B1027" s="83">
        <v>8380.9</v>
      </c>
      <c r="C1027" s="84">
        <v>3013.8</v>
      </c>
      <c r="D1027" s="61">
        <v>347.1</v>
      </c>
      <c r="E1027" s="61">
        <v>19.3</v>
      </c>
      <c r="F1027" s="61">
        <v>76.599999999999994</v>
      </c>
      <c r="G1027" s="61">
        <v>27.1</v>
      </c>
      <c r="H1027" s="61">
        <v>20.5</v>
      </c>
      <c r="I1027" s="61">
        <v>13.1</v>
      </c>
      <c r="J1027" s="61">
        <v>40.799999999999997</v>
      </c>
      <c r="K1027" s="61">
        <v>18.7</v>
      </c>
      <c r="L1027" s="61">
        <v>45</v>
      </c>
      <c r="M1027" s="61">
        <v>33.299999999999997</v>
      </c>
      <c r="N1027" s="61">
        <v>66.3</v>
      </c>
      <c r="O1027" s="85">
        <v>24.7</v>
      </c>
      <c r="P1027" s="105"/>
      <c r="Q1027" s="87">
        <f t="shared" si="94"/>
        <v>1.7196703427060883E-3</v>
      </c>
      <c r="R1027" s="87">
        <f t="shared" si="97"/>
        <v>-2.8163899267859751E-3</v>
      </c>
      <c r="S1027" s="87">
        <f t="shared" si="97"/>
        <v>8.3900390903017246E-3</v>
      </c>
      <c r="T1027" s="87">
        <f t="shared" si="96"/>
        <v>-5.1679701584424493E-3</v>
      </c>
      <c r="U1027" s="87">
        <f t="shared" si="96"/>
        <v>-2.6075634070809417E-3</v>
      </c>
      <c r="V1027" s="87">
        <f t="shared" si="96"/>
        <v>0</v>
      </c>
      <c r="W1027" s="87">
        <f t="shared" si="96"/>
        <v>1.9705071079332337E-2</v>
      </c>
      <c r="X1027" s="87">
        <f t="shared" si="96"/>
        <v>7.6628727455690972E-3</v>
      </c>
      <c r="Y1027" s="87">
        <f t="shared" si="96"/>
        <v>1.980262729617973E-2</v>
      </c>
      <c r="Z1027" s="87">
        <f t="shared" si="96"/>
        <v>0</v>
      </c>
      <c r="AA1027" s="87">
        <f t="shared" si="98"/>
        <v>1.1173300598125255E-2</v>
      </c>
      <c r="AB1027" s="87">
        <f t="shared" si="98"/>
        <v>1.2084739215071827E-2</v>
      </c>
      <c r="AC1027" s="87">
        <f t="shared" si="98"/>
        <v>0</v>
      </c>
      <c r="AD1027" s="87">
        <f t="shared" si="98"/>
        <v>8.1301260832500888E-3</v>
      </c>
      <c r="AE1027" s="90">
        <f t="shared" si="95"/>
        <v>1.854694190264957E-3</v>
      </c>
    </row>
    <row r="1028" spans="1:31" ht="15.5" x14ac:dyDescent="0.35">
      <c r="A1028" s="82">
        <v>41256</v>
      </c>
      <c r="B1028" s="83">
        <v>8338.2999999999993</v>
      </c>
      <c r="C1028" s="84">
        <v>2992.2</v>
      </c>
      <c r="D1028" s="61">
        <v>350.1</v>
      </c>
      <c r="E1028" s="61">
        <v>19.3</v>
      </c>
      <c r="F1028" s="61">
        <v>75.099999999999994</v>
      </c>
      <c r="G1028" s="61">
        <v>27</v>
      </c>
      <c r="H1028" s="61">
        <v>20.9</v>
      </c>
      <c r="I1028" s="61">
        <v>12.8</v>
      </c>
      <c r="J1028" s="61">
        <v>40.4</v>
      </c>
      <c r="K1028" s="61">
        <v>19.399999999999999</v>
      </c>
      <c r="L1028" s="61">
        <v>43.9</v>
      </c>
      <c r="M1028" s="61">
        <v>32.700000000000003</v>
      </c>
      <c r="N1028" s="61">
        <v>66.099999999999994</v>
      </c>
      <c r="O1028" s="85">
        <v>24.3</v>
      </c>
      <c r="P1028" s="105"/>
      <c r="Q1028" s="87">
        <f t="shared" si="94"/>
        <v>-5.0959486325684146E-3</v>
      </c>
      <c r="R1028" s="87">
        <f t="shared" si="97"/>
        <v>-7.1928382039222827E-3</v>
      </c>
      <c r="S1028" s="87">
        <f t="shared" si="97"/>
        <v>8.6059050928795153E-3</v>
      </c>
      <c r="T1028" s="87">
        <f t="shared" si="96"/>
        <v>0</v>
      </c>
      <c r="U1028" s="87">
        <f t="shared" si="96"/>
        <v>-1.97765179764566E-2</v>
      </c>
      <c r="V1028" s="87">
        <f t="shared" si="96"/>
        <v>-3.6968618813262031E-3</v>
      </c>
      <c r="W1028" s="87">
        <f t="shared" si="96"/>
        <v>1.9324272826402842E-2</v>
      </c>
      <c r="X1028" s="87">
        <f t="shared" si="96"/>
        <v>-2.3167059281534303E-2</v>
      </c>
      <c r="Y1028" s="87">
        <f t="shared" si="96"/>
        <v>-9.8522964430115944E-3</v>
      </c>
      <c r="Z1028" s="87">
        <f t="shared" si="96"/>
        <v>3.6749542208741437E-2</v>
      </c>
      <c r="AA1028" s="87">
        <f t="shared" si="98"/>
        <v>-2.474816968919414E-2</v>
      </c>
      <c r="AB1028" s="87">
        <f t="shared" si="98"/>
        <v>-1.8182319083190249E-2</v>
      </c>
      <c r="AC1028" s="87">
        <f t="shared" si="98"/>
        <v>-3.0211503341762112E-3</v>
      </c>
      <c r="AD1028" s="87">
        <f t="shared" si="98"/>
        <v>-1.632689328742867E-2</v>
      </c>
      <c r="AE1028" s="90">
        <f t="shared" si="95"/>
        <v>-7.2759219997034583E-3</v>
      </c>
    </row>
    <row r="1029" spans="1:31" ht="15.5" x14ac:dyDescent="0.35">
      <c r="A1029" s="82">
        <v>41257</v>
      </c>
      <c r="B1029" s="83">
        <v>8333.7999999999993</v>
      </c>
      <c r="C1029" s="84">
        <v>2971.3</v>
      </c>
      <c r="D1029" s="61">
        <v>349.6</v>
      </c>
      <c r="E1029" s="61">
        <v>19.399999999999999</v>
      </c>
      <c r="F1029" s="61">
        <v>72.2</v>
      </c>
      <c r="G1029" s="61">
        <v>26.7</v>
      </c>
      <c r="H1029" s="61">
        <v>21</v>
      </c>
      <c r="I1029" s="61">
        <v>12.8</v>
      </c>
      <c r="J1029" s="61">
        <v>40.5</v>
      </c>
      <c r="K1029" s="61">
        <v>20.6</v>
      </c>
      <c r="L1029" s="61">
        <v>43.4</v>
      </c>
      <c r="M1029" s="61">
        <v>31.8</v>
      </c>
      <c r="N1029" s="61">
        <v>65.7</v>
      </c>
      <c r="O1029" s="85">
        <v>24.2</v>
      </c>
      <c r="P1029" s="105"/>
      <c r="Q1029" s="87">
        <f t="shared" si="94"/>
        <v>-5.3982403047956034E-4</v>
      </c>
      <c r="R1029" s="87">
        <f t="shared" si="97"/>
        <v>-7.0093353129451128E-3</v>
      </c>
      <c r="S1029" s="87">
        <f t="shared" si="97"/>
        <v>-1.4291841792395984E-3</v>
      </c>
      <c r="T1029" s="87">
        <f t="shared" si="96"/>
        <v>5.1679701584423773E-3</v>
      </c>
      <c r="U1029" s="87">
        <f t="shared" si="96"/>
        <v>-3.9380512871308414E-2</v>
      </c>
      <c r="V1029" s="87">
        <f t="shared" si="96"/>
        <v>-1.1173300598125302E-2</v>
      </c>
      <c r="W1029" s="87">
        <f t="shared" si="96"/>
        <v>4.7732787526578117E-3</v>
      </c>
      <c r="X1029" s="87">
        <f t="shared" si="96"/>
        <v>0</v>
      </c>
      <c r="Y1029" s="87">
        <f t="shared" si="96"/>
        <v>2.4721891453890728E-3</v>
      </c>
      <c r="Z1029" s="87">
        <f t="shared" si="96"/>
        <v>6.0018009726253159E-2</v>
      </c>
      <c r="AA1029" s="87">
        <f t="shared" si="98"/>
        <v>-1.1454878974766478E-2</v>
      </c>
      <c r="AB1029" s="87">
        <f t="shared" si="98"/>
        <v>-2.7908788117076616E-2</v>
      </c>
      <c r="AC1029" s="87">
        <f t="shared" si="98"/>
        <v>-6.0698213670756099E-3</v>
      </c>
      <c r="AD1029" s="87">
        <f t="shared" si="98"/>
        <v>-4.1237171838621519E-3</v>
      </c>
      <c r="AE1029" s="90">
        <f t="shared" si="95"/>
        <v>-1.4281103963083883E-2</v>
      </c>
    </row>
    <row r="1030" spans="1:31" ht="15.5" x14ac:dyDescent="0.35">
      <c r="A1030" s="82">
        <v>41260</v>
      </c>
      <c r="B1030" s="83">
        <v>8407</v>
      </c>
      <c r="C1030" s="84">
        <v>3010.6</v>
      </c>
      <c r="D1030" s="61">
        <v>352.4</v>
      </c>
      <c r="E1030" s="61">
        <v>19.5</v>
      </c>
      <c r="F1030" s="61">
        <v>71.599999999999994</v>
      </c>
      <c r="G1030" s="61">
        <v>26.7</v>
      </c>
      <c r="H1030" s="61">
        <v>21</v>
      </c>
      <c r="I1030" s="61">
        <v>12.9</v>
      </c>
      <c r="J1030" s="61">
        <v>40.700000000000003</v>
      </c>
      <c r="K1030" s="61">
        <v>19.899999999999999</v>
      </c>
      <c r="L1030" s="61">
        <v>43.5</v>
      </c>
      <c r="M1030" s="61">
        <v>31.8</v>
      </c>
      <c r="N1030" s="61">
        <v>65.3</v>
      </c>
      <c r="O1030" s="85">
        <v>24.2</v>
      </c>
      <c r="P1030" s="105"/>
      <c r="Q1030" s="87">
        <f t="shared" si="94"/>
        <v>8.7451575210103424E-3</v>
      </c>
      <c r="R1030" s="87">
        <f t="shared" si="97"/>
        <v>1.3139826959216885E-2</v>
      </c>
      <c r="S1030" s="87">
        <f t="shared" si="97"/>
        <v>7.9772502806439681E-3</v>
      </c>
      <c r="T1030" s="87">
        <f t="shared" si="96"/>
        <v>5.1413995004186523E-3</v>
      </c>
      <c r="U1030" s="87">
        <f t="shared" si="96"/>
        <v>-8.3449719321807576E-3</v>
      </c>
      <c r="V1030" s="87">
        <f t="shared" si="96"/>
        <v>0</v>
      </c>
      <c r="W1030" s="87">
        <f t="shared" si="96"/>
        <v>0</v>
      </c>
      <c r="X1030" s="87">
        <f t="shared" si="96"/>
        <v>7.782140442054949E-3</v>
      </c>
      <c r="Y1030" s="87">
        <f t="shared" si="96"/>
        <v>4.9261183360560026E-3</v>
      </c>
      <c r="Z1030" s="87">
        <f t="shared" si="96"/>
        <v>-3.4571344065088785E-2</v>
      </c>
      <c r="AA1030" s="87">
        <f t="shared" si="98"/>
        <v>2.3014969882791674E-3</v>
      </c>
      <c r="AB1030" s="87">
        <f t="shared" si="98"/>
        <v>0</v>
      </c>
      <c r="AC1030" s="87">
        <f t="shared" si="98"/>
        <v>-6.106889208179562E-3</v>
      </c>
      <c r="AD1030" s="87">
        <f t="shared" si="98"/>
        <v>0</v>
      </c>
      <c r="AE1030" s="90">
        <f t="shared" si="95"/>
        <v>3.8879454612156419E-3</v>
      </c>
    </row>
    <row r="1031" spans="1:31" ht="15.5" x14ac:dyDescent="0.35">
      <c r="A1031" s="82">
        <v>41261</v>
      </c>
      <c r="B1031" s="83">
        <v>8499.2999999999993</v>
      </c>
      <c r="C1031" s="84">
        <v>3054.5</v>
      </c>
      <c r="D1031" s="61">
        <v>357.9</v>
      </c>
      <c r="E1031" s="61">
        <v>19.600000000000001</v>
      </c>
      <c r="F1031" s="61">
        <v>74.3</v>
      </c>
      <c r="G1031" s="61">
        <v>27.1</v>
      </c>
      <c r="H1031" s="61">
        <v>21.1</v>
      </c>
      <c r="I1031" s="61">
        <v>12.9</v>
      </c>
      <c r="J1031" s="61">
        <v>40.6</v>
      </c>
      <c r="K1031" s="61">
        <v>20.100000000000001</v>
      </c>
      <c r="L1031" s="61">
        <v>43.4</v>
      </c>
      <c r="M1031" s="61">
        <v>32</v>
      </c>
      <c r="N1031" s="61">
        <v>65.400000000000006</v>
      </c>
      <c r="O1031" s="85">
        <v>24.4</v>
      </c>
      <c r="P1031" s="105"/>
      <c r="Q1031" s="87">
        <f t="shared" si="94"/>
        <v>1.0919115010744669E-2</v>
      </c>
      <c r="R1031" s="87">
        <f t="shared" si="97"/>
        <v>1.4476518663418012E-2</v>
      </c>
      <c r="S1031" s="87">
        <f t="shared" si="97"/>
        <v>1.5486723709955725E-2</v>
      </c>
      <c r="T1031" s="87">
        <f t="shared" si="96"/>
        <v>5.1151006667704089E-3</v>
      </c>
      <c r="U1031" s="87">
        <f t="shared" si="96"/>
        <v>3.7015877757113659E-2</v>
      </c>
      <c r="V1031" s="87">
        <f t="shared" si="96"/>
        <v>1.4870162479451407E-2</v>
      </c>
      <c r="W1031" s="87">
        <f t="shared" si="96"/>
        <v>4.7506027585977988E-3</v>
      </c>
      <c r="X1031" s="87">
        <f t="shared" si="96"/>
        <v>0</v>
      </c>
      <c r="Y1031" s="87">
        <f t="shared" si="96"/>
        <v>-2.4600258408624229E-3</v>
      </c>
      <c r="Z1031" s="87">
        <f t="shared" si="96"/>
        <v>1.0000083334583399E-2</v>
      </c>
      <c r="AA1031" s="87">
        <f t="shared" si="98"/>
        <v>-2.3014969882792745E-3</v>
      </c>
      <c r="AB1031" s="87">
        <f t="shared" si="98"/>
        <v>6.269613013595395E-3</v>
      </c>
      <c r="AC1031" s="87">
        <f t="shared" si="98"/>
        <v>1.5302221807677583E-3</v>
      </c>
      <c r="AD1031" s="87">
        <f t="shared" si="98"/>
        <v>8.2304991365154435E-3</v>
      </c>
      <c r="AE1031" s="90">
        <f t="shared" si="95"/>
        <v>2.0457958012688467E-2</v>
      </c>
    </row>
    <row r="1032" spans="1:31" ht="15.5" x14ac:dyDescent="0.35">
      <c r="A1032" s="82">
        <v>41262</v>
      </c>
      <c r="B1032" s="83">
        <v>8463.7999999999993</v>
      </c>
      <c r="C1032" s="84">
        <v>3044.4</v>
      </c>
      <c r="D1032" s="61">
        <v>358.7</v>
      </c>
      <c r="E1032" s="61">
        <v>19.600000000000001</v>
      </c>
      <c r="F1032" s="61">
        <v>75.099999999999994</v>
      </c>
      <c r="G1032" s="61">
        <v>27.3</v>
      </c>
      <c r="H1032" s="61">
        <v>20.7</v>
      </c>
      <c r="I1032" s="61">
        <v>12.9</v>
      </c>
      <c r="J1032" s="61">
        <v>40.5</v>
      </c>
      <c r="K1032" s="61">
        <v>20.2</v>
      </c>
      <c r="L1032" s="61">
        <v>43.6</v>
      </c>
      <c r="M1032" s="61">
        <v>33</v>
      </c>
      <c r="N1032" s="61">
        <v>64.3</v>
      </c>
      <c r="O1032" s="85">
        <v>24.4</v>
      </c>
      <c r="P1032" s="105"/>
      <c r="Q1032" s="87">
        <f t="shared" si="94"/>
        <v>-4.1855618167448583E-3</v>
      </c>
      <c r="R1032" s="87">
        <f t="shared" si="97"/>
        <v>-3.3120756965851514E-3</v>
      </c>
      <c r="S1032" s="87">
        <f t="shared" si="97"/>
        <v>2.2327667662568754E-3</v>
      </c>
      <c r="T1032" s="87">
        <f t="shared" si="96"/>
        <v>0</v>
      </c>
      <c r="U1032" s="87">
        <f t="shared" si="96"/>
        <v>1.0709607046375538E-2</v>
      </c>
      <c r="V1032" s="87">
        <f t="shared" si="96"/>
        <v>7.3529743052587332E-3</v>
      </c>
      <c r="W1032" s="87">
        <f t="shared" si="96"/>
        <v>-1.9139340210697509E-2</v>
      </c>
      <c r="X1032" s="87">
        <f t="shared" si="96"/>
        <v>0</v>
      </c>
      <c r="Y1032" s="87">
        <f t="shared" si="96"/>
        <v>-2.4660924951935542E-3</v>
      </c>
      <c r="Z1032" s="87">
        <f t="shared" si="96"/>
        <v>4.962789342128876E-3</v>
      </c>
      <c r="AA1032" s="87">
        <f t="shared" si="98"/>
        <v>4.5977092486295494E-3</v>
      </c>
      <c r="AB1032" s="87">
        <f t="shared" si="98"/>
        <v>3.0771658666753687E-2</v>
      </c>
      <c r="AC1032" s="87">
        <f t="shared" si="98"/>
        <v>-1.6962627219579474E-2</v>
      </c>
      <c r="AD1032" s="87">
        <f t="shared" si="98"/>
        <v>0</v>
      </c>
      <c r="AE1032" s="90">
        <f t="shared" si="95"/>
        <v>2.7231782421727976E-3</v>
      </c>
    </row>
    <row r="1033" spans="1:31" ht="15.5" x14ac:dyDescent="0.35">
      <c r="A1033" s="82">
        <v>41263</v>
      </c>
      <c r="B1033" s="83">
        <v>8516.4</v>
      </c>
      <c r="C1033" s="84">
        <v>3050.4</v>
      </c>
      <c r="D1033" s="61">
        <v>358.8</v>
      </c>
      <c r="E1033" s="61">
        <v>19.399999999999999</v>
      </c>
      <c r="F1033" s="61">
        <v>74.099999999999994</v>
      </c>
      <c r="G1033" s="61">
        <v>27.2</v>
      </c>
      <c r="H1033" s="61">
        <v>20.399999999999999</v>
      </c>
      <c r="I1033" s="61">
        <v>12.9</v>
      </c>
      <c r="J1033" s="61">
        <v>39.9</v>
      </c>
      <c r="K1033" s="61">
        <v>19.8</v>
      </c>
      <c r="L1033" s="61">
        <v>42</v>
      </c>
      <c r="M1033" s="61">
        <v>33.1</v>
      </c>
      <c r="N1033" s="61">
        <v>63.9</v>
      </c>
      <c r="O1033" s="85">
        <v>24.3</v>
      </c>
      <c r="P1033" s="105"/>
      <c r="Q1033" s="87">
        <f t="shared" si="94"/>
        <v>6.1954709896407589E-3</v>
      </c>
      <c r="R1033" s="87">
        <f t="shared" si="97"/>
        <v>1.9688921501175675E-3</v>
      </c>
      <c r="S1033" s="87">
        <f t="shared" si="97"/>
        <v>2.7874564640430107E-4</v>
      </c>
      <c r="T1033" s="87">
        <f t="shared" si="96"/>
        <v>-1.0256500167189221E-2</v>
      </c>
      <c r="U1033" s="87">
        <f t="shared" si="96"/>
        <v>-1.3405026468047891E-2</v>
      </c>
      <c r="V1033" s="87">
        <f t="shared" si="96"/>
        <v>-3.6697288889625131E-3</v>
      </c>
      <c r="W1033" s="87">
        <f t="shared" si="96"/>
        <v>-1.4598799421152749E-2</v>
      </c>
      <c r="X1033" s="87">
        <f t="shared" si="96"/>
        <v>0</v>
      </c>
      <c r="Y1033" s="87">
        <f t="shared" si="96"/>
        <v>-1.4925650216675706E-2</v>
      </c>
      <c r="Z1033" s="87">
        <f t="shared" si="96"/>
        <v>-2.0000666706669428E-2</v>
      </c>
      <c r="AA1033" s="87">
        <f t="shared" si="98"/>
        <v>-3.7387532071620329E-2</v>
      </c>
      <c r="AB1033" s="87">
        <f t="shared" si="98"/>
        <v>3.0257209165371114E-3</v>
      </c>
      <c r="AC1033" s="87">
        <f t="shared" si="98"/>
        <v>-6.240269860084512E-3</v>
      </c>
      <c r="AD1033" s="87">
        <f t="shared" si="98"/>
        <v>-4.1067819526533593E-3</v>
      </c>
      <c r="AE1033" s="90">
        <f t="shared" si="95"/>
        <v>-3.6604117360096861E-3</v>
      </c>
    </row>
    <row r="1034" spans="1:31" ht="15.5" x14ac:dyDescent="0.35">
      <c r="A1034" s="82">
        <v>41264</v>
      </c>
      <c r="B1034" s="83">
        <v>8443.2000000000007</v>
      </c>
      <c r="C1034" s="84">
        <v>3021</v>
      </c>
      <c r="D1034" s="61">
        <v>355.6</v>
      </c>
      <c r="E1034" s="61">
        <v>19.2</v>
      </c>
      <c r="F1034" s="61">
        <v>72.900000000000006</v>
      </c>
      <c r="G1034" s="61">
        <v>27</v>
      </c>
      <c r="H1034" s="61">
        <v>19.899999999999999</v>
      </c>
      <c r="I1034" s="61">
        <v>12.9</v>
      </c>
      <c r="J1034" s="61">
        <v>39.700000000000003</v>
      </c>
      <c r="K1034" s="61">
        <v>19.2</v>
      </c>
      <c r="L1034" s="61">
        <v>41.5</v>
      </c>
      <c r="M1034" s="61">
        <v>32.9</v>
      </c>
      <c r="N1034" s="61">
        <v>63.5</v>
      </c>
      <c r="O1034" s="85">
        <v>25.3</v>
      </c>
      <c r="P1034" s="105"/>
      <c r="Q1034" s="87">
        <f t="shared" si="94"/>
        <v>-8.6323326675340172E-3</v>
      </c>
      <c r="R1034" s="87">
        <f t="shared" si="97"/>
        <v>-9.6848271566820042E-3</v>
      </c>
      <c r="S1034" s="87">
        <f t="shared" si="97"/>
        <v>-8.9586265448914591E-3</v>
      </c>
      <c r="T1034" s="87">
        <f t="shared" si="96"/>
        <v>-1.0362787035546547E-2</v>
      </c>
      <c r="U1034" s="87">
        <f t="shared" si="96"/>
        <v>-1.6326893287428555E-2</v>
      </c>
      <c r="V1034" s="87">
        <f t="shared" si="96"/>
        <v>-7.3801072976225337E-3</v>
      </c>
      <c r="W1034" s="87">
        <f t="shared" si="96"/>
        <v>-2.481516911972402E-2</v>
      </c>
      <c r="X1034" s="87">
        <f t="shared" si="96"/>
        <v>0</v>
      </c>
      <c r="Y1034" s="87">
        <f t="shared" si="96"/>
        <v>-5.0251362026729317E-3</v>
      </c>
      <c r="Z1034" s="87">
        <f t="shared" si="96"/>
        <v>-3.0771658666753774E-2</v>
      </c>
      <c r="AA1034" s="87">
        <f t="shared" si="98"/>
        <v>-1.1976191046715649E-2</v>
      </c>
      <c r="AB1034" s="87">
        <f t="shared" si="98"/>
        <v>-6.0606246116910699E-3</v>
      </c>
      <c r="AC1034" s="87">
        <f t="shared" si="98"/>
        <v>-6.2794554848431359E-3</v>
      </c>
      <c r="AD1034" s="87">
        <f t="shared" si="98"/>
        <v>4.0328045386971809E-2</v>
      </c>
      <c r="AE1034" s="90">
        <f t="shared" si="95"/>
        <v>-5.2924697378540896E-3</v>
      </c>
    </row>
    <row r="1035" spans="1:31" ht="15.5" x14ac:dyDescent="0.35">
      <c r="A1035" s="82">
        <v>41267</v>
      </c>
      <c r="B1035" s="83">
        <v>8420.5</v>
      </c>
      <c r="C1035" s="84">
        <v>3012.6</v>
      </c>
      <c r="D1035" s="61">
        <v>354.1</v>
      </c>
      <c r="E1035" s="61">
        <v>19.399999999999999</v>
      </c>
      <c r="F1035" s="61">
        <v>74.099999999999994</v>
      </c>
      <c r="G1035" s="61">
        <v>27</v>
      </c>
      <c r="H1035" s="61">
        <v>20.2</v>
      </c>
      <c r="I1035" s="61">
        <v>12.9</v>
      </c>
      <c r="J1035" s="61">
        <v>39.6</v>
      </c>
      <c r="K1035" s="61">
        <v>19.8</v>
      </c>
      <c r="L1035" s="61">
        <v>41.3</v>
      </c>
      <c r="M1035" s="61">
        <v>32.700000000000003</v>
      </c>
      <c r="N1035" s="61">
        <v>62.7</v>
      </c>
      <c r="O1035" s="85">
        <v>26.1</v>
      </c>
      <c r="P1035" s="105"/>
      <c r="Q1035" s="87">
        <f t="shared" si="94"/>
        <v>-2.6921747552945143E-3</v>
      </c>
      <c r="R1035" s="87">
        <f t="shared" si="97"/>
        <v>-2.7844091179571586E-3</v>
      </c>
      <c r="S1035" s="87">
        <f t="shared" si="97"/>
        <v>-4.2271445218915044E-3</v>
      </c>
      <c r="T1035" s="87">
        <f t="shared" si="96"/>
        <v>1.0362787035546658E-2</v>
      </c>
      <c r="U1035" s="87">
        <f t="shared" si="96"/>
        <v>1.6326893287428666E-2</v>
      </c>
      <c r="V1035" s="87">
        <f t="shared" si="96"/>
        <v>0</v>
      </c>
      <c r="W1035" s="87">
        <f t="shared" si="96"/>
        <v>1.496287267671232E-2</v>
      </c>
      <c r="X1035" s="87">
        <f t="shared" si="96"/>
        <v>0</v>
      </c>
      <c r="Y1035" s="87">
        <f t="shared" si="96"/>
        <v>-2.5220694327099465E-3</v>
      </c>
      <c r="Z1035" s="87">
        <f t="shared" si="96"/>
        <v>3.0771658666753687E-2</v>
      </c>
      <c r="AA1035" s="87">
        <f t="shared" si="98"/>
        <v>-4.8309272696655803E-3</v>
      </c>
      <c r="AB1035" s="87">
        <f t="shared" si="98"/>
        <v>-6.0975798681183338E-3</v>
      </c>
      <c r="AC1035" s="87">
        <f t="shared" si="98"/>
        <v>-1.2678458259770951E-2</v>
      </c>
      <c r="AD1035" s="87">
        <f t="shared" si="98"/>
        <v>3.1130918595173213E-2</v>
      </c>
      <c r="AE1035" s="90">
        <f t="shared" si="95"/>
        <v>6.3802233190423125E-3</v>
      </c>
    </row>
    <row r="1036" spans="1:31" ht="15.5" x14ac:dyDescent="0.35">
      <c r="A1036" s="82">
        <v>41269</v>
      </c>
      <c r="B1036" s="83">
        <v>8395.5</v>
      </c>
      <c r="C1036" s="84">
        <v>2990.2</v>
      </c>
      <c r="D1036" s="61">
        <v>351.6</v>
      </c>
      <c r="E1036" s="61">
        <v>19.5</v>
      </c>
      <c r="F1036" s="61">
        <v>73</v>
      </c>
      <c r="G1036" s="61">
        <v>26.7</v>
      </c>
      <c r="H1036" s="61">
        <v>20.2</v>
      </c>
      <c r="I1036" s="61">
        <v>12.9</v>
      </c>
      <c r="J1036" s="61">
        <v>39.9</v>
      </c>
      <c r="K1036" s="61">
        <v>19.7</v>
      </c>
      <c r="L1036" s="61">
        <v>41.2</v>
      </c>
      <c r="M1036" s="61">
        <v>32.6</v>
      </c>
      <c r="N1036" s="61">
        <v>62.2</v>
      </c>
      <c r="O1036" s="85">
        <v>25.6</v>
      </c>
      <c r="P1036" s="105"/>
      <c r="Q1036" s="87">
        <f t="shared" si="94"/>
        <v>-2.973360896585038E-3</v>
      </c>
      <c r="R1036" s="87">
        <f t="shared" si="97"/>
        <v>-7.4632184888874112E-3</v>
      </c>
      <c r="S1036" s="87">
        <f t="shared" si="97"/>
        <v>-7.0851933068361694E-3</v>
      </c>
      <c r="T1036" s="87">
        <f t="shared" si="96"/>
        <v>5.1413995004186523E-3</v>
      </c>
      <c r="U1036" s="87">
        <f t="shared" si="96"/>
        <v>-1.4956091153649992E-2</v>
      </c>
      <c r="V1036" s="87">
        <f t="shared" si="96"/>
        <v>-1.1173300598125302E-2</v>
      </c>
      <c r="W1036" s="87">
        <f t="shared" si="96"/>
        <v>0</v>
      </c>
      <c r="X1036" s="87">
        <f t="shared" si="96"/>
        <v>0</v>
      </c>
      <c r="Y1036" s="87">
        <f t="shared" si="96"/>
        <v>7.5472056353829038E-3</v>
      </c>
      <c r="Z1036" s="87">
        <f t="shared" si="96"/>
        <v>-5.063301956546762E-3</v>
      </c>
      <c r="AA1036" s="87">
        <f t="shared" si="98"/>
        <v>-2.42424361150628E-3</v>
      </c>
      <c r="AB1036" s="87">
        <f t="shared" si="98"/>
        <v>-3.0627895305457668E-3</v>
      </c>
      <c r="AC1036" s="87">
        <f t="shared" si="98"/>
        <v>-8.0064478937412562E-3</v>
      </c>
      <c r="AD1036" s="87">
        <f t="shared" si="98"/>
        <v>-1.9342962843130987E-2</v>
      </c>
      <c r="AE1036" s="90">
        <f t="shared" si="95"/>
        <v>-1.0939012256238027E-2</v>
      </c>
    </row>
    <row r="1037" spans="1:31" ht="15.5" x14ac:dyDescent="0.35">
      <c r="A1037" s="82">
        <v>41270</v>
      </c>
      <c r="B1037" s="83">
        <v>8399.7999999999993</v>
      </c>
      <c r="C1037" s="84">
        <v>2985.9</v>
      </c>
      <c r="D1037" s="61">
        <v>349.7</v>
      </c>
      <c r="E1037" s="61">
        <v>19.399999999999999</v>
      </c>
      <c r="F1037" s="61">
        <v>72.099999999999994</v>
      </c>
      <c r="G1037" s="61">
        <v>26.6</v>
      </c>
      <c r="H1037" s="61">
        <v>20</v>
      </c>
      <c r="I1037" s="61">
        <v>12.9</v>
      </c>
      <c r="J1037" s="61">
        <v>39.799999999999997</v>
      </c>
      <c r="K1037" s="61">
        <v>19.100000000000001</v>
      </c>
      <c r="L1037" s="61">
        <v>40.799999999999997</v>
      </c>
      <c r="M1037" s="61">
        <v>32.200000000000003</v>
      </c>
      <c r="N1037" s="61">
        <v>62.1</v>
      </c>
      <c r="O1037" s="85">
        <v>25.5</v>
      </c>
      <c r="P1037" s="105"/>
      <c r="Q1037" s="87">
        <f t="shared" si="94"/>
        <v>5.1204802462015799E-4</v>
      </c>
      <c r="R1037" s="87">
        <f t="shared" si="97"/>
        <v>-1.4390658596997743E-3</v>
      </c>
      <c r="S1037" s="87">
        <f t="shared" si="97"/>
        <v>-5.4185217416918363E-3</v>
      </c>
      <c r="T1037" s="87">
        <f t="shared" si="97"/>
        <v>-5.1413995004187642E-3</v>
      </c>
      <c r="U1037" s="87">
        <f t="shared" si="97"/>
        <v>-1.2405396857487854E-2</v>
      </c>
      <c r="V1037" s="87">
        <f t="shared" si="97"/>
        <v>-3.7523496185503527E-3</v>
      </c>
      <c r="W1037" s="87">
        <f t="shared" si="97"/>
        <v>-9.950330853168092E-3</v>
      </c>
      <c r="X1037" s="87">
        <f t="shared" si="97"/>
        <v>0</v>
      </c>
      <c r="Y1037" s="87">
        <f t="shared" si="97"/>
        <v>-2.5094116054258072E-3</v>
      </c>
      <c r="Z1037" s="87">
        <f t="shared" si="97"/>
        <v>-3.0930300691358499E-2</v>
      </c>
      <c r="AA1037" s="87">
        <f t="shared" si="98"/>
        <v>-9.756174945364798E-3</v>
      </c>
      <c r="AB1037" s="87">
        <f t="shared" si="98"/>
        <v>-1.2345835822299266E-2</v>
      </c>
      <c r="AC1037" s="87">
        <f t="shared" si="98"/>
        <v>-1.6090108057006626E-3</v>
      </c>
      <c r="AD1037" s="87">
        <f t="shared" si="98"/>
        <v>-3.9138993211363287E-3</v>
      </c>
      <c r="AE1037" s="90">
        <f t="shared" si="95"/>
        <v>-6.0406211340974453E-3</v>
      </c>
    </row>
    <row r="1038" spans="1:31" ht="15.5" x14ac:dyDescent="0.35">
      <c r="A1038" s="82">
        <v>41271</v>
      </c>
      <c r="B1038" s="83">
        <v>8316.2000000000007</v>
      </c>
      <c r="C1038" s="84">
        <v>2960.3</v>
      </c>
      <c r="D1038" s="61">
        <v>350.4</v>
      </c>
      <c r="E1038" s="61">
        <v>19.3</v>
      </c>
      <c r="F1038" s="61">
        <v>72.599999999999994</v>
      </c>
      <c r="G1038" s="61">
        <v>26.6</v>
      </c>
      <c r="H1038" s="61">
        <v>20</v>
      </c>
      <c r="I1038" s="61">
        <v>13.3</v>
      </c>
      <c r="J1038" s="61">
        <v>39.700000000000003</v>
      </c>
      <c r="K1038" s="61">
        <v>18.899999999999999</v>
      </c>
      <c r="L1038" s="61">
        <v>40.6</v>
      </c>
      <c r="M1038" s="61">
        <v>32.200000000000003</v>
      </c>
      <c r="N1038" s="61">
        <v>62.3</v>
      </c>
      <c r="O1038" s="85">
        <v>25.5</v>
      </c>
      <c r="P1038" s="105"/>
      <c r="Q1038" s="87">
        <f t="shared" ref="Q1038:Q1101" si="99">+LN(B1038/B1037)</f>
        <v>-1.0002476311387704E-2</v>
      </c>
      <c r="R1038" s="87">
        <f t="shared" si="97"/>
        <v>-8.6105943863713126E-3</v>
      </c>
      <c r="S1038" s="87">
        <f t="shared" si="97"/>
        <v>1.9997149929061628E-3</v>
      </c>
      <c r="T1038" s="87">
        <f t="shared" si="97"/>
        <v>-5.1679701584424493E-3</v>
      </c>
      <c r="U1038" s="87">
        <f t="shared" si="97"/>
        <v>6.9108775398470101E-3</v>
      </c>
      <c r="V1038" s="87">
        <f t="shared" si="97"/>
        <v>0</v>
      </c>
      <c r="W1038" s="87">
        <f t="shared" si="97"/>
        <v>0</v>
      </c>
      <c r="X1038" s="87">
        <f t="shared" si="97"/>
        <v>3.0536723860081702E-2</v>
      </c>
      <c r="Y1038" s="87">
        <f t="shared" si="97"/>
        <v>-2.5157245972471359E-3</v>
      </c>
      <c r="Z1038" s="87">
        <f t="shared" si="97"/>
        <v>-1.0526412986987617E-2</v>
      </c>
      <c r="AA1038" s="87">
        <f t="shared" si="98"/>
        <v>-4.9140148024289293E-3</v>
      </c>
      <c r="AB1038" s="87">
        <f t="shared" si="98"/>
        <v>0</v>
      </c>
      <c r="AC1038" s="87">
        <f t="shared" si="98"/>
        <v>3.2154368539743928E-3</v>
      </c>
      <c r="AD1038" s="87">
        <f t="shared" si="98"/>
        <v>0</v>
      </c>
      <c r="AE1038" s="90">
        <f t="shared" si="95"/>
        <v>-1.9478668848352861E-5</v>
      </c>
    </row>
    <row r="1039" spans="1:31" ht="15.5" x14ac:dyDescent="0.35">
      <c r="A1039" s="82">
        <v>41274</v>
      </c>
      <c r="B1039" s="83">
        <v>8443.5</v>
      </c>
      <c r="C1039" s="84">
        <v>3019.5</v>
      </c>
      <c r="D1039" s="61">
        <v>348.4</v>
      </c>
      <c r="E1039" s="61">
        <v>19.399999999999999</v>
      </c>
      <c r="F1039" s="61">
        <v>72.7</v>
      </c>
      <c r="G1039" s="61">
        <v>26.4</v>
      </c>
      <c r="H1039" s="61">
        <v>20.100000000000001</v>
      </c>
      <c r="I1039" s="61">
        <v>13.3</v>
      </c>
      <c r="J1039" s="61">
        <v>39.700000000000003</v>
      </c>
      <c r="K1039" s="61">
        <v>18.8</v>
      </c>
      <c r="L1039" s="61">
        <v>40</v>
      </c>
      <c r="M1039" s="61">
        <v>32</v>
      </c>
      <c r="N1039" s="61">
        <v>62.2</v>
      </c>
      <c r="O1039" s="85">
        <v>25.3</v>
      </c>
      <c r="P1039" s="105"/>
      <c r="Q1039" s="87">
        <f t="shared" si="99"/>
        <v>1.5191494859434565E-2</v>
      </c>
      <c r="R1039" s="87">
        <f t="shared" si="97"/>
        <v>1.98006402141995E-2</v>
      </c>
      <c r="S1039" s="87">
        <f t="shared" si="97"/>
        <v>-5.7241140838886293E-3</v>
      </c>
      <c r="T1039" s="87">
        <f t="shared" si="97"/>
        <v>5.1679701584423773E-3</v>
      </c>
      <c r="U1039" s="87">
        <f t="shared" si="97"/>
        <v>1.3764627087234573E-3</v>
      </c>
      <c r="V1039" s="87">
        <f t="shared" si="97"/>
        <v>-7.5472056353829663E-3</v>
      </c>
      <c r="W1039" s="87">
        <f t="shared" si="97"/>
        <v>4.9875415110391882E-3</v>
      </c>
      <c r="X1039" s="87">
        <f t="shared" si="97"/>
        <v>0</v>
      </c>
      <c r="Y1039" s="87">
        <f t="shared" si="97"/>
        <v>0</v>
      </c>
      <c r="Z1039" s="87">
        <f t="shared" si="97"/>
        <v>-5.3050522296930061E-3</v>
      </c>
      <c r="AA1039" s="87">
        <f t="shared" si="98"/>
        <v>-1.4888612493750637E-2</v>
      </c>
      <c r="AB1039" s="87">
        <f t="shared" si="98"/>
        <v>-6.2305497506361975E-3</v>
      </c>
      <c r="AC1039" s="87">
        <f t="shared" si="98"/>
        <v>-1.6064260482735768E-3</v>
      </c>
      <c r="AD1039" s="87">
        <f t="shared" si="98"/>
        <v>-7.874056430905883E-3</v>
      </c>
      <c r="AE1039" s="90">
        <f t="shared" ref="AE1039:AE1102" si="100">+SUMPRODUCT(Q1039:AD1039,$Q$8:$AD$8)</f>
        <v>3.6959023370637932E-3</v>
      </c>
    </row>
    <row r="1040" spans="1:31" ht="15.5" x14ac:dyDescent="0.35">
      <c r="A1040" s="82">
        <v>41276</v>
      </c>
      <c r="B1040" s="83">
        <v>8632</v>
      </c>
      <c r="C1040" s="84">
        <v>3112.3</v>
      </c>
      <c r="D1040" s="61">
        <v>358.6</v>
      </c>
      <c r="E1040" s="61">
        <v>20</v>
      </c>
      <c r="F1040" s="61">
        <v>77.400000000000006</v>
      </c>
      <c r="G1040" s="61">
        <v>27.2</v>
      </c>
      <c r="H1040" s="61">
        <v>20.9</v>
      </c>
      <c r="I1040" s="61">
        <v>13.9</v>
      </c>
      <c r="J1040" s="61">
        <v>41</v>
      </c>
      <c r="K1040" s="61">
        <v>19.899999999999999</v>
      </c>
      <c r="L1040" s="61">
        <v>40.9</v>
      </c>
      <c r="M1040" s="61">
        <v>33.9</v>
      </c>
      <c r="N1040" s="61">
        <v>64.2</v>
      </c>
      <c r="O1040" s="85">
        <v>25.7</v>
      </c>
      <c r="P1040" s="105"/>
      <c r="Q1040" s="87">
        <f t="shared" si="99"/>
        <v>2.207931336577957E-2</v>
      </c>
      <c r="R1040" s="87">
        <f t="shared" si="97"/>
        <v>3.0270747932323438E-2</v>
      </c>
      <c r="S1040" s="87">
        <f t="shared" si="97"/>
        <v>2.8856316192684812E-2</v>
      </c>
      <c r="T1040" s="87">
        <f t="shared" si="97"/>
        <v>3.0459207484708654E-2</v>
      </c>
      <c r="U1040" s="87">
        <f t="shared" si="97"/>
        <v>6.264539605620785E-2</v>
      </c>
      <c r="V1040" s="87">
        <f t="shared" si="97"/>
        <v>2.9852963149681128E-2</v>
      </c>
      <c r="W1040" s="87">
        <f t="shared" si="97"/>
        <v>3.9029343905735078E-2</v>
      </c>
      <c r="X1040" s="87">
        <f t="shared" si="97"/>
        <v>4.4124804908937887E-2</v>
      </c>
      <c r="Y1040" s="87">
        <f t="shared" si="97"/>
        <v>3.2220879011162995E-2</v>
      </c>
      <c r="Z1040" s="87">
        <f t="shared" si="97"/>
        <v>5.6862861894543031E-2</v>
      </c>
      <c r="AA1040" s="87">
        <f t="shared" si="98"/>
        <v>2.2250608934819723E-2</v>
      </c>
      <c r="AB1040" s="87">
        <f t="shared" si="98"/>
        <v>5.7679111586677989E-2</v>
      </c>
      <c r="AC1040" s="87">
        <f t="shared" si="98"/>
        <v>3.1648210950781637E-2</v>
      </c>
      <c r="AD1040" s="87">
        <f t="shared" si="98"/>
        <v>1.5686596167699473E-2</v>
      </c>
      <c r="AE1040" s="90">
        <f t="shared" si="100"/>
        <v>3.734114672058652E-2</v>
      </c>
    </row>
    <row r="1041" spans="1:31" ht="15.5" x14ac:dyDescent="0.35">
      <c r="A1041" s="82">
        <v>41277</v>
      </c>
      <c r="B1041" s="83">
        <v>8607.7999999999993</v>
      </c>
      <c r="C1041" s="84">
        <v>3100.6</v>
      </c>
      <c r="D1041" s="61">
        <v>360.7</v>
      </c>
      <c r="E1041" s="61">
        <v>19.7</v>
      </c>
      <c r="F1041" s="61">
        <v>77.3</v>
      </c>
      <c r="G1041" s="61">
        <v>27.2</v>
      </c>
      <c r="H1041" s="61">
        <v>21.1</v>
      </c>
      <c r="I1041" s="61">
        <v>13.8</v>
      </c>
      <c r="J1041" s="61">
        <v>40.799999999999997</v>
      </c>
      <c r="K1041" s="61">
        <v>19.8</v>
      </c>
      <c r="L1041" s="61">
        <v>41.1</v>
      </c>
      <c r="M1041" s="61">
        <v>34.799999999999997</v>
      </c>
      <c r="N1041" s="61">
        <v>63.6</v>
      </c>
      <c r="O1041" s="85">
        <v>25.9</v>
      </c>
      <c r="P1041" s="105"/>
      <c r="Q1041" s="87">
        <f t="shared" si="99"/>
        <v>-2.8074590070667023E-3</v>
      </c>
      <c r="R1041" s="87">
        <f t="shared" si="97"/>
        <v>-3.7663615480175725E-3</v>
      </c>
      <c r="S1041" s="87">
        <f t="shared" si="97"/>
        <v>5.8390267384607723E-3</v>
      </c>
      <c r="T1041" s="87">
        <f t="shared" si="97"/>
        <v>-1.5113637810048184E-2</v>
      </c>
      <c r="U1041" s="87">
        <f t="shared" si="97"/>
        <v>-1.2928250023053047E-3</v>
      </c>
      <c r="V1041" s="87">
        <f t="shared" si="97"/>
        <v>0</v>
      </c>
      <c r="W1041" s="87">
        <f t="shared" si="97"/>
        <v>9.523881511255541E-3</v>
      </c>
      <c r="X1041" s="87">
        <f t="shared" si="97"/>
        <v>-7.2202479734870201E-3</v>
      </c>
      <c r="Y1041" s="87">
        <f t="shared" si="97"/>
        <v>-4.8899852941919038E-3</v>
      </c>
      <c r="Z1041" s="87">
        <f t="shared" si="97"/>
        <v>-5.0377940299570698E-3</v>
      </c>
      <c r="AA1041" s="87">
        <f t="shared" si="98"/>
        <v>4.8780584534329936E-3</v>
      </c>
      <c r="AB1041" s="87">
        <f t="shared" si="98"/>
        <v>2.6202372394024117E-2</v>
      </c>
      <c r="AC1041" s="87">
        <f t="shared" si="98"/>
        <v>-9.3897403498390316E-3</v>
      </c>
      <c r="AD1041" s="87">
        <f t="shared" si="98"/>
        <v>7.7519768043179237E-3</v>
      </c>
      <c r="AE1041" s="90">
        <f t="shared" si="100"/>
        <v>1.1530677083898841E-3</v>
      </c>
    </row>
    <row r="1042" spans="1:31" ht="15.5" x14ac:dyDescent="0.35">
      <c r="A1042" s="82">
        <v>41278</v>
      </c>
      <c r="B1042" s="83">
        <v>8667.7000000000007</v>
      </c>
      <c r="C1042" s="84">
        <v>3101.7</v>
      </c>
      <c r="D1042" s="61">
        <v>364.2</v>
      </c>
      <c r="E1042" s="61">
        <v>19.7</v>
      </c>
      <c r="F1042" s="61">
        <v>75.099999999999994</v>
      </c>
      <c r="G1042" s="61">
        <v>26.7</v>
      </c>
      <c r="H1042" s="61">
        <v>21.6</v>
      </c>
      <c r="I1042" s="61">
        <v>14</v>
      </c>
      <c r="J1042" s="61">
        <v>40.799999999999997</v>
      </c>
      <c r="K1042" s="61">
        <v>20</v>
      </c>
      <c r="L1042" s="61">
        <v>41.8</v>
      </c>
      <c r="M1042" s="61">
        <v>35.299999999999997</v>
      </c>
      <c r="N1042" s="61">
        <v>64.8</v>
      </c>
      <c r="O1042" s="85">
        <v>26.2</v>
      </c>
      <c r="P1042" s="105"/>
      <c r="Q1042" s="87">
        <f t="shared" si="99"/>
        <v>6.9347040664131483E-3</v>
      </c>
      <c r="R1042" s="87">
        <f t="shared" si="97"/>
        <v>3.547071284952554E-4</v>
      </c>
      <c r="S1042" s="87">
        <f t="shared" si="97"/>
        <v>9.6565793840142598E-3</v>
      </c>
      <c r="T1042" s="87">
        <f t="shared" si="97"/>
        <v>0</v>
      </c>
      <c r="U1042" s="87">
        <f t="shared" si="97"/>
        <v>-2.8873396823287264E-2</v>
      </c>
      <c r="V1042" s="87">
        <f t="shared" si="97"/>
        <v>-1.8553407895747834E-2</v>
      </c>
      <c r="W1042" s="87">
        <f t="shared" si="97"/>
        <v>2.3420274208098422E-2</v>
      </c>
      <c r="X1042" s="87">
        <f t="shared" si="97"/>
        <v>1.4388737452099452E-2</v>
      </c>
      <c r="Y1042" s="87">
        <f t="shared" si="97"/>
        <v>0</v>
      </c>
      <c r="Z1042" s="87">
        <f t="shared" si="97"/>
        <v>1.0050335853501506E-2</v>
      </c>
      <c r="AA1042" s="87">
        <f t="shared" si="98"/>
        <v>1.6888218028521577E-2</v>
      </c>
      <c r="AB1042" s="87">
        <f t="shared" si="98"/>
        <v>1.4265577158822439E-2</v>
      </c>
      <c r="AC1042" s="87">
        <f t="shared" si="98"/>
        <v>1.8692133012152546E-2</v>
      </c>
      <c r="AD1042" s="87">
        <f t="shared" si="98"/>
        <v>1.1516442061559081E-2</v>
      </c>
      <c r="AE1042" s="90">
        <f t="shared" si="100"/>
        <v>-3.9227997630585827E-3</v>
      </c>
    </row>
    <row r="1043" spans="1:31" ht="15.5" x14ac:dyDescent="0.35">
      <c r="A1043" s="82">
        <v>41281</v>
      </c>
      <c r="B1043" s="83">
        <v>8636.9</v>
      </c>
      <c r="C1043" s="84">
        <v>3098.8</v>
      </c>
      <c r="D1043" s="61">
        <v>365.7</v>
      </c>
      <c r="E1043" s="61">
        <v>19.3</v>
      </c>
      <c r="F1043" s="61">
        <v>73.599999999999994</v>
      </c>
      <c r="G1043" s="61">
        <v>26.6</v>
      </c>
      <c r="H1043" s="61">
        <v>21.3</v>
      </c>
      <c r="I1043" s="61">
        <v>14</v>
      </c>
      <c r="J1043" s="61">
        <v>41</v>
      </c>
      <c r="K1043" s="61">
        <v>19.899999999999999</v>
      </c>
      <c r="L1043" s="61">
        <v>41.9</v>
      </c>
      <c r="M1043" s="61">
        <v>35.5</v>
      </c>
      <c r="N1043" s="61">
        <v>64.8</v>
      </c>
      <c r="O1043" s="85">
        <v>26.3</v>
      </c>
      <c r="P1043" s="105"/>
      <c r="Q1043" s="87">
        <f t="shared" si="99"/>
        <v>-3.5597508783038489E-3</v>
      </c>
      <c r="R1043" s="87">
        <f t="shared" si="97"/>
        <v>-9.3540850300957723E-4</v>
      </c>
      <c r="S1043" s="87">
        <f t="shared" si="97"/>
        <v>4.1101578618279941E-3</v>
      </c>
      <c r="T1043" s="87">
        <f t="shared" si="97"/>
        <v>-2.0513539833102903E-2</v>
      </c>
      <c r="U1043" s="87">
        <f t="shared" si="97"/>
        <v>-2.0175533035258559E-2</v>
      </c>
      <c r="V1043" s="87">
        <f t="shared" si="97"/>
        <v>-3.7523496185503527E-3</v>
      </c>
      <c r="W1043" s="87">
        <f t="shared" si="97"/>
        <v>-1.3986241974739952E-2</v>
      </c>
      <c r="X1043" s="87">
        <f t="shared" si="97"/>
        <v>0</v>
      </c>
      <c r="Y1043" s="87">
        <f t="shared" si="97"/>
        <v>4.8899852941917702E-3</v>
      </c>
      <c r="Z1043" s="87">
        <f t="shared" si="97"/>
        <v>-5.0125418235443982E-3</v>
      </c>
      <c r="AA1043" s="87">
        <f t="shared" si="98"/>
        <v>2.3894873973814854E-3</v>
      </c>
      <c r="AB1043" s="87">
        <f t="shared" si="98"/>
        <v>5.6497325421191276E-3</v>
      </c>
      <c r="AC1043" s="87">
        <f t="shared" si="98"/>
        <v>0</v>
      </c>
      <c r="AD1043" s="87">
        <f t="shared" si="98"/>
        <v>3.8095284166676487E-3</v>
      </c>
      <c r="AE1043" s="90">
        <f t="shared" si="100"/>
        <v>-4.3830083937234981E-3</v>
      </c>
    </row>
    <row r="1044" spans="1:31" ht="15.5" x14ac:dyDescent="0.35">
      <c r="A1044" s="82">
        <v>41282</v>
      </c>
      <c r="B1044" s="83">
        <v>8604.4</v>
      </c>
      <c r="C1044" s="84">
        <v>3091.8</v>
      </c>
      <c r="D1044" s="61">
        <v>362.6</v>
      </c>
      <c r="E1044" s="61">
        <v>19.3</v>
      </c>
      <c r="F1044" s="61">
        <v>74.5</v>
      </c>
      <c r="G1044" s="61">
        <v>26.5</v>
      </c>
      <c r="H1044" s="61">
        <v>20.399999999999999</v>
      </c>
      <c r="I1044" s="61">
        <v>13.7</v>
      </c>
      <c r="J1044" s="61">
        <v>41.6</v>
      </c>
      <c r="K1044" s="61">
        <v>18.899999999999999</v>
      </c>
      <c r="L1044" s="61">
        <v>42.2</v>
      </c>
      <c r="M1044" s="61">
        <v>35.700000000000003</v>
      </c>
      <c r="N1044" s="61">
        <v>64.8</v>
      </c>
      <c r="O1044" s="85">
        <v>26.1</v>
      </c>
      <c r="P1044" s="105"/>
      <c r="Q1044" s="87">
        <f t="shared" si="99"/>
        <v>-3.7700218073703756E-3</v>
      </c>
      <c r="R1044" s="87">
        <f t="shared" si="97"/>
        <v>-2.261494195513919E-3</v>
      </c>
      <c r="S1044" s="87">
        <f t="shared" si="97"/>
        <v>-8.5130268345847051E-3</v>
      </c>
      <c r="T1044" s="87">
        <f t="shared" si="97"/>
        <v>0</v>
      </c>
      <c r="U1044" s="87">
        <f t="shared" si="97"/>
        <v>1.2154099650683248E-2</v>
      </c>
      <c r="V1044" s="87">
        <f t="shared" si="97"/>
        <v>-3.7664827954768934E-3</v>
      </c>
      <c r="W1044" s="87">
        <f t="shared" si="97"/>
        <v>-4.3172171865208782E-2</v>
      </c>
      <c r="X1044" s="87">
        <f t="shared" si="97"/>
        <v>-2.1661496781179419E-2</v>
      </c>
      <c r="Y1044" s="87">
        <f t="shared" si="97"/>
        <v>1.4528100562909808E-2</v>
      </c>
      <c r="Z1044" s="87">
        <f t="shared" si="97"/>
        <v>-5.1557809664850011E-2</v>
      </c>
      <c r="AA1044" s="87">
        <f t="shared" si="98"/>
        <v>7.1343941138741112E-3</v>
      </c>
      <c r="AB1044" s="87">
        <f t="shared" si="98"/>
        <v>5.6179923042232738E-3</v>
      </c>
      <c r="AC1044" s="87">
        <f t="shared" si="98"/>
        <v>0</v>
      </c>
      <c r="AD1044" s="87">
        <f t="shared" si="98"/>
        <v>-7.633624855071095E-3</v>
      </c>
      <c r="AE1044" s="90">
        <f t="shared" si="100"/>
        <v>-6.2271362056875936E-4</v>
      </c>
    </row>
    <row r="1045" spans="1:31" ht="15.5" x14ac:dyDescent="0.35">
      <c r="A1045" s="82">
        <v>41283</v>
      </c>
      <c r="B1045" s="83">
        <v>8636.1</v>
      </c>
      <c r="C1045" s="84">
        <v>3105.8</v>
      </c>
      <c r="D1045" s="61">
        <v>364.7</v>
      </c>
      <c r="E1045" s="61">
        <v>19.2</v>
      </c>
      <c r="F1045" s="61">
        <v>73.7</v>
      </c>
      <c r="G1045" s="61">
        <v>26.6</v>
      </c>
      <c r="H1045" s="61">
        <v>18.5</v>
      </c>
      <c r="I1045" s="61">
        <v>14.1</v>
      </c>
      <c r="J1045" s="61">
        <v>41.9</v>
      </c>
      <c r="K1045" s="61">
        <v>18.3</v>
      </c>
      <c r="L1045" s="61">
        <v>42.2</v>
      </c>
      <c r="M1045" s="61">
        <v>35.9</v>
      </c>
      <c r="N1045" s="61">
        <v>64.3</v>
      </c>
      <c r="O1045" s="85">
        <v>26.2</v>
      </c>
      <c r="P1045" s="105"/>
      <c r="Q1045" s="87">
        <f t="shared" si="99"/>
        <v>3.6773916909375389E-3</v>
      </c>
      <c r="R1045" s="87">
        <f t="shared" si="97"/>
        <v>4.517885572855076E-3</v>
      </c>
      <c r="S1045" s="87">
        <f t="shared" si="97"/>
        <v>5.7747994938837375E-3</v>
      </c>
      <c r="T1045" s="87">
        <f t="shared" si="97"/>
        <v>-5.1948168771040228E-3</v>
      </c>
      <c r="U1045" s="87">
        <f t="shared" si="97"/>
        <v>-1.0796326190222829E-2</v>
      </c>
      <c r="V1045" s="87">
        <f t="shared" si="97"/>
        <v>3.7664827954768648E-3</v>
      </c>
      <c r="W1045" s="87">
        <f t="shared" si="97"/>
        <v>-9.7764168765891446E-2</v>
      </c>
      <c r="X1045" s="87">
        <f t="shared" si="97"/>
        <v>2.8778964550043327E-2</v>
      </c>
      <c r="Y1045" s="87">
        <f t="shared" si="97"/>
        <v>7.1856596608743124E-3</v>
      </c>
      <c r="Z1045" s="87">
        <f t="shared" si="97"/>
        <v>-3.2260862218221324E-2</v>
      </c>
      <c r="AA1045" s="87">
        <f t="shared" si="98"/>
        <v>0</v>
      </c>
      <c r="AB1045" s="87">
        <f t="shared" si="98"/>
        <v>5.5866067086397762E-3</v>
      </c>
      <c r="AC1045" s="87">
        <f t="shared" si="98"/>
        <v>-7.7459721146553411E-3</v>
      </c>
      <c r="AD1045" s="87">
        <f t="shared" si="98"/>
        <v>3.8240964384032546E-3</v>
      </c>
      <c r="AE1045" s="90">
        <f t="shared" si="100"/>
        <v>4.2260704947751331E-4</v>
      </c>
    </row>
    <row r="1046" spans="1:31" ht="15.5" x14ac:dyDescent="0.35">
      <c r="A1046" s="82">
        <v>41284</v>
      </c>
      <c r="B1046" s="83">
        <v>8713.7999999999993</v>
      </c>
      <c r="C1046" s="84">
        <v>3121.8</v>
      </c>
      <c r="D1046" s="61">
        <v>367.1</v>
      </c>
      <c r="E1046" s="61">
        <v>18.899999999999999</v>
      </c>
      <c r="F1046" s="61">
        <v>73.7</v>
      </c>
      <c r="G1046" s="61">
        <v>26.3</v>
      </c>
      <c r="H1046" s="61">
        <v>18.8</v>
      </c>
      <c r="I1046" s="61">
        <v>14.1</v>
      </c>
      <c r="J1046" s="61">
        <v>42.2</v>
      </c>
      <c r="K1046" s="61">
        <v>18.600000000000001</v>
      </c>
      <c r="L1046" s="61">
        <v>42.8</v>
      </c>
      <c r="M1046" s="61">
        <v>36.200000000000003</v>
      </c>
      <c r="N1046" s="61">
        <v>64.2</v>
      </c>
      <c r="O1046" s="85">
        <v>26.1</v>
      </c>
      <c r="P1046" s="105"/>
      <c r="Q1046" s="87">
        <f t="shared" si="99"/>
        <v>8.9568838392328869E-3</v>
      </c>
      <c r="R1046" s="87">
        <f t="shared" si="97"/>
        <v>5.1384273892241183E-3</v>
      </c>
      <c r="S1046" s="87">
        <f t="shared" si="97"/>
        <v>6.5591926881542195E-3</v>
      </c>
      <c r="T1046" s="87">
        <f t="shared" si="97"/>
        <v>-1.5748356968139168E-2</v>
      </c>
      <c r="U1046" s="87">
        <f t="shared" si="97"/>
        <v>0</v>
      </c>
      <c r="V1046" s="87">
        <f t="shared" si="97"/>
        <v>-1.1342276603934495E-2</v>
      </c>
      <c r="W1046" s="87">
        <f t="shared" si="97"/>
        <v>1.6086137751624444E-2</v>
      </c>
      <c r="X1046" s="87">
        <f t="shared" si="97"/>
        <v>0</v>
      </c>
      <c r="Y1046" s="87">
        <f t="shared" si="97"/>
        <v>7.1343941138741112E-3</v>
      </c>
      <c r="Z1046" s="87">
        <f t="shared" si="97"/>
        <v>1.6260520871780326E-2</v>
      </c>
      <c r="AA1046" s="87">
        <f t="shared" si="98"/>
        <v>1.4117881545784803E-2</v>
      </c>
      <c r="AB1046" s="87">
        <f t="shared" si="98"/>
        <v>8.3218233374922779E-3</v>
      </c>
      <c r="AC1046" s="87">
        <f t="shared" si="98"/>
        <v>-1.5564205476580842E-3</v>
      </c>
      <c r="AD1046" s="87">
        <f t="shared" si="98"/>
        <v>-3.8240964384033942E-3</v>
      </c>
      <c r="AE1046" s="90">
        <f t="shared" si="100"/>
        <v>2.9957213214257521E-3</v>
      </c>
    </row>
    <row r="1047" spans="1:31" ht="15.5" x14ac:dyDescent="0.35">
      <c r="A1047" s="82">
        <v>41285</v>
      </c>
      <c r="B1047" s="83">
        <v>8712.4</v>
      </c>
      <c r="C1047" s="84">
        <v>3125.6</v>
      </c>
      <c r="D1047" s="61">
        <v>368.5</v>
      </c>
      <c r="E1047" s="61">
        <v>18.899999999999999</v>
      </c>
      <c r="F1047" s="61">
        <v>74.2</v>
      </c>
      <c r="G1047" s="61">
        <v>26.3</v>
      </c>
      <c r="H1047" s="61">
        <v>18.899999999999999</v>
      </c>
      <c r="I1047" s="61">
        <v>13.7</v>
      </c>
      <c r="J1047" s="61">
        <v>42.5</v>
      </c>
      <c r="K1047" s="61">
        <v>17.600000000000001</v>
      </c>
      <c r="L1047" s="61">
        <v>42.7</v>
      </c>
      <c r="M1047" s="61">
        <v>36.1</v>
      </c>
      <c r="N1047" s="61">
        <v>63.8</v>
      </c>
      <c r="O1047" s="85">
        <v>26.2</v>
      </c>
      <c r="P1047" s="105"/>
      <c r="Q1047" s="87">
        <f t="shared" si="99"/>
        <v>-1.606776007404242E-4</v>
      </c>
      <c r="R1047" s="87">
        <f t="shared" si="97"/>
        <v>1.2165062165478198E-3</v>
      </c>
      <c r="S1047" s="87">
        <f t="shared" si="97"/>
        <v>3.8064211266026996E-3</v>
      </c>
      <c r="T1047" s="87">
        <f t="shared" si="97"/>
        <v>0</v>
      </c>
      <c r="U1047" s="87">
        <f t="shared" si="97"/>
        <v>6.7613509780439247E-3</v>
      </c>
      <c r="V1047" s="87">
        <f t="shared" si="97"/>
        <v>0</v>
      </c>
      <c r="W1047" s="87">
        <f t="shared" si="97"/>
        <v>5.3050522296930981E-3</v>
      </c>
      <c r="X1047" s="87">
        <f t="shared" si="97"/>
        <v>-2.8778964550043404E-2</v>
      </c>
      <c r="Y1047" s="87">
        <f t="shared" si="97"/>
        <v>7.0838548884050419E-3</v>
      </c>
      <c r="Z1047" s="87">
        <f t="shared" si="97"/>
        <v>-5.5262678675049415E-2</v>
      </c>
      <c r="AA1047" s="87">
        <f t="shared" si="98"/>
        <v>-2.3391823531721551E-3</v>
      </c>
      <c r="AB1047" s="87">
        <f t="shared" si="98"/>
        <v>-2.766253492890185E-3</v>
      </c>
      <c r="AC1047" s="87">
        <f t="shared" si="98"/>
        <v>-6.2500203451714056E-3</v>
      </c>
      <c r="AD1047" s="87">
        <f t="shared" si="98"/>
        <v>3.8240964384032546E-3</v>
      </c>
      <c r="AE1047" s="90">
        <f t="shared" si="100"/>
        <v>3.8771758766521806E-3</v>
      </c>
    </row>
    <row r="1048" spans="1:31" ht="15.5" x14ac:dyDescent="0.35">
      <c r="A1048" s="82">
        <v>41288</v>
      </c>
      <c r="B1048" s="83">
        <v>8717.4</v>
      </c>
      <c r="C1048" s="84">
        <v>3117.5</v>
      </c>
      <c r="D1048" s="61">
        <v>361.5</v>
      </c>
      <c r="E1048" s="61">
        <v>19.3</v>
      </c>
      <c r="F1048" s="61">
        <v>71.2</v>
      </c>
      <c r="G1048" s="61">
        <v>26.8</v>
      </c>
      <c r="H1048" s="61">
        <v>19</v>
      </c>
      <c r="I1048" s="61">
        <v>13.7</v>
      </c>
      <c r="J1048" s="61">
        <v>42.5</v>
      </c>
      <c r="K1048" s="61">
        <v>17.399999999999999</v>
      </c>
      <c r="L1048" s="61">
        <v>43.1</v>
      </c>
      <c r="M1048" s="61">
        <v>35.700000000000003</v>
      </c>
      <c r="N1048" s="61">
        <v>63.9</v>
      </c>
      <c r="O1048" s="85">
        <v>26.5</v>
      </c>
      <c r="P1048" s="105"/>
      <c r="Q1048" s="87">
        <f t="shared" si="99"/>
        <v>5.73730064275232E-4</v>
      </c>
      <c r="R1048" s="87">
        <f t="shared" si="97"/>
        <v>-2.5948661866693336E-3</v>
      </c>
      <c r="S1048" s="87">
        <f t="shared" si="97"/>
        <v>-1.9178670030571943E-2</v>
      </c>
      <c r="T1048" s="87">
        <f t="shared" si="97"/>
        <v>2.0943173845243388E-2</v>
      </c>
      <c r="U1048" s="87">
        <f t="shared" si="97"/>
        <v>-4.1271331755404719E-2</v>
      </c>
      <c r="V1048" s="87">
        <f t="shared" si="97"/>
        <v>1.8832948333092178E-2</v>
      </c>
      <c r="W1048" s="87">
        <f t="shared" si="97"/>
        <v>5.2770571008438193E-3</v>
      </c>
      <c r="X1048" s="87">
        <f t="shared" si="97"/>
        <v>0</v>
      </c>
      <c r="Y1048" s="87">
        <f t="shared" si="97"/>
        <v>0</v>
      </c>
      <c r="Z1048" s="87">
        <f t="shared" si="97"/>
        <v>-1.1428695823622968E-2</v>
      </c>
      <c r="AA1048" s="87">
        <f t="shared" si="98"/>
        <v>9.3240768751232436E-3</v>
      </c>
      <c r="AB1048" s="87">
        <f t="shared" si="98"/>
        <v>-1.1142176553241848E-2</v>
      </c>
      <c r="AC1048" s="87">
        <f t="shared" si="98"/>
        <v>1.5661710327448761E-3</v>
      </c>
      <c r="AD1048" s="87">
        <f t="shared" si="98"/>
        <v>1.1385322225125429E-2</v>
      </c>
      <c r="AE1048" s="90">
        <f t="shared" si="100"/>
        <v>-1.6809851881994804E-2</v>
      </c>
    </row>
    <row r="1049" spans="1:31" ht="15.5" x14ac:dyDescent="0.35">
      <c r="A1049" s="82">
        <v>41289</v>
      </c>
      <c r="B1049" s="83">
        <v>8733.1</v>
      </c>
      <c r="C1049" s="84">
        <v>3110.8</v>
      </c>
      <c r="D1049" s="61">
        <v>356.4</v>
      </c>
      <c r="E1049" s="61">
        <v>19.3</v>
      </c>
      <c r="F1049" s="61">
        <v>69.099999999999994</v>
      </c>
      <c r="G1049" s="61">
        <v>26.8</v>
      </c>
      <c r="H1049" s="61">
        <v>19.100000000000001</v>
      </c>
      <c r="I1049" s="61">
        <v>13.8</v>
      </c>
      <c r="J1049" s="61">
        <v>42.1</v>
      </c>
      <c r="K1049" s="61">
        <v>17.899999999999999</v>
      </c>
      <c r="L1049" s="61">
        <v>42.8</v>
      </c>
      <c r="M1049" s="61">
        <v>35.9</v>
      </c>
      <c r="N1049" s="61">
        <v>64.099999999999994</v>
      </c>
      <c r="O1049" s="85">
        <v>26.4</v>
      </c>
      <c r="P1049" s="105"/>
      <c r="Q1049" s="87">
        <f t="shared" si="99"/>
        <v>1.7993758615582481E-3</v>
      </c>
      <c r="R1049" s="87">
        <f t="shared" si="97"/>
        <v>-2.1514707334032617E-3</v>
      </c>
      <c r="S1049" s="87">
        <f t="shared" si="97"/>
        <v>-1.4208346002165195E-2</v>
      </c>
      <c r="T1049" s="87">
        <f t="shared" si="97"/>
        <v>0</v>
      </c>
      <c r="U1049" s="87">
        <f t="shared" si="97"/>
        <v>-2.9938087644305972E-2</v>
      </c>
      <c r="V1049" s="87">
        <f t="shared" si="97"/>
        <v>0</v>
      </c>
      <c r="W1049" s="87">
        <f t="shared" si="97"/>
        <v>5.249355886143745E-3</v>
      </c>
      <c r="X1049" s="87">
        <f t="shared" si="97"/>
        <v>7.2727593290798781E-3</v>
      </c>
      <c r="Y1049" s="87">
        <f t="shared" si="97"/>
        <v>-9.4563352420354001E-3</v>
      </c>
      <c r="Z1049" s="87">
        <f t="shared" si="97"/>
        <v>2.833050662622599E-2</v>
      </c>
      <c r="AA1049" s="87">
        <f t="shared" si="98"/>
        <v>-6.9848945219510928E-3</v>
      </c>
      <c r="AB1049" s="87">
        <f t="shared" si="98"/>
        <v>5.5866067086397762E-3</v>
      </c>
      <c r="AC1049" s="87">
        <f t="shared" si="98"/>
        <v>3.1250025431350595E-3</v>
      </c>
      <c r="AD1049" s="87">
        <f t="shared" si="98"/>
        <v>-3.7807228399060443E-3</v>
      </c>
      <c r="AE1049" s="90">
        <f t="shared" si="100"/>
        <v>-1.3824601773054045E-2</v>
      </c>
    </row>
    <row r="1050" spans="1:31" ht="15.5" x14ac:dyDescent="0.35">
      <c r="A1050" s="82">
        <v>41290</v>
      </c>
      <c r="B1050" s="83">
        <v>8710.6</v>
      </c>
      <c r="C1050" s="84">
        <v>3117.5</v>
      </c>
      <c r="D1050" s="61">
        <v>357.2</v>
      </c>
      <c r="E1050" s="61">
        <v>19.600000000000001</v>
      </c>
      <c r="F1050" s="61">
        <v>70.400000000000006</v>
      </c>
      <c r="G1050" s="61">
        <v>27</v>
      </c>
      <c r="H1050" s="61">
        <v>20</v>
      </c>
      <c r="I1050" s="61">
        <v>13.6</v>
      </c>
      <c r="J1050" s="61">
        <v>41.7</v>
      </c>
      <c r="K1050" s="61">
        <v>18.600000000000001</v>
      </c>
      <c r="L1050" s="61">
        <v>42.5</v>
      </c>
      <c r="M1050" s="61">
        <v>36.1</v>
      </c>
      <c r="N1050" s="61">
        <v>65.400000000000006</v>
      </c>
      <c r="O1050" s="85">
        <v>26.6</v>
      </c>
      <c r="P1050" s="105"/>
      <c r="Q1050" s="87">
        <f t="shared" si="99"/>
        <v>-2.5797293553696224E-3</v>
      </c>
      <c r="R1050" s="87">
        <f t="shared" si="97"/>
        <v>2.1514707334032166E-3</v>
      </c>
      <c r="S1050" s="87">
        <f t="shared" si="97"/>
        <v>2.2421534056897268E-3</v>
      </c>
      <c r="T1050" s="87">
        <f t="shared" si="97"/>
        <v>1.5424470325631731E-2</v>
      </c>
      <c r="U1050" s="87">
        <f t="shared" si="97"/>
        <v>1.8638532390372633E-2</v>
      </c>
      <c r="V1050" s="87">
        <f t="shared" si="97"/>
        <v>7.4349784875179905E-3</v>
      </c>
      <c r="W1050" s="87">
        <f t="shared" si="97"/>
        <v>4.6043938501406798E-2</v>
      </c>
      <c r="X1050" s="87">
        <f t="shared" si="97"/>
        <v>-1.4598799421152749E-2</v>
      </c>
      <c r="Y1050" s="87">
        <f t="shared" si="97"/>
        <v>-9.5466118835798881E-3</v>
      </c>
      <c r="Z1050" s="87">
        <f t="shared" si="97"/>
        <v>3.8360867872446372E-2</v>
      </c>
      <c r="AA1050" s="87">
        <f t="shared" si="98"/>
        <v>-7.0340266573799357E-3</v>
      </c>
      <c r="AB1050" s="87">
        <f t="shared" si="98"/>
        <v>5.555569844602184E-3</v>
      </c>
      <c r="AC1050" s="87">
        <f t="shared" si="98"/>
        <v>2.0077894536528872E-2</v>
      </c>
      <c r="AD1050" s="87">
        <f t="shared" si="98"/>
        <v>7.5472056353831241E-3</v>
      </c>
      <c r="AE1050" s="90">
        <f t="shared" si="100"/>
        <v>7.5481541716815731E-3</v>
      </c>
    </row>
    <row r="1051" spans="1:31" ht="15.5" x14ac:dyDescent="0.35">
      <c r="A1051" s="82">
        <v>41291</v>
      </c>
      <c r="B1051" s="83">
        <v>8766.5</v>
      </c>
      <c r="C1051" s="84">
        <v>3136</v>
      </c>
      <c r="D1051" s="61">
        <v>355.9</v>
      </c>
      <c r="E1051" s="61">
        <v>20</v>
      </c>
      <c r="F1051" s="61">
        <v>71.7</v>
      </c>
      <c r="G1051" s="61">
        <v>27.1</v>
      </c>
      <c r="H1051" s="61">
        <v>20.100000000000001</v>
      </c>
      <c r="I1051" s="61">
        <v>13.7</v>
      </c>
      <c r="J1051" s="61">
        <v>41.9</v>
      </c>
      <c r="K1051" s="61">
        <v>18</v>
      </c>
      <c r="L1051" s="61">
        <v>42.5</v>
      </c>
      <c r="M1051" s="61">
        <v>36.299999999999997</v>
      </c>
      <c r="N1051" s="61">
        <v>66.2</v>
      </c>
      <c r="O1051" s="85">
        <v>26.7</v>
      </c>
      <c r="P1051" s="105"/>
      <c r="Q1051" s="87">
        <f t="shared" si="99"/>
        <v>6.3969640986462776E-3</v>
      </c>
      <c r="R1051" s="87">
        <f t="shared" ref="R1051:AD1075" si="101">+LN(C1051/C1050)</f>
        <v>5.9167039161069374E-3</v>
      </c>
      <c r="S1051" s="87">
        <f t="shared" si="101"/>
        <v>-3.6460564861970084E-3</v>
      </c>
      <c r="T1051" s="87">
        <f t="shared" si="101"/>
        <v>2.0202707317519469E-2</v>
      </c>
      <c r="U1051" s="87">
        <f t="shared" si="101"/>
        <v>1.8297484441577819E-2</v>
      </c>
      <c r="V1051" s="87">
        <f t="shared" si="101"/>
        <v>3.6968618813262026E-3</v>
      </c>
      <c r="W1051" s="87">
        <f t="shared" si="101"/>
        <v>4.9875415110391882E-3</v>
      </c>
      <c r="X1051" s="87">
        <f t="shared" si="101"/>
        <v>7.3260400920728812E-3</v>
      </c>
      <c r="Y1051" s="87">
        <f t="shared" si="101"/>
        <v>4.7846981233362531E-3</v>
      </c>
      <c r="Z1051" s="87">
        <f t="shared" si="101"/>
        <v>-3.2789822822990956E-2</v>
      </c>
      <c r="AA1051" s="87">
        <f t="shared" si="98"/>
        <v>0</v>
      </c>
      <c r="AB1051" s="87">
        <f t="shared" si="98"/>
        <v>5.5248759319698072E-3</v>
      </c>
      <c r="AC1051" s="87">
        <f t="shared" si="98"/>
        <v>1.2158204479809363E-2</v>
      </c>
      <c r="AD1051" s="87">
        <f t="shared" si="98"/>
        <v>3.7523496185503718E-3</v>
      </c>
      <c r="AE1051" s="90">
        <f t="shared" si="100"/>
        <v>6.3941423898115149E-3</v>
      </c>
    </row>
    <row r="1052" spans="1:31" ht="15.5" x14ac:dyDescent="0.35">
      <c r="A1052" s="82">
        <v>41292</v>
      </c>
      <c r="B1052" s="83">
        <v>8792.6</v>
      </c>
      <c r="C1052" s="84">
        <v>3134.7</v>
      </c>
      <c r="D1052" s="61">
        <v>351</v>
      </c>
      <c r="E1052" s="61">
        <v>20</v>
      </c>
      <c r="F1052" s="61">
        <v>70.900000000000006</v>
      </c>
      <c r="G1052" s="61">
        <v>27</v>
      </c>
      <c r="H1052" s="61">
        <v>20.100000000000001</v>
      </c>
      <c r="I1052" s="61">
        <v>13.6</v>
      </c>
      <c r="J1052" s="61">
        <v>41.5</v>
      </c>
      <c r="K1052" s="61">
        <v>17.600000000000001</v>
      </c>
      <c r="L1052" s="61">
        <v>42.7</v>
      </c>
      <c r="M1052" s="61">
        <v>36.1</v>
      </c>
      <c r="N1052" s="61">
        <v>66.599999999999994</v>
      </c>
      <c r="O1052" s="85">
        <v>26.5</v>
      </c>
      <c r="P1052" s="105"/>
      <c r="Q1052" s="87">
        <f t="shared" si="99"/>
        <v>2.9728197028209458E-3</v>
      </c>
      <c r="R1052" s="87">
        <f t="shared" si="101"/>
        <v>-4.146267621236845E-4</v>
      </c>
      <c r="S1052" s="87">
        <f t="shared" si="101"/>
        <v>-1.3863569050281108E-2</v>
      </c>
      <c r="T1052" s="87">
        <f t="shared" si="101"/>
        <v>0</v>
      </c>
      <c r="U1052" s="87">
        <f t="shared" si="101"/>
        <v>-1.1220314067492776E-2</v>
      </c>
      <c r="V1052" s="87">
        <f t="shared" si="101"/>
        <v>-3.6968618813262031E-3</v>
      </c>
      <c r="W1052" s="87">
        <f t="shared" si="101"/>
        <v>0</v>
      </c>
      <c r="X1052" s="87">
        <f t="shared" si="101"/>
        <v>-7.3260400920728977E-3</v>
      </c>
      <c r="Y1052" s="87">
        <f t="shared" si="101"/>
        <v>-9.5923996914394089E-3</v>
      </c>
      <c r="Z1052" s="87">
        <f t="shared" si="101"/>
        <v>-2.2472855852058514E-2</v>
      </c>
      <c r="AA1052" s="87">
        <f t="shared" si="98"/>
        <v>4.6948443042078847E-3</v>
      </c>
      <c r="AB1052" s="87">
        <f t="shared" si="98"/>
        <v>-5.5248759319696918E-3</v>
      </c>
      <c r="AC1052" s="87">
        <f t="shared" si="98"/>
        <v>6.0241146033808762E-3</v>
      </c>
      <c r="AD1052" s="87">
        <f t="shared" si="98"/>
        <v>-7.5188324140273398E-3</v>
      </c>
      <c r="AE1052" s="90">
        <f t="shared" si="100"/>
        <v>-8.3052676423322983E-3</v>
      </c>
    </row>
    <row r="1053" spans="1:31" ht="15.5" x14ac:dyDescent="0.35">
      <c r="A1053" s="82">
        <v>41296</v>
      </c>
      <c r="B1053" s="83">
        <v>8832.7999999999993</v>
      </c>
      <c r="C1053" s="84">
        <v>3143.2</v>
      </c>
      <c r="D1053" s="61">
        <v>348.1</v>
      </c>
      <c r="E1053" s="61">
        <v>19.7</v>
      </c>
      <c r="F1053" s="61">
        <v>71</v>
      </c>
      <c r="G1053" s="61">
        <v>27</v>
      </c>
      <c r="H1053" s="61">
        <v>20</v>
      </c>
      <c r="I1053" s="61">
        <v>13.5</v>
      </c>
      <c r="J1053" s="61">
        <v>41.5</v>
      </c>
      <c r="K1053" s="61">
        <v>18.399999999999999</v>
      </c>
      <c r="L1053" s="61">
        <v>42.6</v>
      </c>
      <c r="M1053" s="61">
        <v>36.299999999999997</v>
      </c>
      <c r="N1053" s="61">
        <v>67.2</v>
      </c>
      <c r="O1053" s="85">
        <v>26.5</v>
      </c>
      <c r="P1053" s="105"/>
      <c r="Q1053" s="87">
        <f t="shared" si="99"/>
        <v>4.5616065119231499E-3</v>
      </c>
      <c r="R1053" s="87">
        <f t="shared" si="101"/>
        <v>2.7079135360752E-3</v>
      </c>
      <c r="S1053" s="87">
        <f t="shared" si="101"/>
        <v>-8.296428648472489E-3</v>
      </c>
      <c r="T1053" s="87">
        <f t="shared" si="101"/>
        <v>-1.5113637810048184E-2</v>
      </c>
      <c r="U1053" s="87">
        <f t="shared" si="101"/>
        <v>1.4094435032336039E-3</v>
      </c>
      <c r="V1053" s="87">
        <f t="shared" si="101"/>
        <v>0</v>
      </c>
      <c r="W1053" s="87">
        <f t="shared" si="101"/>
        <v>-4.9875415110391622E-3</v>
      </c>
      <c r="X1053" s="87">
        <f t="shared" si="101"/>
        <v>-7.3801072976225337E-3</v>
      </c>
      <c r="Y1053" s="87">
        <f t="shared" si="101"/>
        <v>0</v>
      </c>
      <c r="Z1053" s="87">
        <f t="shared" si="101"/>
        <v>4.4451762570833588E-2</v>
      </c>
      <c r="AA1053" s="87">
        <f t="shared" si="98"/>
        <v>-2.3446669592541345E-3</v>
      </c>
      <c r="AB1053" s="87">
        <f t="shared" si="98"/>
        <v>5.5248759319698072E-3</v>
      </c>
      <c r="AC1053" s="87">
        <f t="shared" si="98"/>
        <v>8.9686699827605364E-3</v>
      </c>
      <c r="AD1053" s="87">
        <f t="shared" si="98"/>
        <v>0</v>
      </c>
      <c r="AE1053" s="90">
        <f t="shared" si="100"/>
        <v>-1.2141905636599854E-3</v>
      </c>
    </row>
    <row r="1054" spans="1:31" ht="15.5" x14ac:dyDescent="0.35">
      <c r="A1054" s="82">
        <v>41297</v>
      </c>
      <c r="B1054" s="83">
        <v>8828.7000000000007</v>
      </c>
      <c r="C1054" s="84">
        <v>3153.7</v>
      </c>
      <c r="D1054" s="61">
        <v>368.3</v>
      </c>
      <c r="E1054" s="61">
        <v>19.899999999999999</v>
      </c>
      <c r="F1054" s="61">
        <v>72.099999999999994</v>
      </c>
      <c r="G1054" s="61">
        <v>27.2</v>
      </c>
      <c r="H1054" s="61">
        <v>20</v>
      </c>
      <c r="I1054" s="61">
        <v>13.6</v>
      </c>
      <c r="J1054" s="61">
        <v>41.5</v>
      </c>
      <c r="K1054" s="61">
        <v>18.3</v>
      </c>
      <c r="L1054" s="61">
        <v>42.6</v>
      </c>
      <c r="M1054" s="61">
        <v>36.9</v>
      </c>
      <c r="N1054" s="61">
        <v>67.7</v>
      </c>
      <c r="O1054" s="85">
        <v>26.4</v>
      </c>
      <c r="P1054" s="105"/>
      <c r="Q1054" s="87">
        <f t="shared" si="99"/>
        <v>-4.6428673370310918E-4</v>
      </c>
      <c r="R1054" s="87">
        <f t="shared" si="101"/>
        <v>3.334977443444766E-3</v>
      </c>
      <c r="S1054" s="87">
        <f t="shared" si="101"/>
        <v>5.6408028633626345E-2</v>
      </c>
      <c r="T1054" s="87">
        <f t="shared" si="101"/>
        <v>1.0101095986503919E-2</v>
      </c>
      <c r="U1054" s="87">
        <f t="shared" si="101"/>
        <v>1.537416724958795E-2</v>
      </c>
      <c r="V1054" s="87">
        <f t="shared" si="101"/>
        <v>7.38010729762246E-3</v>
      </c>
      <c r="W1054" s="87">
        <f t="shared" si="101"/>
        <v>0</v>
      </c>
      <c r="X1054" s="87">
        <f t="shared" si="101"/>
        <v>7.38010729762246E-3</v>
      </c>
      <c r="Y1054" s="87">
        <f t="shared" si="101"/>
        <v>0</v>
      </c>
      <c r="Z1054" s="87">
        <f t="shared" si="101"/>
        <v>-5.4496047675645911E-3</v>
      </c>
      <c r="AA1054" s="87">
        <f t="shared" si="98"/>
        <v>0</v>
      </c>
      <c r="AB1054" s="87">
        <f t="shared" si="98"/>
        <v>1.6393809775676352E-2</v>
      </c>
      <c r="AC1054" s="87">
        <f t="shared" si="98"/>
        <v>7.4129323891255336E-3</v>
      </c>
      <c r="AD1054" s="87">
        <f t="shared" si="98"/>
        <v>-3.7807228399060443E-3</v>
      </c>
      <c r="AE1054" s="90">
        <f t="shared" si="100"/>
        <v>2.1450445615145003E-2</v>
      </c>
    </row>
    <row r="1055" spans="1:31" ht="15.5" x14ac:dyDescent="0.35">
      <c r="A1055" s="82">
        <v>41298</v>
      </c>
      <c r="B1055" s="83">
        <v>8856.6</v>
      </c>
      <c r="C1055" s="84">
        <v>3130.4</v>
      </c>
      <c r="D1055" s="61">
        <v>370.6</v>
      </c>
      <c r="E1055" s="61">
        <v>20.100000000000001</v>
      </c>
      <c r="F1055" s="61">
        <v>64.3</v>
      </c>
      <c r="G1055" s="61">
        <v>27.5</v>
      </c>
      <c r="H1055" s="61">
        <v>19.5</v>
      </c>
      <c r="I1055" s="61">
        <v>13.7</v>
      </c>
      <c r="J1055" s="61">
        <v>42.1</v>
      </c>
      <c r="K1055" s="61">
        <v>18.2</v>
      </c>
      <c r="L1055" s="61">
        <v>42.9</v>
      </c>
      <c r="M1055" s="61">
        <v>36.700000000000003</v>
      </c>
      <c r="N1055" s="61">
        <v>68.5</v>
      </c>
      <c r="O1055" s="85">
        <v>26.6</v>
      </c>
      <c r="P1055" s="105"/>
      <c r="Q1055" s="87">
        <f t="shared" si="99"/>
        <v>3.1551653797821295E-3</v>
      </c>
      <c r="R1055" s="87">
        <f t="shared" si="101"/>
        <v>-7.4155747914918958E-3</v>
      </c>
      <c r="S1055" s="87">
        <f t="shared" si="101"/>
        <v>6.2254904002397487E-3</v>
      </c>
      <c r="T1055" s="87">
        <f t="shared" si="101"/>
        <v>1.0000083334583399E-2</v>
      </c>
      <c r="U1055" s="87">
        <f t="shared" si="101"/>
        <v>-0.11449441304732963</v>
      </c>
      <c r="V1055" s="87">
        <f t="shared" si="101"/>
        <v>1.0969031370573937E-2</v>
      </c>
      <c r="W1055" s="87">
        <f t="shared" si="101"/>
        <v>-2.5317807984289897E-2</v>
      </c>
      <c r="X1055" s="87">
        <f t="shared" si="101"/>
        <v>7.3260400920728812E-3</v>
      </c>
      <c r="Y1055" s="87">
        <f t="shared" si="101"/>
        <v>1.4354313451683122E-2</v>
      </c>
      <c r="Z1055" s="87">
        <f t="shared" si="101"/>
        <v>-5.4794657646257076E-3</v>
      </c>
      <c r="AA1055" s="87">
        <f t="shared" si="98"/>
        <v>7.0175726586465398E-3</v>
      </c>
      <c r="AB1055" s="87">
        <f t="shared" si="98"/>
        <v>-5.4347959859568327E-3</v>
      </c>
      <c r="AC1055" s="87">
        <f t="shared" si="98"/>
        <v>1.1747565349950235E-2</v>
      </c>
      <c r="AD1055" s="87">
        <f t="shared" si="98"/>
        <v>7.5472056353831241E-3</v>
      </c>
      <c r="AE1055" s="90">
        <f t="shared" si="100"/>
        <v>-3.2221265534602452E-2</v>
      </c>
    </row>
    <row r="1056" spans="1:31" ht="15.5" x14ac:dyDescent="0.35">
      <c r="A1056" s="82">
        <v>41299</v>
      </c>
      <c r="B1056" s="83">
        <v>8904.5</v>
      </c>
      <c r="C1056" s="84">
        <v>3149.7</v>
      </c>
      <c r="D1056" s="61">
        <v>375.5</v>
      </c>
      <c r="E1056" s="61">
        <v>20.2</v>
      </c>
      <c r="F1056" s="61">
        <v>62.1</v>
      </c>
      <c r="G1056" s="61">
        <v>27.4</v>
      </c>
      <c r="H1056" s="61">
        <v>20.100000000000001</v>
      </c>
      <c r="I1056" s="61">
        <v>13.7</v>
      </c>
      <c r="J1056" s="61">
        <v>42.6</v>
      </c>
      <c r="K1056" s="61">
        <v>19</v>
      </c>
      <c r="L1056" s="61">
        <v>42.7</v>
      </c>
      <c r="M1056" s="61">
        <v>37</v>
      </c>
      <c r="N1056" s="61">
        <v>69</v>
      </c>
      <c r="O1056" s="85">
        <v>27</v>
      </c>
      <c r="P1056" s="105"/>
      <c r="Q1056" s="87">
        <f t="shared" si="99"/>
        <v>5.3938231450541777E-3</v>
      </c>
      <c r="R1056" s="87">
        <f t="shared" si="101"/>
        <v>6.1464182928025824E-3</v>
      </c>
      <c r="S1056" s="87">
        <f t="shared" si="101"/>
        <v>1.3135157352930008E-2</v>
      </c>
      <c r="T1056" s="87">
        <f t="shared" si="101"/>
        <v>4.962789342128876E-3</v>
      </c>
      <c r="U1056" s="87">
        <f t="shared" si="101"/>
        <v>-3.4813642304140559E-2</v>
      </c>
      <c r="V1056" s="87">
        <f t="shared" si="101"/>
        <v>-3.6429912785010919E-3</v>
      </c>
      <c r="W1056" s="87">
        <f t="shared" si="101"/>
        <v>3.0305349495329058E-2</v>
      </c>
      <c r="X1056" s="87">
        <f t="shared" si="101"/>
        <v>0</v>
      </c>
      <c r="Y1056" s="87">
        <f t="shared" si="101"/>
        <v>1.1806512586989044E-2</v>
      </c>
      <c r="Z1056" s="87">
        <f t="shared" si="101"/>
        <v>4.3017385083690858E-2</v>
      </c>
      <c r="AA1056" s="87">
        <f t="shared" si="98"/>
        <v>-4.6729056993923702E-3</v>
      </c>
      <c r="AB1056" s="87">
        <f t="shared" si="98"/>
        <v>8.1411575836998658E-3</v>
      </c>
      <c r="AC1056" s="87">
        <f t="shared" si="98"/>
        <v>7.2727593290798781E-3</v>
      </c>
      <c r="AD1056" s="87">
        <f t="shared" si="98"/>
        <v>1.4925650216675574E-2</v>
      </c>
      <c r="AE1056" s="90">
        <f t="shared" si="100"/>
        <v>-2.4525036025198573E-3</v>
      </c>
    </row>
    <row r="1057" spans="1:31" ht="15.5" x14ac:dyDescent="0.35">
      <c r="A1057" s="82">
        <v>41302</v>
      </c>
      <c r="B1057" s="83">
        <v>8880</v>
      </c>
      <c r="C1057" s="84">
        <v>3154.3</v>
      </c>
      <c r="D1057" s="61">
        <v>374.3</v>
      </c>
      <c r="E1057" s="61">
        <v>20.2</v>
      </c>
      <c r="F1057" s="61">
        <v>62.3</v>
      </c>
      <c r="G1057" s="61">
        <v>27.8</v>
      </c>
      <c r="H1057" s="61">
        <v>20.399999999999999</v>
      </c>
      <c r="I1057" s="61">
        <v>13.8</v>
      </c>
      <c r="J1057" s="61">
        <v>43.1</v>
      </c>
      <c r="K1057" s="61">
        <v>18.899999999999999</v>
      </c>
      <c r="L1057" s="61">
        <v>42.9</v>
      </c>
      <c r="M1057" s="61">
        <v>37.5</v>
      </c>
      <c r="N1057" s="61">
        <v>69.400000000000006</v>
      </c>
      <c r="O1057" s="85">
        <v>27.2</v>
      </c>
      <c r="P1057" s="105"/>
      <c r="Q1057" s="87">
        <f t="shared" si="99"/>
        <v>-2.7552099298446581E-3</v>
      </c>
      <c r="R1057" s="87">
        <f t="shared" si="101"/>
        <v>1.4593911219646417E-3</v>
      </c>
      <c r="S1057" s="87">
        <f t="shared" si="101"/>
        <v>-3.2008562938061068E-3</v>
      </c>
      <c r="T1057" s="87">
        <f t="shared" si="101"/>
        <v>0</v>
      </c>
      <c r="U1057" s="87">
        <f t="shared" si="101"/>
        <v>3.2154368539743928E-3</v>
      </c>
      <c r="V1057" s="87">
        <f t="shared" si="101"/>
        <v>1.4493007302566824E-2</v>
      </c>
      <c r="W1057" s="87">
        <f t="shared" si="101"/>
        <v>1.4815085785140463E-2</v>
      </c>
      <c r="X1057" s="87">
        <f t="shared" si="101"/>
        <v>7.2727593290798781E-3</v>
      </c>
      <c r="Y1057" s="87">
        <f t="shared" si="101"/>
        <v>1.1668743834377424E-2</v>
      </c>
      <c r="Z1057" s="87">
        <f t="shared" si="101"/>
        <v>-5.2770571008438931E-3</v>
      </c>
      <c r="AA1057" s="87">
        <f t="shared" si="98"/>
        <v>4.6729056993924231E-3</v>
      </c>
      <c r="AB1057" s="87">
        <f t="shared" si="98"/>
        <v>1.3423020332140771E-2</v>
      </c>
      <c r="AC1057" s="87">
        <f t="shared" si="98"/>
        <v>5.7803629154995493E-3</v>
      </c>
      <c r="AD1057" s="87">
        <f t="shared" si="98"/>
        <v>7.38010729762246E-3</v>
      </c>
      <c r="AE1057" s="90">
        <f t="shared" si="100"/>
        <v>1.3168114283037108E-3</v>
      </c>
    </row>
    <row r="1058" spans="1:31" ht="15.5" x14ac:dyDescent="0.35">
      <c r="A1058" s="82">
        <v>41303</v>
      </c>
      <c r="B1058" s="83">
        <v>8935.6</v>
      </c>
      <c r="C1058" s="84">
        <v>3153.7</v>
      </c>
      <c r="D1058" s="61">
        <v>373.6</v>
      </c>
      <c r="E1058" s="61">
        <v>19.7</v>
      </c>
      <c r="F1058" s="61">
        <v>64.599999999999994</v>
      </c>
      <c r="G1058" s="61">
        <v>27.6</v>
      </c>
      <c r="H1058" s="61">
        <v>20</v>
      </c>
      <c r="I1058" s="61">
        <v>13.7</v>
      </c>
      <c r="J1058" s="61">
        <v>42.7</v>
      </c>
      <c r="K1058" s="61">
        <v>19.3</v>
      </c>
      <c r="L1058" s="61">
        <v>43</v>
      </c>
      <c r="M1058" s="61">
        <v>37.4</v>
      </c>
      <c r="N1058" s="61">
        <v>72.099999999999994</v>
      </c>
      <c r="O1058" s="85">
        <v>26.9</v>
      </c>
      <c r="P1058" s="105"/>
      <c r="Q1058" s="87">
        <f t="shared" si="99"/>
        <v>6.2417410035530132E-3</v>
      </c>
      <c r="R1058" s="87">
        <f t="shared" si="101"/>
        <v>-1.9023462327513884E-4</v>
      </c>
      <c r="S1058" s="87">
        <f t="shared" si="101"/>
        <v>-1.8719085556957384E-3</v>
      </c>
      <c r="T1058" s="87">
        <f t="shared" si="101"/>
        <v>-2.5063968663216276E-2</v>
      </c>
      <c r="U1058" s="87">
        <f t="shared" si="101"/>
        <v>3.6252984995148764E-2</v>
      </c>
      <c r="V1058" s="87">
        <f t="shared" si="101"/>
        <v>-7.2202479734870201E-3</v>
      </c>
      <c r="W1058" s="87">
        <f t="shared" si="101"/>
        <v>-1.9802627296179643E-2</v>
      </c>
      <c r="X1058" s="87">
        <f t="shared" si="101"/>
        <v>-7.2727593290799206E-3</v>
      </c>
      <c r="Y1058" s="87">
        <f t="shared" si="101"/>
        <v>-9.3240768751231776E-3</v>
      </c>
      <c r="Z1058" s="87">
        <f t="shared" si="101"/>
        <v>2.0943173845243388E-2</v>
      </c>
      <c r="AA1058" s="87">
        <f t="shared" si="98"/>
        <v>2.3282897595911681E-3</v>
      </c>
      <c r="AB1058" s="87">
        <f t="shared" si="98"/>
        <v>-2.6702285558789208E-3</v>
      </c>
      <c r="AC1058" s="87">
        <f t="shared" si="98"/>
        <v>3.8167176778144483E-2</v>
      </c>
      <c r="AD1058" s="87">
        <f t="shared" si="98"/>
        <v>-1.1090686694158284E-2</v>
      </c>
      <c r="AE1058" s="90">
        <f t="shared" si="100"/>
        <v>8.4130353813879795E-3</v>
      </c>
    </row>
    <row r="1059" spans="1:31" ht="15.5" x14ac:dyDescent="0.35">
      <c r="A1059" s="82">
        <v>41304</v>
      </c>
      <c r="B1059" s="83">
        <v>8904.2999999999993</v>
      </c>
      <c r="C1059" s="84">
        <v>3142.3</v>
      </c>
      <c r="D1059" s="61">
        <v>376.8</v>
      </c>
      <c r="E1059" s="61">
        <v>19.7</v>
      </c>
      <c r="F1059" s="61">
        <v>64.900000000000006</v>
      </c>
      <c r="G1059" s="61">
        <v>27.8</v>
      </c>
      <c r="H1059" s="61">
        <v>19.600000000000001</v>
      </c>
      <c r="I1059" s="61">
        <v>13.8</v>
      </c>
      <c r="J1059" s="61">
        <v>42.8</v>
      </c>
      <c r="K1059" s="61">
        <v>20.3</v>
      </c>
      <c r="L1059" s="61">
        <v>43.5</v>
      </c>
      <c r="M1059" s="61">
        <v>37.200000000000003</v>
      </c>
      <c r="N1059" s="61">
        <v>74.099999999999994</v>
      </c>
      <c r="O1059" s="85">
        <v>26.8</v>
      </c>
      <c r="P1059" s="105"/>
      <c r="Q1059" s="87">
        <f t="shared" si="99"/>
        <v>-3.5089918796030427E-3</v>
      </c>
      <c r="R1059" s="87">
        <f t="shared" si="101"/>
        <v>-3.6213508444948098E-3</v>
      </c>
      <c r="S1059" s="87">
        <f t="shared" si="101"/>
        <v>8.5288363475205017E-3</v>
      </c>
      <c r="T1059" s="87">
        <f t="shared" si="101"/>
        <v>0</v>
      </c>
      <c r="U1059" s="87">
        <f t="shared" si="101"/>
        <v>4.6332129214884197E-3</v>
      </c>
      <c r="V1059" s="87">
        <f t="shared" si="101"/>
        <v>7.2202479734870973E-3</v>
      </c>
      <c r="W1059" s="87">
        <f t="shared" si="101"/>
        <v>-2.0202707317519355E-2</v>
      </c>
      <c r="X1059" s="87">
        <f t="shared" si="101"/>
        <v>7.2727593290798781E-3</v>
      </c>
      <c r="Y1059" s="87">
        <f t="shared" si="101"/>
        <v>2.3391823531720194E-3</v>
      </c>
      <c r="Z1059" s="87">
        <f t="shared" si="101"/>
        <v>5.0515790136901745E-2</v>
      </c>
      <c r="AA1059" s="87">
        <f t="shared" si="98"/>
        <v>1.1560822401076006E-2</v>
      </c>
      <c r="AB1059" s="87">
        <f t="shared" si="98"/>
        <v>-5.3619431413852872E-3</v>
      </c>
      <c r="AC1059" s="87">
        <f t="shared" si="98"/>
        <v>2.7361488011137799E-2</v>
      </c>
      <c r="AD1059" s="87">
        <f t="shared" si="98"/>
        <v>-3.7243990909823282E-3</v>
      </c>
      <c r="AE1059" s="90">
        <f t="shared" si="100"/>
        <v>2.2835662726744966E-3</v>
      </c>
    </row>
    <row r="1060" spans="1:31" ht="15.5" x14ac:dyDescent="0.35">
      <c r="A1060" s="82">
        <v>41305</v>
      </c>
      <c r="B1060" s="83">
        <v>8894.7000000000007</v>
      </c>
      <c r="C1060" s="84">
        <v>3142.1</v>
      </c>
      <c r="D1060" s="61">
        <v>375.5</v>
      </c>
      <c r="E1060" s="61">
        <v>19.600000000000001</v>
      </c>
      <c r="F1060" s="61">
        <v>65</v>
      </c>
      <c r="G1060" s="61">
        <v>27.4</v>
      </c>
      <c r="H1060" s="61">
        <v>19.600000000000001</v>
      </c>
      <c r="I1060" s="61">
        <v>13.6</v>
      </c>
      <c r="J1060" s="61">
        <v>41.9</v>
      </c>
      <c r="K1060" s="61">
        <v>19.8</v>
      </c>
      <c r="L1060" s="61">
        <v>43.3</v>
      </c>
      <c r="M1060" s="61">
        <v>37</v>
      </c>
      <c r="N1060" s="61">
        <v>73.8</v>
      </c>
      <c r="O1060" s="85">
        <v>26.7</v>
      </c>
      <c r="P1060" s="105"/>
      <c r="Q1060" s="87">
        <f t="shared" si="99"/>
        <v>-1.078712391807935E-3</v>
      </c>
      <c r="R1060" s="87">
        <f t="shared" si="101"/>
        <v>-6.3649672225772768E-5</v>
      </c>
      <c r="S1060" s="87">
        <f t="shared" si="101"/>
        <v>-3.4560714980186409E-3</v>
      </c>
      <c r="T1060" s="87">
        <f t="shared" si="101"/>
        <v>-5.0890695074711813E-3</v>
      </c>
      <c r="U1060" s="87">
        <f t="shared" si="101"/>
        <v>1.5396461855926144E-3</v>
      </c>
      <c r="V1060" s="87">
        <f t="shared" si="101"/>
        <v>-1.4493007302566864E-2</v>
      </c>
      <c r="W1060" s="87">
        <f t="shared" si="101"/>
        <v>0</v>
      </c>
      <c r="X1060" s="87">
        <f t="shared" si="101"/>
        <v>-1.4598799421152749E-2</v>
      </c>
      <c r="Y1060" s="87">
        <f t="shared" si="101"/>
        <v>-2.1252275659658978E-2</v>
      </c>
      <c r="Z1060" s="87">
        <f t="shared" si="101"/>
        <v>-2.4938948347252066E-2</v>
      </c>
      <c r="AA1060" s="87">
        <f t="shared" si="98"/>
        <v>-4.6083030861943297E-3</v>
      </c>
      <c r="AB1060" s="87">
        <f t="shared" si="98"/>
        <v>-5.3908486348765343E-3</v>
      </c>
      <c r="AC1060" s="87">
        <f t="shared" si="98"/>
        <v>-4.056800695614318E-3</v>
      </c>
      <c r="AD1060" s="87">
        <f t="shared" si="98"/>
        <v>-3.7383221106072153E-3</v>
      </c>
      <c r="AE1060" s="90">
        <f t="shared" si="100"/>
        <v>-1.0450350683471183E-3</v>
      </c>
    </row>
    <row r="1061" spans="1:31" ht="15.5" x14ac:dyDescent="0.35">
      <c r="A1061" s="82">
        <v>41306</v>
      </c>
      <c r="B1061" s="83">
        <v>8965.1</v>
      </c>
      <c r="C1061" s="84">
        <v>3179.1</v>
      </c>
      <c r="D1061" s="61">
        <v>379.4</v>
      </c>
      <c r="E1061" s="61">
        <v>19.600000000000001</v>
      </c>
      <c r="F1061" s="61">
        <v>64.099999999999994</v>
      </c>
      <c r="G1061" s="61">
        <v>27.6</v>
      </c>
      <c r="H1061" s="61">
        <v>19.899999999999999</v>
      </c>
      <c r="I1061" s="61">
        <v>13.7</v>
      </c>
      <c r="J1061" s="61">
        <v>42.2</v>
      </c>
      <c r="K1061" s="61">
        <v>19.7</v>
      </c>
      <c r="L1061" s="61">
        <v>41.5</v>
      </c>
      <c r="M1061" s="61">
        <v>37.6</v>
      </c>
      <c r="N1061" s="61">
        <v>75.8</v>
      </c>
      <c r="O1061" s="85">
        <v>26.8</v>
      </c>
      <c r="P1061" s="105"/>
      <c r="Q1061" s="87">
        <f t="shared" si="99"/>
        <v>7.8836677483469318E-3</v>
      </c>
      <c r="R1061" s="87">
        <f t="shared" si="101"/>
        <v>1.1706771677925939E-2</v>
      </c>
      <c r="S1061" s="87">
        <f t="shared" si="101"/>
        <v>1.033258629672436E-2</v>
      </c>
      <c r="T1061" s="87">
        <f t="shared" si="101"/>
        <v>0</v>
      </c>
      <c r="U1061" s="87">
        <f t="shared" si="101"/>
        <v>-1.3942905969012863E-2</v>
      </c>
      <c r="V1061" s="87">
        <f t="shared" si="101"/>
        <v>7.2727593290798781E-3</v>
      </c>
      <c r="W1061" s="87">
        <f t="shared" si="101"/>
        <v>1.5190165493975019E-2</v>
      </c>
      <c r="X1061" s="87">
        <f t="shared" si="101"/>
        <v>7.3260400920728812E-3</v>
      </c>
      <c r="Y1061" s="87">
        <f t="shared" si="101"/>
        <v>7.1343941138741112E-3</v>
      </c>
      <c r="Z1061" s="87">
        <f t="shared" si="101"/>
        <v>-5.063301956546762E-3</v>
      </c>
      <c r="AA1061" s="87">
        <f t="shared" si="98"/>
        <v>-4.2459207771791518E-2</v>
      </c>
      <c r="AB1061" s="87">
        <f t="shared" si="98"/>
        <v>1.6086137751624444E-2</v>
      </c>
      <c r="AC1061" s="87">
        <f t="shared" si="98"/>
        <v>2.6739561041899087E-2</v>
      </c>
      <c r="AD1061" s="87">
        <f t="shared" si="98"/>
        <v>3.7383221106071581E-3</v>
      </c>
      <c r="AE1061" s="90">
        <f t="shared" si="100"/>
        <v>3.0016669198549891E-3</v>
      </c>
    </row>
    <row r="1062" spans="1:31" ht="15.5" x14ac:dyDescent="0.35">
      <c r="A1062" s="82">
        <v>41309</v>
      </c>
      <c r="B1062" s="83">
        <v>8852.7999999999993</v>
      </c>
      <c r="C1062" s="84">
        <v>3131.2</v>
      </c>
      <c r="D1062" s="61">
        <v>379.5</v>
      </c>
      <c r="E1062" s="61">
        <v>19.3</v>
      </c>
      <c r="F1062" s="61">
        <v>63.1</v>
      </c>
      <c r="G1062" s="61">
        <v>27.4</v>
      </c>
      <c r="H1062" s="61">
        <v>19.899999999999999</v>
      </c>
      <c r="I1062" s="61">
        <v>13.4</v>
      </c>
      <c r="J1062" s="61">
        <v>42.1</v>
      </c>
      <c r="K1062" s="61">
        <v>19.100000000000001</v>
      </c>
      <c r="L1062" s="61">
        <v>40.799999999999997</v>
      </c>
      <c r="M1062" s="61">
        <v>37.200000000000003</v>
      </c>
      <c r="N1062" s="61">
        <v>76.099999999999994</v>
      </c>
      <c r="O1062" s="85">
        <v>26.8</v>
      </c>
      <c r="P1062" s="105"/>
      <c r="Q1062" s="87">
        <f t="shared" si="99"/>
        <v>-1.2605468322859302E-2</v>
      </c>
      <c r="R1062" s="87">
        <f t="shared" si="101"/>
        <v>-1.5181820207088225E-2</v>
      </c>
      <c r="S1062" s="87">
        <f t="shared" si="101"/>
        <v>2.6353933477092536E-4</v>
      </c>
      <c r="T1062" s="87">
        <f t="shared" si="101"/>
        <v>-1.5424470325631752E-2</v>
      </c>
      <c r="U1062" s="87">
        <f t="shared" si="101"/>
        <v>-1.5723594379456755E-2</v>
      </c>
      <c r="V1062" s="87">
        <f t="shared" si="101"/>
        <v>-7.2727593290799206E-3</v>
      </c>
      <c r="W1062" s="87">
        <f t="shared" si="101"/>
        <v>0</v>
      </c>
      <c r="X1062" s="87">
        <f t="shared" si="101"/>
        <v>-2.2141125877213518E-2</v>
      </c>
      <c r="Y1062" s="87">
        <f t="shared" si="101"/>
        <v>-2.372480353630468E-3</v>
      </c>
      <c r="Z1062" s="87">
        <f t="shared" si="101"/>
        <v>-3.0930300691358499E-2</v>
      </c>
      <c r="AA1062" s="87">
        <f t="shared" si="98"/>
        <v>-1.7011345826536677E-2</v>
      </c>
      <c r="AB1062" s="87">
        <f t="shared" si="98"/>
        <v>-1.0695289116747919E-2</v>
      </c>
      <c r="AC1062" s="87">
        <f t="shared" si="98"/>
        <v>3.949972219314069E-3</v>
      </c>
      <c r="AD1062" s="87">
        <f t="shared" si="98"/>
        <v>0</v>
      </c>
      <c r="AE1062" s="90">
        <f t="shared" si="100"/>
        <v>-8.9695605987966387E-3</v>
      </c>
    </row>
    <row r="1063" spans="1:31" ht="15.5" x14ac:dyDescent="0.35">
      <c r="A1063" s="82">
        <v>41310</v>
      </c>
      <c r="B1063" s="83">
        <v>8920.1</v>
      </c>
      <c r="C1063" s="84">
        <v>3171.6</v>
      </c>
      <c r="D1063" s="61">
        <v>380.1</v>
      </c>
      <c r="E1063" s="61">
        <v>19.399999999999999</v>
      </c>
      <c r="F1063" s="61">
        <v>63.2</v>
      </c>
      <c r="G1063" s="61">
        <v>27.4</v>
      </c>
      <c r="H1063" s="61">
        <v>19.7</v>
      </c>
      <c r="I1063" s="61">
        <v>13.5</v>
      </c>
      <c r="J1063" s="61">
        <v>41.9</v>
      </c>
      <c r="K1063" s="61">
        <v>18.7</v>
      </c>
      <c r="L1063" s="61">
        <v>40.9</v>
      </c>
      <c r="M1063" s="61">
        <v>37.5</v>
      </c>
      <c r="N1063" s="61">
        <v>76.2</v>
      </c>
      <c r="O1063" s="85">
        <v>26.9</v>
      </c>
      <c r="P1063" s="105"/>
      <c r="Q1063" s="87">
        <f t="shared" si="99"/>
        <v>7.5733641297015828E-3</v>
      </c>
      <c r="R1063" s="87">
        <f t="shared" si="101"/>
        <v>1.2819874756432179E-2</v>
      </c>
      <c r="S1063" s="87">
        <f t="shared" si="101"/>
        <v>1.5797791595184333E-3</v>
      </c>
      <c r="T1063" s="87">
        <f t="shared" si="101"/>
        <v>5.1679701584423773E-3</v>
      </c>
      <c r="U1063" s="87">
        <f t="shared" si="101"/>
        <v>1.5835316056442201E-3</v>
      </c>
      <c r="V1063" s="87">
        <f t="shared" si="101"/>
        <v>0</v>
      </c>
      <c r="W1063" s="87">
        <f t="shared" si="101"/>
        <v>-1.0101095986503821E-2</v>
      </c>
      <c r="X1063" s="87">
        <f t="shared" si="101"/>
        <v>7.4349784875179905E-3</v>
      </c>
      <c r="Y1063" s="87">
        <f t="shared" si="101"/>
        <v>-4.7619137602437026E-3</v>
      </c>
      <c r="Z1063" s="87">
        <f t="shared" si="101"/>
        <v>-2.1164811192043383E-2</v>
      </c>
      <c r="AA1063" s="87">
        <f t="shared" si="98"/>
        <v>2.4479816386400372E-3</v>
      </c>
      <c r="AB1063" s="87">
        <f t="shared" si="98"/>
        <v>8.0321716972642527E-3</v>
      </c>
      <c r="AC1063" s="87">
        <f t="shared" si="98"/>
        <v>1.3131978249606147E-3</v>
      </c>
      <c r="AD1063" s="87">
        <f t="shared" si="98"/>
        <v>3.7243990909822727E-3</v>
      </c>
      <c r="AE1063" s="90">
        <f t="shared" si="100"/>
        <v>5.2107287406615915E-3</v>
      </c>
    </row>
    <row r="1064" spans="1:31" ht="15.5" x14ac:dyDescent="0.35">
      <c r="A1064" s="82">
        <v>41311</v>
      </c>
      <c r="B1064" s="83">
        <v>8934.2000000000007</v>
      </c>
      <c r="C1064" s="84">
        <v>3168.5</v>
      </c>
      <c r="D1064" s="61">
        <v>379.6</v>
      </c>
      <c r="E1064" s="61">
        <v>19.600000000000001</v>
      </c>
      <c r="F1064" s="61">
        <v>64.7</v>
      </c>
      <c r="G1064" s="61">
        <v>27.3</v>
      </c>
      <c r="H1064" s="61">
        <v>19.7</v>
      </c>
      <c r="I1064" s="61">
        <v>13.5</v>
      </c>
      <c r="J1064" s="61">
        <v>41.9</v>
      </c>
      <c r="K1064" s="61">
        <v>18.899999999999999</v>
      </c>
      <c r="L1064" s="61">
        <v>41</v>
      </c>
      <c r="M1064" s="61">
        <v>36.9</v>
      </c>
      <c r="N1064" s="61">
        <v>75.7</v>
      </c>
      <c r="O1064" s="85">
        <v>26.8</v>
      </c>
      <c r="P1064" s="105"/>
      <c r="Q1064" s="87">
        <f t="shared" si="99"/>
        <v>1.579451777021317E-3</v>
      </c>
      <c r="R1064" s="87">
        <f t="shared" si="101"/>
        <v>-9.7790263467218991E-4</v>
      </c>
      <c r="S1064" s="87">
        <f t="shared" si="101"/>
        <v>-1.3163092594302719E-3</v>
      </c>
      <c r="T1064" s="87">
        <f t="shared" si="101"/>
        <v>1.0256500167189282E-2</v>
      </c>
      <c r="U1064" s="87">
        <f t="shared" si="101"/>
        <v>2.3456900354043048E-2</v>
      </c>
      <c r="V1064" s="87">
        <f t="shared" si="101"/>
        <v>-3.6563112031104319E-3</v>
      </c>
      <c r="W1064" s="87">
        <f t="shared" si="101"/>
        <v>0</v>
      </c>
      <c r="X1064" s="87">
        <f t="shared" si="101"/>
        <v>0</v>
      </c>
      <c r="Y1064" s="87">
        <f t="shared" si="101"/>
        <v>0</v>
      </c>
      <c r="Z1064" s="87">
        <f t="shared" si="101"/>
        <v>1.0638398205055797E-2</v>
      </c>
      <c r="AA1064" s="87">
        <f t="shared" si="98"/>
        <v>2.4420036555518089E-3</v>
      </c>
      <c r="AB1064" s="87">
        <f t="shared" si="98"/>
        <v>-1.6129381929883644E-2</v>
      </c>
      <c r="AC1064" s="87">
        <f t="shared" si="98"/>
        <v>-6.5833022491974483E-3</v>
      </c>
      <c r="AD1064" s="87">
        <f t="shared" si="98"/>
        <v>-3.7243990909823282E-3</v>
      </c>
      <c r="AE1064" s="90">
        <f t="shared" si="100"/>
        <v>5.5760534111653631E-3</v>
      </c>
    </row>
    <row r="1065" spans="1:31" ht="15.5" x14ac:dyDescent="0.35">
      <c r="A1065" s="82">
        <v>41312</v>
      </c>
      <c r="B1065" s="83">
        <v>8893.7000000000007</v>
      </c>
      <c r="C1065" s="84">
        <v>3165.1</v>
      </c>
      <c r="D1065" s="61">
        <v>383.1</v>
      </c>
      <c r="E1065" s="61">
        <v>19.899999999999999</v>
      </c>
      <c r="F1065" s="61">
        <v>64.900000000000006</v>
      </c>
      <c r="G1065" s="61">
        <v>27.1</v>
      </c>
      <c r="H1065" s="61">
        <v>20.5</v>
      </c>
      <c r="I1065" s="61">
        <v>13.4</v>
      </c>
      <c r="J1065" s="61">
        <v>41.9</v>
      </c>
      <c r="K1065" s="61">
        <v>18.899999999999999</v>
      </c>
      <c r="L1065" s="61">
        <v>40.9</v>
      </c>
      <c r="M1065" s="61">
        <v>36.6</v>
      </c>
      <c r="N1065" s="61">
        <v>75.2</v>
      </c>
      <c r="O1065" s="85">
        <v>27</v>
      </c>
      <c r="P1065" s="105"/>
      <c r="Q1065" s="87">
        <f t="shared" si="99"/>
        <v>-4.5434481537179848E-3</v>
      </c>
      <c r="R1065" s="87">
        <f t="shared" si="101"/>
        <v>-1.0736391078056001E-3</v>
      </c>
      <c r="S1065" s="87">
        <f t="shared" si="101"/>
        <v>9.1779849708304422E-3</v>
      </c>
      <c r="T1065" s="87">
        <f t="shared" si="101"/>
        <v>1.5190165493975019E-2</v>
      </c>
      <c r="U1065" s="87">
        <f t="shared" si="101"/>
        <v>3.0864222031893648E-3</v>
      </c>
      <c r="V1065" s="87">
        <f t="shared" si="101"/>
        <v>-7.352974305258806E-3</v>
      </c>
      <c r="W1065" s="87">
        <f t="shared" si="101"/>
        <v>3.9806250400419789E-2</v>
      </c>
      <c r="X1065" s="87">
        <f t="shared" si="101"/>
        <v>-7.4349784875180902E-3</v>
      </c>
      <c r="Y1065" s="87">
        <f t="shared" si="101"/>
        <v>0</v>
      </c>
      <c r="Z1065" s="87">
        <f t="shared" si="101"/>
        <v>0</v>
      </c>
      <c r="AA1065" s="87">
        <f t="shared" si="98"/>
        <v>-2.4420036555517443E-3</v>
      </c>
      <c r="AB1065" s="87">
        <f t="shared" si="98"/>
        <v>-8.1633106391608701E-3</v>
      </c>
      <c r="AC1065" s="87">
        <f t="shared" si="98"/>
        <v>-6.6269294876089612E-3</v>
      </c>
      <c r="AD1065" s="87">
        <f t="shared" si="98"/>
        <v>7.4349784875179905E-3</v>
      </c>
      <c r="AE1065" s="90">
        <f t="shared" si="100"/>
        <v>4.1514017268185514E-3</v>
      </c>
    </row>
    <row r="1066" spans="1:31" ht="15.5" x14ac:dyDescent="0.35">
      <c r="A1066" s="82">
        <v>41313</v>
      </c>
      <c r="B1066" s="83">
        <v>8935.2000000000007</v>
      </c>
      <c r="C1066" s="84">
        <v>3193.9</v>
      </c>
      <c r="D1066" s="61">
        <v>390.2</v>
      </c>
      <c r="E1066" s="61">
        <v>20.3</v>
      </c>
      <c r="F1066" s="61">
        <v>66.900000000000006</v>
      </c>
      <c r="G1066" s="61">
        <v>27.3</v>
      </c>
      <c r="H1066" s="61">
        <v>20</v>
      </c>
      <c r="I1066" s="61">
        <v>13.3</v>
      </c>
      <c r="J1066" s="61">
        <v>41.9</v>
      </c>
      <c r="K1066" s="61">
        <v>19.100000000000001</v>
      </c>
      <c r="L1066" s="61">
        <v>41</v>
      </c>
      <c r="M1066" s="61">
        <v>36.700000000000003</v>
      </c>
      <c r="N1066" s="61">
        <v>75.900000000000006</v>
      </c>
      <c r="O1066" s="85">
        <v>27.2</v>
      </c>
      <c r="P1066" s="105"/>
      <c r="Q1066" s="87">
        <f t="shared" si="99"/>
        <v>4.6553713297669292E-3</v>
      </c>
      <c r="R1066" s="87">
        <f t="shared" si="101"/>
        <v>9.0580899252444072E-3</v>
      </c>
      <c r="S1066" s="87">
        <f t="shared" si="101"/>
        <v>1.8363376482407396E-2</v>
      </c>
      <c r="T1066" s="87">
        <f t="shared" si="101"/>
        <v>1.9901154317295021E-2</v>
      </c>
      <c r="U1066" s="87">
        <f t="shared" si="101"/>
        <v>3.0351343424138512E-2</v>
      </c>
      <c r="V1066" s="87">
        <f t="shared" si="101"/>
        <v>7.3529743052587332E-3</v>
      </c>
      <c r="W1066" s="87">
        <f t="shared" si="101"/>
        <v>-2.4692612590371522E-2</v>
      </c>
      <c r="X1066" s="87">
        <f t="shared" si="101"/>
        <v>-7.4906717291576257E-3</v>
      </c>
      <c r="Y1066" s="87">
        <f t="shared" si="101"/>
        <v>0</v>
      </c>
      <c r="Z1066" s="87">
        <f t="shared" si="101"/>
        <v>1.0526412986987603E-2</v>
      </c>
      <c r="AA1066" s="87">
        <f t="shared" si="98"/>
        <v>2.4420036555518089E-3</v>
      </c>
      <c r="AB1066" s="87">
        <f t="shared" si="98"/>
        <v>2.7285146532041358E-3</v>
      </c>
      <c r="AC1066" s="87">
        <f t="shared" si="98"/>
        <v>9.2654534457901911E-3</v>
      </c>
      <c r="AD1066" s="87">
        <f t="shared" si="98"/>
        <v>7.38010729762246E-3</v>
      </c>
      <c r="AE1066" s="90">
        <f t="shared" si="100"/>
        <v>1.7666960016618827E-2</v>
      </c>
    </row>
    <row r="1067" spans="1:31" ht="15.5" x14ac:dyDescent="0.35">
      <c r="A1067" s="82">
        <v>41316</v>
      </c>
      <c r="B1067" s="83">
        <v>8919</v>
      </c>
      <c r="C1067" s="84">
        <v>3192</v>
      </c>
      <c r="D1067" s="61">
        <v>387.3</v>
      </c>
      <c r="E1067" s="61">
        <v>20.399999999999999</v>
      </c>
      <c r="F1067" s="61">
        <v>67.599999999999994</v>
      </c>
      <c r="G1067" s="61">
        <v>27.5</v>
      </c>
      <c r="H1067" s="61">
        <v>20.2</v>
      </c>
      <c r="I1067" s="61">
        <v>13.5</v>
      </c>
      <c r="J1067" s="61">
        <v>41.9</v>
      </c>
      <c r="K1067" s="61">
        <v>19.100000000000001</v>
      </c>
      <c r="L1067" s="61">
        <v>41.1</v>
      </c>
      <c r="M1067" s="61">
        <v>36.700000000000003</v>
      </c>
      <c r="N1067" s="61">
        <v>75.900000000000006</v>
      </c>
      <c r="O1067" s="85">
        <v>27.4</v>
      </c>
      <c r="P1067" s="105"/>
      <c r="Q1067" s="87">
        <f t="shared" si="99"/>
        <v>-1.8146995604095822E-3</v>
      </c>
      <c r="R1067" s="87">
        <f t="shared" si="101"/>
        <v>-5.9506101131106724E-4</v>
      </c>
      <c r="S1067" s="87">
        <f t="shared" si="101"/>
        <v>-7.4598416683042523E-3</v>
      </c>
      <c r="T1067" s="87">
        <f t="shared" si="101"/>
        <v>4.9140148024289414E-3</v>
      </c>
      <c r="U1067" s="87">
        <f t="shared" si="101"/>
        <v>1.0409015914735524E-2</v>
      </c>
      <c r="V1067" s="87">
        <f t="shared" si="101"/>
        <v>7.2993024816115351E-3</v>
      </c>
      <c r="W1067" s="87">
        <f t="shared" si="101"/>
        <v>9.950330853168092E-3</v>
      </c>
      <c r="X1067" s="87">
        <f t="shared" si="101"/>
        <v>1.4925650216675574E-2</v>
      </c>
      <c r="Y1067" s="87">
        <f t="shared" si="101"/>
        <v>0</v>
      </c>
      <c r="Z1067" s="87">
        <f t="shared" si="101"/>
        <v>0</v>
      </c>
      <c r="AA1067" s="87">
        <f t="shared" si="101"/>
        <v>2.436054797881121E-3</v>
      </c>
      <c r="AB1067" s="87">
        <f t="shared" si="101"/>
        <v>0</v>
      </c>
      <c r="AC1067" s="87">
        <f t="shared" si="101"/>
        <v>0</v>
      </c>
      <c r="AD1067" s="87">
        <f t="shared" si="101"/>
        <v>7.3260400920728812E-3</v>
      </c>
      <c r="AE1067" s="90">
        <f t="shared" si="100"/>
        <v>1.5044659730357873E-3</v>
      </c>
    </row>
    <row r="1068" spans="1:31" ht="15.5" x14ac:dyDescent="0.35">
      <c r="A1068" s="82">
        <v>41317</v>
      </c>
      <c r="B1068" s="83">
        <v>8957.6</v>
      </c>
      <c r="C1068" s="84">
        <v>3186.5</v>
      </c>
      <c r="D1068" s="61">
        <v>390.1</v>
      </c>
      <c r="E1068" s="61">
        <v>20.9</v>
      </c>
      <c r="F1068" s="61">
        <v>66.8</v>
      </c>
      <c r="G1068" s="61">
        <v>27.8</v>
      </c>
      <c r="H1068" s="61">
        <v>19.600000000000001</v>
      </c>
      <c r="I1068" s="61">
        <v>13.1</v>
      </c>
      <c r="J1068" s="61">
        <v>41.7</v>
      </c>
      <c r="K1068" s="61">
        <v>19.100000000000001</v>
      </c>
      <c r="L1068" s="61">
        <v>41.1</v>
      </c>
      <c r="M1068" s="61">
        <v>36.799999999999997</v>
      </c>
      <c r="N1068" s="61">
        <v>75.2</v>
      </c>
      <c r="O1068" s="85">
        <v>27.4</v>
      </c>
      <c r="P1068" s="105"/>
      <c r="Q1068" s="87">
        <f t="shared" si="99"/>
        <v>4.3185012797799264E-3</v>
      </c>
      <c r="R1068" s="87">
        <f t="shared" si="101"/>
        <v>-1.724543815350589E-3</v>
      </c>
      <c r="S1068" s="87">
        <f t="shared" si="101"/>
        <v>7.2035299919044182E-3</v>
      </c>
      <c r="T1068" s="87">
        <f t="shared" si="101"/>
        <v>2.421425812059453E-2</v>
      </c>
      <c r="U1068" s="87">
        <f t="shared" si="101"/>
        <v>-1.1904902506318314E-2</v>
      </c>
      <c r="V1068" s="87">
        <f t="shared" si="101"/>
        <v>1.0850016024065844E-2</v>
      </c>
      <c r="W1068" s="87">
        <f t="shared" si="101"/>
        <v>-3.0153038170687443E-2</v>
      </c>
      <c r="X1068" s="87">
        <f t="shared" si="101"/>
        <v>-3.007745523727795E-2</v>
      </c>
      <c r="Y1068" s="87">
        <f t="shared" si="101"/>
        <v>-4.7846981233361585E-3</v>
      </c>
      <c r="Z1068" s="87">
        <f t="shared" si="101"/>
        <v>0</v>
      </c>
      <c r="AA1068" s="87">
        <f t="shared" si="101"/>
        <v>0</v>
      </c>
      <c r="AB1068" s="87">
        <f t="shared" si="101"/>
        <v>2.7210901143605863E-3</v>
      </c>
      <c r="AC1068" s="87">
        <f t="shared" si="101"/>
        <v>-9.2654534457901234E-3</v>
      </c>
      <c r="AD1068" s="87">
        <f t="shared" si="101"/>
        <v>0</v>
      </c>
      <c r="AE1068" s="90">
        <f t="shared" si="100"/>
        <v>-1.8120678253540779E-3</v>
      </c>
    </row>
    <row r="1069" spans="1:31" ht="15.5" x14ac:dyDescent="0.35">
      <c r="A1069" s="82">
        <v>41318</v>
      </c>
      <c r="B1069" s="83">
        <v>8955.6</v>
      </c>
      <c r="C1069" s="84">
        <v>3196.9</v>
      </c>
      <c r="D1069" s="61">
        <v>390.4</v>
      </c>
      <c r="E1069" s="61">
        <v>21.1</v>
      </c>
      <c r="F1069" s="61">
        <v>66.2</v>
      </c>
      <c r="G1069" s="61">
        <v>27.9</v>
      </c>
      <c r="H1069" s="61">
        <v>19</v>
      </c>
      <c r="I1069" s="61">
        <v>13.9</v>
      </c>
      <c r="J1069" s="61">
        <v>41.9</v>
      </c>
      <c r="K1069" s="61">
        <v>19.5</v>
      </c>
      <c r="L1069" s="61">
        <v>41</v>
      </c>
      <c r="M1069" s="61">
        <v>37</v>
      </c>
      <c r="N1069" s="61">
        <v>76.8</v>
      </c>
      <c r="O1069" s="85">
        <v>27.2</v>
      </c>
      <c r="P1069" s="105"/>
      <c r="Q1069" s="87">
        <f t="shared" si="99"/>
        <v>-2.2329902064513598E-4</v>
      </c>
      <c r="R1069" s="87">
        <f t="shared" si="101"/>
        <v>3.2584544919179118E-3</v>
      </c>
      <c r="S1069" s="87">
        <f t="shared" si="101"/>
        <v>7.6873802632655729E-4</v>
      </c>
      <c r="T1069" s="87">
        <f t="shared" si="101"/>
        <v>9.523881511255541E-3</v>
      </c>
      <c r="U1069" s="87">
        <f t="shared" si="101"/>
        <v>-9.0226175996374197E-3</v>
      </c>
      <c r="V1069" s="87">
        <f t="shared" si="101"/>
        <v>3.59066813072854E-3</v>
      </c>
      <c r="W1069" s="87">
        <f t="shared" si="101"/>
        <v>-3.1090587070031119E-2</v>
      </c>
      <c r="X1069" s="87">
        <f t="shared" si="101"/>
        <v>5.9276609929540307E-2</v>
      </c>
      <c r="Y1069" s="87">
        <f t="shared" si="101"/>
        <v>4.7846981233362531E-3</v>
      </c>
      <c r="Z1069" s="87">
        <f t="shared" si="101"/>
        <v>2.0726130517116952E-2</v>
      </c>
      <c r="AA1069" s="87">
        <f t="shared" si="101"/>
        <v>-2.4360547978811158E-3</v>
      </c>
      <c r="AB1069" s="87">
        <f t="shared" si="101"/>
        <v>5.4200674693393345E-3</v>
      </c>
      <c r="AC1069" s="87">
        <f t="shared" si="101"/>
        <v>2.1053409197832263E-2</v>
      </c>
      <c r="AD1069" s="87">
        <f t="shared" si="101"/>
        <v>-7.3260400920728977E-3</v>
      </c>
      <c r="AE1069" s="90">
        <f t="shared" si="100"/>
        <v>-2.2686089782204956E-3</v>
      </c>
    </row>
    <row r="1070" spans="1:31" ht="15.5" x14ac:dyDescent="0.35">
      <c r="A1070" s="82">
        <v>41319</v>
      </c>
      <c r="B1070" s="83">
        <v>8953.1</v>
      </c>
      <c r="C1070" s="84">
        <v>3198.7</v>
      </c>
      <c r="D1070" s="61">
        <v>389.3</v>
      </c>
      <c r="E1070" s="61">
        <v>21.1</v>
      </c>
      <c r="F1070" s="61">
        <v>66.3</v>
      </c>
      <c r="G1070" s="61">
        <v>27.9</v>
      </c>
      <c r="H1070" s="61">
        <v>18.5</v>
      </c>
      <c r="I1070" s="61">
        <v>13.9</v>
      </c>
      <c r="J1070" s="61">
        <v>41.7</v>
      </c>
      <c r="K1070" s="61">
        <v>19.5</v>
      </c>
      <c r="L1070" s="61">
        <v>40.799999999999997</v>
      </c>
      <c r="M1070" s="61">
        <v>36</v>
      </c>
      <c r="N1070" s="61">
        <v>77</v>
      </c>
      <c r="O1070" s="85">
        <v>27.2</v>
      </c>
      <c r="P1070" s="105"/>
      <c r="Q1070" s="87">
        <f t="shared" si="99"/>
        <v>-2.7919391315279715E-4</v>
      </c>
      <c r="R1070" s="87">
        <f t="shared" si="101"/>
        <v>5.6288699966412184E-4</v>
      </c>
      <c r="S1070" s="87">
        <f t="shared" si="101"/>
        <v>-2.8215999225272579E-3</v>
      </c>
      <c r="T1070" s="87">
        <f t="shared" si="101"/>
        <v>0</v>
      </c>
      <c r="U1070" s="87">
        <f t="shared" si="101"/>
        <v>1.5094342488541186E-3</v>
      </c>
      <c r="V1070" s="87">
        <f t="shared" si="101"/>
        <v>0</v>
      </c>
      <c r="W1070" s="87">
        <f t="shared" si="101"/>
        <v>-2.6668247082161294E-2</v>
      </c>
      <c r="X1070" s="87">
        <f t="shared" si="101"/>
        <v>0</v>
      </c>
      <c r="Y1070" s="87">
        <f t="shared" si="101"/>
        <v>-4.7846981233361585E-3</v>
      </c>
      <c r="Z1070" s="87">
        <f t="shared" si="101"/>
        <v>0</v>
      </c>
      <c r="AA1070" s="87">
        <f t="shared" si="101"/>
        <v>-4.8899852941919038E-3</v>
      </c>
      <c r="AB1070" s="87">
        <f t="shared" si="101"/>
        <v>-2.7398974188114388E-2</v>
      </c>
      <c r="AC1070" s="87">
        <f t="shared" si="101"/>
        <v>2.6007817000574403E-3</v>
      </c>
      <c r="AD1070" s="87">
        <f t="shared" si="101"/>
        <v>0</v>
      </c>
      <c r="AE1070" s="90">
        <f t="shared" si="100"/>
        <v>-2.2573326234520105E-4</v>
      </c>
    </row>
    <row r="1071" spans="1:31" ht="15.5" x14ac:dyDescent="0.35">
      <c r="A1071" s="82">
        <v>41320</v>
      </c>
      <c r="B1071" s="83">
        <v>8933.2000000000007</v>
      </c>
      <c r="C1071" s="84">
        <v>3192</v>
      </c>
      <c r="D1071" s="61">
        <v>393.9</v>
      </c>
      <c r="E1071" s="61">
        <v>20.9</v>
      </c>
      <c r="F1071" s="61">
        <v>65.7</v>
      </c>
      <c r="G1071" s="61">
        <v>27.9</v>
      </c>
      <c r="H1071" s="61">
        <v>18.600000000000001</v>
      </c>
      <c r="I1071" s="61">
        <v>14</v>
      </c>
      <c r="J1071" s="61">
        <v>41.4</v>
      </c>
      <c r="K1071" s="61">
        <v>19</v>
      </c>
      <c r="L1071" s="61">
        <v>41.2</v>
      </c>
      <c r="M1071" s="61">
        <v>36.299999999999997</v>
      </c>
      <c r="N1071" s="61">
        <v>76.599999999999994</v>
      </c>
      <c r="O1071" s="85">
        <v>27.3</v>
      </c>
      <c r="P1071" s="105"/>
      <c r="Q1071" s="87">
        <f t="shared" si="99"/>
        <v>-2.225167665869685E-3</v>
      </c>
      <c r="R1071" s="87">
        <f t="shared" si="101"/>
        <v>-2.0967976762313423E-3</v>
      </c>
      <c r="S1071" s="87">
        <f t="shared" si="101"/>
        <v>1.1746815360450047E-2</v>
      </c>
      <c r="T1071" s="87">
        <f t="shared" si="101"/>
        <v>-9.5238815112555896E-3</v>
      </c>
      <c r="U1071" s="87">
        <f t="shared" si="101"/>
        <v>-9.0909717012519625E-3</v>
      </c>
      <c r="V1071" s="87">
        <f t="shared" si="101"/>
        <v>0</v>
      </c>
      <c r="W1071" s="87">
        <f t="shared" si="101"/>
        <v>5.3908486348765933E-3</v>
      </c>
      <c r="X1071" s="87">
        <f t="shared" si="101"/>
        <v>7.168489478612497E-3</v>
      </c>
      <c r="Y1071" s="87">
        <f t="shared" si="101"/>
        <v>-7.220247973487132E-3</v>
      </c>
      <c r="Z1071" s="87">
        <f t="shared" si="101"/>
        <v>-2.5975486403260677E-2</v>
      </c>
      <c r="AA1071" s="87">
        <f t="shared" si="101"/>
        <v>9.7561749453648743E-3</v>
      </c>
      <c r="AB1071" s="87">
        <f t="shared" si="101"/>
        <v>8.2988028146950641E-3</v>
      </c>
      <c r="AC1071" s="87">
        <f t="shared" si="101"/>
        <v>-5.2083451071383473E-3</v>
      </c>
      <c r="AD1071" s="87">
        <f t="shared" si="101"/>
        <v>3.6697288889624017E-3</v>
      </c>
      <c r="AE1071" s="90">
        <f t="shared" si="100"/>
        <v>6.5712298148680166E-4</v>
      </c>
    </row>
    <row r="1072" spans="1:31" ht="15.5" x14ac:dyDescent="0.35">
      <c r="A1072" s="82">
        <v>41324</v>
      </c>
      <c r="B1072" s="83">
        <v>9004.4</v>
      </c>
      <c r="C1072" s="84">
        <v>3213.6</v>
      </c>
      <c r="D1072" s="61">
        <v>398</v>
      </c>
      <c r="E1072" s="61">
        <v>21</v>
      </c>
      <c r="F1072" s="61">
        <v>64.8</v>
      </c>
      <c r="G1072" s="61">
        <v>27.8</v>
      </c>
      <c r="H1072" s="61">
        <v>19</v>
      </c>
      <c r="I1072" s="61">
        <v>14.1</v>
      </c>
      <c r="J1072" s="61">
        <v>41.5</v>
      </c>
      <c r="K1072" s="61">
        <v>19.600000000000001</v>
      </c>
      <c r="L1072" s="61">
        <v>41.6</v>
      </c>
      <c r="M1072" s="61">
        <v>36.5</v>
      </c>
      <c r="N1072" s="61">
        <v>77.2</v>
      </c>
      <c r="O1072" s="85">
        <v>27.1</v>
      </c>
      <c r="P1072" s="105"/>
      <c r="Q1072" s="87">
        <f t="shared" si="99"/>
        <v>7.9386733936887503E-3</v>
      </c>
      <c r="R1072" s="87">
        <f t="shared" si="101"/>
        <v>6.7441244753729526E-3</v>
      </c>
      <c r="S1072" s="87">
        <f t="shared" si="101"/>
        <v>1.0354935307577643E-2</v>
      </c>
      <c r="T1072" s="87">
        <f t="shared" si="101"/>
        <v>4.7732787526578117E-3</v>
      </c>
      <c r="U1072" s="87">
        <f t="shared" si="101"/>
        <v>-1.3793322132335873E-2</v>
      </c>
      <c r="V1072" s="87">
        <f t="shared" si="101"/>
        <v>-3.5906681307284844E-3</v>
      </c>
      <c r="W1072" s="87">
        <f t="shared" si="101"/>
        <v>2.1277398447284879E-2</v>
      </c>
      <c r="X1072" s="87">
        <f t="shared" si="101"/>
        <v>7.1174677688639549E-3</v>
      </c>
      <c r="Y1072" s="87">
        <f t="shared" si="101"/>
        <v>2.4125464053839259E-3</v>
      </c>
      <c r="Z1072" s="87">
        <f t="shared" si="101"/>
        <v>3.1090587070031182E-2</v>
      </c>
      <c r="AA1072" s="87">
        <f t="shared" si="101"/>
        <v>9.6619109117368901E-3</v>
      </c>
      <c r="AB1072" s="87">
        <f t="shared" si="101"/>
        <v>5.4945193176407798E-3</v>
      </c>
      <c r="AC1072" s="87">
        <f t="shared" si="101"/>
        <v>7.8023802841850204E-3</v>
      </c>
      <c r="AD1072" s="87">
        <f t="shared" si="101"/>
        <v>-7.352974305258806E-3</v>
      </c>
      <c r="AE1072" s="90">
        <f t="shared" si="100"/>
        <v>2.153080447359608E-4</v>
      </c>
    </row>
    <row r="1073" spans="1:31" ht="15.5" x14ac:dyDescent="0.35">
      <c r="A1073" s="82">
        <v>41325</v>
      </c>
      <c r="B1073" s="83">
        <v>8883.6</v>
      </c>
      <c r="C1073" s="84">
        <v>3164.4</v>
      </c>
      <c r="D1073" s="61">
        <v>396.3</v>
      </c>
      <c r="E1073" s="61">
        <v>20.9</v>
      </c>
      <c r="F1073" s="61">
        <v>64.099999999999994</v>
      </c>
      <c r="G1073" s="61">
        <v>27.8</v>
      </c>
      <c r="H1073" s="61">
        <v>19.100000000000001</v>
      </c>
      <c r="I1073" s="61">
        <v>13.8</v>
      </c>
      <c r="J1073" s="61">
        <v>40.4</v>
      </c>
      <c r="K1073" s="61">
        <v>19.7</v>
      </c>
      <c r="L1073" s="61">
        <v>42.2</v>
      </c>
      <c r="M1073" s="61">
        <v>35.799999999999997</v>
      </c>
      <c r="N1073" s="61">
        <v>77.5</v>
      </c>
      <c r="O1073" s="85">
        <v>27</v>
      </c>
      <c r="P1073" s="105"/>
      <c r="Q1073" s="87">
        <f t="shared" si="99"/>
        <v>-1.3506466502955332E-2</v>
      </c>
      <c r="R1073" s="87">
        <f t="shared" si="101"/>
        <v>-1.5428339897831026E-2</v>
      </c>
      <c r="S1073" s="87">
        <f t="shared" si="101"/>
        <v>-4.2805050880483251E-3</v>
      </c>
      <c r="T1073" s="87">
        <f t="shared" si="101"/>
        <v>-4.7732787526577709E-3</v>
      </c>
      <c r="U1073" s="87">
        <f t="shared" si="101"/>
        <v>-1.0861239431604703E-2</v>
      </c>
      <c r="V1073" s="87">
        <f t="shared" si="101"/>
        <v>0</v>
      </c>
      <c r="W1073" s="87">
        <f t="shared" si="101"/>
        <v>5.249355886143745E-3</v>
      </c>
      <c r="X1073" s="87">
        <f t="shared" si="101"/>
        <v>-2.1506205220963505E-2</v>
      </c>
      <c r="Y1073" s="87">
        <f t="shared" si="101"/>
        <v>-2.6863642269548269E-2</v>
      </c>
      <c r="Z1073" s="87">
        <f t="shared" si="101"/>
        <v>5.0890695074712281E-3</v>
      </c>
      <c r="AA1073" s="87">
        <f t="shared" si="101"/>
        <v>1.4320053774748471E-2</v>
      </c>
      <c r="AB1073" s="87">
        <f t="shared" si="101"/>
        <v>-1.9364367181791232E-2</v>
      </c>
      <c r="AC1073" s="87">
        <f t="shared" si="101"/>
        <v>3.8784793285708383E-3</v>
      </c>
      <c r="AD1073" s="87">
        <f t="shared" si="101"/>
        <v>-3.6968618813262031E-3</v>
      </c>
      <c r="AE1073" s="90">
        <f t="shared" si="100"/>
        <v>-9.4327991568527204E-3</v>
      </c>
    </row>
    <row r="1074" spans="1:31" ht="15.5" x14ac:dyDescent="0.35">
      <c r="A1074" s="82">
        <v>41326</v>
      </c>
      <c r="B1074" s="83">
        <v>8810.2999999999993</v>
      </c>
      <c r="C1074" s="84">
        <v>3131.5</v>
      </c>
      <c r="D1074" s="61">
        <v>396</v>
      </c>
      <c r="E1074" s="61">
        <v>20.7</v>
      </c>
      <c r="F1074" s="61">
        <v>63.3</v>
      </c>
      <c r="G1074" s="61">
        <v>27.2</v>
      </c>
      <c r="H1074" s="61">
        <v>18.5</v>
      </c>
      <c r="I1074" s="61">
        <v>13.4</v>
      </c>
      <c r="J1074" s="61">
        <v>39.5</v>
      </c>
      <c r="K1074" s="61">
        <v>20.100000000000001</v>
      </c>
      <c r="L1074" s="61">
        <v>42.3</v>
      </c>
      <c r="M1074" s="61">
        <v>35</v>
      </c>
      <c r="N1074" s="61">
        <v>76.099999999999994</v>
      </c>
      <c r="O1074" s="85">
        <v>27.1</v>
      </c>
      <c r="P1074" s="105"/>
      <c r="Q1074" s="87">
        <f t="shared" si="99"/>
        <v>-8.2853886731975232E-3</v>
      </c>
      <c r="R1074" s="87">
        <f t="shared" si="101"/>
        <v>-1.0451341181773753E-2</v>
      </c>
      <c r="S1074" s="87">
        <f t="shared" si="101"/>
        <v>-7.5728894190880221E-4</v>
      </c>
      <c r="T1074" s="87">
        <f t="shared" si="101"/>
        <v>-9.6154586994418693E-3</v>
      </c>
      <c r="U1074" s="87">
        <f t="shared" si="101"/>
        <v>-1.2559034776493797E-2</v>
      </c>
      <c r="V1074" s="87">
        <f t="shared" si="101"/>
        <v>-2.1819047394639839E-2</v>
      </c>
      <c r="W1074" s="87">
        <f t="shared" si="101"/>
        <v>-3.1917602968305085E-2</v>
      </c>
      <c r="X1074" s="87">
        <f t="shared" si="101"/>
        <v>-2.9413885206293341E-2</v>
      </c>
      <c r="Y1074" s="87">
        <f t="shared" si="101"/>
        <v>-2.2529113060028222E-2</v>
      </c>
      <c r="Z1074" s="87">
        <f t="shared" si="101"/>
        <v>2.0101179321087303E-2</v>
      </c>
      <c r="AA1074" s="87">
        <f t="shared" si="101"/>
        <v>2.3668650102660225E-3</v>
      </c>
      <c r="AB1074" s="87">
        <f t="shared" si="101"/>
        <v>-2.2599831917240919E-2</v>
      </c>
      <c r="AC1074" s="87">
        <f t="shared" si="101"/>
        <v>-1.8229671491661274E-2</v>
      </c>
      <c r="AD1074" s="87">
        <f t="shared" si="101"/>
        <v>3.6968618813262026E-3</v>
      </c>
      <c r="AE1074" s="90">
        <f t="shared" si="100"/>
        <v>-6.4962508503706067E-3</v>
      </c>
    </row>
    <row r="1075" spans="1:31" ht="15.5" x14ac:dyDescent="0.35">
      <c r="A1075" s="82">
        <v>41327</v>
      </c>
      <c r="B1075" s="83">
        <v>8894.6</v>
      </c>
      <c r="C1075" s="84">
        <v>3161.8</v>
      </c>
      <c r="D1075" s="61">
        <v>397.3</v>
      </c>
      <c r="E1075" s="61">
        <v>20.9</v>
      </c>
      <c r="F1075" s="61">
        <v>63.8</v>
      </c>
      <c r="G1075" s="61">
        <v>27.5</v>
      </c>
      <c r="H1075" s="61">
        <v>18.399999999999999</v>
      </c>
      <c r="I1075" s="61">
        <v>13.4</v>
      </c>
      <c r="J1075" s="61">
        <v>38.9</v>
      </c>
      <c r="K1075" s="61">
        <v>21.4</v>
      </c>
      <c r="L1075" s="61">
        <v>42.5</v>
      </c>
      <c r="M1075" s="61">
        <v>35.4</v>
      </c>
      <c r="N1075" s="61">
        <v>76.599999999999994</v>
      </c>
      <c r="O1075" s="85">
        <v>27</v>
      </c>
      <c r="P1075" s="105"/>
      <c r="Q1075" s="87">
        <f t="shared" si="99"/>
        <v>9.5228594411854908E-3</v>
      </c>
      <c r="R1075" s="87">
        <f t="shared" si="101"/>
        <v>9.6293626966197522E-3</v>
      </c>
      <c r="S1075" s="87">
        <f t="shared" si="101"/>
        <v>3.2774515660727614E-3</v>
      </c>
      <c r="T1075" s="87">
        <f t="shared" si="101"/>
        <v>9.6154586994419734E-3</v>
      </c>
      <c r="U1075" s="87">
        <f t="shared" si="101"/>
        <v>7.8678612006137377E-3</v>
      </c>
      <c r="V1075" s="87">
        <f t="shared" si="101"/>
        <v>1.0969031370573937E-2</v>
      </c>
      <c r="W1075" s="87">
        <f t="shared" si="101"/>
        <v>-5.4200674693392556E-3</v>
      </c>
      <c r="X1075" s="87">
        <f t="shared" si="101"/>
        <v>0</v>
      </c>
      <c r="Y1075" s="87">
        <f t="shared" ref="Y1075:AD1117" si="102">+LN(J1075/J1074)</f>
        <v>-1.5306421282675658E-2</v>
      </c>
      <c r="Z1075" s="87">
        <f t="shared" si="102"/>
        <v>6.2671106962775558E-2</v>
      </c>
      <c r="AA1075" s="87">
        <f t="shared" si="102"/>
        <v>4.7169898781388667E-3</v>
      </c>
      <c r="AB1075" s="87">
        <f t="shared" si="102"/>
        <v>1.1363758650315003E-2</v>
      </c>
      <c r="AC1075" s="87">
        <f t="shared" si="102"/>
        <v>6.5488118789054622E-3</v>
      </c>
      <c r="AD1075" s="87">
        <f t="shared" si="102"/>
        <v>-3.6968618813262031E-3</v>
      </c>
      <c r="AE1075" s="90">
        <f t="shared" si="100"/>
        <v>5.6462886219955325E-3</v>
      </c>
    </row>
    <row r="1076" spans="1:31" ht="15.5" x14ac:dyDescent="0.35">
      <c r="A1076" s="82">
        <v>41330</v>
      </c>
      <c r="B1076" s="83">
        <v>8719.4</v>
      </c>
      <c r="C1076" s="84">
        <v>3116.3</v>
      </c>
      <c r="D1076" s="61">
        <v>395.6</v>
      </c>
      <c r="E1076" s="61">
        <v>20.7</v>
      </c>
      <c r="F1076" s="61">
        <v>63.2</v>
      </c>
      <c r="G1076" s="61">
        <v>27.4</v>
      </c>
      <c r="H1076" s="61">
        <v>17.8</v>
      </c>
      <c r="I1076" s="61">
        <v>13</v>
      </c>
      <c r="J1076" s="61">
        <v>38.6</v>
      </c>
      <c r="K1076" s="61">
        <v>21.5</v>
      </c>
      <c r="L1076" s="61">
        <v>42.5</v>
      </c>
      <c r="M1076" s="61">
        <v>34.6</v>
      </c>
      <c r="N1076" s="61">
        <v>76.900000000000006</v>
      </c>
      <c r="O1076" s="85">
        <v>27</v>
      </c>
      <c r="P1076" s="105"/>
      <c r="Q1076" s="87">
        <f t="shared" si="99"/>
        <v>-1.9893922808798929E-2</v>
      </c>
      <c r="R1076" s="87">
        <f t="shared" ref="R1076:X1104" si="103">+LN(C1076/C1075)</f>
        <v>-1.4495085027245964E-2</v>
      </c>
      <c r="S1076" s="87">
        <f t="shared" si="103"/>
        <v>-4.2880630719962041E-3</v>
      </c>
      <c r="T1076" s="87">
        <f t="shared" si="103"/>
        <v>-9.6154586994418693E-3</v>
      </c>
      <c r="U1076" s="87">
        <f t="shared" si="103"/>
        <v>-9.4488891979323964E-3</v>
      </c>
      <c r="V1076" s="87">
        <f t="shared" si="103"/>
        <v>-3.6429912785010919E-3</v>
      </c>
      <c r="W1076" s="87">
        <f t="shared" si="103"/>
        <v>-3.3152207316900391E-2</v>
      </c>
      <c r="X1076" s="87">
        <f t="shared" si="103"/>
        <v>-3.0305349495328922E-2</v>
      </c>
      <c r="Y1076" s="87">
        <f t="shared" si="102"/>
        <v>-7.7419741536153969E-3</v>
      </c>
      <c r="Z1076" s="87">
        <f t="shared" si="102"/>
        <v>4.6620131058113714E-3</v>
      </c>
      <c r="AA1076" s="87">
        <f t="shared" si="102"/>
        <v>0</v>
      </c>
      <c r="AB1076" s="87">
        <f t="shared" si="102"/>
        <v>-2.2858138076050097E-2</v>
      </c>
      <c r="AC1076" s="87">
        <f t="shared" si="102"/>
        <v>3.9087997650528606E-3</v>
      </c>
      <c r="AD1076" s="87">
        <f t="shared" si="102"/>
        <v>0</v>
      </c>
      <c r="AE1076" s="90">
        <f t="shared" si="100"/>
        <v>-8.3020771259709157E-3</v>
      </c>
    </row>
    <row r="1077" spans="1:31" ht="15.5" x14ac:dyDescent="0.35">
      <c r="A1077" s="82">
        <v>41331</v>
      </c>
      <c r="B1077" s="83">
        <v>8766.2000000000007</v>
      </c>
      <c r="C1077" s="84">
        <v>3129.6</v>
      </c>
      <c r="D1077" s="61">
        <v>392.6</v>
      </c>
      <c r="E1077" s="61">
        <v>20.6</v>
      </c>
      <c r="F1077" s="61">
        <v>62.5</v>
      </c>
      <c r="G1077" s="61">
        <v>27.3</v>
      </c>
      <c r="H1077" s="61">
        <v>16.8</v>
      </c>
      <c r="I1077" s="61">
        <v>12.6</v>
      </c>
      <c r="J1077" s="61">
        <v>38.6</v>
      </c>
      <c r="K1077" s="61">
        <v>20.6</v>
      </c>
      <c r="L1077" s="61">
        <v>42.1</v>
      </c>
      <c r="M1077" s="61">
        <v>33.9</v>
      </c>
      <c r="N1077" s="61">
        <v>76.7</v>
      </c>
      <c r="O1077" s="85">
        <v>27</v>
      </c>
      <c r="P1077" s="105"/>
      <c r="Q1077" s="87">
        <f t="shared" si="99"/>
        <v>5.3529889454706665E-3</v>
      </c>
      <c r="R1077" s="87">
        <f t="shared" si="103"/>
        <v>4.2588002056566376E-3</v>
      </c>
      <c r="S1077" s="87">
        <f t="shared" si="103"/>
        <v>-7.6123179061963041E-3</v>
      </c>
      <c r="T1077" s="87">
        <f t="shared" si="103"/>
        <v>-4.8426244757879032E-3</v>
      </c>
      <c r="U1077" s="87">
        <f t="shared" si="103"/>
        <v>-1.1137744410455983E-2</v>
      </c>
      <c r="V1077" s="87">
        <f t="shared" si="103"/>
        <v>-3.6563112031104319E-3</v>
      </c>
      <c r="W1077" s="87">
        <f t="shared" si="103"/>
        <v>-5.7819570888826249E-2</v>
      </c>
      <c r="X1077" s="87">
        <f t="shared" si="103"/>
        <v>-3.1252543504104426E-2</v>
      </c>
      <c r="Y1077" s="87">
        <f t="shared" si="102"/>
        <v>0</v>
      </c>
      <c r="Z1077" s="87">
        <f t="shared" si="102"/>
        <v>-4.2761859338081701E-2</v>
      </c>
      <c r="AA1077" s="87">
        <f t="shared" si="102"/>
        <v>-9.4563352420354001E-3</v>
      </c>
      <c r="AB1077" s="87">
        <f t="shared" si="102"/>
        <v>-2.0438667677274071E-2</v>
      </c>
      <c r="AC1077" s="87">
        <f t="shared" si="102"/>
        <v>-2.604168138387855E-3</v>
      </c>
      <c r="AD1077" s="87">
        <f t="shared" si="102"/>
        <v>0</v>
      </c>
      <c r="AE1077" s="90">
        <f t="shared" si="100"/>
        <v>-4.1367607935010415E-3</v>
      </c>
    </row>
    <row r="1078" spans="1:31" ht="15.5" x14ac:dyDescent="0.35">
      <c r="A1078" s="82">
        <v>41332</v>
      </c>
      <c r="B1078" s="83">
        <v>8875.2999999999993</v>
      </c>
      <c r="C1078" s="84">
        <v>3162.3</v>
      </c>
      <c r="D1078" s="61">
        <v>396</v>
      </c>
      <c r="E1078" s="61">
        <v>20.7</v>
      </c>
      <c r="F1078" s="61">
        <v>63</v>
      </c>
      <c r="G1078" s="61">
        <v>27.3</v>
      </c>
      <c r="H1078" s="61">
        <v>17.100000000000001</v>
      </c>
      <c r="I1078" s="61">
        <v>12.8</v>
      </c>
      <c r="J1078" s="61">
        <v>38.799999999999997</v>
      </c>
      <c r="K1078" s="61">
        <v>20.3</v>
      </c>
      <c r="L1078" s="61">
        <v>42.3</v>
      </c>
      <c r="M1078" s="61">
        <v>34.799999999999997</v>
      </c>
      <c r="N1078" s="61">
        <v>77</v>
      </c>
      <c r="O1078" s="85">
        <v>27</v>
      </c>
      <c r="P1078" s="105"/>
      <c r="Q1078" s="87">
        <f t="shared" si="99"/>
        <v>1.2368720447502729E-2</v>
      </c>
      <c r="R1078" s="87">
        <f t="shared" si="103"/>
        <v>1.0394410088755187E-2</v>
      </c>
      <c r="S1078" s="87">
        <f t="shared" si="103"/>
        <v>8.6229294121198986E-3</v>
      </c>
      <c r="T1078" s="87">
        <f t="shared" si="103"/>
        <v>4.8426244757879908E-3</v>
      </c>
      <c r="U1078" s="87">
        <f t="shared" si="103"/>
        <v>7.9681696491768813E-3</v>
      </c>
      <c r="V1078" s="87">
        <f t="shared" si="103"/>
        <v>0</v>
      </c>
      <c r="W1078" s="87">
        <f t="shared" si="103"/>
        <v>1.7699577099400857E-2</v>
      </c>
      <c r="X1078" s="87">
        <f t="shared" si="103"/>
        <v>1.5748356968139331E-2</v>
      </c>
      <c r="Y1078" s="87">
        <f t="shared" si="102"/>
        <v>5.1679701584423773E-3</v>
      </c>
      <c r="Z1078" s="87">
        <f t="shared" si="102"/>
        <v>-1.4670189747793742E-2</v>
      </c>
      <c r="AA1078" s="87">
        <f t="shared" si="102"/>
        <v>4.7393453638963469E-3</v>
      </c>
      <c r="AB1078" s="87">
        <f t="shared" si="102"/>
        <v>2.6202372394024117E-2</v>
      </c>
      <c r="AC1078" s="87">
        <f t="shared" si="102"/>
        <v>3.9037134804733704E-3</v>
      </c>
      <c r="AD1078" s="87">
        <f t="shared" si="102"/>
        <v>0</v>
      </c>
      <c r="AE1078" s="90">
        <f t="shared" si="100"/>
        <v>7.918604828117775E-3</v>
      </c>
    </row>
    <row r="1079" spans="1:31" ht="15.5" x14ac:dyDescent="0.35">
      <c r="A1079" s="82">
        <v>41333</v>
      </c>
      <c r="B1079" s="83">
        <v>8868.7000000000007</v>
      </c>
      <c r="C1079" s="84">
        <v>3160.2</v>
      </c>
      <c r="D1079" s="61">
        <v>400.9</v>
      </c>
      <c r="E1079" s="61">
        <v>21.1</v>
      </c>
      <c r="F1079" s="61">
        <v>63.1</v>
      </c>
      <c r="G1079" s="61">
        <v>27.7</v>
      </c>
      <c r="H1079" s="61">
        <v>16.8</v>
      </c>
      <c r="I1079" s="61">
        <v>12.9</v>
      </c>
      <c r="J1079" s="61">
        <v>39.6</v>
      </c>
      <c r="K1079" s="61">
        <v>16.600000000000001</v>
      </c>
      <c r="L1079" s="61">
        <v>42.7</v>
      </c>
      <c r="M1079" s="61">
        <v>35.200000000000003</v>
      </c>
      <c r="N1079" s="61">
        <v>78.2</v>
      </c>
      <c r="O1079" s="85">
        <v>27</v>
      </c>
      <c r="P1079" s="105"/>
      <c r="Q1079" s="87">
        <f t="shared" si="99"/>
        <v>-7.4391346983458716E-4</v>
      </c>
      <c r="R1079" s="87">
        <f t="shared" si="103"/>
        <v>-6.6429421185471536E-4</v>
      </c>
      <c r="S1079" s="87">
        <f t="shared" si="103"/>
        <v>1.2297808393980722E-2</v>
      </c>
      <c r="T1079" s="87">
        <f t="shared" si="103"/>
        <v>1.9139340210697506E-2</v>
      </c>
      <c r="U1079" s="87">
        <f t="shared" si="103"/>
        <v>1.5860431556347797E-3</v>
      </c>
      <c r="V1079" s="87">
        <f t="shared" si="103"/>
        <v>1.4545711002378716E-2</v>
      </c>
      <c r="W1079" s="87">
        <f t="shared" si="103"/>
        <v>-1.7699577099400975E-2</v>
      </c>
      <c r="X1079" s="87">
        <f t="shared" si="103"/>
        <v>7.782140442054949E-3</v>
      </c>
      <c r="Y1079" s="87">
        <f t="shared" si="102"/>
        <v>2.0408871631207252E-2</v>
      </c>
      <c r="Z1079" s="87">
        <f t="shared" si="102"/>
        <v>-0.2012181906852441</v>
      </c>
      <c r="AA1079" s="87">
        <f t="shared" si="102"/>
        <v>9.4118341823468173E-3</v>
      </c>
      <c r="AB1079" s="87">
        <f t="shared" si="102"/>
        <v>1.142869582362285E-2</v>
      </c>
      <c r="AC1079" s="87">
        <f t="shared" si="102"/>
        <v>1.5464225697581553E-2</v>
      </c>
      <c r="AD1079" s="87">
        <f t="shared" si="102"/>
        <v>0</v>
      </c>
      <c r="AE1079" s="90">
        <f t="shared" si="100"/>
        <v>3.8547498725427201E-3</v>
      </c>
    </row>
    <row r="1080" spans="1:31" ht="15.5" x14ac:dyDescent="0.35">
      <c r="A1080" s="82">
        <v>41334</v>
      </c>
      <c r="B1080" s="83">
        <v>8874.2000000000007</v>
      </c>
      <c r="C1080" s="84">
        <v>3169.7</v>
      </c>
      <c r="D1080" s="61">
        <v>398.5</v>
      </c>
      <c r="E1080" s="61">
        <v>21.3</v>
      </c>
      <c r="F1080" s="61">
        <v>61.4</v>
      </c>
      <c r="G1080" s="61">
        <v>27.5</v>
      </c>
      <c r="H1080" s="61">
        <v>16.600000000000001</v>
      </c>
      <c r="I1080" s="61">
        <v>12.8</v>
      </c>
      <c r="J1080" s="61">
        <v>39.4</v>
      </c>
      <c r="K1080" s="61">
        <v>17.100000000000001</v>
      </c>
      <c r="L1080" s="61">
        <v>42.3</v>
      </c>
      <c r="M1080" s="61">
        <v>34.799999999999997</v>
      </c>
      <c r="N1080" s="61">
        <v>77</v>
      </c>
      <c r="O1080" s="85">
        <v>27.1</v>
      </c>
      <c r="P1080" s="105"/>
      <c r="Q1080" s="87">
        <f t="shared" si="99"/>
        <v>6.199663162350412E-4</v>
      </c>
      <c r="R1080" s="87">
        <f t="shared" si="103"/>
        <v>3.0016294515681722E-3</v>
      </c>
      <c r="S1080" s="87">
        <f t="shared" si="103"/>
        <v>-6.0045214181914863E-3</v>
      </c>
      <c r="T1080" s="87">
        <f t="shared" si="103"/>
        <v>9.4340322333584942E-3</v>
      </c>
      <c r="U1080" s="87">
        <f t="shared" si="103"/>
        <v>-2.7310934394070705E-2</v>
      </c>
      <c r="V1080" s="87">
        <f t="shared" si="103"/>
        <v>-7.2464085207671978E-3</v>
      </c>
      <c r="W1080" s="87">
        <f t="shared" si="103"/>
        <v>-1.1976191046715649E-2</v>
      </c>
      <c r="X1080" s="87">
        <f t="shared" si="103"/>
        <v>-7.7821404420549628E-3</v>
      </c>
      <c r="Y1080" s="87">
        <f t="shared" si="102"/>
        <v>-5.063301956546762E-3</v>
      </c>
      <c r="Z1080" s="87">
        <f t="shared" si="102"/>
        <v>2.9675768146116541E-2</v>
      </c>
      <c r="AA1080" s="87">
        <f t="shared" si="102"/>
        <v>-9.4118341823467063E-3</v>
      </c>
      <c r="AB1080" s="87">
        <f t="shared" si="102"/>
        <v>-1.1428695823622968E-2</v>
      </c>
      <c r="AC1080" s="87">
        <f t="shared" si="102"/>
        <v>-1.546422569758159E-2</v>
      </c>
      <c r="AD1080" s="87">
        <f t="shared" si="102"/>
        <v>3.6968618813262026E-3</v>
      </c>
      <c r="AE1080" s="90">
        <f t="shared" si="100"/>
        <v>-8.2180878385834984E-3</v>
      </c>
    </row>
    <row r="1081" spans="1:31" ht="15.5" x14ac:dyDescent="0.35">
      <c r="A1081" s="82">
        <v>41337</v>
      </c>
      <c r="B1081" s="83">
        <v>8901</v>
      </c>
      <c r="C1081" s="84">
        <v>3182</v>
      </c>
      <c r="D1081" s="61">
        <v>402.9</v>
      </c>
      <c r="E1081" s="61">
        <v>22.2</v>
      </c>
      <c r="F1081" s="61">
        <v>59.9</v>
      </c>
      <c r="G1081" s="61">
        <v>27.7</v>
      </c>
      <c r="H1081" s="61">
        <v>16</v>
      </c>
      <c r="I1081" s="61">
        <v>12.6</v>
      </c>
      <c r="J1081" s="61">
        <v>38.799999999999997</v>
      </c>
      <c r="K1081" s="61">
        <v>16.5</v>
      </c>
      <c r="L1081" s="61">
        <v>42.8</v>
      </c>
      <c r="M1081" s="61">
        <v>35</v>
      </c>
      <c r="N1081" s="61">
        <v>77.599999999999994</v>
      </c>
      <c r="O1081" s="85">
        <v>27.2</v>
      </c>
      <c r="P1081" s="105"/>
      <c r="Q1081" s="87">
        <f t="shared" si="99"/>
        <v>3.0154395233154569E-3</v>
      </c>
      <c r="R1081" s="87">
        <f t="shared" si="103"/>
        <v>3.8729837287652578E-3</v>
      </c>
      <c r="S1081" s="87">
        <f t="shared" si="103"/>
        <v>1.0980893967031852E-2</v>
      </c>
      <c r="T1081" s="87">
        <f t="shared" si="103"/>
        <v>4.1385216162854281E-2</v>
      </c>
      <c r="U1081" s="87">
        <f t="shared" si="103"/>
        <v>-2.4733330031693125E-2</v>
      </c>
      <c r="V1081" s="87">
        <f t="shared" si="103"/>
        <v>7.2464085207672533E-3</v>
      </c>
      <c r="W1081" s="87">
        <f t="shared" si="103"/>
        <v>-3.6813973122716434E-2</v>
      </c>
      <c r="X1081" s="87">
        <f t="shared" si="103"/>
        <v>-1.5748356968139282E-2</v>
      </c>
      <c r="Y1081" s="87">
        <f t="shared" si="102"/>
        <v>-1.5345569674660421E-2</v>
      </c>
      <c r="Z1081" s="87">
        <f t="shared" si="102"/>
        <v>-3.5718082602079343E-2</v>
      </c>
      <c r="AA1081" s="87">
        <f t="shared" si="102"/>
        <v>1.175101653551873E-2</v>
      </c>
      <c r="AB1081" s="87">
        <f t="shared" si="102"/>
        <v>5.7306747089850745E-3</v>
      </c>
      <c r="AC1081" s="87">
        <f t="shared" si="102"/>
        <v>7.7620053354891094E-3</v>
      </c>
      <c r="AD1081" s="87">
        <f t="shared" si="102"/>
        <v>3.683245416296368E-3</v>
      </c>
      <c r="AE1081" s="90">
        <f t="shared" si="100"/>
        <v>-2.2487946406638953E-3</v>
      </c>
    </row>
    <row r="1082" spans="1:31" ht="15.5" x14ac:dyDescent="0.35">
      <c r="A1082" s="82">
        <v>41338</v>
      </c>
      <c r="B1082" s="83">
        <v>8978.1</v>
      </c>
      <c r="C1082" s="84">
        <v>3224.1</v>
      </c>
      <c r="D1082" s="61">
        <v>414.9</v>
      </c>
      <c r="E1082" s="61">
        <v>22.6</v>
      </c>
      <c r="F1082" s="61">
        <v>60.1</v>
      </c>
      <c r="G1082" s="61">
        <v>28.2</v>
      </c>
      <c r="H1082" s="61">
        <v>16.399999999999999</v>
      </c>
      <c r="I1082" s="61">
        <v>12.7</v>
      </c>
      <c r="J1082" s="61">
        <v>39.299999999999997</v>
      </c>
      <c r="K1082" s="61">
        <v>14.9</v>
      </c>
      <c r="L1082" s="61">
        <v>43.1</v>
      </c>
      <c r="M1082" s="61">
        <v>35.5</v>
      </c>
      <c r="N1082" s="61">
        <v>79.400000000000006</v>
      </c>
      <c r="O1082" s="85">
        <v>27.3</v>
      </c>
      <c r="P1082" s="105"/>
      <c r="Q1082" s="87">
        <f t="shared" si="99"/>
        <v>8.6246486590749877E-3</v>
      </c>
      <c r="R1082" s="87">
        <f t="shared" si="103"/>
        <v>1.3143911617485035E-2</v>
      </c>
      <c r="S1082" s="87">
        <f t="shared" si="103"/>
        <v>2.9349135141520651E-2</v>
      </c>
      <c r="T1082" s="87">
        <f t="shared" si="103"/>
        <v>1.7857617400006472E-2</v>
      </c>
      <c r="U1082" s="87">
        <f t="shared" si="103"/>
        <v>3.333336419758217E-3</v>
      </c>
      <c r="V1082" s="87">
        <f t="shared" si="103"/>
        <v>1.7889564750775123E-2</v>
      </c>
      <c r="W1082" s="87">
        <f t="shared" si="103"/>
        <v>2.4692612590371414E-2</v>
      </c>
      <c r="X1082" s="87">
        <f t="shared" si="103"/>
        <v>7.9051795071132473E-3</v>
      </c>
      <c r="Y1082" s="87">
        <f t="shared" si="102"/>
        <v>1.2804272245987749E-2</v>
      </c>
      <c r="Z1082" s="87">
        <f t="shared" si="102"/>
        <v>-0.10199916795512143</v>
      </c>
      <c r="AA1082" s="87">
        <f t="shared" si="102"/>
        <v>6.984894521951189E-3</v>
      </c>
      <c r="AB1082" s="87">
        <f t="shared" si="102"/>
        <v>1.4184634991956381E-2</v>
      </c>
      <c r="AC1082" s="87">
        <f t="shared" si="102"/>
        <v>2.2930941063917108E-2</v>
      </c>
      <c r="AD1082" s="87">
        <f t="shared" si="102"/>
        <v>3.6697288889624017E-3</v>
      </c>
      <c r="AE1082" s="90">
        <f t="shared" si="100"/>
        <v>1.3931427349668079E-2</v>
      </c>
    </row>
    <row r="1083" spans="1:31" ht="15.5" x14ac:dyDescent="0.35">
      <c r="A1083" s="82">
        <v>41339</v>
      </c>
      <c r="B1083" s="83">
        <v>8997</v>
      </c>
      <c r="C1083" s="84">
        <v>3222.4</v>
      </c>
      <c r="D1083" s="61">
        <v>414.8</v>
      </c>
      <c r="E1083" s="61">
        <v>22.7</v>
      </c>
      <c r="F1083" s="61">
        <v>60.6</v>
      </c>
      <c r="G1083" s="61">
        <v>27.8</v>
      </c>
      <c r="H1083" s="61">
        <v>16.5</v>
      </c>
      <c r="I1083" s="61">
        <v>12.7</v>
      </c>
      <c r="J1083" s="61">
        <v>39.299999999999997</v>
      </c>
      <c r="K1083" s="61">
        <v>14.2</v>
      </c>
      <c r="L1083" s="61">
        <v>43.1</v>
      </c>
      <c r="M1083" s="61">
        <v>36.4</v>
      </c>
      <c r="N1083" s="61">
        <v>79.400000000000006</v>
      </c>
      <c r="O1083" s="85">
        <v>27.4</v>
      </c>
      <c r="P1083" s="105"/>
      <c r="Q1083" s="87">
        <f t="shared" si="99"/>
        <v>2.1029097991122053E-3</v>
      </c>
      <c r="R1083" s="87">
        <f t="shared" si="103"/>
        <v>-5.2741799097402492E-4</v>
      </c>
      <c r="S1083" s="87">
        <f t="shared" si="103"/>
        <v>-2.4105098344985034E-4</v>
      </c>
      <c r="T1083" s="87">
        <f t="shared" si="103"/>
        <v>4.4150182091166933E-3</v>
      </c>
      <c r="U1083" s="87">
        <f t="shared" si="103"/>
        <v>8.2850515341068645E-3</v>
      </c>
      <c r="V1083" s="87">
        <f t="shared" si="103"/>
        <v>-1.4285957247476428E-2</v>
      </c>
      <c r="W1083" s="87">
        <f t="shared" si="103"/>
        <v>6.0790460763821925E-3</v>
      </c>
      <c r="X1083" s="87">
        <f t="shared" si="103"/>
        <v>0</v>
      </c>
      <c r="Y1083" s="87">
        <f t="shared" si="102"/>
        <v>0</v>
      </c>
      <c r="Z1083" s="87">
        <f t="shared" si="102"/>
        <v>-4.8119248344198458E-2</v>
      </c>
      <c r="AA1083" s="87">
        <f t="shared" si="102"/>
        <v>0</v>
      </c>
      <c r="AB1083" s="87">
        <f t="shared" si="102"/>
        <v>2.5036078161324832E-2</v>
      </c>
      <c r="AC1083" s="87">
        <f t="shared" si="102"/>
        <v>0</v>
      </c>
      <c r="AD1083" s="87">
        <f t="shared" si="102"/>
        <v>3.6563112031104792E-3</v>
      </c>
      <c r="AE1083" s="90">
        <f t="shared" si="100"/>
        <v>2.5847730564402243E-3</v>
      </c>
    </row>
    <row r="1084" spans="1:31" ht="15.5" x14ac:dyDescent="0.35">
      <c r="A1084" s="82">
        <v>41340</v>
      </c>
      <c r="B1084" s="83">
        <v>9013.4</v>
      </c>
      <c r="C1084" s="84">
        <v>3232.1</v>
      </c>
      <c r="D1084" s="61">
        <v>415.2</v>
      </c>
      <c r="E1084" s="61">
        <v>22.7</v>
      </c>
      <c r="F1084" s="61">
        <v>60.2</v>
      </c>
      <c r="G1084" s="61">
        <v>28</v>
      </c>
      <c r="H1084" s="61">
        <v>16.399999999999999</v>
      </c>
      <c r="I1084" s="61">
        <v>12.9</v>
      </c>
      <c r="J1084" s="61">
        <v>39.6</v>
      </c>
      <c r="K1084" s="61">
        <v>14.6</v>
      </c>
      <c r="L1084" s="61">
        <v>43.1</v>
      </c>
      <c r="M1084" s="61">
        <v>36.6</v>
      </c>
      <c r="N1084" s="61">
        <v>77.900000000000006</v>
      </c>
      <c r="O1084" s="85">
        <v>27.6</v>
      </c>
      <c r="P1084" s="105"/>
      <c r="Q1084" s="87">
        <f t="shared" si="99"/>
        <v>1.8211704940224939E-3</v>
      </c>
      <c r="R1084" s="87">
        <f t="shared" si="103"/>
        <v>3.0056572321518911E-3</v>
      </c>
      <c r="S1084" s="87">
        <f t="shared" si="103"/>
        <v>9.6385549630665897E-4</v>
      </c>
      <c r="T1084" s="87">
        <f t="shared" si="103"/>
        <v>0</v>
      </c>
      <c r="U1084" s="87">
        <f t="shared" si="103"/>
        <v>-6.6225407604933824E-3</v>
      </c>
      <c r="V1084" s="87">
        <f t="shared" si="103"/>
        <v>7.168489478612497E-3</v>
      </c>
      <c r="W1084" s="87">
        <f t="shared" si="103"/>
        <v>-6.0790460763822263E-3</v>
      </c>
      <c r="X1084" s="87">
        <f t="shared" si="103"/>
        <v>1.5625317903081033E-2</v>
      </c>
      <c r="Y1084" s="87">
        <f t="shared" si="102"/>
        <v>7.6045993852194328E-3</v>
      </c>
      <c r="Z1084" s="87">
        <f t="shared" si="102"/>
        <v>2.7779564107075671E-2</v>
      </c>
      <c r="AA1084" s="87">
        <f t="shared" si="102"/>
        <v>0</v>
      </c>
      <c r="AB1084" s="87">
        <f t="shared" si="102"/>
        <v>5.4794657646255705E-3</v>
      </c>
      <c r="AC1084" s="87">
        <f t="shared" si="102"/>
        <v>-1.9072415376387496E-2</v>
      </c>
      <c r="AD1084" s="87">
        <f t="shared" si="102"/>
        <v>7.2727593290798781E-3</v>
      </c>
      <c r="AE1084" s="90">
        <f t="shared" si="100"/>
        <v>1.7347273438760437E-4</v>
      </c>
    </row>
    <row r="1085" spans="1:31" ht="15.5" x14ac:dyDescent="0.35">
      <c r="A1085" s="82">
        <v>41341</v>
      </c>
      <c r="B1085" s="83">
        <v>9054.4</v>
      </c>
      <c r="C1085" s="84">
        <v>3244.4</v>
      </c>
      <c r="D1085" s="61">
        <v>412.9</v>
      </c>
      <c r="E1085" s="61">
        <v>22.7</v>
      </c>
      <c r="F1085" s="61">
        <v>61.2</v>
      </c>
      <c r="G1085" s="61">
        <v>28</v>
      </c>
      <c r="H1085" s="61">
        <v>16.8</v>
      </c>
      <c r="I1085" s="61">
        <v>12.9</v>
      </c>
      <c r="J1085" s="61">
        <v>39.700000000000003</v>
      </c>
      <c r="K1085" s="61">
        <v>14.7</v>
      </c>
      <c r="L1085" s="61">
        <v>42.9</v>
      </c>
      <c r="M1085" s="61">
        <v>37.5</v>
      </c>
      <c r="N1085" s="61">
        <v>78.599999999999994</v>
      </c>
      <c r="O1085" s="85">
        <v>27.3</v>
      </c>
      <c r="P1085" s="105"/>
      <c r="Q1085" s="87">
        <f t="shared" si="99"/>
        <v>4.538468477118065E-3</v>
      </c>
      <c r="R1085" s="87">
        <f t="shared" si="103"/>
        <v>3.7983524397945086E-3</v>
      </c>
      <c r="S1085" s="87">
        <f t="shared" si="103"/>
        <v>-5.5548989596343546E-3</v>
      </c>
      <c r="T1085" s="87">
        <f t="shared" si="103"/>
        <v>0</v>
      </c>
      <c r="U1085" s="87">
        <f t="shared" si="103"/>
        <v>1.6474837203505042E-2</v>
      </c>
      <c r="V1085" s="87">
        <f t="shared" si="103"/>
        <v>0</v>
      </c>
      <c r="W1085" s="87">
        <f t="shared" si="103"/>
        <v>2.4097551579060524E-2</v>
      </c>
      <c r="X1085" s="87">
        <f t="shared" si="103"/>
        <v>0</v>
      </c>
      <c r="Y1085" s="87">
        <f t="shared" si="102"/>
        <v>2.5220694327099391E-3</v>
      </c>
      <c r="Z1085" s="87">
        <f t="shared" si="102"/>
        <v>6.8259650703998906E-3</v>
      </c>
      <c r="AA1085" s="87">
        <f t="shared" si="102"/>
        <v>-4.6511711757308439E-3</v>
      </c>
      <c r="AB1085" s="87">
        <f t="shared" si="102"/>
        <v>2.4292692569044483E-2</v>
      </c>
      <c r="AC1085" s="87">
        <f t="shared" si="102"/>
        <v>8.9457465584580464E-3</v>
      </c>
      <c r="AD1085" s="87">
        <f t="shared" si="102"/>
        <v>-1.0929070532190317E-2</v>
      </c>
      <c r="AE1085" s="90">
        <f t="shared" si="100"/>
        <v>2.8946620427546706E-3</v>
      </c>
    </row>
    <row r="1086" spans="1:31" ht="15.5" x14ac:dyDescent="0.35">
      <c r="A1086" s="82">
        <v>41344</v>
      </c>
      <c r="B1086" s="83">
        <v>9082.2000000000007</v>
      </c>
      <c r="C1086" s="84">
        <v>3252.9</v>
      </c>
      <c r="D1086" s="61">
        <v>416.2</v>
      </c>
      <c r="E1086" s="61">
        <v>22.6</v>
      </c>
      <c r="F1086" s="61">
        <v>60.7</v>
      </c>
      <c r="G1086" s="61">
        <v>27.7</v>
      </c>
      <c r="H1086" s="61">
        <v>16.8</v>
      </c>
      <c r="I1086" s="61">
        <v>12.8</v>
      </c>
      <c r="J1086" s="61">
        <v>40.200000000000003</v>
      </c>
      <c r="K1086" s="61">
        <v>14.7</v>
      </c>
      <c r="L1086" s="61">
        <v>42.9</v>
      </c>
      <c r="M1086" s="61">
        <v>38.6</v>
      </c>
      <c r="N1086" s="61">
        <v>75.400000000000006</v>
      </c>
      <c r="O1086" s="85">
        <v>27.1</v>
      </c>
      <c r="P1086" s="105"/>
      <c r="Q1086" s="87">
        <f t="shared" si="99"/>
        <v>3.0656266083152715E-3</v>
      </c>
      <c r="R1086" s="87">
        <f t="shared" si="103"/>
        <v>2.6164729500562194E-3</v>
      </c>
      <c r="S1086" s="87">
        <f t="shared" si="103"/>
        <v>7.9604810674895367E-3</v>
      </c>
      <c r="T1086" s="87">
        <f t="shared" si="103"/>
        <v>-4.4150182091167202E-3</v>
      </c>
      <c r="U1086" s="87">
        <f t="shared" si="103"/>
        <v>-8.2034914528277911E-3</v>
      </c>
      <c r="V1086" s="87">
        <f t="shared" si="103"/>
        <v>-1.0772096981911183E-2</v>
      </c>
      <c r="W1086" s="87">
        <f t="shared" si="103"/>
        <v>0</v>
      </c>
      <c r="X1086" s="87">
        <f t="shared" si="103"/>
        <v>-7.7821404420549628E-3</v>
      </c>
      <c r="Y1086" s="87">
        <f t="shared" si="102"/>
        <v>1.2515807931830597E-2</v>
      </c>
      <c r="Z1086" s="87">
        <f t="shared" si="102"/>
        <v>0</v>
      </c>
      <c r="AA1086" s="87">
        <f t="shared" si="102"/>
        <v>0</v>
      </c>
      <c r="AB1086" s="87">
        <f t="shared" si="102"/>
        <v>2.8911343494420143E-2</v>
      </c>
      <c r="AC1086" s="87">
        <f t="shared" si="102"/>
        <v>-4.1564424421250273E-2</v>
      </c>
      <c r="AD1086" s="87">
        <f t="shared" si="102"/>
        <v>-7.352974305258806E-3</v>
      </c>
      <c r="AE1086" s="90">
        <f t="shared" si="100"/>
        <v>-1.2460993191003669E-4</v>
      </c>
    </row>
    <row r="1087" spans="1:31" ht="15.5" x14ac:dyDescent="0.35">
      <c r="A1087" s="82">
        <v>41345</v>
      </c>
      <c r="B1087" s="83">
        <v>9060</v>
      </c>
      <c r="C1087" s="84">
        <v>3242.3</v>
      </c>
      <c r="D1087" s="61">
        <v>412.3</v>
      </c>
      <c r="E1087" s="61">
        <v>22.2</v>
      </c>
      <c r="F1087" s="61">
        <v>61.1</v>
      </c>
      <c r="G1087" s="61">
        <v>27.6</v>
      </c>
      <c r="H1087" s="61">
        <v>16.8</v>
      </c>
      <c r="I1087" s="61">
        <v>12.9</v>
      </c>
      <c r="J1087" s="61">
        <v>41.1</v>
      </c>
      <c r="K1087" s="61">
        <v>14.8</v>
      </c>
      <c r="L1087" s="61">
        <v>44.9</v>
      </c>
      <c r="M1087" s="61">
        <v>39.299999999999997</v>
      </c>
      <c r="N1087" s="61">
        <v>75.8</v>
      </c>
      <c r="O1087" s="85">
        <v>26.6</v>
      </c>
      <c r="P1087" s="105"/>
      <c r="Q1087" s="87">
        <f t="shared" si="99"/>
        <v>-2.4473339595495261E-3</v>
      </c>
      <c r="R1087" s="87">
        <f t="shared" si="103"/>
        <v>-3.2639516598362847E-3</v>
      </c>
      <c r="S1087" s="87">
        <f t="shared" si="103"/>
        <v>-9.4146742466796815E-3</v>
      </c>
      <c r="T1087" s="87">
        <f t="shared" si="103"/>
        <v>-1.7857617400006572E-2</v>
      </c>
      <c r="U1087" s="87">
        <f t="shared" si="103"/>
        <v>6.568168112096949E-3</v>
      </c>
      <c r="V1087" s="87">
        <f t="shared" si="103"/>
        <v>-3.6166404701884389E-3</v>
      </c>
      <c r="W1087" s="87">
        <f t="shared" si="103"/>
        <v>0</v>
      </c>
      <c r="X1087" s="87">
        <f t="shared" si="103"/>
        <v>7.782140442054949E-3</v>
      </c>
      <c r="Y1087" s="87">
        <f t="shared" si="102"/>
        <v>2.2141125877213501E-2</v>
      </c>
      <c r="Z1087" s="87">
        <f t="shared" si="102"/>
        <v>6.7796869853787691E-3</v>
      </c>
      <c r="AA1087" s="87">
        <f t="shared" si="102"/>
        <v>4.5565968814237301E-2</v>
      </c>
      <c r="AB1087" s="87">
        <f t="shared" si="102"/>
        <v>1.7972242404430218E-2</v>
      </c>
      <c r="AC1087" s="87">
        <f t="shared" si="102"/>
        <v>5.2910176344154588E-3</v>
      </c>
      <c r="AD1087" s="87">
        <f t="shared" si="102"/>
        <v>-1.8622512098001798E-2</v>
      </c>
      <c r="AE1087" s="90">
        <f t="shared" si="100"/>
        <v>-4.1200841825194817E-3</v>
      </c>
    </row>
    <row r="1088" spans="1:31" ht="15.5" x14ac:dyDescent="0.35">
      <c r="A1088" s="82">
        <v>41346</v>
      </c>
      <c r="B1088" s="83">
        <v>9057</v>
      </c>
      <c r="C1088" s="84">
        <v>3245.1</v>
      </c>
      <c r="D1088" s="61">
        <v>411.6</v>
      </c>
      <c r="E1088" s="61">
        <v>22.2</v>
      </c>
      <c r="F1088" s="61">
        <v>60.8</v>
      </c>
      <c r="G1088" s="61">
        <v>27.8</v>
      </c>
      <c r="H1088" s="61">
        <v>16.899999999999999</v>
      </c>
      <c r="I1088" s="61">
        <v>13</v>
      </c>
      <c r="J1088" s="61">
        <v>40.9</v>
      </c>
      <c r="K1088" s="61">
        <v>15</v>
      </c>
      <c r="L1088" s="61">
        <v>44.5</v>
      </c>
      <c r="M1088" s="61">
        <v>39.299999999999997</v>
      </c>
      <c r="N1088" s="61">
        <v>77.3</v>
      </c>
      <c r="O1088" s="85">
        <v>26.8</v>
      </c>
      <c r="P1088" s="105"/>
      <c r="Q1088" s="87">
        <f t="shared" si="99"/>
        <v>-3.3118066207653296E-4</v>
      </c>
      <c r="R1088" s="87">
        <f t="shared" si="103"/>
        <v>8.6321181794383724E-4</v>
      </c>
      <c r="S1088" s="87">
        <f t="shared" si="103"/>
        <v>-1.6992357529598016E-3</v>
      </c>
      <c r="T1088" s="87">
        <f t="shared" si="103"/>
        <v>0</v>
      </c>
      <c r="U1088" s="87">
        <f t="shared" si="103"/>
        <v>-4.9220772054283319E-3</v>
      </c>
      <c r="V1088" s="87">
        <f t="shared" si="103"/>
        <v>7.2202479734870973E-3</v>
      </c>
      <c r="W1088" s="87">
        <f t="shared" si="103"/>
        <v>5.9347355198145265E-3</v>
      </c>
      <c r="X1088" s="87">
        <f t="shared" si="103"/>
        <v>7.7220460939103185E-3</v>
      </c>
      <c r="Y1088" s="87">
        <f t="shared" si="102"/>
        <v>-4.8780584534329667E-3</v>
      </c>
      <c r="Z1088" s="87">
        <f t="shared" si="102"/>
        <v>1.342302033214055E-2</v>
      </c>
      <c r="AA1088" s="87">
        <f t="shared" si="102"/>
        <v>-8.9486055760140334E-3</v>
      </c>
      <c r="AB1088" s="87">
        <f t="shared" si="102"/>
        <v>0</v>
      </c>
      <c r="AC1088" s="87">
        <f t="shared" si="102"/>
        <v>1.9595662945050198E-2</v>
      </c>
      <c r="AD1088" s="87">
        <f t="shared" si="102"/>
        <v>7.4906717291576587E-3</v>
      </c>
      <c r="AE1088" s="90">
        <f t="shared" si="100"/>
        <v>-7.3566459641777923E-4</v>
      </c>
    </row>
    <row r="1089" spans="1:31" ht="15.5" x14ac:dyDescent="0.35">
      <c r="A1089" s="82">
        <v>41347</v>
      </c>
      <c r="B1089" s="83">
        <v>9128</v>
      </c>
      <c r="C1089" s="84">
        <v>3258.9</v>
      </c>
      <c r="D1089" s="61">
        <v>409.1</v>
      </c>
      <c r="E1089" s="61">
        <v>22.4</v>
      </c>
      <c r="F1089" s="61">
        <v>61.5</v>
      </c>
      <c r="G1089" s="61">
        <v>27.9</v>
      </c>
      <c r="H1089" s="61">
        <v>16.600000000000001</v>
      </c>
      <c r="I1089" s="61">
        <v>13.4</v>
      </c>
      <c r="J1089" s="61">
        <v>40.700000000000003</v>
      </c>
      <c r="K1089" s="61">
        <v>15.2</v>
      </c>
      <c r="L1089" s="61">
        <v>43.6</v>
      </c>
      <c r="M1089" s="61">
        <v>40</v>
      </c>
      <c r="N1089" s="61">
        <v>78</v>
      </c>
      <c r="O1089" s="85">
        <v>27.2</v>
      </c>
      <c r="P1089" s="105"/>
      <c r="Q1089" s="87">
        <f t="shared" si="99"/>
        <v>7.8086731669630245E-3</v>
      </c>
      <c r="R1089" s="87">
        <f t="shared" si="103"/>
        <v>4.243548803461456E-3</v>
      </c>
      <c r="S1089" s="87">
        <f t="shared" si="103"/>
        <v>-6.0923790245416432E-3</v>
      </c>
      <c r="T1089" s="87">
        <f t="shared" si="103"/>
        <v>8.9686699827603161E-3</v>
      </c>
      <c r="U1089" s="87">
        <f t="shared" si="103"/>
        <v>1.1447385840350967E-2</v>
      </c>
      <c r="V1089" s="87">
        <f t="shared" si="103"/>
        <v>3.59066813072854E-3</v>
      </c>
      <c r="W1089" s="87">
        <f t="shared" si="103"/>
        <v>-1.7910926566530105E-2</v>
      </c>
      <c r="X1089" s="87">
        <f t="shared" si="103"/>
        <v>3.0305349495329058E-2</v>
      </c>
      <c r="Y1089" s="87">
        <f t="shared" si="102"/>
        <v>-4.9019706002066685E-3</v>
      </c>
      <c r="Z1089" s="87">
        <f t="shared" si="102"/>
        <v>1.3245226750020505E-2</v>
      </c>
      <c r="AA1089" s="87">
        <f t="shared" si="102"/>
        <v>-2.0432038817205855E-2</v>
      </c>
      <c r="AB1089" s="87">
        <f t="shared" si="102"/>
        <v>1.7654935238720745E-2</v>
      </c>
      <c r="AC1089" s="87">
        <f t="shared" si="102"/>
        <v>9.0148710962155796E-3</v>
      </c>
      <c r="AD1089" s="87">
        <f t="shared" si="102"/>
        <v>1.4815085785140682E-2</v>
      </c>
      <c r="AE1089" s="90">
        <f t="shared" si="100"/>
        <v>4.562367056890791E-3</v>
      </c>
    </row>
    <row r="1090" spans="1:31" ht="15.5" x14ac:dyDescent="0.35">
      <c r="A1090" s="82">
        <v>41348</v>
      </c>
      <c r="B1090" s="83">
        <v>9116.6</v>
      </c>
      <c r="C1090" s="84">
        <v>3249.1</v>
      </c>
      <c r="D1090" s="61">
        <v>407.1</v>
      </c>
      <c r="E1090" s="61">
        <v>22</v>
      </c>
      <c r="F1090" s="61">
        <v>62.5</v>
      </c>
      <c r="G1090" s="61">
        <v>28</v>
      </c>
      <c r="H1090" s="61">
        <v>16.5</v>
      </c>
      <c r="I1090" s="61">
        <v>13.5</v>
      </c>
      <c r="J1090" s="61">
        <v>40.700000000000003</v>
      </c>
      <c r="K1090" s="61">
        <v>15.3</v>
      </c>
      <c r="L1090" s="61">
        <v>43.8</v>
      </c>
      <c r="M1090" s="61">
        <v>39.799999999999997</v>
      </c>
      <c r="N1090" s="61">
        <v>78.3</v>
      </c>
      <c r="O1090" s="85">
        <v>27.1</v>
      </c>
      <c r="P1090" s="105"/>
      <c r="Q1090" s="87">
        <f t="shared" si="99"/>
        <v>-1.2496850008908553E-3</v>
      </c>
      <c r="R1090" s="87">
        <f t="shared" si="103"/>
        <v>-3.0116802112303016E-3</v>
      </c>
      <c r="S1090" s="87">
        <f t="shared" si="103"/>
        <v>-4.9007694264197573E-3</v>
      </c>
      <c r="T1090" s="87">
        <f t="shared" si="103"/>
        <v>-1.801850550267825E-2</v>
      </c>
      <c r="U1090" s="87">
        <f t="shared" si="103"/>
        <v>1.6129381929883717E-2</v>
      </c>
      <c r="V1090" s="87">
        <f t="shared" si="103"/>
        <v>3.5778213478841235E-3</v>
      </c>
      <c r="W1090" s="87">
        <f t="shared" si="103"/>
        <v>-6.0423144559626982E-3</v>
      </c>
      <c r="X1090" s="87">
        <f t="shared" si="103"/>
        <v>7.4349784875179905E-3</v>
      </c>
      <c r="Y1090" s="87">
        <f t="shared" si="102"/>
        <v>0</v>
      </c>
      <c r="Z1090" s="87">
        <f t="shared" si="102"/>
        <v>6.5574005461592607E-3</v>
      </c>
      <c r="AA1090" s="87">
        <f t="shared" si="102"/>
        <v>4.5766670274116732E-3</v>
      </c>
      <c r="AB1090" s="87">
        <f t="shared" si="102"/>
        <v>-5.0125418235443982E-3</v>
      </c>
      <c r="AC1090" s="87">
        <f t="shared" si="102"/>
        <v>3.8387763071656669E-3</v>
      </c>
      <c r="AD1090" s="87">
        <f t="shared" si="102"/>
        <v>-3.6832454162962934E-3</v>
      </c>
      <c r="AE1090" s="90">
        <f t="shared" si="100"/>
        <v>1.8268089881107699E-3</v>
      </c>
    </row>
    <row r="1091" spans="1:31" ht="15.5" x14ac:dyDescent="0.35">
      <c r="A1091" s="82">
        <v>41351</v>
      </c>
      <c r="B1091" s="83">
        <v>9045.4</v>
      </c>
      <c r="C1091" s="84">
        <v>3237.6</v>
      </c>
      <c r="D1091" s="61">
        <v>401.1</v>
      </c>
      <c r="E1091" s="61">
        <v>21.9</v>
      </c>
      <c r="F1091" s="61">
        <v>63</v>
      </c>
      <c r="G1091" s="61">
        <v>27.8</v>
      </c>
      <c r="H1091" s="61">
        <v>16.8</v>
      </c>
      <c r="I1091" s="61">
        <v>13.4</v>
      </c>
      <c r="J1091" s="61">
        <v>39.9</v>
      </c>
      <c r="K1091" s="61">
        <v>15.7</v>
      </c>
      <c r="L1091" s="61">
        <v>43.6</v>
      </c>
      <c r="M1091" s="61">
        <v>38.9</v>
      </c>
      <c r="N1091" s="61">
        <v>76.400000000000006</v>
      </c>
      <c r="O1091" s="85">
        <v>27</v>
      </c>
      <c r="P1091" s="105"/>
      <c r="Q1091" s="87">
        <f t="shared" si="99"/>
        <v>-7.8405863616423273E-3</v>
      </c>
      <c r="R1091" s="87">
        <f t="shared" si="103"/>
        <v>-3.545720334928741E-3</v>
      </c>
      <c r="S1091" s="87">
        <f t="shared" si="103"/>
        <v>-1.4848082732925972E-2</v>
      </c>
      <c r="T1091" s="87">
        <f t="shared" si="103"/>
        <v>-4.5558165358608018E-3</v>
      </c>
      <c r="U1091" s="87">
        <f t="shared" si="103"/>
        <v>7.9681696491768813E-3</v>
      </c>
      <c r="V1091" s="87">
        <f t="shared" si="103"/>
        <v>-7.168489478612516E-3</v>
      </c>
      <c r="W1091" s="87">
        <f t="shared" si="103"/>
        <v>1.8018505502678431E-2</v>
      </c>
      <c r="X1091" s="87">
        <f t="shared" si="103"/>
        <v>-7.4349784875180902E-3</v>
      </c>
      <c r="Y1091" s="87">
        <f t="shared" si="102"/>
        <v>-1.9851768552731585E-2</v>
      </c>
      <c r="Z1091" s="87">
        <f t="shared" si="102"/>
        <v>2.5807883955872503E-2</v>
      </c>
      <c r="AA1091" s="87">
        <f t="shared" si="102"/>
        <v>-4.5766670274117547E-3</v>
      </c>
      <c r="AB1091" s="87">
        <f t="shared" si="102"/>
        <v>-2.2872661665991341E-2</v>
      </c>
      <c r="AC1091" s="87">
        <f t="shared" si="102"/>
        <v>-2.4564906824282515E-2</v>
      </c>
      <c r="AD1091" s="87">
        <f t="shared" si="102"/>
        <v>-3.6968618813262031E-3</v>
      </c>
      <c r="AE1091" s="90">
        <f t="shared" si="100"/>
        <v>-3.5807505341727292E-3</v>
      </c>
    </row>
    <row r="1092" spans="1:31" ht="15.5" x14ac:dyDescent="0.35">
      <c r="A1092" s="82">
        <v>41352</v>
      </c>
      <c r="B1092" s="83">
        <v>9017.7000000000007</v>
      </c>
      <c r="C1092" s="84">
        <v>3229.1</v>
      </c>
      <c r="D1092" s="61">
        <v>403.6</v>
      </c>
      <c r="E1092" s="61">
        <v>21.9</v>
      </c>
      <c r="F1092" s="61">
        <v>64.099999999999994</v>
      </c>
      <c r="G1092" s="61">
        <v>28</v>
      </c>
      <c r="H1092" s="61">
        <v>16.8</v>
      </c>
      <c r="I1092" s="61">
        <v>13.2</v>
      </c>
      <c r="J1092" s="61">
        <v>39.5</v>
      </c>
      <c r="K1092" s="61">
        <v>16</v>
      </c>
      <c r="L1092" s="61">
        <v>43.6</v>
      </c>
      <c r="M1092" s="61">
        <v>38.299999999999997</v>
      </c>
      <c r="N1092" s="61">
        <v>76.599999999999994</v>
      </c>
      <c r="O1092" s="85">
        <v>26.8</v>
      </c>
      <c r="P1092" s="105"/>
      <c r="Q1092" s="87">
        <f t="shared" si="99"/>
        <v>-3.0670285514348755E-3</v>
      </c>
      <c r="R1092" s="87">
        <f t="shared" si="103"/>
        <v>-2.628853942567632E-3</v>
      </c>
      <c r="S1092" s="87">
        <f t="shared" si="103"/>
        <v>6.2135157034467732E-3</v>
      </c>
      <c r="T1092" s="87">
        <f t="shared" si="103"/>
        <v>0</v>
      </c>
      <c r="U1092" s="87">
        <f t="shared" si="103"/>
        <v>1.7309637535091606E-2</v>
      </c>
      <c r="V1092" s="87">
        <f t="shared" si="103"/>
        <v>7.168489478612497E-3</v>
      </c>
      <c r="W1092" s="87">
        <f t="shared" si="103"/>
        <v>0</v>
      </c>
      <c r="X1092" s="87">
        <f t="shared" si="103"/>
        <v>-1.5037877364540559E-2</v>
      </c>
      <c r="Y1092" s="87">
        <f t="shared" si="102"/>
        <v>-1.0075651988741587E-2</v>
      </c>
      <c r="Z1092" s="87">
        <f t="shared" si="102"/>
        <v>1.8928009885518859E-2</v>
      </c>
      <c r="AA1092" s="87">
        <f t="shared" si="102"/>
        <v>0</v>
      </c>
      <c r="AB1092" s="87">
        <f t="shared" si="102"/>
        <v>-1.5544354437800344E-2</v>
      </c>
      <c r="AC1092" s="87">
        <f t="shared" si="102"/>
        <v>2.614380574070672E-3</v>
      </c>
      <c r="AD1092" s="87">
        <f t="shared" si="102"/>
        <v>-7.4349784875180902E-3</v>
      </c>
      <c r="AE1092" s="90">
        <f t="shared" si="100"/>
        <v>5.0768912279233165E-3</v>
      </c>
    </row>
    <row r="1093" spans="1:31" ht="15.5" x14ac:dyDescent="0.35">
      <c r="A1093" s="82">
        <v>41353</v>
      </c>
      <c r="B1093" s="83">
        <v>9081.1</v>
      </c>
      <c r="C1093" s="84">
        <v>3254.2</v>
      </c>
      <c r="D1093" s="61">
        <v>406.1</v>
      </c>
      <c r="E1093" s="61">
        <v>22</v>
      </c>
      <c r="F1093" s="61">
        <v>64.2</v>
      </c>
      <c r="G1093" s="61">
        <v>28.2</v>
      </c>
      <c r="H1093" s="61">
        <v>16.8</v>
      </c>
      <c r="I1093" s="61">
        <v>13.3</v>
      </c>
      <c r="J1093" s="61">
        <v>39.799999999999997</v>
      </c>
      <c r="K1093" s="61">
        <v>16</v>
      </c>
      <c r="L1093" s="61">
        <v>43.9</v>
      </c>
      <c r="M1093" s="61">
        <v>38.5</v>
      </c>
      <c r="N1093" s="61">
        <v>77.5</v>
      </c>
      <c r="O1093" s="85">
        <v>27</v>
      </c>
      <c r="P1093" s="105"/>
      <c r="Q1093" s="87">
        <f t="shared" si="99"/>
        <v>7.0060180043365642E-3</v>
      </c>
      <c r="R1093" s="87">
        <f t="shared" si="103"/>
        <v>7.7430090861303515E-3</v>
      </c>
      <c r="S1093" s="87">
        <f t="shared" si="103"/>
        <v>6.1751462127982064E-3</v>
      </c>
      <c r="T1093" s="87">
        <f t="shared" si="103"/>
        <v>4.5558165358608824E-3</v>
      </c>
      <c r="U1093" s="87">
        <f t="shared" si="103"/>
        <v>1.5588467692913214E-3</v>
      </c>
      <c r="V1093" s="87">
        <f t="shared" si="103"/>
        <v>7.1174677688639549E-3</v>
      </c>
      <c r="W1093" s="87">
        <f t="shared" si="103"/>
        <v>0</v>
      </c>
      <c r="X1093" s="87">
        <f t="shared" si="103"/>
        <v>7.5472056353831241E-3</v>
      </c>
      <c r="Y1093" s="87">
        <f t="shared" si="102"/>
        <v>7.5662403833156562E-3</v>
      </c>
      <c r="Z1093" s="87">
        <f t="shared" si="102"/>
        <v>0</v>
      </c>
      <c r="AA1093" s="87">
        <f t="shared" si="102"/>
        <v>6.8571697261370452E-3</v>
      </c>
      <c r="AB1093" s="87">
        <f t="shared" si="102"/>
        <v>5.2083451071382597E-3</v>
      </c>
      <c r="AC1093" s="87">
        <f t="shared" si="102"/>
        <v>1.1680859612755808E-2</v>
      </c>
      <c r="AD1093" s="87">
        <f t="shared" si="102"/>
        <v>7.4349784875179905E-3</v>
      </c>
      <c r="AE1093" s="90">
        <f t="shared" si="100"/>
        <v>5.4782614717484553E-3</v>
      </c>
    </row>
    <row r="1094" spans="1:31" ht="15.5" x14ac:dyDescent="0.35">
      <c r="A1094" s="82">
        <v>41354</v>
      </c>
      <c r="B1094" s="83">
        <v>9009.7000000000007</v>
      </c>
      <c r="C1094" s="84">
        <v>3222.6</v>
      </c>
      <c r="D1094" s="61">
        <v>405.3</v>
      </c>
      <c r="E1094" s="61">
        <v>22.4</v>
      </c>
      <c r="F1094" s="61">
        <v>64.3</v>
      </c>
      <c r="G1094" s="61">
        <v>28.1</v>
      </c>
      <c r="H1094" s="61">
        <v>16.899999999999999</v>
      </c>
      <c r="I1094" s="61">
        <v>12.9</v>
      </c>
      <c r="J1094" s="61">
        <v>39.5</v>
      </c>
      <c r="K1094" s="61">
        <v>15.4</v>
      </c>
      <c r="L1094" s="61">
        <v>43.8</v>
      </c>
      <c r="M1094" s="61">
        <v>37.9</v>
      </c>
      <c r="N1094" s="61">
        <v>78.5</v>
      </c>
      <c r="O1094" s="85">
        <v>26.8</v>
      </c>
      <c r="P1094" s="105"/>
      <c r="Q1094" s="87">
        <f t="shared" si="99"/>
        <v>-7.8935559216346592E-3</v>
      </c>
      <c r="R1094" s="87">
        <f t="shared" si="103"/>
        <v>-9.757982565749921E-3</v>
      </c>
      <c r="S1094" s="87">
        <f t="shared" si="103"/>
        <v>-1.9719010579893094E-3</v>
      </c>
      <c r="T1094" s="87">
        <f t="shared" si="103"/>
        <v>1.8018505502678212E-2</v>
      </c>
      <c r="U1094" s="87">
        <f t="shared" si="103"/>
        <v>1.556420547658158E-3</v>
      </c>
      <c r="V1094" s="87">
        <f t="shared" si="103"/>
        <v>-3.5524016043677721E-3</v>
      </c>
      <c r="W1094" s="87">
        <f t="shared" si="103"/>
        <v>5.9347355198145265E-3</v>
      </c>
      <c r="X1094" s="87">
        <f t="shared" si="103"/>
        <v>-3.053672386008165E-2</v>
      </c>
      <c r="Y1094" s="87">
        <f t="shared" si="102"/>
        <v>-7.5662403833158132E-3</v>
      </c>
      <c r="Z1094" s="87">
        <f t="shared" si="102"/>
        <v>-3.8221212820197741E-2</v>
      </c>
      <c r="AA1094" s="87">
        <f t="shared" si="102"/>
        <v>-2.2805026987252177E-3</v>
      </c>
      <c r="AB1094" s="87">
        <f t="shared" si="102"/>
        <v>-1.570712920535788E-2</v>
      </c>
      <c r="AC1094" s="87">
        <f t="shared" si="102"/>
        <v>1.2820688429061469E-2</v>
      </c>
      <c r="AD1094" s="87">
        <f t="shared" si="102"/>
        <v>-7.4349784875180902E-3</v>
      </c>
      <c r="AE1094" s="90">
        <f t="shared" si="100"/>
        <v>-3.9609103323599197E-3</v>
      </c>
    </row>
    <row r="1095" spans="1:31" ht="15.5" x14ac:dyDescent="0.35">
      <c r="A1095" s="82">
        <v>41355</v>
      </c>
      <c r="B1095" s="83">
        <v>9065.7999999999993</v>
      </c>
      <c r="C1095" s="84">
        <v>3245</v>
      </c>
      <c r="D1095" s="61">
        <v>405.2</v>
      </c>
      <c r="E1095" s="61">
        <v>22.7</v>
      </c>
      <c r="F1095" s="61">
        <v>64.7</v>
      </c>
      <c r="G1095" s="61">
        <v>28.1</v>
      </c>
      <c r="H1095" s="61">
        <v>16.600000000000001</v>
      </c>
      <c r="I1095" s="61">
        <v>12.8</v>
      </c>
      <c r="J1095" s="61">
        <v>39.299999999999997</v>
      </c>
      <c r="K1095" s="61">
        <v>15.3</v>
      </c>
      <c r="L1095" s="61">
        <v>43.8</v>
      </c>
      <c r="M1095" s="61">
        <v>38.1</v>
      </c>
      <c r="N1095" s="61">
        <v>78.599999999999994</v>
      </c>
      <c r="O1095" s="85">
        <v>28.9</v>
      </c>
      <c r="P1095" s="105"/>
      <c r="Q1095" s="87">
        <f t="shared" si="99"/>
        <v>6.2073171011927291E-3</v>
      </c>
      <c r="R1095" s="87">
        <f t="shared" si="103"/>
        <v>6.9268629987217015E-3</v>
      </c>
      <c r="S1095" s="87">
        <f t="shared" si="103"/>
        <v>-2.4676125973457637E-4</v>
      </c>
      <c r="T1095" s="87">
        <f t="shared" si="103"/>
        <v>1.3303965626362886E-2</v>
      </c>
      <c r="U1095" s="87">
        <f t="shared" si="103"/>
        <v>6.2015702632813273E-3</v>
      </c>
      <c r="V1095" s="87">
        <f t="shared" si="103"/>
        <v>0</v>
      </c>
      <c r="W1095" s="87">
        <f t="shared" si="103"/>
        <v>-1.7910926566530105E-2</v>
      </c>
      <c r="X1095" s="87">
        <f t="shared" si="103"/>
        <v>-7.7821404420549628E-3</v>
      </c>
      <c r="Y1095" s="87">
        <f t="shared" si="102"/>
        <v>-5.0761530318606607E-3</v>
      </c>
      <c r="Z1095" s="87">
        <f t="shared" si="102"/>
        <v>-6.5146810211936419E-3</v>
      </c>
      <c r="AA1095" s="87">
        <f t="shared" si="102"/>
        <v>0</v>
      </c>
      <c r="AB1095" s="87">
        <f t="shared" si="102"/>
        <v>5.2631700442746909E-3</v>
      </c>
      <c r="AC1095" s="87">
        <f t="shared" si="102"/>
        <v>1.2730746467981126E-3</v>
      </c>
      <c r="AD1095" s="87">
        <f t="shared" si="102"/>
        <v>7.5439707601575326E-2</v>
      </c>
      <c r="AE1095" s="90">
        <f t="shared" si="100"/>
        <v>1.2946908512483056E-2</v>
      </c>
    </row>
    <row r="1096" spans="1:31" ht="15.5" x14ac:dyDescent="0.35">
      <c r="A1096" s="82">
        <v>41358</v>
      </c>
      <c r="B1096" s="83">
        <v>9023</v>
      </c>
      <c r="C1096" s="84">
        <v>3235.3</v>
      </c>
      <c r="D1096" s="61">
        <v>403.8</v>
      </c>
      <c r="E1096" s="61">
        <v>23.3</v>
      </c>
      <c r="F1096" s="61">
        <v>66</v>
      </c>
      <c r="G1096" s="61">
        <v>28</v>
      </c>
      <c r="H1096" s="61">
        <v>18</v>
      </c>
      <c r="I1096" s="61">
        <v>12.6</v>
      </c>
      <c r="J1096" s="61">
        <v>39.1</v>
      </c>
      <c r="K1096" s="61">
        <v>14.7</v>
      </c>
      <c r="L1096" s="61">
        <v>43.5</v>
      </c>
      <c r="M1096" s="61">
        <v>38</v>
      </c>
      <c r="N1096" s="61">
        <v>80.3</v>
      </c>
      <c r="O1096" s="85">
        <v>29.5</v>
      </c>
      <c r="P1096" s="105"/>
      <c r="Q1096" s="87">
        <f t="shared" si="99"/>
        <v>-4.7322188173376028E-3</v>
      </c>
      <c r="R1096" s="87">
        <f t="shared" si="103"/>
        <v>-2.9936907996331199E-3</v>
      </c>
      <c r="S1096" s="87">
        <f t="shared" si="103"/>
        <v>-3.4610664957911317E-3</v>
      </c>
      <c r="T1096" s="87">
        <f t="shared" si="103"/>
        <v>2.6088436084297874E-2</v>
      </c>
      <c r="U1096" s="87">
        <f t="shared" si="103"/>
        <v>1.9893540519570572E-2</v>
      </c>
      <c r="V1096" s="87">
        <f t="shared" si="103"/>
        <v>-3.5650661644962569E-3</v>
      </c>
      <c r="W1096" s="87">
        <f t="shared" si="103"/>
        <v>8.0969062533667091E-2</v>
      </c>
      <c r="X1096" s="87">
        <f t="shared" si="103"/>
        <v>-1.5748356968139282E-2</v>
      </c>
      <c r="Y1096" s="87">
        <f t="shared" si="102"/>
        <v>-5.1020518838953985E-3</v>
      </c>
      <c r="Z1096" s="87">
        <f t="shared" si="102"/>
        <v>-4.0005334613699248E-2</v>
      </c>
      <c r="AA1096" s="87">
        <f t="shared" si="102"/>
        <v>-6.8728792877619524E-3</v>
      </c>
      <c r="AB1096" s="87">
        <f t="shared" si="102"/>
        <v>-2.6281224062695806E-3</v>
      </c>
      <c r="AC1096" s="87">
        <f t="shared" si="102"/>
        <v>2.1397921517555072E-2</v>
      </c>
      <c r="AD1096" s="87">
        <f t="shared" si="102"/>
        <v>2.054866822738776E-2</v>
      </c>
      <c r="AE1096" s="90">
        <f t="shared" si="100"/>
        <v>6.2753610464002249E-3</v>
      </c>
    </row>
    <row r="1097" spans="1:31" ht="15.5" x14ac:dyDescent="0.35">
      <c r="A1097" s="82">
        <v>41359</v>
      </c>
      <c r="B1097" s="83">
        <v>9083.7000000000007</v>
      </c>
      <c r="C1097" s="84">
        <v>3252.5</v>
      </c>
      <c r="D1097" s="61">
        <v>404.3</v>
      </c>
      <c r="E1097" s="61">
        <v>23.4</v>
      </c>
      <c r="F1097" s="61">
        <v>65.8</v>
      </c>
      <c r="G1097" s="61">
        <v>28.1</v>
      </c>
      <c r="H1097" s="61">
        <v>17.399999999999999</v>
      </c>
      <c r="I1097" s="61">
        <v>12.5</v>
      </c>
      <c r="J1097" s="61">
        <v>39</v>
      </c>
      <c r="K1097" s="61">
        <v>14.8</v>
      </c>
      <c r="L1097" s="61">
        <v>43.9</v>
      </c>
      <c r="M1097" s="61">
        <v>38.200000000000003</v>
      </c>
      <c r="N1097" s="61">
        <v>80.900000000000006</v>
      </c>
      <c r="O1097" s="85">
        <v>29.5</v>
      </c>
      <c r="P1097" s="105"/>
      <c r="Q1097" s="87">
        <f t="shared" si="99"/>
        <v>6.7047255865325282E-3</v>
      </c>
      <c r="R1097" s="87">
        <f t="shared" si="103"/>
        <v>5.3022720481030695E-3</v>
      </c>
      <c r="S1097" s="87">
        <f t="shared" si="103"/>
        <v>1.2374707679880604E-3</v>
      </c>
      <c r="T1097" s="87">
        <f t="shared" si="103"/>
        <v>4.2826617920007281E-3</v>
      </c>
      <c r="U1097" s="87">
        <f t="shared" si="103"/>
        <v>-3.034903695154047E-3</v>
      </c>
      <c r="V1097" s="87">
        <f t="shared" si="103"/>
        <v>3.5650661644961446E-3</v>
      </c>
      <c r="W1097" s="87">
        <f t="shared" si="103"/>
        <v>-3.3901551675681457E-2</v>
      </c>
      <c r="X1097" s="87">
        <f t="shared" si="103"/>
        <v>-7.9681696491768449E-3</v>
      </c>
      <c r="Y1097" s="87">
        <f t="shared" si="102"/>
        <v>-2.5608208616737039E-3</v>
      </c>
      <c r="Z1097" s="87">
        <f t="shared" si="102"/>
        <v>6.7796869853787691E-3</v>
      </c>
      <c r="AA1097" s="87">
        <f t="shared" si="102"/>
        <v>9.1533819864872013E-3</v>
      </c>
      <c r="AB1097" s="87">
        <f t="shared" si="102"/>
        <v>5.249355886143745E-3</v>
      </c>
      <c r="AC1097" s="87">
        <f t="shared" si="102"/>
        <v>7.4442031117300462E-3</v>
      </c>
      <c r="AD1097" s="87">
        <f t="shared" si="102"/>
        <v>0</v>
      </c>
      <c r="AE1097" s="90">
        <f t="shared" si="100"/>
        <v>1.0838383031845193E-3</v>
      </c>
    </row>
    <row r="1098" spans="1:31" ht="15.5" x14ac:dyDescent="0.35">
      <c r="A1098" s="82">
        <v>41360</v>
      </c>
      <c r="B1098" s="83">
        <v>9070.4</v>
      </c>
      <c r="C1098" s="84">
        <v>3256.5</v>
      </c>
      <c r="D1098" s="61">
        <v>401.1</v>
      </c>
      <c r="E1098" s="61">
        <v>23.4</v>
      </c>
      <c r="F1098" s="61">
        <v>64.400000000000006</v>
      </c>
      <c r="G1098" s="61">
        <v>28.1</v>
      </c>
      <c r="H1098" s="61">
        <v>16.899999999999999</v>
      </c>
      <c r="I1098" s="61">
        <v>12.5</v>
      </c>
      <c r="J1098" s="61">
        <v>38.799999999999997</v>
      </c>
      <c r="K1098" s="61">
        <v>14.7</v>
      </c>
      <c r="L1098" s="61">
        <v>43.9</v>
      </c>
      <c r="M1098" s="61">
        <v>37.700000000000003</v>
      </c>
      <c r="N1098" s="61">
        <v>80.3</v>
      </c>
      <c r="O1098" s="85">
        <v>29.1</v>
      </c>
      <c r="P1098" s="105"/>
      <c r="Q1098" s="87">
        <f t="shared" si="99"/>
        <v>-1.4652340109940652E-3</v>
      </c>
      <c r="R1098" s="87">
        <f t="shared" si="103"/>
        <v>1.2290675997958366E-3</v>
      </c>
      <c r="S1098" s="87">
        <f t="shared" si="103"/>
        <v>-7.9464038707179468E-3</v>
      </c>
      <c r="T1098" s="87">
        <f t="shared" si="103"/>
        <v>0</v>
      </c>
      <c r="U1098" s="87">
        <f t="shared" si="103"/>
        <v>-2.1506205220963505E-2</v>
      </c>
      <c r="V1098" s="87">
        <f t="shared" si="103"/>
        <v>0</v>
      </c>
      <c r="W1098" s="87">
        <f t="shared" si="103"/>
        <v>-2.9156584291455578E-2</v>
      </c>
      <c r="X1098" s="87">
        <f t="shared" si="103"/>
        <v>0</v>
      </c>
      <c r="Y1098" s="87">
        <f t="shared" si="102"/>
        <v>-5.1413995004187642E-3</v>
      </c>
      <c r="Z1098" s="87">
        <f t="shared" si="102"/>
        <v>-6.7796869853788038E-3</v>
      </c>
      <c r="AA1098" s="87">
        <f t="shared" si="102"/>
        <v>0</v>
      </c>
      <c r="AB1098" s="87">
        <f t="shared" si="102"/>
        <v>-1.3175421158564404E-2</v>
      </c>
      <c r="AC1098" s="87">
        <f t="shared" si="102"/>
        <v>-7.4442031117300826E-3</v>
      </c>
      <c r="AD1098" s="87">
        <f t="shared" si="102"/>
        <v>-1.3652089168327207E-2</v>
      </c>
      <c r="AE1098" s="90">
        <f t="shared" si="100"/>
        <v>-9.7668610966744202E-3</v>
      </c>
    </row>
    <row r="1099" spans="1:31" ht="15.5" x14ac:dyDescent="0.35">
      <c r="A1099" s="82">
        <v>41361</v>
      </c>
      <c r="B1099" s="83">
        <v>9107</v>
      </c>
      <c r="C1099" s="84">
        <v>3267.5</v>
      </c>
      <c r="D1099" s="61">
        <v>397.1</v>
      </c>
      <c r="E1099" s="61">
        <v>23.5</v>
      </c>
      <c r="F1099" s="61">
        <v>63.1</v>
      </c>
      <c r="G1099" s="61">
        <v>28.3</v>
      </c>
      <c r="H1099" s="61">
        <v>16.899999999999999</v>
      </c>
      <c r="I1099" s="61">
        <v>12.5</v>
      </c>
      <c r="J1099" s="61">
        <v>39.1</v>
      </c>
      <c r="K1099" s="61">
        <v>14.7</v>
      </c>
      <c r="L1099" s="61">
        <v>44</v>
      </c>
      <c r="M1099" s="61">
        <v>37.799999999999997</v>
      </c>
      <c r="N1099" s="61">
        <v>81.400000000000006</v>
      </c>
      <c r="O1099" s="85">
        <v>29.2</v>
      </c>
      <c r="P1099" s="105"/>
      <c r="Q1099" s="87">
        <f t="shared" si="99"/>
        <v>4.0269839977793466E-3</v>
      </c>
      <c r="R1099" s="87">
        <f t="shared" si="103"/>
        <v>3.3721675119208934E-3</v>
      </c>
      <c r="S1099" s="87">
        <f t="shared" si="103"/>
        <v>-1.0022634638801356E-2</v>
      </c>
      <c r="T1099" s="87">
        <f t="shared" si="103"/>
        <v>4.264398786457518E-3</v>
      </c>
      <c r="U1099" s="87">
        <f t="shared" si="103"/>
        <v>-2.0392863563140469E-2</v>
      </c>
      <c r="V1099" s="87">
        <f t="shared" si="103"/>
        <v>7.0922283094918366E-3</v>
      </c>
      <c r="W1099" s="87">
        <f t="shared" si="103"/>
        <v>0</v>
      </c>
      <c r="X1099" s="87">
        <f t="shared" si="103"/>
        <v>0</v>
      </c>
      <c r="Y1099" s="87">
        <f t="shared" si="102"/>
        <v>7.7022203620925236E-3</v>
      </c>
      <c r="Z1099" s="87">
        <f t="shared" si="102"/>
        <v>0</v>
      </c>
      <c r="AA1099" s="87">
        <f t="shared" si="102"/>
        <v>2.2753138371356054E-3</v>
      </c>
      <c r="AB1099" s="87">
        <f t="shared" si="102"/>
        <v>2.6490081715768625E-3</v>
      </c>
      <c r="AC1099" s="87">
        <f t="shared" si="102"/>
        <v>1.3605652055778678E-2</v>
      </c>
      <c r="AD1099" s="87">
        <f t="shared" si="102"/>
        <v>3.4305350967892222E-3</v>
      </c>
      <c r="AE1099" s="90">
        <f t="shared" si="100"/>
        <v>-7.337605648939159E-3</v>
      </c>
    </row>
    <row r="1100" spans="1:31" ht="15.5" x14ac:dyDescent="0.35">
      <c r="A1100" s="82">
        <v>41365</v>
      </c>
      <c r="B1100" s="83">
        <v>9107.7999999999993</v>
      </c>
      <c r="C1100" s="84">
        <v>3239.2</v>
      </c>
      <c r="D1100" s="61">
        <v>397</v>
      </c>
      <c r="E1100" s="61">
        <v>23.2</v>
      </c>
      <c r="F1100" s="61">
        <v>61.1</v>
      </c>
      <c r="G1100" s="61">
        <v>28.4</v>
      </c>
      <c r="H1100" s="61">
        <v>17.2</v>
      </c>
      <c r="I1100" s="61">
        <v>12.3</v>
      </c>
      <c r="J1100" s="61">
        <v>39.4</v>
      </c>
      <c r="K1100" s="61">
        <v>14.7</v>
      </c>
      <c r="L1100" s="61">
        <v>43.8</v>
      </c>
      <c r="M1100" s="61">
        <v>37.5</v>
      </c>
      <c r="N1100" s="61">
        <v>80.599999999999994</v>
      </c>
      <c r="O1100" s="85">
        <v>29</v>
      </c>
      <c r="P1100" s="105"/>
      <c r="Q1100" s="87">
        <f t="shared" si="99"/>
        <v>8.7840657104449899E-5</v>
      </c>
      <c r="R1100" s="87">
        <f t="shared" si="103"/>
        <v>-8.6987807804256786E-3</v>
      </c>
      <c r="S1100" s="87">
        <f t="shared" si="103"/>
        <v>-2.5185745001541504E-4</v>
      </c>
      <c r="T1100" s="87">
        <f t="shared" si="103"/>
        <v>-1.2848142477849024E-2</v>
      </c>
      <c r="U1100" s="87">
        <f t="shared" si="103"/>
        <v>-3.220890336961782E-2</v>
      </c>
      <c r="V1100" s="87">
        <f t="shared" si="103"/>
        <v>3.5273405179684406E-3</v>
      </c>
      <c r="W1100" s="87">
        <f t="shared" si="103"/>
        <v>1.759576189037966E-2</v>
      </c>
      <c r="X1100" s="87">
        <f t="shared" si="103"/>
        <v>-1.6129381929883529E-2</v>
      </c>
      <c r="Y1100" s="87">
        <f t="shared" si="102"/>
        <v>7.6433493125680659E-3</v>
      </c>
      <c r="Z1100" s="87">
        <f t="shared" si="102"/>
        <v>0</v>
      </c>
      <c r="AA1100" s="87">
        <f t="shared" si="102"/>
        <v>-4.5558165358608018E-3</v>
      </c>
      <c r="AB1100" s="87">
        <f t="shared" si="102"/>
        <v>-7.9681696491768449E-3</v>
      </c>
      <c r="AC1100" s="87">
        <f t="shared" si="102"/>
        <v>-9.8766234959122012E-3</v>
      </c>
      <c r="AD1100" s="87">
        <f t="shared" si="102"/>
        <v>-6.8728792877620643E-3</v>
      </c>
      <c r="AE1100" s="90">
        <f t="shared" si="100"/>
        <v>-1.2726346978875504E-2</v>
      </c>
    </row>
    <row r="1101" spans="1:31" ht="15.5" x14ac:dyDescent="0.35">
      <c r="A1101" s="82">
        <v>41366</v>
      </c>
      <c r="B1101" s="83">
        <v>9092.9</v>
      </c>
      <c r="C1101" s="84">
        <v>3254.9</v>
      </c>
      <c r="D1101" s="61">
        <v>402.4</v>
      </c>
      <c r="E1101" s="61">
        <v>23.6</v>
      </c>
      <c r="F1101" s="61">
        <v>60.9</v>
      </c>
      <c r="G1101" s="61">
        <v>28.5</v>
      </c>
      <c r="H1101" s="61">
        <v>17.2</v>
      </c>
      <c r="I1101" s="61">
        <v>12.1</v>
      </c>
      <c r="J1101" s="61">
        <v>39.200000000000003</v>
      </c>
      <c r="K1101" s="61">
        <v>14.5</v>
      </c>
      <c r="L1101" s="61">
        <v>44.4</v>
      </c>
      <c r="M1101" s="61">
        <v>37.799999999999997</v>
      </c>
      <c r="N1101" s="61">
        <v>80.099999999999994</v>
      </c>
      <c r="O1101" s="85">
        <v>29.2</v>
      </c>
      <c r="P1101" s="105"/>
      <c r="Q1101" s="87">
        <f t="shared" si="99"/>
        <v>-1.6373000300647143E-3</v>
      </c>
      <c r="R1101" s="87">
        <f t="shared" si="103"/>
        <v>4.8351674865832941E-3</v>
      </c>
      <c r="S1101" s="87">
        <f t="shared" si="103"/>
        <v>1.3510338098338933E-2</v>
      </c>
      <c r="T1101" s="87">
        <f t="shared" si="103"/>
        <v>1.7094433359300255E-2</v>
      </c>
      <c r="U1101" s="87">
        <f t="shared" si="103"/>
        <v>-3.2786914616983469E-3</v>
      </c>
      <c r="V1101" s="87">
        <f t="shared" si="103"/>
        <v>3.5149421074445919E-3</v>
      </c>
      <c r="W1101" s="87">
        <f t="shared" si="103"/>
        <v>0</v>
      </c>
      <c r="X1101" s="87">
        <f t="shared" si="103"/>
        <v>-1.6393809775676497E-2</v>
      </c>
      <c r="Y1101" s="87">
        <f t="shared" si="102"/>
        <v>-5.0890695074711813E-3</v>
      </c>
      <c r="Z1101" s="87">
        <f t="shared" si="102"/>
        <v>-1.3698844358161802E-2</v>
      </c>
      <c r="AA1101" s="87">
        <f t="shared" si="102"/>
        <v>1.3605652055778678E-2</v>
      </c>
      <c r="AB1101" s="87">
        <f t="shared" si="102"/>
        <v>7.9681696491768813E-3</v>
      </c>
      <c r="AC1101" s="87">
        <f t="shared" si="102"/>
        <v>-6.2227954382690735E-3</v>
      </c>
      <c r="AD1101" s="87">
        <f t="shared" si="102"/>
        <v>6.8728792877620504E-3</v>
      </c>
      <c r="AE1101" s="90">
        <f t="shared" si="100"/>
        <v>5.3025601748493472E-3</v>
      </c>
    </row>
    <row r="1102" spans="1:31" ht="15.5" x14ac:dyDescent="0.35">
      <c r="A1102" s="82">
        <v>41367</v>
      </c>
      <c r="B1102" s="83">
        <v>8983.4</v>
      </c>
      <c r="C1102" s="84">
        <v>3218.6</v>
      </c>
      <c r="D1102" s="61">
        <v>400.7</v>
      </c>
      <c r="E1102" s="61">
        <v>23.2</v>
      </c>
      <c r="F1102" s="61">
        <v>61.5</v>
      </c>
      <c r="G1102" s="61">
        <v>28.5</v>
      </c>
      <c r="H1102" s="61">
        <v>17.100000000000001</v>
      </c>
      <c r="I1102" s="61">
        <v>12</v>
      </c>
      <c r="J1102" s="61">
        <v>39</v>
      </c>
      <c r="K1102" s="61">
        <v>14.3</v>
      </c>
      <c r="L1102" s="61">
        <v>45</v>
      </c>
      <c r="M1102" s="61">
        <v>37</v>
      </c>
      <c r="N1102" s="61">
        <v>78.3</v>
      </c>
      <c r="O1102" s="85">
        <v>29.3</v>
      </c>
      <c r="P1102" s="105"/>
      <c r="Q1102" s="87">
        <f t="shared" ref="Q1102:Q1165" si="104">+LN(B1102/B1101)</f>
        <v>-1.2115459403083241E-2</v>
      </c>
      <c r="R1102" s="87">
        <f t="shared" si="103"/>
        <v>-1.1215070820140068E-2</v>
      </c>
      <c r="S1102" s="87">
        <f t="shared" si="103"/>
        <v>-4.2336011434305635E-3</v>
      </c>
      <c r="T1102" s="87">
        <f t="shared" si="103"/>
        <v>-1.7094433359300183E-2</v>
      </c>
      <c r="U1102" s="87">
        <f t="shared" si="103"/>
        <v>9.8040000966208348E-3</v>
      </c>
      <c r="V1102" s="87">
        <f t="shared" si="103"/>
        <v>0</v>
      </c>
      <c r="W1102" s="87">
        <f t="shared" si="103"/>
        <v>-5.8309203107930986E-3</v>
      </c>
      <c r="X1102" s="87">
        <f t="shared" si="103"/>
        <v>-8.2988028146950658E-3</v>
      </c>
      <c r="Y1102" s="87">
        <f t="shared" si="102"/>
        <v>-5.1151006667704887E-3</v>
      </c>
      <c r="Z1102" s="87">
        <f t="shared" si="102"/>
        <v>-1.3889112160667037E-2</v>
      </c>
      <c r="AA1102" s="87">
        <f t="shared" si="102"/>
        <v>1.3423020332140771E-2</v>
      </c>
      <c r="AB1102" s="87">
        <f t="shared" si="102"/>
        <v>-2.1391189981317445E-2</v>
      </c>
      <c r="AC1102" s="87">
        <f t="shared" si="102"/>
        <v>-2.2728251077556064E-2</v>
      </c>
      <c r="AD1102" s="87">
        <f t="shared" si="102"/>
        <v>3.4188067487856823E-3</v>
      </c>
      <c r="AE1102" s="90">
        <f t="shared" si="100"/>
        <v>-1.3822528601773428E-3</v>
      </c>
    </row>
    <row r="1103" spans="1:31" ht="15.5" x14ac:dyDescent="0.35">
      <c r="A1103" s="82">
        <v>41368</v>
      </c>
      <c r="B1103" s="83">
        <v>9027.7999999999993</v>
      </c>
      <c r="C1103" s="84">
        <v>3225</v>
      </c>
      <c r="D1103" s="61">
        <v>396.1</v>
      </c>
      <c r="E1103" s="61">
        <v>23.4</v>
      </c>
      <c r="F1103" s="61">
        <v>60.8</v>
      </c>
      <c r="G1103" s="61">
        <v>28.3</v>
      </c>
      <c r="H1103" s="61">
        <v>17</v>
      </c>
      <c r="I1103" s="61">
        <v>12.1</v>
      </c>
      <c r="J1103" s="61">
        <v>39.4</v>
      </c>
      <c r="K1103" s="61">
        <v>14.1</v>
      </c>
      <c r="L1103" s="61">
        <v>45</v>
      </c>
      <c r="M1103" s="61">
        <v>37</v>
      </c>
      <c r="N1103" s="61">
        <v>78.8</v>
      </c>
      <c r="O1103" s="85">
        <v>29.4</v>
      </c>
      <c r="P1103" s="105"/>
      <c r="Q1103" s="87">
        <f t="shared" si="104"/>
        <v>4.9302755994212648E-3</v>
      </c>
      <c r="R1103" s="87">
        <f t="shared" si="103"/>
        <v>1.986467845478387E-3</v>
      </c>
      <c r="S1103" s="87">
        <f t="shared" si="103"/>
        <v>-1.154631301422788E-2</v>
      </c>
      <c r="T1103" s="87">
        <f t="shared" si="103"/>
        <v>8.583743691391435E-3</v>
      </c>
      <c r="U1103" s="87">
        <f t="shared" si="103"/>
        <v>-1.1447385840350948E-2</v>
      </c>
      <c r="V1103" s="87">
        <f t="shared" si="103"/>
        <v>-7.0422826254129232E-3</v>
      </c>
      <c r="W1103" s="87">
        <f t="shared" si="103"/>
        <v>-5.8651194523981339E-3</v>
      </c>
      <c r="X1103" s="87">
        <f t="shared" si="103"/>
        <v>8.2988028146950641E-3</v>
      </c>
      <c r="Y1103" s="87">
        <f t="shared" si="102"/>
        <v>1.0204170174241668E-2</v>
      </c>
      <c r="Z1103" s="87">
        <f t="shared" si="102"/>
        <v>-1.4084739881739085E-2</v>
      </c>
      <c r="AA1103" s="87">
        <f t="shared" si="102"/>
        <v>0</v>
      </c>
      <c r="AB1103" s="87">
        <f t="shared" si="102"/>
        <v>0</v>
      </c>
      <c r="AC1103" s="87">
        <f t="shared" si="102"/>
        <v>6.3653938670759306E-3</v>
      </c>
      <c r="AD1103" s="87">
        <f t="shared" si="102"/>
        <v>3.4071583216141346E-3</v>
      </c>
      <c r="AE1103" s="90">
        <f t="shared" ref="AE1103:AE1166" si="105">+SUMPRODUCT(Q1103:AD1103,$Q$8:$AD$8)</f>
        <v>-5.6440268564642675E-3</v>
      </c>
    </row>
    <row r="1104" spans="1:31" ht="15.5" x14ac:dyDescent="0.35">
      <c r="A1104" s="82">
        <v>41369</v>
      </c>
      <c r="B1104" s="83">
        <v>9000.2000000000007</v>
      </c>
      <c r="C1104" s="84">
        <v>3203.9</v>
      </c>
      <c r="D1104" s="61">
        <v>388.6</v>
      </c>
      <c r="E1104" s="61">
        <v>23</v>
      </c>
      <c r="F1104" s="61">
        <v>60</v>
      </c>
      <c r="G1104" s="61">
        <v>28.1</v>
      </c>
      <c r="H1104" s="61">
        <v>16.899999999999999</v>
      </c>
      <c r="I1104" s="61">
        <v>12</v>
      </c>
      <c r="J1104" s="61">
        <v>39</v>
      </c>
      <c r="K1104" s="61">
        <v>14.9</v>
      </c>
      <c r="L1104" s="61">
        <v>44.9</v>
      </c>
      <c r="M1104" s="61">
        <v>35.6</v>
      </c>
      <c r="N1104" s="61">
        <v>78.099999999999994</v>
      </c>
      <c r="O1104" s="85">
        <v>29.2</v>
      </c>
      <c r="P1104" s="105"/>
      <c r="Q1104" s="87">
        <f t="shared" si="104"/>
        <v>-3.0619060975276007E-3</v>
      </c>
      <c r="R1104" s="87">
        <f t="shared" si="103"/>
        <v>-6.5641325149630916E-3</v>
      </c>
      <c r="S1104" s="87">
        <f t="shared" si="103"/>
        <v>-1.9116167684531279E-2</v>
      </c>
      <c r="T1104" s="87">
        <f t="shared" si="103"/>
        <v>-1.7241806434505992E-2</v>
      </c>
      <c r="U1104" s="87">
        <f t="shared" si="103"/>
        <v>-1.3245226750020567E-2</v>
      </c>
      <c r="V1104" s="87">
        <f t="shared" si="103"/>
        <v>-7.0922283094917984E-3</v>
      </c>
      <c r="W1104" s="87">
        <f t="shared" si="103"/>
        <v>-5.8997221271883827E-3</v>
      </c>
      <c r="X1104" s="87">
        <f t="shared" ref="X1104:AA1167" si="106">+LN(I1104/I1103)</f>
        <v>-8.2988028146950658E-3</v>
      </c>
      <c r="Y1104" s="87">
        <f t="shared" si="102"/>
        <v>-1.0204170174241623E-2</v>
      </c>
      <c r="Z1104" s="87">
        <f t="shared" si="102"/>
        <v>5.5186415567290939E-2</v>
      </c>
      <c r="AA1104" s="87">
        <f t="shared" si="102"/>
        <v>-2.2246950221111624E-3</v>
      </c>
      <c r="AB1104" s="87">
        <f t="shared" si="102"/>
        <v>-3.8572274786239619E-2</v>
      </c>
      <c r="AC1104" s="87">
        <f t="shared" si="102"/>
        <v>-8.9229400181931595E-3</v>
      </c>
      <c r="AD1104" s="87">
        <f t="shared" si="102"/>
        <v>-6.8259650703998706E-3</v>
      </c>
      <c r="AE1104" s="90">
        <f t="shared" si="105"/>
        <v>-1.2181130822842081E-2</v>
      </c>
    </row>
    <row r="1105" spans="1:31" ht="15.5" x14ac:dyDescent="0.35">
      <c r="A1105" s="82">
        <v>41372</v>
      </c>
      <c r="B1105" s="83">
        <v>9051.6</v>
      </c>
      <c r="C1105" s="84">
        <v>3222.3</v>
      </c>
      <c r="D1105" s="61">
        <v>384.6</v>
      </c>
      <c r="E1105" s="61">
        <v>23.1</v>
      </c>
      <c r="F1105" s="61">
        <v>60.4</v>
      </c>
      <c r="G1105" s="61">
        <v>28.5</v>
      </c>
      <c r="H1105" s="61">
        <v>16.5</v>
      </c>
      <c r="I1105" s="61">
        <v>12.1</v>
      </c>
      <c r="J1105" s="61">
        <v>39.200000000000003</v>
      </c>
      <c r="K1105" s="61">
        <v>15.4</v>
      </c>
      <c r="L1105" s="61">
        <v>45</v>
      </c>
      <c r="M1105" s="61">
        <v>36</v>
      </c>
      <c r="N1105" s="61">
        <v>79.3</v>
      </c>
      <c r="O1105" s="85">
        <v>29.4</v>
      </c>
      <c r="P1105" s="105"/>
      <c r="Q1105" s="87">
        <f t="shared" si="104"/>
        <v>5.69473835391676E-3</v>
      </c>
      <c r="R1105" s="87">
        <f t="shared" ref="R1105:W1141" si="107">+LN(C1105/C1104)</f>
        <v>5.7265725572013589E-3</v>
      </c>
      <c r="S1105" s="87">
        <f t="shared" si="107"/>
        <v>-1.0346703788660304E-2</v>
      </c>
      <c r="T1105" s="87">
        <f t="shared" si="107"/>
        <v>4.3384015985981411E-3</v>
      </c>
      <c r="U1105" s="87">
        <f t="shared" si="107"/>
        <v>6.6445427186685108E-3</v>
      </c>
      <c r="V1105" s="87">
        <f t="shared" si="107"/>
        <v>1.4134510934904716E-2</v>
      </c>
      <c r="W1105" s="87">
        <f t="shared" si="107"/>
        <v>-2.3953241022492758E-2</v>
      </c>
      <c r="X1105" s="87">
        <f t="shared" si="106"/>
        <v>8.2988028146950641E-3</v>
      </c>
      <c r="Y1105" s="87">
        <f t="shared" si="102"/>
        <v>5.1151006667704089E-3</v>
      </c>
      <c r="Z1105" s="87">
        <f t="shared" si="102"/>
        <v>3.3006296468170077E-2</v>
      </c>
      <c r="AA1105" s="87">
        <f t="shared" si="102"/>
        <v>2.2246950221111086E-3</v>
      </c>
      <c r="AB1105" s="87">
        <f t="shared" si="102"/>
        <v>1.1173300598125255E-2</v>
      </c>
      <c r="AC1105" s="87">
        <f t="shared" si="102"/>
        <v>1.5248071795162138E-2</v>
      </c>
      <c r="AD1105" s="87">
        <f t="shared" si="102"/>
        <v>6.8259650703998906E-3</v>
      </c>
      <c r="AE1105" s="90">
        <f t="shared" si="105"/>
        <v>1.417003263127724E-3</v>
      </c>
    </row>
    <row r="1106" spans="1:31" ht="15.5" x14ac:dyDescent="0.35">
      <c r="A1106" s="82">
        <v>41373</v>
      </c>
      <c r="B1106" s="83">
        <v>9088.4</v>
      </c>
      <c r="C1106" s="84">
        <v>3237.9</v>
      </c>
      <c r="D1106" s="61">
        <v>386.9</v>
      </c>
      <c r="E1106" s="61">
        <v>23.4</v>
      </c>
      <c r="F1106" s="61">
        <v>60.4</v>
      </c>
      <c r="G1106" s="61">
        <v>28.7</v>
      </c>
      <c r="H1106" s="61">
        <v>16.600000000000001</v>
      </c>
      <c r="I1106" s="61">
        <v>12.3</v>
      </c>
      <c r="J1106" s="61">
        <v>39.5</v>
      </c>
      <c r="K1106" s="61">
        <v>13.9</v>
      </c>
      <c r="L1106" s="61">
        <v>45.3</v>
      </c>
      <c r="M1106" s="61">
        <v>36.299999999999997</v>
      </c>
      <c r="N1106" s="61">
        <v>79.5</v>
      </c>
      <c r="O1106" s="85">
        <v>29.6</v>
      </c>
      <c r="P1106" s="105"/>
      <c r="Q1106" s="87">
        <f t="shared" si="104"/>
        <v>4.057337429262748E-3</v>
      </c>
      <c r="R1106" s="87">
        <f t="shared" si="107"/>
        <v>4.8295812272992284E-3</v>
      </c>
      <c r="S1106" s="87">
        <f t="shared" si="107"/>
        <v>5.9624285517877905E-3</v>
      </c>
      <c r="T1106" s="87">
        <f t="shared" si="107"/>
        <v>1.2903404835907782E-2</v>
      </c>
      <c r="U1106" s="87">
        <f t="shared" si="107"/>
        <v>0</v>
      </c>
      <c r="V1106" s="87">
        <f t="shared" si="107"/>
        <v>6.9930354909706043E-3</v>
      </c>
      <c r="W1106" s="87">
        <f t="shared" si="107"/>
        <v>6.0423144559626617E-3</v>
      </c>
      <c r="X1106" s="87">
        <f t="shared" si="106"/>
        <v>1.639380977567657E-2</v>
      </c>
      <c r="Y1106" s="87">
        <f t="shared" si="102"/>
        <v>7.6239251106593664E-3</v>
      </c>
      <c r="Z1106" s="87">
        <f t="shared" si="102"/>
        <v>-0.10247866928293738</v>
      </c>
      <c r="AA1106" s="87">
        <f t="shared" si="102"/>
        <v>6.6445427186685108E-3</v>
      </c>
      <c r="AB1106" s="87">
        <f t="shared" si="102"/>
        <v>8.2988028146950641E-3</v>
      </c>
      <c r="AC1106" s="87">
        <f t="shared" si="102"/>
        <v>2.5188930194839864E-3</v>
      </c>
      <c r="AD1106" s="87">
        <f t="shared" si="102"/>
        <v>6.7796869853787691E-3</v>
      </c>
      <c r="AE1106" s="90">
        <f t="shared" si="105"/>
        <v>4.0173051918181713E-3</v>
      </c>
    </row>
    <row r="1107" spans="1:31" ht="15.5" x14ac:dyDescent="0.35">
      <c r="A1107" s="82">
        <v>41374</v>
      </c>
      <c r="B1107" s="83">
        <v>9189.1</v>
      </c>
      <c r="C1107" s="84">
        <v>3297.3</v>
      </c>
      <c r="D1107" s="61">
        <v>388.4</v>
      </c>
      <c r="E1107" s="61">
        <v>24</v>
      </c>
      <c r="F1107" s="61">
        <v>60.9</v>
      </c>
      <c r="G1107" s="61">
        <v>29.5</v>
      </c>
      <c r="H1107" s="61">
        <v>16.8</v>
      </c>
      <c r="I1107" s="61">
        <v>12.4</v>
      </c>
      <c r="J1107" s="61">
        <v>39.799999999999997</v>
      </c>
      <c r="K1107" s="61">
        <v>13.6</v>
      </c>
      <c r="L1107" s="61">
        <v>45.8</v>
      </c>
      <c r="M1107" s="61">
        <v>37.200000000000003</v>
      </c>
      <c r="N1107" s="61">
        <v>79.7</v>
      </c>
      <c r="O1107" s="85">
        <v>30</v>
      </c>
      <c r="P1107" s="105"/>
      <c r="Q1107" s="87">
        <f t="shared" si="104"/>
        <v>1.1019123941816247E-2</v>
      </c>
      <c r="R1107" s="87">
        <f t="shared" si="107"/>
        <v>1.8178980243554167E-2</v>
      </c>
      <c r="S1107" s="87">
        <f t="shared" si="107"/>
        <v>3.8694747107025783E-3</v>
      </c>
      <c r="T1107" s="87">
        <f t="shared" si="107"/>
        <v>2.5317807984290001E-2</v>
      </c>
      <c r="U1107" s="87">
        <f t="shared" si="107"/>
        <v>8.2440697750820625E-3</v>
      </c>
      <c r="V1107" s="87">
        <f t="shared" si="107"/>
        <v>2.7493140580198708E-2</v>
      </c>
      <c r="W1107" s="87">
        <f t="shared" si="107"/>
        <v>1.197619104671562E-2</v>
      </c>
      <c r="X1107" s="87">
        <f t="shared" si="106"/>
        <v>8.0972102326193028E-3</v>
      </c>
      <c r="Y1107" s="87">
        <f t="shared" si="102"/>
        <v>7.5662403833156562E-3</v>
      </c>
      <c r="Z1107" s="87">
        <f t="shared" si="102"/>
        <v>-2.1819047394639839E-2</v>
      </c>
      <c r="AA1107" s="87">
        <f t="shared" si="102"/>
        <v>1.0977058631150994E-2</v>
      </c>
      <c r="AB1107" s="87">
        <f t="shared" si="102"/>
        <v>2.4491020008295911E-2</v>
      </c>
      <c r="AC1107" s="87">
        <f t="shared" si="102"/>
        <v>2.5125641358831386E-3</v>
      </c>
      <c r="AD1107" s="87">
        <f t="shared" si="102"/>
        <v>1.342302033214055E-2</v>
      </c>
      <c r="AE1107" s="90">
        <f t="shared" si="105"/>
        <v>1.0570811291050532E-2</v>
      </c>
    </row>
    <row r="1108" spans="1:31" ht="15.5" x14ac:dyDescent="0.35">
      <c r="A1108" s="82">
        <v>41375</v>
      </c>
      <c r="B1108" s="83">
        <v>9234</v>
      </c>
      <c r="C1108" s="84">
        <v>3300.2</v>
      </c>
      <c r="D1108" s="61">
        <v>392.4</v>
      </c>
      <c r="E1108" s="61">
        <v>24.3</v>
      </c>
      <c r="F1108" s="61">
        <v>61.6</v>
      </c>
      <c r="G1108" s="61">
        <v>28.7</v>
      </c>
      <c r="H1108" s="61">
        <v>17.2</v>
      </c>
      <c r="I1108" s="61">
        <v>12.7</v>
      </c>
      <c r="J1108" s="61">
        <v>39.6</v>
      </c>
      <c r="K1108" s="61">
        <v>14.2</v>
      </c>
      <c r="L1108" s="61">
        <v>46.7</v>
      </c>
      <c r="M1108" s="61">
        <v>37.299999999999997</v>
      </c>
      <c r="N1108" s="61">
        <v>81.2</v>
      </c>
      <c r="O1108" s="85">
        <v>30.2</v>
      </c>
      <c r="P1108" s="105"/>
      <c r="Q1108" s="87">
        <f t="shared" si="104"/>
        <v>4.8743250482697195E-3</v>
      </c>
      <c r="R1108" s="87">
        <f t="shared" si="107"/>
        <v>8.7912093574009267E-4</v>
      </c>
      <c r="S1108" s="87">
        <f t="shared" si="107"/>
        <v>1.0245991274038227E-2</v>
      </c>
      <c r="T1108" s="87">
        <f t="shared" si="107"/>
        <v>1.242251999855711E-2</v>
      </c>
      <c r="U1108" s="87">
        <f t="shared" si="107"/>
        <v>1.142869582362285E-2</v>
      </c>
      <c r="V1108" s="87">
        <f t="shared" si="107"/>
        <v>-2.7493140580198732E-2</v>
      </c>
      <c r="W1108" s="87">
        <f t="shared" si="107"/>
        <v>2.3530497410194036E-2</v>
      </c>
      <c r="X1108" s="87">
        <f t="shared" si="106"/>
        <v>2.3905520853554386E-2</v>
      </c>
      <c r="Y1108" s="87">
        <f t="shared" si="102"/>
        <v>-5.0377940299570698E-3</v>
      </c>
      <c r="Z1108" s="87">
        <f t="shared" si="102"/>
        <v>4.3172171865208782E-2</v>
      </c>
      <c r="AA1108" s="87">
        <f t="shared" si="102"/>
        <v>1.9460073554712562E-2</v>
      </c>
      <c r="AB1108" s="87">
        <f t="shared" si="102"/>
        <v>2.6845653706687612E-3</v>
      </c>
      <c r="AC1108" s="87">
        <f t="shared" si="102"/>
        <v>1.8645661371462896E-2</v>
      </c>
      <c r="AD1108" s="87">
        <f t="shared" si="102"/>
        <v>6.6445427186685108E-3</v>
      </c>
      <c r="AE1108" s="90">
        <f t="shared" si="105"/>
        <v>7.3387174274706047E-3</v>
      </c>
    </row>
    <row r="1109" spans="1:31" ht="15.5" x14ac:dyDescent="0.35">
      <c r="A1109" s="82">
        <v>41376</v>
      </c>
      <c r="B1109" s="83">
        <v>9188.2999999999993</v>
      </c>
      <c r="C1109" s="84">
        <v>3294.9</v>
      </c>
      <c r="D1109" s="61">
        <v>391.9</v>
      </c>
      <c r="E1109" s="61">
        <v>24.3</v>
      </c>
      <c r="F1109" s="61">
        <v>61.3</v>
      </c>
      <c r="G1109" s="61">
        <v>28.7</v>
      </c>
      <c r="H1109" s="61">
        <v>17.5</v>
      </c>
      <c r="I1109" s="61">
        <v>12.4</v>
      </c>
      <c r="J1109" s="61">
        <v>39.200000000000003</v>
      </c>
      <c r="K1109" s="61">
        <v>14.2</v>
      </c>
      <c r="L1109" s="61">
        <v>46.7</v>
      </c>
      <c r="M1109" s="61">
        <v>36.5</v>
      </c>
      <c r="N1109" s="61">
        <v>81.7</v>
      </c>
      <c r="O1109" s="85">
        <v>30.2</v>
      </c>
      <c r="P1109" s="105"/>
      <c r="Q1109" s="87">
        <f t="shared" si="104"/>
        <v>-4.9613885067032095E-3</v>
      </c>
      <c r="R1109" s="87">
        <f t="shared" si="107"/>
        <v>-1.6072542162946285E-3</v>
      </c>
      <c r="S1109" s="87">
        <f t="shared" si="107"/>
        <v>-1.2750224856222408E-3</v>
      </c>
      <c r="T1109" s="87">
        <f t="shared" si="107"/>
        <v>0</v>
      </c>
      <c r="U1109" s="87">
        <f t="shared" si="107"/>
        <v>-4.8820275973084212E-3</v>
      </c>
      <c r="V1109" s="87">
        <f t="shared" si="107"/>
        <v>0</v>
      </c>
      <c r="W1109" s="87">
        <f t="shared" si="107"/>
        <v>1.7291497110061043E-2</v>
      </c>
      <c r="X1109" s="87">
        <f t="shared" si="106"/>
        <v>-2.3905520853554366E-2</v>
      </c>
      <c r="Y1109" s="87">
        <f t="shared" si="102"/>
        <v>-1.0152371464017962E-2</v>
      </c>
      <c r="Z1109" s="87">
        <f t="shared" si="102"/>
        <v>0</v>
      </c>
      <c r="AA1109" s="87">
        <f t="shared" si="102"/>
        <v>0</v>
      </c>
      <c r="AB1109" s="87">
        <f t="shared" si="102"/>
        <v>-2.1681066061323938E-2</v>
      </c>
      <c r="AC1109" s="87">
        <f t="shared" si="102"/>
        <v>6.1387546983248421E-3</v>
      </c>
      <c r="AD1109" s="87">
        <f t="shared" si="102"/>
        <v>0</v>
      </c>
      <c r="AE1109" s="90">
        <f t="shared" si="105"/>
        <v>-2.2510148592271091E-3</v>
      </c>
    </row>
    <row r="1110" spans="1:31" ht="15.5" x14ac:dyDescent="0.35">
      <c r="A1110" s="82">
        <v>41379</v>
      </c>
      <c r="B1110" s="83">
        <v>8953.9</v>
      </c>
      <c r="C1110" s="84">
        <v>3216.5</v>
      </c>
      <c r="D1110" s="61">
        <v>388.9</v>
      </c>
      <c r="E1110" s="61">
        <v>23.8</v>
      </c>
      <c r="F1110" s="61">
        <v>59.9</v>
      </c>
      <c r="G1110" s="61">
        <v>28.5</v>
      </c>
      <c r="H1110" s="61">
        <v>17.3</v>
      </c>
      <c r="I1110" s="61">
        <v>11.8</v>
      </c>
      <c r="J1110" s="61">
        <v>38.200000000000003</v>
      </c>
      <c r="K1110" s="61">
        <v>14.3</v>
      </c>
      <c r="L1110" s="61">
        <v>46.5</v>
      </c>
      <c r="M1110" s="61">
        <v>36</v>
      </c>
      <c r="N1110" s="61">
        <v>80</v>
      </c>
      <c r="O1110" s="85">
        <v>29.8</v>
      </c>
      <c r="P1110" s="105"/>
      <c r="Q1110" s="87">
        <f t="shared" si="104"/>
        <v>-2.5841744014671333E-2</v>
      </c>
      <c r="R1110" s="87">
        <f t="shared" si="107"/>
        <v>-2.4082006611354907E-2</v>
      </c>
      <c r="S1110" s="87">
        <f t="shared" si="107"/>
        <v>-7.6844640438842194E-3</v>
      </c>
      <c r="T1110" s="87">
        <f t="shared" si="107"/>
        <v>-2.079076966907378E-2</v>
      </c>
      <c r="U1110" s="87">
        <f t="shared" si="107"/>
        <v>-2.3103337820762071E-2</v>
      </c>
      <c r="V1110" s="87">
        <f t="shared" si="107"/>
        <v>-6.9930354909705254E-3</v>
      </c>
      <c r="W1110" s="87">
        <f t="shared" si="107"/>
        <v>-1.1494379425735021E-2</v>
      </c>
      <c r="X1110" s="87">
        <f t="shared" si="106"/>
        <v>-4.9596941139372061E-2</v>
      </c>
      <c r="Y1110" s="87">
        <f t="shared" si="102"/>
        <v>-2.5841231183887328E-2</v>
      </c>
      <c r="Z1110" s="87">
        <f t="shared" si="102"/>
        <v>7.0175726586465398E-3</v>
      </c>
      <c r="AA1110" s="87">
        <f t="shared" si="102"/>
        <v>-4.2918520815410323E-3</v>
      </c>
      <c r="AB1110" s="87">
        <f t="shared" si="102"/>
        <v>-1.3793322132335873E-2</v>
      </c>
      <c r="AC1110" s="87">
        <f t="shared" si="102"/>
        <v>-2.1027367192075617E-2</v>
      </c>
      <c r="AD1110" s="87">
        <f t="shared" si="102"/>
        <v>-1.3333530869465144E-2</v>
      </c>
      <c r="AE1110" s="90">
        <f t="shared" si="105"/>
        <v>-1.7695093208092587E-2</v>
      </c>
    </row>
    <row r="1111" spans="1:31" ht="15.5" x14ac:dyDescent="0.35">
      <c r="A1111" s="82">
        <v>41380</v>
      </c>
      <c r="B1111" s="83">
        <v>9086.4</v>
      </c>
      <c r="C1111" s="84">
        <v>3264.6</v>
      </c>
      <c r="D1111" s="61">
        <v>392.4</v>
      </c>
      <c r="E1111" s="61">
        <v>23.8</v>
      </c>
      <c r="F1111" s="61">
        <v>60.1</v>
      </c>
      <c r="G1111" s="61">
        <v>28.7</v>
      </c>
      <c r="H1111" s="61">
        <v>17.399999999999999</v>
      </c>
      <c r="I1111" s="61">
        <v>12.1</v>
      </c>
      <c r="J1111" s="61">
        <v>38.200000000000003</v>
      </c>
      <c r="K1111" s="61">
        <v>14.5</v>
      </c>
      <c r="L1111" s="61">
        <v>46.5</v>
      </c>
      <c r="M1111" s="61">
        <v>36.4</v>
      </c>
      <c r="N1111" s="61">
        <v>80.599999999999994</v>
      </c>
      <c r="O1111" s="85">
        <v>29.8</v>
      </c>
      <c r="P1111" s="105"/>
      <c r="Q1111" s="87">
        <f t="shared" si="104"/>
        <v>1.4689598577608452E-2</v>
      </c>
      <c r="R1111" s="87">
        <f t="shared" si="107"/>
        <v>1.4843431868879597E-2</v>
      </c>
      <c r="S1111" s="87">
        <f t="shared" si="107"/>
        <v>8.9594865295065072E-3</v>
      </c>
      <c r="T1111" s="87">
        <f t="shared" si="107"/>
        <v>0</v>
      </c>
      <c r="U1111" s="87">
        <f t="shared" si="107"/>
        <v>3.333336419758217E-3</v>
      </c>
      <c r="V1111" s="87">
        <f t="shared" si="107"/>
        <v>6.9930354909706043E-3</v>
      </c>
      <c r="W1111" s="87">
        <f t="shared" si="107"/>
        <v>5.7637047167499126E-3</v>
      </c>
      <c r="X1111" s="87">
        <f t="shared" si="106"/>
        <v>2.5105921131076261E-2</v>
      </c>
      <c r="Y1111" s="87">
        <f t="shared" si="102"/>
        <v>0</v>
      </c>
      <c r="Z1111" s="87">
        <f t="shared" si="102"/>
        <v>1.3889112160667093E-2</v>
      </c>
      <c r="AA1111" s="87">
        <f t="shared" si="102"/>
        <v>0</v>
      </c>
      <c r="AB1111" s="87">
        <f t="shared" si="102"/>
        <v>1.1049836186584935E-2</v>
      </c>
      <c r="AC1111" s="87">
        <f t="shared" si="102"/>
        <v>7.4720148387008361E-3</v>
      </c>
      <c r="AD1111" s="87">
        <f t="shared" si="102"/>
        <v>0</v>
      </c>
      <c r="AE1111" s="90">
        <f t="shared" si="105"/>
        <v>8.0254451345291838E-3</v>
      </c>
    </row>
    <row r="1112" spans="1:31" ht="15.5" x14ac:dyDescent="0.35">
      <c r="A1112" s="82">
        <v>41381</v>
      </c>
      <c r="B1112" s="83">
        <v>8948.2999999999993</v>
      </c>
      <c r="C1112" s="84">
        <v>3204.7</v>
      </c>
      <c r="D1112" s="61">
        <v>389.4</v>
      </c>
      <c r="E1112" s="61">
        <v>23.1</v>
      </c>
      <c r="F1112" s="61">
        <v>56.9</v>
      </c>
      <c r="G1112" s="61">
        <v>28.6</v>
      </c>
      <c r="H1112" s="61">
        <v>17.399999999999999</v>
      </c>
      <c r="I1112" s="61">
        <v>11.9</v>
      </c>
      <c r="J1112" s="61">
        <v>37.799999999999997</v>
      </c>
      <c r="K1112" s="61">
        <v>14.6</v>
      </c>
      <c r="L1112" s="61">
        <v>46.4</v>
      </c>
      <c r="M1112" s="61">
        <v>36.1</v>
      </c>
      <c r="N1112" s="61">
        <v>80.400000000000006</v>
      </c>
      <c r="O1112" s="85">
        <v>30</v>
      </c>
      <c r="P1112" s="105"/>
      <c r="Q1112" s="87">
        <f t="shared" si="104"/>
        <v>-1.5315220030016967E-2</v>
      </c>
      <c r="R1112" s="87">
        <f t="shared" si="107"/>
        <v>-1.8518761490417836E-2</v>
      </c>
      <c r="S1112" s="87">
        <f t="shared" si="107"/>
        <v>-7.6746347531086974E-3</v>
      </c>
      <c r="T1112" s="87">
        <f t="shared" si="107"/>
        <v>-2.985296314968116E-2</v>
      </c>
      <c r="U1112" s="87">
        <f t="shared" si="107"/>
        <v>-5.4714500408876723E-2</v>
      </c>
      <c r="V1112" s="87">
        <f t="shared" si="107"/>
        <v>-3.4904049397684908E-3</v>
      </c>
      <c r="W1112" s="87">
        <f t="shared" si="107"/>
        <v>0</v>
      </c>
      <c r="X1112" s="87">
        <f t="shared" si="106"/>
        <v>-1.6667052485211647E-2</v>
      </c>
      <c r="Y1112" s="87">
        <f t="shared" si="102"/>
        <v>-1.0526412986987617E-2</v>
      </c>
      <c r="Z1112" s="87">
        <f t="shared" si="102"/>
        <v>6.8728792877620504E-3</v>
      </c>
      <c r="AA1112" s="87">
        <f t="shared" si="102"/>
        <v>-2.1528533611010897E-3</v>
      </c>
      <c r="AB1112" s="87">
        <f t="shared" si="102"/>
        <v>-8.2759093038597097E-3</v>
      </c>
      <c r="AC1112" s="87">
        <f t="shared" si="102"/>
        <v>-2.4844733276618335E-3</v>
      </c>
      <c r="AD1112" s="87">
        <f t="shared" si="102"/>
        <v>6.6889881507964889E-3</v>
      </c>
      <c r="AE1112" s="90">
        <f t="shared" si="105"/>
        <v>-2.2629800853001841E-2</v>
      </c>
    </row>
    <row r="1113" spans="1:31" ht="15.5" x14ac:dyDescent="0.35">
      <c r="A1113" s="82">
        <v>41382</v>
      </c>
      <c r="B1113" s="83">
        <v>8921.2000000000007</v>
      </c>
      <c r="C1113" s="84">
        <v>3166.4</v>
      </c>
      <c r="D1113" s="61">
        <v>381</v>
      </c>
      <c r="E1113" s="61">
        <v>22.7</v>
      </c>
      <c r="F1113" s="61">
        <v>55.7</v>
      </c>
      <c r="G1113" s="61">
        <v>28.5</v>
      </c>
      <c r="H1113" s="61">
        <v>17.3</v>
      </c>
      <c r="I1113" s="61">
        <v>11.9</v>
      </c>
      <c r="J1113" s="61">
        <v>38.1</v>
      </c>
      <c r="K1113" s="61">
        <v>14.8</v>
      </c>
      <c r="L1113" s="61">
        <v>46.5</v>
      </c>
      <c r="M1113" s="61">
        <v>35.299999999999997</v>
      </c>
      <c r="N1113" s="61">
        <v>80.7</v>
      </c>
      <c r="O1113" s="85">
        <v>29.9</v>
      </c>
      <c r="P1113" s="105"/>
      <c r="Q1113" s="87">
        <f t="shared" si="104"/>
        <v>-3.0331034193481908E-3</v>
      </c>
      <c r="R1113" s="87">
        <f t="shared" si="107"/>
        <v>-1.2023186381215401E-2</v>
      </c>
      <c r="S1113" s="87">
        <f t="shared" si="107"/>
        <v>-2.18077178113983E-2</v>
      </c>
      <c r="T1113" s="87">
        <f t="shared" si="107"/>
        <v>-1.7467693040390947E-2</v>
      </c>
      <c r="U1113" s="87">
        <f t="shared" si="107"/>
        <v>-2.1315194199046858E-2</v>
      </c>
      <c r="V1113" s="87">
        <f t="shared" si="107"/>
        <v>-3.5026305512021118E-3</v>
      </c>
      <c r="W1113" s="87">
        <f t="shared" si="107"/>
        <v>-5.7637047167499065E-3</v>
      </c>
      <c r="X1113" s="87">
        <f t="shared" si="106"/>
        <v>0</v>
      </c>
      <c r="Y1113" s="87">
        <f t="shared" si="102"/>
        <v>7.9051795071134676E-3</v>
      </c>
      <c r="Z1113" s="87">
        <f t="shared" si="102"/>
        <v>1.3605652055778678E-2</v>
      </c>
      <c r="AA1113" s="87">
        <f t="shared" si="102"/>
        <v>2.1528533611010927E-3</v>
      </c>
      <c r="AB1113" s="87">
        <f t="shared" si="102"/>
        <v>-2.2409901399584278E-2</v>
      </c>
      <c r="AC1113" s="87">
        <f t="shared" si="102"/>
        <v>3.7243990909824939E-3</v>
      </c>
      <c r="AD1113" s="87">
        <f t="shared" si="102"/>
        <v>-3.3389012655147096E-3</v>
      </c>
      <c r="AE1113" s="90">
        <f t="shared" si="105"/>
        <v>-1.6489135212014127E-2</v>
      </c>
    </row>
    <row r="1114" spans="1:31" ht="15.5" x14ac:dyDescent="0.35">
      <c r="A1114" s="82">
        <v>41383</v>
      </c>
      <c r="B1114" s="83">
        <v>8994.1</v>
      </c>
      <c r="C1114" s="84">
        <v>3206.1</v>
      </c>
      <c r="D1114" s="61">
        <v>383.5</v>
      </c>
      <c r="E1114" s="61">
        <v>22.8</v>
      </c>
      <c r="F1114" s="61">
        <v>55</v>
      </c>
      <c r="G1114" s="61">
        <v>29.6</v>
      </c>
      <c r="H1114" s="61">
        <v>17.3</v>
      </c>
      <c r="I1114" s="61">
        <v>12</v>
      </c>
      <c r="J1114" s="61">
        <v>38</v>
      </c>
      <c r="K1114" s="61">
        <v>14.9</v>
      </c>
      <c r="L1114" s="61">
        <v>46.7</v>
      </c>
      <c r="M1114" s="61">
        <v>35.299999999999997</v>
      </c>
      <c r="N1114" s="61">
        <v>80.3</v>
      </c>
      <c r="O1114" s="85">
        <v>30.1</v>
      </c>
      <c r="P1114" s="105"/>
      <c r="Q1114" s="87">
        <f t="shared" si="104"/>
        <v>8.1383401184996415E-3</v>
      </c>
      <c r="R1114" s="87">
        <f t="shared" si="107"/>
        <v>1.2459949350659295E-2</v>
      </c>
      <c r="S1114" s="87">
        <f t="shared" si="107"/>
        <v>6.5402456806099747E-3</v>
      </c>
      <c r="T1114" s="87">
        <f t="shared" si="107"/>
        <v>4.3956114730381293E-3</v>
      </c>
      <c r="U1114" s="87">
        <f t="shared" si="107"/>
        <v>-1.2646961700767421E-2</v>
      </c>
      <c r="V1114" s="87">
        <f t="shared" si="107"/>
        <v>3.7870274055409964E-2</v>
      </c>
      <c r="W1114" s="87">
        <f t="shared" si="107"/>
        <v>0</v>
      </c>
      <c r="X1114" s="87">
        <f t="shared" si="106"/>
        <v>8.3682496705165792E-3</v>
      </c>
      <c r="Y1114" s="87">
        <f t="shared" si="102"/>
        <v>-2.6281224062695806E-3</v>
      </c>
      <c r="Z1114" s="87">
        <f t="shared" si="102"/>
        <v>6.7340321813441194E-3</v>
      </c>
      <c r="AA1114" s="87">
        <f t="shared" si="102"/>
        <v>4.2918520815410843E-3</v>
      </c>
      <c r="AB1114" s="87">
        <f t="shared" si="102"/>
        <v>0</v>
      </c>
      <c r="AC1114" s="87">
        <f t="shared" si="102"/>
        <v>-4.9689543231871778E-3</v>
      </c>
      <c r="AD1114" s="87">
        <f t="shared" si="102"/>
        <v>6.6666913581892974E-3</v>
      </c>
      <c r="AE1114" s="90">
        <f t="shared" si="105"/>
        <v>2.8436678118289298E-3</v>
      </c>
    </row>
    <row r="1115" spans="1:31" ht="15.5" x14ac:dyDescent="0.35">
      <c r="A1115" s="82">
        <v>41386</v>
      </c>
      <c r="B1115" s="83">
        <v>9019.9</v>
      </c>
      <c r="C1115" s="84">
        <v>3233.6</v>
      </c>
      <c r="D1115" s="61">
        <v>387.9</v>
      </c>
      <c r="E1115" s="61">
        <v>23.5</v>
      </c>
      <c r="F1115" s="61">
        <v>55.9</v>
      </c>
      <c r="G1115" s="61">
        <v>30.3</v>
      </c>
      <c r="H1115" s="61">
        <v>17.100000000000001</v>
      </c>
      <c r="I1115" s="61">
        <v>11.9</v>
      </c>
      <c r="J1115" s="61">
        <v>38.1</v>
      </c>
      <c r="K1115" s="61">
        <v>15.3</v>
      </c>
      <c r="L1115" s="61">
        <v>47.2</v>
      </c>
      <c r="M1115" s="61">
        <v>35.299999999999997</v>
      </c>
      <c r="N1115" s="61">
        <v>80.900000000000006</v>
      </c>
      <c r="O1115" s="85">
        <v>30.3</v>
      </c>
      <c r="P1115" s="105"/>
      <c r="Q1115" s="87">
        <f t="shared" si="104"/>
        <v>2.8644407284103249E-3</v>
      </c>
      <c r="R1115" s="87">
        <f t="shared" si="107"/>
        <v>8.5408224503959046E-3</v>
      </c>
      <c r="S1115" s="87">
        <f t="shared" si="107"/>
        <v>1.1407953638610531E-2</v>
      </c>
      <c r="T1115" s="87">
        <f t="shared" si="107"/>
        <v>3.0239885189718176E-2</v>
      </c>
      <c r="U1115" s="87">
        <f t="shared" si="107"/>
        <v>1.6231194928582552E-2</v>
      </c>
      <c r="V1115" s="87">
        <f t="shared" si="107"/>
        <v>2.3373351185308804E-2</v>
      </c>
      <c r="W1115" s="87">
        <f t="shared" si="107"/>
        <v>-1.1628037995119099E-2</v>
      </c>
      <c r="X1115" s="87">
        <f t="shared" si="106"/>
        <v>-8.3682496705165792E-3</v>
      </c>
      <c r="Y1115" s="87">
        <f t="shared" si="102"/>
        <v>2.62812240626963E-3</v>
      </c>
      <c r="Z1115" s="87">
        <f t="shared" si="102"/>
        <v>2.6491615446976285E-2</v>
      </c>
      <c r="AA1115" s="87">
        <f t="shared" si="102"/>
        <v>1.0649727916658148E-2</v>
      </c>
      <c r="AB1115" s="87">
        <f t="shared" si="102"/>
        <v>0</v>
      </c>
      <c r="AC1115" s="87">
        <f t="shared" si="102"/>
        <v>7.4442031117300462E-3</v>
      </c>
      <c r="AD1115" s="87">
        <f t="shared" si="102"/>
        <v>6.6225407604934569E-3</v>
      </c>
      <c r="AE1115" s="90">
        <f t="shared" si="105"/>
        <v>1.1346029232741174E-2</v>
      </c>
    </row>
    <row r="1116" spans="1:31" ht="15.5" x14ac:dyDescent="0.35">
      <c r="A1116" s="82">
        <v>41387</v>
      </c>
      <c r="B1116" s="83">
        <v>9113.7999999999993</v>
      </c>
      <c r="C1116" s="84">
        <v>3269.3</v>
      </c>
      <c r="D1116" s="61">
        <v>400.6</v>
      </c>
      <c r="E1116" s="61">
        <v>24</v>
      </c>
      <c r="F1116" s="61">
        <v>57</v>
      </c>
      <c r="G1116" s="61">
        <v>30.4</v>
      </c>
      <c r="H1116" s="61">
        <v>17.2</v>
      </c>
      <c r="I1116" s="61">
        <v>12</v>
      </c>
      <c r="J1116" s="61">
        <v>38.5</v>
      </c>
      <c r="K1116" s="61">
        <v>15</v>
      </c>
      <c r="L1116" s="61">
        <v>47.9</v>
      </c>
      <c r="M1116" s="61">
        <v>35.700000000000003</v>
      </c>
      <c r="N1116" s="61">
        <v>81.900000000000006</v>
      </c>
      <c r="O1116" s="85">
        <v>30.6</v>
      </c>
      <c r="P1116" s="105"/>
      <c r="Q1116" s="87">
        <f t="shared" si="104"/>
        <v>1.0356500800760494E-2</v>
      </c>
      <c r="R1116" s="87">
        <f t="shared" si="107"/>
        <v>1.0979827047985011E-2</v>
      </c>
      <c r="S1116" s="87">
        <f t="shared" si="107"/>
        <v>3.2215848785796419E-2</v>
      </c>
      <c r="T1116" s="87">
        <f t="shared" si="107"/>
        <v>2.1053409197832263E-2</v>
      </c>
      <c r="U1116" s="87">
        <f t="shared" si="107"/>
        <v>1.9486887673496694E-2</v>
      </c>
      <c r="V1116" s="87">
        <f t="shared" si="107"/>
        <v>3.2948958968524846E-3</v>
      </c>
      <c r="W1116" s="87">
        <f t="shared" si="107"/>
        <v>5.8309203107931437E-3</v>
      </c>
      <c r="X1116" s="87">
        <f t="shared" si="106"/>
        <v>8.3682496705165792E-3</v>
      </c>
      <c r="Y1116" s="87">
        <f t="shared" si="102"/>
        <v>1.0443959161083314E-2</v>
      </c>
      <c r="Z1116" s="87">
        <f t="shared" si="102"/>
        <v>-1.9802627296179754E-2</v>
      </c>
      <c r="AA1116" s="87">
        <f t="shared" si="102"/>
        <v>1.4721611825359708E-2</v>
      </c>
      <c r="AB1116" s="87">
        <f t="shared" si="102"/>
        <v>1.1267724846342506E-2</v>
      </c>
      <c r="AC1116" s="87">
        <f t="shared" si="102"/>
        <v>1.228516679457777E-2</v>
      </c>
      <c r="AD1116" s="87">
        <f t="shared" si="102"/>
        <v>9.8522964430116395E-3</v>
      </c>
      <c r="AE1116" s="90">
        <f t="shared" si="105"/>
        <v>1.9492427043292682E-2</v>
      </c>
    </row>
    <row r="1117" spans="1:31" ht="15.5" x14ac:dyDescent="0.35">
      <c r="A1117" s="82">
        <v>41388</v>
      </c>
      <c r="B1117" s="83">
        <v>9146.5</v>
      </c>
      <c r="C1117" s="84">
        <v>3269.6</v>
      </c>
      <c r="D1117" s="61">
        <v>404.4</v>
      </c>
      <c r="E1117" s="61">
        <v>24.4</v>
      </c>
      <c r="F1117" s="61">
        <v>56.1</v>
      </c>
      <c r="G1117" s="61">
        <v>30.6</v>
      </c>
      <c r="H1117" s="61">
        <v>16.899999999999999</v>
      </c>
      <c r="I1117" s="61">
        <v>12.2</v>
      </c>
      <c r="J1117" s="61">
        <v>38.799999999999997</v>
      </c>
      <c r="K1117" s="61">
        <v>15.2</v>
      </c>
      <c r="L1117" s="61">
        <v>47.9</v>
      </c>
      <c r="M1117" s="61">
        <v>37.799999999999997</v>
      </c>
      <c r="N1117" s="61">
        <v>79.599999999999994</v>
      </c>
      <c r="O1117" s="85">
        <v>30.7</v>
      </c>
      <c r="P1117" s="105"/>
      <c r="Q1117" s="87">
        <f t="shared" si="104"/>
        <v>3.5815441098795806E-3</v>
      </c>
      <c r="R1117" s="87">
        <f t="shared" si="107"/>
        <v>9.1758552726101784E-5</v>
      </c>
      <c r="S1117" s="87">
        <f t="shared" si="107"/>
        <v>9.4410639145984E-3</v>
      </c>
      <c r="T1117" s="87">
        <f t="shared" si="107"/>
        <v>1.6529301951210506E-2</v>
      </c>
      <c r="U1117" s="87">
        <f t="shared" si="107"/>
        <v>-1.5915455305899457E-2</v>
      </c>
      <c r="V1117" s="87">
        <f t="shared" si="107"/>
        <v>6.5574005461592607E-3</v>
      </c>
      <c r="W1117" s="87">
        <f t="shared" si="107"/>
        <v>-1.7595761890379601E-2</v>
      </c>
      <c r="X1117" s="87">
        <f t="shared" si="106"/>
        <v>1.6529301951210506E-2</v>
      </c>
      <c r="Y1117" s="87">
        <f t="shared" si="102"/>
        <v>7.7620053354891094E-3</v>
      </c>
      <c r="Z1117" s="87">
        <f t="shared" si="102"/>
        <v>1.3245226750020505E-2</v>
      </c>
      <c r="AA1117" s="87">
        <f t="shared" si="102"/>
        <v>0</v>
      </c>
      <c r="AB1117" s="87">
        <f t="shared" ref="AB1117:AD1180" si="108">+LN(M1117/M1116)</f>
        <v>5.7158413839948415E-2</v>
      </c>
      <c r="AC1117" s="87">
        <f t="shared" si="108"/>
        <v>-2.8484898008686536E-2</v>
      </c>
      <c r="AD1117" s="87">
        <f t="shared" si="108"/>
        <v>3.2626456348163694E-3</v>
      </c>
      <c r="AE1117" s="90">
        <f t="shared" si="105"/>
        <v>-1.3627680897007831E-3</v>
      </c>
    </row>
    <row r="1118" spans="1:31" ht="15.5" x14ac:dyDescent="0.35">
      <c r="A1118" s="82">
        <v>41389</v>
      </c>
      <c r="B1118" s="83">
        <v>9188.9</v>
      </c>
      <c r="C1118" s="84">
        <v>3290</v>
      </c>
      <c r="D1118" s="61">
        <v>404.2</v>
      </c>
      <c r="E1118" s="61">
        <v>24.9</v>
      </c>
      <c r="F1118" s="61">
        <v>58.1</v>
      </c>
      <c r="G1118" s="61">
        <v>31.5</v>
      </c>
      <c r="H1118" s="61">
        <v>17.100000000000001</v>
      </c>
      <c r="I1118" s="61">
        <v>12.6</v>
      </c>
      <c r="J1118" s="61">
        <v>40.1</v>
      </c>
      <c r="K1118" s="61">
        <v>15.2</v>
      </c>
      <c r="L1118" s="61">
        <v>47.3</v>
      </c>
      <c r="M1118" s="61">
        <v>38.4</v>
      </c>
      <c r="N1118" s="61">
        <v>81</v>
      </c>
      <c r="O1118" s="85">
        <v>30.8</v>
      </c>
      <c r="P1118" s="105"/>
      <c r="Q1118" s="87">
        <f t="shared" si="104"/>
        <v>4.6249414333219959E-3</v>
      </c>
      <c r="R1118" s="87">
        <f t="shared" si="107"/>
        <v>6.2199115093500281E-3</v>
      </c>
      <c r="S1118" s="87">
        <f t="shared" si="107"/>
        <v>-4.9468217679571357E-4</v>
      </c>
      <c r="T1118" s="87">
        <f t="shared" si="107"/>
        <v>2.0284671171505717E-2</v>
      </c>
      <c r="U1118" s="87">
        <f t="shared" si="107"/>
        <v>3.5029851329214906E-2</v>
      </c>
      <c r="V1118" s="87">
        <f t="shared" si="107"/>
        <v>2.8987536873252187E-2</v>
      </c>
      <c r="W1118" s="87">
        <f t="shared" si="107"/>
        <v>1.1764841579586431E-2</v>
      </c>
      <c r="X1118" s="87">
        <f t="shared" si="106"/>
        <v>3.2260862218221477E-2</v>
      </c>
      <c r="Y1118" s="87">
        <f t="shared" si="106"/>
        <v>3.2956087683295845E-2</v>
      </c>
      <c r="Z1118" s="87">
        <f t="shared" si="106"/>
        <v>0</v>
      </c>
      <c r="AA1118" s="87">
        <f t="shared" si="106"/>
        <v>-1.2605208918982279E-2</v>
      </c>
      <c r="AB1118" s="87">
        <f t="shared" si="108"/>
        <v>1.5748356968139112E-2</v>
      </c>
      <c r="AC1118" s="87">
        <f t="shared" si="108"/>
        <v>1.7435061822101566E-2</v>
      </c>
      <c r="AD1118" s="87">
        <f t="shared" si="108"/>
        <v>3.2520353863773159E-3</v>
      </c>
      <c r="AE1118" s="90">
        <f t="shared" si="105"/>
        <v>1.2131261048705728E-2</v>
      </c>
    </row>
    <row r="1119" spans="1:31" ht="15.5" x14ac:dyDescent="0.35">
      <c r="A1119" s="82">
        <v>41390</v>
      </c>
      <c r="B1119" s="83">
        <v>9169.9</v>
      </c>
      <c r="C1119" s="84">
        <v>3279.3</v>
      </c>
      <c r="D1119" s="61">
        <v>398.7</v>
      </c>
      <c r="E1119" s="61">
        <v>24.6</v>
      </c>
      <c r="F1119" s="61">
        <v>58.3</v>
      </c>
      <c r="G1119" s="61">
        <v>31.5</v>
      </c>
      <c r="H1119" s="61">
        <v>17.8</v>
      </c>
      <c r="I1119" s="61">
        <v>12.4</v>
      </c>
      <c r="J1119" s="61">
        <v>40.5</v>
      </c>
      <c r="K1119" s="61">
        <v>15.9</v>
      </c>
      <c r="L1119" s="61">
        <v>47.1</v>
      </c>
      <c r="M1119" s="61">
        <v>38.200000000000003</v>
      </c>
      <c r="N1119" s="61">
        <v>82.7</v>
      </c>
      <c r="O1119" s="85">
        <v>30.8</v>
      </c>
      <c r="P1119" s="105"/>
      <c r="Q1119" s="87">
        <f t="shared" si="104"/>
        <v>-2.0698527990347564E-3</v>
      </c>
      <c r="R1119" s="87">
        <f t="shared" si="107"/>
        <v>-3.2575797915180573E-3</v>
      </c>
      <c r="S1119" s="87">
        <f t="shared" si="107"/>
        <v>-1.370055058221133E-2</v>
      </c>
      <c r="T1119" s="87">
        <f t="shared" si="107"/>
        <v>-1.2121360532344737E-2</v>
      </c>
      <c r="U1119" s="87">
        <f t="shared" si="107"/>
        <v>3.4364294985810974E-3</v>
      </c>
      <c r="V1119" s="87">
        <f t="shared" si="107"/>
        <v>0</v>
      </c>
      <c r="W1119" s="87">
        <f t="shared" si="107"/>
        <v>4.0119993789425358E-2</v>
      </c>
      <c r="X1119" s="87">
        <f t="shared" si="106"/>
        <v>-1.6000341346441075E-2</v>
      </c>
      <c r="Y1119" s="87">
        <f t="shared" si="106"/>
        <v>9.9256397999699982E-3</v>
      </c>
      <c r="Z1119" s="87">
        <f t="shared" si="106"/>
        <v>4.5023681373955113E-2</v>
      </c>
      <c r="AA1119" s="87">
        <f t="shared" si="106"/>
        <v>-4.237294475515155E-3</v>
      </c>
      <c r="AB1119" s="87">
        <f t="shared" si="108"/>
        <v>-5.2219439811516007E-3</v>
      </c>
      <c r="AC1119" s="87">
        <f t="shared" si="108"/>
        <v>2.0770447357206914E-2</v>
      </c>
      <c r="AD1119" s="87">
        <f t="shared" si="108"/>
        <v>0</v>
      </c>
      <c r="AE1119" s="90">
        <f t="shared" si="105"/>
        <v>-4.0048781771656571E-3</v>
      </c>
    </row>
    <row r="1120" spans="1:31" ht="15.5" x14ac:dyDescent="0.35">
      <c r="A1120" s="82">
        <v>41393</v>
      </c>
      <c r="B1120" s="83">
        <v>9245.2000000000007</v>
      </c>
      <c r="C1120" s="84">
        <v>3307</v>
      </c>
      <c r="D1120" s="61">
        <v>401.9</v>
      </c>
      <c r="E1120" s="61">
        <v>24.4</v>
      </c>
      <c r="F1120" s="61">
        <v>60</v>
      </c>
      <c r="G1120" s="61">
        <v>31.8</v>
      </c>
      <c r="H1120" s="61">
        <v>17.8</v>
      </c>
      <c r="I1120" s="61">
        <v>12.3</v>
      </c>
      <c r="J1120" s="61">
        <v>41</v>
      </c>
      <c r="K1120" s="61">
        <v>17</v>
      </c>
      <c r="L1120" s="61">
        <v>47.7</v>
      </c>
      <c r="M1120" s="61">
        <v>38.5</v>
      </c>
      <c r="N1120" s="61">
        <v>81.900000000000006</v>
      </c>
      <c r="O1120" s="85">
        <v>30.8</v>
      </c>
      <c r="P1120" s="105"/>
      <c r="Q1120" s="87">
        <f t="shared" si="104"/>
        <v>8.1781168368939457E-3</v>
      </c>
      <c r="R1120" s="87">
        <f t="shared" si="107"/>
        <v>8.4114490138932751E-3</v>
      </c>
      <c r="S1120" s="87">
        <f t="shared" si="107"/>
        <v>7.9940470678461165E-3</v>
      </c>
      <c r="T1120" s="87">
        <f t="shared" si="107"/>
        <v>-8.1633106391610939E-3</v>
      </c>
      <c r="U1120" s="87">
        <f t="shared" si="107"/>
        <v>2.8742468865653945E-2</v>
      </c>
      <c r="V1120" s="87">
        <f t="shared" si="107"/>
        <v>9.4787439545437387E-3</v>
      </c>
      <c r="W1120" s="87">
        <f t="shared" si="107"/>
        <v>0</v>
      </c>
      <c r="X1120" s="87">
        <f t="shared" si="106"/>
        <v>-8.0972102326193618E-3</v>
      </c>
      <c r="Y1120" s="87">
        <f t="shared" si="106"/>
        <v>1.2270092591814401E-2</v>
      </c>
      <c r="Z1120" s="87">
        <f t="shared" si="106"/>
        <v>6.6894234830030222E-2</v>
      </c>
      <c r="AA1120" s="87">
        <f t="shared" si="106"/>
        <v>1.2658396871923465E-2</v>
      </c>
      <c r="AB1120" s="87">
        <f t="shared" si="108"/>
        <v>7.8227256812088575E-3</v>
      </c>
      <c r="AC1120" s="87">
        <f t="shared" si="108"/>
        <v>-9.7206111706218141E-3</v>
      </c>
      <c r="AD1120" s="87">
        <f t="shared" si="108"/>
        <v>0</v>
      </c>
      <c r="AE1120" s="90">
        <f t="shared" si="105"/>
        <v>1.3080281657437146E-2</v>
      </c>
    </row>
    <row r="1121" spans="1:31" ht="15.5" x14ac:dyDescent="0.35">
      <c r="A1121" s="82">
        <v>41394</v>
      </c>
      <c r="B1121" s="83">
        <v>9276.9</v>
      </c>
      <c r="C1121" s="84">
        <v>3328.8</v>
      </c>
      <c r="D1121" s="61">
        <v>409.3</v>
      </c>
      <c r="E1121" s="61">
        <v>24.4</v>
      </c>
      <c r="F1121" s="61">
        <v>61.7</v>
      </c>
      <c r="G1121" s="61">
        <v>32.299999999999997</v>
      </c>
      <c r="H1121" s="61">
        <v>18.2</v>
      </c>
      <c r="I1121" s="61">
        <v>12.4</v>
      </c>
      <c r="J1121" s="61">
        <v>41.4</v>
      </c>
      <c r="K1121" s="61">
        <v>16.399999999999999</v>
      </c>
      <c r="L1121" s="61">
        <v>47</v>
      </c>
      <c r="M1121" s="61">
        <v>38.700000000000003</v>
      </c>
      <c r="N1121" s="61">
        <v>79.7</v>
      </c>
      <c r="O1121" s="85">
        <v>31.3</v>
      </c>
      <c r="P1121" s="105"/>
      <c r="Q1121" s="87">
        <f t="shared" si="104"/>
        <v>3.4229413458681454E-3</v>
      </c>
      <c r="R1121" s="87">
        <f t="shared" si="107"/>
        <v>6.5704446869388096E-3</v>
      </c>
      <c r="S1121" s="87">
        <f t="shared" si="107"/>
        <v>1.8245082043201976E-2</v>
      </c>
      <c r="T1121" s="87">
        <f t="shared" si="107"/>
        <v>0</v>
      </c>
      <c r="U1121" s="87">
        <f t="shared" si="107"/>
        <v>2.7939368689241434E-2</v>
      </c>
      <c r="V1121" s="87">
        <f t="shared" si="107"/>
        <v>1.5600940442479592E-2</v>
      </c>
      <c r="W1121" s="87">
        <f t="shared" si="107"/>
        <v>2.2223136784710041E-2</v>
      </c>
      <c r="X1121" s="87">
        <f t="shared" si="106"/>
        <v>8.0972102326193028E-3</v>
      </c>
      <c r="Y1121" s="87">
        <f t="shared" si="106"/>
        <v>9.7088141269609032E-3</v>
      </c>
      <c r="Z1121" s="87">
        <f t="shared" si="106"/>
        <v>-3.593200922606344E-2</v>
      </c>
      <c r="AA1121" s="87">
        <f t="shared" si="106"/>
        <v>-1.478379618423698E-2</v>
      </c>
      <c r="AB1121" s="87">
        <f t="shared" si="108"/>
        <v>5.1813587419975845E-3</v>
      </c>
      <c r="AC1121" s="87">
        <f t="shared" si="108"/>
        <v>-2.72294050628544E-2</v>
      </c>
      <c r="AD1121" s="87">
        <f t="shared" si="108"/>
        <v>1.6103407566578673E-2</v>
      </c>
      <c r="AE1121" s="90">
        <f t="shared" si="105"/>
        <v>1.7257284094781625E-2</v>
      </c>
    </row>
    <row r="1122" spans="1:31" ht="15.5" x14ac:dyDescent="0.35">
      <c r="A1122" s="82">
        <v>41395</v>
      </c>
      <c r="B1122" s="83">
        <v>9175.7999999999993</v>
      </c>
      <c r="C1122" s="84">
        <v>3299.1</v>
      </c>
      <c r="D1122" s="61">
        <v>408.6</v>
      </c>
      <c r="E1122" s="61">
        <v>24.3</v>
      </c>
      <c r="F1122" s="61">
        <v>62.1</v>
      </c>
      <c r="G1122" s="61">
        <v>32.6</v>
      </c>
      <c r="H1122" s="61">
        <v>17.7</v>
      </c>
      <c r="I1122" s="61">
        <v>12.2</v>
      </c>
      <c r="J1122" s="61">
        <v>41.6</v>
      </c>
      <c r="K1122" s="61">
        <v>15.9</v>
      </c>
      <c r="L1122" s="61">
        <v>44.6</v>
      </c>
      <c r="M1122" s="61">
        <v>38.4</v>
      </c>
      <c r="N1122" s="61">
        <v>78.8</v>
      </c>
      <c r="O1122" s="85">
        <v>31.6</v>
      </c>
      <c r="P1122" s="105"/>
      <c r="Q1122" s="87">
        <f t="shared" si="104"/>
        <v>-1.0957855666269752E-2</v>
      </c>
      <c r="R1122" s="87">
        <f t="shared" si="107"/>
        <v>-8.9621746837331186E-3</v>
      </c>
      <c r="S1122" s="87">
        <f t="shared" si="107"/>
        <v>-1.7117011148355867E-3</v>
      </c>
      <c r="T1122" s="87">
        <f t="shared" si="107"/>
        <v>-4.1067819526533593E-3</v>
      </c>
      <c r="U1122" s="87">
        <f t="shared" si="107"/>
        <v>6.462058028091024E-3</v>
      </c>
      <c r="V1122" s="87">
        <f t="shared" si="107"/>
        <v>9.2450581440512089E-3</v>
      </c>
      <c r="W1122" s="87">
        <f t="shared" si="107"/>
        <v>-2.7856954502966224E-2</v>
      </c>
      <c r="X1122" s="87">
        <f t="shared" si="106"/>
        <v>-1.6260520871780405E-2</v>
      </c>
      <c r="Y1122" s="87">
        <f t="shared" si="106"/>
        <v>4.8192864359489218E-3</v>
      </c>
      <c r="Z1122" s="87">
        <f t="shared" si="106"/>
        <v>-3.096222560396681E-2</v>
      </c>
      <c r="AA1122" s="87">
        <f t="shared" si="106"/>
        <v>-5.2413742684040164E-2</v>
      </c>
      <c r="AB1122" s="87">
        <f t="shared" si="108"/>
        <v>-7.7821404420550747E-3</v>
      </c>
      <c r="AC1122" s="87">
        <f t="shared" si="108"/>
        <v>-1.1356588932335949E-2</v>
      </c>
      <c r="AD1122" s="87">
        <f t="shared" si="108"/>
        <v>9.5390230467589099E-3</v>
      </c>
      <c r="AE1122" s="90">
        <f t="shared" si="105"/>
        <v>-1.8031800515517626E-4</v>
      </c>
    </row>
    <row r="1123" spans="1:31" ht="15.5" x14ac:dyDescent="0.35">
      <c r="A1123" s="82">
        <v>41396</v>
      </c>
      <c r="B1123" s="83">
        <v>9246.7000000000007</v>
      </c>
      <c r="C1123" s="84">
        <v>3340.6</v>
      </c>
      <c r="D1123" s="61">
        <v>409.9</v>
      </c>
      <c r="E1123" s="61">
        <v>24.2</v>
      </c>
      <c r="F1123" s="61">
        <v>63</v>
      </c>
      <c r="G1123" s="61">
        <v>32.4</v>
      </c>
      <c r="H1123" s="61">
        <v>17.3</v>
      </c>
      <c r="I1123" s="61">
        <v>12.1</v>
      </c>
      <c r="J1123" s="61">
        <v>41.4</v>
      </c>
      <c r="K1123" s="61">
        <v>16.399999999999999</v>
      </c>
      <c r="L1123" s="61">
        <v>45.5</v>
      </c>
      <c r="M1123" s="61">
        <v>38.5</v>
      </c>
      <c r="N1123" s="61">
        <v>79</v>
      </c>
      <c r="O1123" s="85">
        <v>31.5</v>
      </c>
      <c r="P1123" s="105"/>
      <c r="Q1123" s="87">
        <f t="shared" si="104"/>
        <v>7.6971475147503661E-3</v>
      </c>
      <c r="R1123" s="87">
        <f t="shared" si="107"/>
        <v>1.2500727570848774E-2</v>
      </c>
      <c r="S1123" s="87">
        <f t="shared" si="107"/>
        <v>3.176545126770181E-3</v>
      </c>
      <c r="T1123" s="87">
        <f t="shared" si="107"/>
        <v>-4.1237171838621519E-3</v>
      </c>
      <c r="U1123" s="87">
        <f t="shared" si="107"/>
        <v>1.4388737452099671E-2</v>
      </c>
      <c r="V1123" s="87">
        <f t="shared" si="107"/>
        <v>-6.1538655743783354E-3</v>
      </c>
      <c r="W1123" s="87">
        <f t="shared" si="107"/>
        <v>-2.2858138076050097E-2</v>
      </c>
      <c r="X1123" s="87">
        <f t="shared" si="106"/>
        <v>-8.23049913651548E-3</v>
      </c>
      <c r="Y1123" s="87">
        <f t="shared" si="106"/>
        <v>-4.8192864359489947E-3</v>
      </c>
      <c r="Z1123" s="87">
        <f t="shared" si="106"/>
        <v>3.096222560396689E-2</v>
      </c>
      <c r="AA1123" s="87">
        <f t="shared" si="106"/>
        <v>1.9978466930886295E-2</v>
      </c>
      <c r="AB1123" s="87">
        <f t="shared" si="108"/>
        <v>2.6007817000574403E-3</v>
      </c>
      <c r="AC1123" s="87">
        <f t="shared" si="108"/>
        <v>2.5348556031881157E-3</v>
      </c>
      <c r="AD1123" s="87">
        <f t="shared" si="108"/>
        <v>-3.1695747612790672E-3</v>
      </c>
      <c r="AE1123" s="90">
        <f t="shared" si="105"/>
        <v>8.4060972974733545E-3</v>
      </c>
    </row>
    <row r="1124" spans="1:31" ht="15.5" x14ac:dyDescent="0.35">
      <c r="A1124" s="82">
        <v>41397</v>
      </c>
      <c r="B1124" s="83">
        <v>9340.5</v>
      </c>
      <c r="C1124" s="84">
        <v>3378.6</v>
      </c>
      <c r="D1124" s="61">
        <v>418.4</v>
      </c>
      <c r="E1124" s="61">
        <v>25</v>
      </c>
      <c r="F1124" s="61">
        <v>64.2</v>
      </c>
      <c r="G1124" s="61">
        <v>33.1</v>
      </c>
      <c r="H1124" s="61">
        <v>17.600000000000001</v>
      </c>
      <c r="I1124" s="61">
        <v>12.2</v>
      </c>
      <c r="J1124" s="61">
        <v>41.9</v>
      </c>
      <c r="K1124" s="61">
        <v>16.899999999999999</v>
      </c>
      <c r="L1124" s="61">
        <v>45.5</v>
      </c>
      <c r="M1124" s="61">
        <v>40.299999999999997</v>
      </c>
      <c r="N1124" s="61">
        <v>79.3</v>
      </c>
      <c r="O1124" s="85">
        <v>31.8</v>
      </c>
      <c r="P1124" s="105"/>
      <c r="Q1124" s="87">
        <f t="shared" si="104"/>
        <v>1.0093052883733329E-2</v>
      </c>
      <c r="R1124" s="87">
        <f t="shared" si="107"/>
        <v>1.1310990932780714E-2</v>
      </c>
      <c r="S1124" s="87">
        <f t="shared" si="107"/>
        <v>2.0524685240421295E-2</v>
      </c>
      <c r="T1124" s="87">
        <f t="shared" si="107"/>
        <v>3.2523191705560145E-2</v>
      </c>
      <c r="U1124" s="87">
        <f t="shared" si="107"/>
        <v>1.8868484304382954E-2</v>
      </c>
      <c r="V1124" s="87">
        <f t="shared" si="107"/>
        <v>2.1374859584733612E-2</v>
      </c>
      <c r="W1124" s="87">
        <f t="shared" si="107"/>
        <v>1.7192400540372771E-2</v>
      </c>
      <c r="X1124" s="87">
        <f t="shared" si="106"/>
        <v>8.2304991365154435E-3</v>
      </c>
      <c r="Y1124" s="87">
        <f t="shared" si="106"/>
        <v>1.2004946096823401E-2</v>
      </c>
      <c r="Z1124" s="87">
        <f t="shared" si="106"/>
        <v>3.0032287098875076E-2</v>
      </c>
      <c r="AA1124" s="87">
        <f t="shared" si="106"/>
        <v>0</v>
      </c>
      <c r="AB1124" s="87">
        <f t="shared" si="108"/>
        <v>4.5693227658898772E-2</v>
      </c>
      <c r="AC1124" s="87">
        <f t="shared" si="108"/>
        <v>3.7902761737808269E-3</v>
      </c>
      <c r="AD1124" s="87">
        <f t="shared" si="108"/>
        <v>9.4787439545437387E-3</v>
      </c>
      <c r="AE1124" s="90">
        <f t="shared" si="105"/>
        <v>1.5946707053520876E-2</v>
      </c>
    </row>
    <row r="1125" spans="1:31" ht="15.5" x14ac:dyDescent="0.35">
      <c r="A1125" s="82">
        <v>41400</v>
      </c>
      <c r="B1125" s="83">
        <v>9348.9</v>
      </c>
      <c r="C1125" s="84">
        <v>3393</v>
      </c>
      <c r="D1125" s="61">
        <v>424.6</v>
      </c>
      <c r="E1125" s="61">
        <v>24.9</v>
      </c>
      <c r="F1125" s="61">
        <v>64.900000000000006</v>
      </c>
      <c r="G1125" s="61">
        <v>33.299999999999997</v>
      </c>
      <c r="H1125" s="61">
        <v>17.3</v>
      </c>
      <c r="I1125" s="61">
        <v>12.5</v>
      </c>
      <c r="J1125" s="61">
        <v>42.1</v>
      </c>
      <c r="K1125" s="61">
        <v>16.899999999999999</v>
      </c>
      <c r="L1125" s="61">
        <v>45</v>
      </c>
      <c r="M1125" s="61">
        <v>40.4</v>
      </c>
      <c r="N1125" s="61">
        <v>79.3</v>
      </c>
      <c r="O1125" s="85">
        <v>31.9</v>
      </c>
      <c r="P1125" s="105"/>
      <c r="Q1125" s="87">
        <f t="shared" si="104"/>
        <v>8.9890532233467444E-4</v>
      </c>
      <c r="R1125" s="87">
        <f t="shared" si="107"/>
        <v>4.2530632956022515E-3</v>
      </c>
      <c r="S1125" s="87">
        <f t="shared" si="107"/>
        <v>1.4709636518442665E-2</v>
      </c>
      <c r="T1125" s="87">
        <f t="shared" si="107"/>
        <v>-4.0080213975388218E-3</v>
      </c>
      <c r="U1125" s="87">
        <f t="shared" si="107"/>
        <v>1.0844413014128876E-2</v>
      </c>
      <c r="V1125" s="87">
        <f t="shared" si="107"/>
        <v>6.0241146033808762E-3</v>
      </c>
      <c r="W1125" s="87">
        <f t="shared" si="107"/>
        <v>-1.7192400540372875E-2</v>
      </c>
      <c r="X1125" s="87">
        <f t="shared" si="106"/>
        <v>2.4292692569044701E-2</v>
      </c>
      <c r="Y1125" s="87">
        <f t="shared" si="106"/>
        <v>4.761913760243785E-3</v>
      </c>
      <c r="Z1125" s="87">
        <f t="shared" si="106"/>
        <v>0</v>
      </c>
      <c r="AA1125" s="87">
        <f t="shared" si="106"/>
        <v>-1.1049836186584935E-2</v>
      </c>
      <c r="AB1125" s="87">
        <f t="shared" si="108"/>
        <v>2.4783160144672216E-3</v>
      </c>
      <c r="AC1125" s="87">
        <f t="shared" si="108"/>
        <v>0</v>
      </c>
      <c r="AD1125" s="87">
        <f t="shared" si="108"/>
        <v>3.1397200046676247E-3</v>
      </c>
      <c r="AE1125" s="90">
        <f t="shared" si="105"/>
        <v>9.0637734324631493E-3</v>
      </c>
    </row>
    <row r="1126" spans="1:31" ht="15.5" x14ac:dyDescent="0.35">
      <c r="A1126" s="82">
        <v>41401</v>
      </c>
      <c r="B1126" s="83">
        <v>9409</v>
      </c>
      <c r="C1126" s="84">
        <v>3396.6</v>
      </c>
      <c r="D1126" s="61">
        <v>425.8</v>
      </c>
      <c r="E1126" s="61">
        <v>25.6</v>
      </c>
      <c r="F1126" s="61">
        <v>64.8</v>
      </c>
      <c r="G1126" s="61">
        <v>33.200000000000003</v>
      </c>
      <c r="H1126" s="61">
        <v>17.3</v>
      </c>
      <c r="I1126" s="61">
        <v>12.9</v>
      </c>
      <c r="J1126" s="61">
        <v>42.5</v>
      </c>
      <c r="K1126" s="61">
        <v>16.2</v>
      </c>
      <c r="L1126" s="61">
        <v>44.9</v>
      </c>
      <c r="M1126" s="61">
        <v>40.5</v>
      </c>
      <c r="N1126" s="61">
        <v>79.5</v>
      </c>
      <c r="O1126" s="85">
        <v>31.9</v>
      </c>
      <c r="P1126" s="105"/>
      <c r="Q1126" s="87">
        <f t="shared" si="104"/>
        <v>6.4079887038146714E-3</v>
      </c>
      <c r="R1126" s="87">
        <f t="shared" si="107"/>
        <v>1.0604454864390973E-3</v>
      </c>
      <c r="S1126" s="87">
        <f t="shared" si="107"/>
        <v>2.8222031902234252E-3</v>
      </c>
      <c r="T1126" s="87">
        <f t="shared" si="107"/>
        <v>2.7724548014854983E-2</v>
      </c>
      <c r="U1126" s="87">
        <f t="shared" si="107"/>
        <v>-1.5420203518154484E-3</v>
      </c>
      <c r="V1126" s="87">
        <f t="shared" si="107"/>
        <v>-3.0075210639551055E-3</v>
      </c>
      <c r="W1126" s="87">
        <f t="shared" si="107"/>
        <v>0</v>
      </c>
      <c r="X1126" s="87">
        <f t="shared" si="106"/>
        <v>3.1498667059371016E-2</v>
      </c>
      <c r="Y1126" s="87">
        <f t="shared" si="106"/>
        <v>9.4563352420354435E-3</v>
      </c>
      <c r="Z1126" s="87">
        <f t="shared" si="106"/>
        <v>-4.2302379690689389E-2</v>
      </c>
      <c r="AA1126" s="87">
        <f t="shared" si="106"/>
        <v>-2.2246950221111624E-3</v>
      </c>
      <c r="AB1126" s="87">
        <f t="shared" si="108"/>
        <v>2.4721891453890728E-3</v>
      </c>
      <c r="AC1126" s="87">
        <f t="shared" si="108"/>
        <v>2.5188930194839864E-3</v>
      </c>
      <c r="AD1126" s="87">
        <f t="shared" si="108"/>
        <v>0</v>
      </c>
      <c r="AE1126" s="90">
        <f t="shared" si="105"/>
        <v>7.0318372311748865E-4</v>
      </c>
    </row>
    <row r="1127" spans="1:31" ht="15.5" x14ac:dyDescent="0.35">
      <c r="A1127" s="82">
        <v>41402</v>
      </c>
      <c r="B1127" s="83">
        <v>9463.2999999999993</v>
      </c>
      <c r="C1127" s="84">
        <v>3413.3</v>
      </c>
      <c r="D1127" s="61">
        <v>426.9</v>
      </c>
      <c r="E1127" s="61">
        <v>26</v>
      </c>
      <c r="F1127" s="61">
        <v>65.099999999999994</v>
      </c>
      <c r="G1127" s="61">
        <v>32.700000000000003</v>
      </c>
      <c r="H1127" s="61">
        <v>17.3</v>
      </c>
      <c r="I1127" s="61">
        <v>13</v>
      </c>
      <c r="J1127" s="61">
        <v>42.9</v>
      </c>
      <c r="K1127" s="61">
        <v>16.899999999999999</v>
      </c>
      <c r="L1127" s="61">
        <v>45</v>
      </c>
      <c r="M1127" s="61">
        <v>40.6</v>
      </c>
      <c r="N1127" s="61">
        <v>80.5</v>
      </c>
      <c r="O1127" s="85">
        <v>31.8</v>
      </c>
      <c r="P1127" s="105"/>
      <c r="Q1127" s="87">
        <f t="shared" si="104"/>
        <v>5.7544814189073512E-3</v>
      </c>
      <c r="R1127" s="87">
        <f t="shared" si="107"/>
        <v>4.9046339820358531E-3</v>
      </c>
      <c r="S1127" s="87">
        <f t="shared" si="107"/>
        <v>2.5800413045370964E-3</v>
      </c>
      <c r="T1127" s="87">
        <f t="shared" si="107"/>
        <v>1.5504186535965254E-2</v>
      </c>
      <c r="U1127" s="87">
        <f t="shared" si="107"/>
        <v>4.6189458562944583E-3</v>
      </c>
      <c r="V1127" s="87">
        <f t="shared" si="107"/>
        <v>-1.5174798019235115E-2</v>
      </c>
      <c r="W1127" s="87">
        <f t="shared" si="107"/>
        <v>0</v>
      </c>
      <c r="X1127" s="87">
        <f t="shared" si="106"/>
        <v>7.7220460939103185E-3</v>
      </c>
      <c r="Y1127" s="87">
        <f t="shared" si="106"/>
        <v>9.3677500036000207E-3</v>
      </c>
      <c r="Z1127" s="87">
        <f t="shared" si="106"/>
        <v>4.2302379690689368E-2</v>
      </c>
      <c r="AA1127" s="87">
        <f t="shared" si="106"/>
        <v>2.2246950221111086E-3</v>
      </c>
      <c r="AB1127" s="87">
        <f t="shared" si="108"/>
        <v>2.4660924951934683E-3</v>
      </c>
      <c r="AC1127" s="87">
        <f t="shared" si="108"/>
        <v>1.2500162764231468E-2</v>
      </c>
      <c r="AD1127" s="87">
        <f t="shared" si="108"/>
        <v>-3.1397200046676412E-3</v>
      </c>
      <c r="AE1127" s="90">
        <f t="shared" si="105"/>
        <v>3.1646096848895735E-3</v>
      </c>
    </row>
    <row r="1128" spans="1:31" ht="15.5" x14ac:dyDescent="0.35">
      <c r="A1128" s="82">
        <v>41403</v>
      </c>
      <c r="B1128" s="83">
        <v>9409.2000000000007</v>
      </c>
      <c r="C1128" s="84">
        <v>3409.2</v>
      </c>
      <c r="D1128" s="61">
        <v>434.6</v>
      </c>
      <c r="E1128" s="61">
        <v>26.1</v>
      </c>
      <c r="F1128" s="61">
        <v>65.099999999999994</v>
      </c>
      <c r="G1128" s="61">
        <v>32.6</v>
      </c>
      <c r="H1128" s="61">
        <v>17.899999999999999</v>
      </c>
      <c r="I1128" s="61">
        <v>12.7</v>
      </c>
      <c r="J1128" s="61">
        <v>43.4</v>
      </c>
      <c r="K1128" s="61">
        <v>17.2</v>
      </c>
      <c r="L1128" s="61">
        <v>45</v>
      </c>
      <c r="M1128" s="61">
        <v>40.4</v>
      </c>
      <c r="N1128" s="61">
        <v>81.5</v>
      </c>
      <c r="O1128" s="85">
        <v>31.8</v>
      </c>
      <c r="P1128" s="105"/>
      <c r="Q1128" s="87">
        <f t="shared" si="104"/>
        <v>-5.733225400796303E-3</v>
      </c>
      <c r="R1128" s="87">
        <f t="shared" si="107"/>
        <v>-1.2019056045625956E-3</v>
      </c>
      <c r="S1128" s="87">
        <f t="shared" si="107"/>
        <v>1.787627405841296E-2</v>
      </c>
      <c r="T1128" s="87">
        <f t="shared" si="107"/>
        <v>3.8387763071656669E-3</v>
      </c>
      <c r="U1128" s="87">
        <f t="shared" si="107"/>
        <v>0</v>
      </c>
      <c r="V1128" s="87">
        <f t="shared" si="107"/>
        <v>-3.0627895305457668E-3</v>
      </c>
      <c r="W1128" s="87">
        <f t="shared" si="107"/>
        <v>3.4094211342975925E-2</v>
      </c>
      <c r="X1128" s="87">
        <f t="shared" si="106"/>
        <v>-2.3347363996991177E-2</v>
      </c>
      <c r="Y1128" s="87">
        <f t="shared" si="106"/>
        <v>1.1587615172387829E-2</v>
      </c>
      <c r="Z1128" s="87">
        <f t="shared" si="106"/>
        <v>1.759576189037966E-2</v>
      </c>
      <c r="AA1128" s="87">
        <f t="shared" si="106"/>
        <v>0</v>
      </c>
      <c r="AB1128" s="87">
        <f t="shared" si="108"/>
        <v>-4.9382816405826773E-3</v>
      </c>
      <c r="AC1128" s="87">
        <f t="shared" si="108"/>
        <v>1.2345835822299362E-2</v>
      </c>
      <c r="AD1128" s="87">
        <f t="shared" si="108"/>
        <v>0</v>
      </c>
      <c r="AE1128" s="90">
        <f t="shared" si="105"/>
        <v>4.8732659346502165E-3</v>
      </c>
    </row>
    <row r="1129" spans="1:31" ht="15.5" x14ac:dyDescent="0.35">
      <c r="A1129" s="82">
        <v>41404</v>
      </c>
      <c r="B1129" s="83">
        <v>9442.7999999999993</v>
      </c>
      <c r="C1129" s="84">
        <v>3436.6</v>
      </c>
      <c r="D1129" s="61">
        <v>436.5</v>
      </c>
      <c r="E1129" s="61">
        <v>26.3</v>
      </c>
      <c r="F1129" s="61">
        <v>64.400000000000006</v>
      </c>
      <c r="G1129" s="61">
        <v>32.299999999999997</v>
      </c>
      <c r="H1129" s="61">
        <v>18.3</v>
      </c>
      <c r="I1129" s="61">
        <v>12.8</v>
      </c>
      <c r="J1129" s="61">
        <v>43</v>
      </c>
      <c r="K1129" s="61">
        <v>17.2</v>
      </c>
      <c r="L1129" s="61">
        <v>45.5</v>
      </c>
      <c r="M1129" s="61">
        <v>40.5</v>
      </c>
      <c r="N1129" s="61">
        <v>81.3</v>
      </c>
      <c r="O1129" s="85">
        <v>31.8</v>
      </c>
      <c r="P1129" s="105"/>
      <c r="Q1129" s="87">
        <f t="shared" si="104"/>
        <v>3.56461230406131E-3</v>
      </c>
      <c r="R1129" s="87">
        <f t="shared" si="107"/>
        <v>8.0049508645022166E-3</v>
      </c>
      <c r="S1129" s="87">
        <f t="shared" si="107"/>
        <v>4.3623074573274773E-3</v>
      </c>
      <c r="T1129" s="87">
        <f t="shared" si="107"/>
        <v>7.6336248550712051E-3</v>
      </c>
      <c r="U1129" s="87">
        <f t="shared" si="107"/>
        <v>-1.0810916104215506E-2</v>
      </c>
      <c r="V1129" s="87">
        <f t="shared" si="107"/>
        <v>-9.2450581440512731E-3</v>
      </c>
      <c r="W1129" s="87">
        <f t="shared" si="107"/>
        <v>2.2100347000666137E-2</v>
      </c>
      <c r="X1129" s="87">
        <f t="shared" si="106"/>
        <v>7.843177461026099E-3</v>
      </c>
      <c r="Y1129" s="87">
        <f t="shared" si="106"/>
        <v>-9.2593254127967123E-3</v>
      </c>
      <c r="Z1129" s="87">
        <f t="shared" si="106"/>
        <v>0</v>
      </c>
      <c r="AA1129" s="87">
        <f t="shared" si="106"/>
        <v>1.1049836186584935E-2</v>
      </c>
      <c r="AB1129" s="87">
        <f t="shared" si="108"/>
        <v>2.4721891453890728E-3</v>
      </c>
      <c r="AC1129" s="87">
        <f t="shared" si="108"/>
        <v>-2.4570036930521028E-3</v>
      </c>
      <c r="AD1129" s="87">
        <f t="shared" si="108"/>
        <v>0</v>
      </c>
      <c r="AE1129" s="90">
        <f t="shared" si="105"/>
        <v>5.8533832057755617E-4</v>
      </c>
    </row>
    <row r="1130" spans="1:31" ht="15.5" x14ac:dyDescent="0.35">
      <c r="A1130" s="82">
        <v>41407</v>
      </c>
      <c r="B1130" s="83">
        <v>9437.2000000000007</v>
      </c>
      <c r="C1130" s="84">
        <v>3438.8</v>
      </c>
      <c r="D1130" s="61">
        <v>437.1</v>
      </c>
      <c r="E1130" s="61">
        <v>26.4</v>
      </c>
      <c r="F1130" s="61">
        <v>64.5</v>
      </c>
      <c r="G1130" s="61">
        <v>32.6</v>
      </c>
      <c r="H1130" s="61">
        <v>18.7</v>
      </c>
      <c r="I1130" s="61">
        <v>12.5</v>
      </c>
      <c r="J1130" s="61">
        <v>42.6</v>
      </c>
      <c r="K1130" s="61">
        <v>18.2</v>
      </c>
      <c r="L1130" s="61">
        <v>45.7</v>
      </c>
      <c r="M1130" s="61">
        <v>41.1</v>
      </c>
      <c r="N1130" s="61">
        <v>81.400000000000006</v>
      </c>
      <c r="O1130" s="85">
        <v>32.200000000000003</v>
      </c>
      <c r="P1130" s="105"/>
      <c r="Q1130" s="87">
        <f t="shared" si="104"/>
        <v>-5.9322035637955953E-4</v>
      </c>
      <c r="R1130" s="87">
        <f t="shared" si="107"/>
        <v>6.3996278764435035E-4</v>
      </c>
      <c r="S1130" s="87">
        <f t="shared" si="107"/>
        <v>1.3736265896119398E-3</v>
      </c>
      <c r="T1130" s="87">
        <f t="shared" si="107"/>
        <v>3.7950709685515343E-3</v>
      </c>
      <c r="U1130" s="87">
        <f t="shared" si="107"/>
        <v>1.55159069141885E-3</v>
      </c>
      <c r="V1130" s="87">
        <f t="shared" si="107"/>
        <v>9.2450581440512089E-3</v>
      </c>
      <c r="W1130" s="87">
        <f t="shared" si="107"/>
        <v>2.1622464013165709E-2</v>
      </c>
      <c r="X1130" s="87">
        <f t="shared" si="106"/>
        <v>-2.3716526617316044E-2</v>
      </c>
      <c r="Y1130" s="87">
        <f t="shared" si="106"/>
        <v>-9.345862418237658E-3</v>
      </c>
      <c r="Z1130" s="87">
        <f t="shared" si="106"/>
        <v>5.6512210263342404E-2</v>
      </c>
      <c r="AA1130" s="87">
        <f t="shared" si="106"/>
        <v>4.3859719432542679E-3</v>
      </c>
      <c r="AB1130" s="87">
        <f t="shared" si="108"/>
        <v>1.4706147389695487E-2</v>
      </c>
      <c r="AC1130" s="87">
        <f t="shared" si="108"/>
        <v>1.2292564547299115E-3</v>
      </c>
      <c r="AD1130" s="87">
        <f t="shared" si="108"/>
        <v>1.2500162764231468E-2</v>
      </c>
      <c r="AE1130" s="90">
        <f t="shared" si="105"/>
        <v>2.557009804051282E-3</v>
      </c>
    </row>
    <row r="1131" spans="1:31" ht="15.5" x14ac:dyDescent="0.35">
      <c r="A1131" s="82">
        <v>41408</v>
      </c>
      <c r="B1131" s="83">
        <v>9515.9</v>
      </c>
      <c r="C1131" s="84">
        <v>3462.6</v>
      </c>
      <c r="D1131" s="61">
        <v>439</v>
      </c>
      <c r="E1131" s="61">
        <v>26.5</v>
      </c>
      <c r="F1131" s="61">
        <v>63.2</v>
      </c>
      <c r="G1131" s="61">
        <v>32.799999999999997</v>
      </c>
      <c r="H1131" s="61">
        <v>18.8</v>
      </c>
      <c r="I1131" s="61">
        <v>12.7</v>
      </c>
      <c r="J1131" s="61">
        <v>42.6</v>
      </c>
      <c r="K1131" s="61">
        <v>18.100000000000001</v>
      </c>
      <c r="L1131" s="61">
        <v>46</v>
      </c>
      <c r="M1131" s="61">
        <v>41.4</v>
      </c>
      <c r="N1131" s="61">
        <v>81.5</v>
      </c>
      <c r="O1131" s="85">
        <v>32.299999999999997</v>
      </c>
      <c r="P1131" s="105"/>
      <c r="Q1131" s="87">
        <f t="shared" si="104"/>
        <v>8.3047577780080498E-3</v>
      </c>
      <c r="R1131" s="87">
        <f t="shared" si="107"/>
        <v>6.8971786446866976E-3</v>
      </c>
      <c r="S1131" s="87">
        <f t="shared" si="107"/>
        <v>4.3374112059025626E-3</v>
      </c>
      <c r="T1131" s="87">
        <f t="shared" si="107"/>
        <v>3.7807228399061523E-3</v>
      </c>
      <c r="U1131" s="87">
        <f t="shared" si="107"/>
        <v>-2.0360922648914967E-2</v>
      </c>
      <c r="V1131" s="87">
        <f t="shared" si="107"/>
        <v>6.1162270174360536E-3</v>
      </c>
      <c r="W1131" s="87">
        <f t="shared" si="107"/>
        <v>5.3333459753626029E-3</v>
      </c>
      <c r="X1131" s="87">
        <f t="shared" si="106"/>
        <v>1.5873349156290163E-2</v>
      </c>
      <c r="Y1131" s="87">
        <f t="shared" si="106"/>
        <v>0</v>
      </c>
      <c r="Z1131" s="87">
        <f t="shared" si="106"/>
        <v>-5.5096558109694726E-3</v>
      </c>
      <c r="AA1131" s="87">
        <f t="shared" si="106"/>
        <v>6.5430985889358868E-3</v>
      </c>
      <c r="AB1131" s="87">
        <f t="shared" si="108"/>
        <v>7.2727593290796569E-3</v>
      </c>
      <c r="AC1131" s="87">
        <f t="shared" si="108"/>
        <v>1.2277472383223377E-3</v>
      </c>
      <c r="AD1131" s="87">
        <f t="shared" si="108"/>
        <v>3.1007776782479642E-3</v>
      </c>
      <c r="AE1131" s="90">
        <f t="shared" si="105"/>
        <v>-2.1078279752720151E-3</v>
      </c>
    </row>
    <row r="1132" spans="1:31" ht="15.5" x14ac:dyDescent="0.35">
      <c r="A1132" s="82">
        <v>41409</v>
      </c>
      <c r="B1132" s="83">
        <v>9551.4</v>
      </c>
      <c r="C1132" s="84">
        <v>3471.6</v>
      </c>
      <c r="D1132" s="61">
        <v>447.5</v>
      </c>
      <c r="E1132" s="61">
        <v>26.6</v>
      </c>
      <c r="F1132" s="61">
        <v>60.3</v>
      </c>
      <c r="G1132" s="61">
        <v>33.4</v>
      </c>
      <c r="H1132" s="61">
        <v>20.2</v>
      </c>
      <c r="I1132" s="61">
        <v>13</v>
      </c>
      <c r="J1132" s="61">
        <v>43</v>
      </c>
      <c r="K1132" s="61">
        <v>18.600000000000001</v>
      </c>
      <c r="L1132" s="61">
        <v>46.5</v>
      </c>
      <c r="M1132" s="61">
        <v>42.2</v>
      </c>
      <c r="N1132" s="61">
        <v>81.599999999999994</v>
      </c>
      <c r="O1132" s="85">
        <v>32.700000000000003</v>
      </c>
      <c r="P1132" s="105"/>
      <c r="Q1132" s="87">
        <f t="shared" si="104"/>
        <v>3.7236568385788722E-3</v>
      </c>
      <c r="R1132" s="87">
        <f t="shared" si="107"/>
        <v>2.5958308251139892E-3</v>
      </c>
      <c r="S1132" s="87">
        <f t="shared" si="107"/>
        <v>1.9177124639738637E-2</v>
      </c>
      <c r="T1132" s="87">
        <f t="shared" si="107"/>
        <v>3.7664827954768648E-3</v>
      </c>
      <c r="U1132" s="87">
        <f t="shared" si="107"/>
        <v>-4.6972197419672117E-2</v>
      </c>
      <c r="V1132" s="87">
        <f t="shared" si="107"/>
        <v>1.8127384592556701E-2</v>
      </c>
      <c r="W1132" s="87">
        <f t="shared" si="107"/>
        <v>7.1825734571255392E-2</v>
      </c>
      <c r="X1132" s="87">
        <f t="shared" si="106"/>
        <v>2.3347363996991107E-2</v>
      </c>
      <c r="Y1132" s="87">
        <f t="shared" si="106"/>
        <v>9.345862418237599E-3</v>
      </c>
      <c r="Z1132" s="87">
        <f t="shared" si="106"/>
        <v>2.724964244737554E-2</v>
      </c>
      <c r="AA1132" s="87">
        <f t="shared" si="106"/>
        <v>1.0810916104215676E-2</v>
      </c>
      <c r="AB1132" s="87">
        <f t="shared" si="108"/>
        <v>1.9139340210697506E-2</v>
      </c>
      <c r="AC1132" s="87">
        <f t="shared" si="108"/>
        <v>1.2262417232442935E-3</v>
      </c>
      <c r="AD1132" s="87">
        <f t="shared" si="108"/>
        <v>1.2307847674596993E-2</v>
      </c>
      <c r="AE1132" s="90">
        <f t="shared" si="105"/>
        <v>-5.5427078664350886E-3</v>
      </c>
    </row>
    <row r="1133" spans="1:31" ht="15.5" x14ac:dyDescent="0.35">
      <c r="A1133" s="82">
        <v>41410</v>
      </c>
      <c r="B1133" s="83">
        <v>9489.2999999999993</v>
      </c>
      <c r="C1133" s="84">
        <v>3465.2</v>
      </c>
      <c r="D1133" s="61">
        <v>451.5</v>
      </c>
      <c r="E1133" s="61">
        <v>26.6</v>
      </c>
      <c r="F1133" s="61">
        <v>59.8</v>
      </c>
      <c r="G1133" s="61">
        <v>33.6</v>
      </c>
      <c r="H1133" s="61">
        <v>21</v>
      </c>
      <c r="I1133" s="61">
        <v>13.5</v>
      </c>
      <c r="J1133" s="61">
        <v>43.3</v>
      </c>
      <c r="K1133" s="61">
        <v>18.399999999999999</v>
      </c>
      <c r="L1133" s="61">
        <v>45</v>
      </c>
      <c r="M1133" s="61">
        <v>42.5</v>
      </c>
      <c r="N1133" s="61">
        <v>82.8</v>
      </c>
      <c r="O1133" s="85">
        <v>32.1</v>
      </c>
      <c r="P1133" s="105"/>
      <c r="Q1133" s="87">
        <f t="shared" si="104"/>
        <v>-6.5228925602948658E-3</v>
      </c>
      <c r="R1133" s="87">
        <f t="shared" si="107"/>
        <v>-1.8452317541045307E-3</v>
      </c>
      <c r="S1133" s="87">
        <f t="shared" si="107"/>
        <v>8.8988351421300394E-3</v>
      </c>
      <c r="T1133" s="87">
        <f t="shared" si="107"/>
        <v>0</v>
      </c>
      <c r="U1133" s="87">
        <f t="shared" si="107"/>
        <v>-8.3264427765536685E-3</v>
      </c>
      <c r="V1133" s="87">
        <f t="shared" si="107"/>
        <v>5.9701669865039747E-3</v>
      </c>
      <c r="W1133" s="87">
        <f t="shared" si="107"/>
        <v>3.8839833316263957E-2</v>
      </c>
      <c r="X1133" s="87">
        <f t="shared" si="106"/>
        <v>3.7740327982847113E-2</v>
      </c>
      <c r="Y1133" s="87">
        <f t="shared" si="106"/>
        <v>6.9525193148816632E-3</v>
      </c>
      <c r="Z1133" s="87">
        <f t="shared" si="106"/>
        <v>-1.081091610421573E-2</v>
      </c>
      <c r="AA1133" s="87">
        <f t="shared" si="106"/>
        <v>-3.2789822822990838E-2</v>
      </c>
      <c r="AB1133" s="87">
        <f t="shared" si="108"/>
        <v>7.0838548884050419E-3</v>
      </c>
      <c r="AC1133" s="87">
        <f t="shared" si="108"/>
        <v>1.4598799421152631E-2</v>
      </c>
      <c r="AD1133" s="87">
        <f t="shared" si="108"/>
        <v>-1.8519047767237527E-2</v>
      </c>
      <c r="AE1133" s="90">
        <f t="shared" si="105"/>
        <v>-2.5796558671943863E-3</v>
      </c>
    </row>
    <row r="1134" spans="1:31" ht="15.5" x14ac:dyDescent="0.35">
      <c r="A1134" s="82">
        <v>41411</v>
      </c>
      <c r="B1134" s="83">
        <v>9576.4</v>
      </c>
      <c r="C1134" s="84">
        <v>3499</v>
      </c>
      <c r="D1134" s="61">
        <v>450.7</v>
      </c>
      <c r="E1134" s="61">
        <v>26.5</v>
      </c>
      <c r="F1134" s="61">
        <v>61.6</v>
      </c>
      <c r="G1134" s="61">
        <v>34.1</v>
      </c>
      <c r="H1134" s="61">
        <v>21.1</v>
      </c>
      <c r="I1134" s="61">
        <v>13.9</v>
      </c>
      <c r="J1134" s="61">
        <v>43.3</v>
      </c>
      <c r="K1134" s="61">
        <v>17.600000000000001</v>
      </c>
      <c r="L1134" s="61">
        <v>45.1</v>
      </c>
      <c r="M1134" s="61">
        <v>42.7</v>
      </c>
      <c r="N1134" s="61">
        <v>83.4</v>
      </c>
      <c r="O1134" s="85">
        <v>32.200000000000003</v>
      </c>
      <c r="P1134" s="105"/>
      <c r="Q1134" s="87">
        <f t="shared" si="104"/>
        <v>9.1368904309736161E-3</v>
      </c>
      <c r="R1134" s="87">
        <f t="shared" si="107"/>
        <v>9.7068623517029481E-3</v>
      </c>
      <c r="S1134" s="87">
        <f t="shared" si="107"/>
        <v>-1.7734431604375833E-3</v>
      </c>
      <c r="T1134" s="87">
        <f t="shared" si="107"/>
        <v>-3.7664827954768934E-3</v>
      </c>
      <c r="U1134" s="87">
        <f t="shared" si="107"/>
        <v>2.9656209582888022E-2</v>
      </c>
      <c r="V1134" s="87">
        <f t="shared" si="107"/>
        <v>1.4771317320312503E-2</v>
      </c>
      <c r="W1134" s="87">
        <f t="shared" si="107"/>
        <v>4.7506027585977988E-3</v>
      </c>
      <c r="X1134" s="87">
        <f t="shared" si="106"/>
        <v>2.919915469226235E-2</v>
      </c>
      <c r="Y1134" s="87">
        <f t="shared" si="106"/>
        <v>0</v>
      </c>
      <c r="Z1134" s="87">
        <f t="shared" si="106"/>
        <v>-4.4451762570833692E-2</v>
      </c>
      <c r="AA1134" s="87">
        <f t="shared" si="106"/>
        <v>2.2197567383130316E-3</v>
      </c>
      <c r="AB1134" s="87">
        <f t="shared" si="108"/>
        <v>4.6948443042078847E-3</v>
      </c>
      <c r="AC1134" s="87">
        <f t="shared" si="108"/>
        <v>7.2202479734870973E-3</v>
      </c>
      <c r="AD1134" s="87">
        <f t="shared" si="108"/>
        <v>3.1104224143925518E-3</v>
      </c>
      <c r="AE1134" s="90">
        <f t="shared" si="105"/>
        <v>1.1248347595862034E-2</v>
      </c>
    </row>
    <row r="1135" spans="1:31" ht="15.5" x14ac:dyDescent="0.35">
      <c r="A1135" s="82">
        <v>41414</v>
      </c>
      <c r="B1135" s="83">
        <v>9587.5</v>
      </c>
      <c r="C1135" s="84">
        <v>3496.4</v>
      </c>
      <c r="D1135" s="61">
        <v>453</v>
      </c>
      <c r="E1135" s="61">
        <v>26.2</v>
      </c>
      <c r="F1135" s="61">
        <v>61.4</v>
      </c>
      <c r="G1135" s="61">
        <v>34.700000000000003</v>
      </c>
      <c r="H1135" s="61">
        <v>21.1</v>
      </c>
      <c r="I1135" s="61">
        <v>14.5</v>
      </c>
      <c r="J1135" s="61">
        <v>43.5</v>
      </c>
      <c r="K1135" s="61">
        <v>18.100000000000001</v>
      </c>
      <c r="L1135" s="61">
        <v>45.1</v>
      </c>
      <c r="M1135" s="61">
        <v>42.9</v>
      </c>
      <c r="N1135" s="61">
        <v>83.5</v>
      </c>
      <c r="O1135" s="85">
        <v>32.5</v>
      </c>
      <c r="P1135" s="105"/>
      <c r="Q1135" s="87">
        <f t="shared" si="104"/>
        <v>1.1584282156878931E-3</v>
      </c>
      <c r="R1135" s="87">
        <f t="shared" si="107"/>
        <v>-7.4334566135517122E-4</v>
      </c>
      <c r="S1135" s="87">
        <f t="shared" si="107"/>
        <v>5.0901957864315176E-3</v>
      </c>
      <c r="T1135" s="87">
        <f t="shared" si="107"/>
        <v>-1.1385322225125352E-2</v>
      </c>
      <c r="U1135" s="87">
        <f t="shared" si="107"/>
        <v>-3.2520353863773432E-3</v>
      </c>
      <c r="V1135" s="87">
        <f t="shared" si="107"/>
        <v>1.7442302663342388E-2</v>
      </c>
      <c r="W1135" s="87">
        <f t="shared" si="107"/>
        <v>0</v>
      </c>
      <c r="X1135" s="87">
        <f t="shared" si="106"/>
        <v>4.2259809289882599E-2</v>
      </c>
      <c r="Y1135" s="87">
        <f t="shared" si="106"/>
        <v>4.6083030861944025E-3</v>
      </c>
      <c r="Z1135" s="87">
        <f t="shared" si="106"/>
        <v>2.8013036227673888E-2</v>
      </c>
      <c r="AA1135" s="87">
        <f t="shared" si="106"/>
        <v>0</v>
      </c>
      <c r="AB1135" s="87">
        <f t="shared" si="108"/>
        <v>4.6729056993924231E-3</v>
      </c>
      <c r="AC1135" s="87">
        <f t="shared" si="108"/>
        <v>1.1983224921087163E-3</v>
      </c>
      <c r="AD1135" s="87">
        <f t="shared" si="108"/>
        <v>9.2736367853290327E-3</v>
      </c>
      <c r="AE1135" s="90">
        <f t="shared" si="105"/>
        <v>1.4647217980889378E-3</v>
      </c>
    </row>
    <row r="1136" spans="1:31" ht="15.5" x14ac:dyDescent="0.35">
      <c r="A1136" s="82">
        <v>41415</v>
      </c>
      <c r="B1136" s="83">
        <v>9598.2999999999993</v>
      </c>
      <c r="C1136" s="84">
        <v>3502.1</v>
      </c>
      <c r="D1136" s="61">
        <v>449.3</v>
      </c>
      <c r="E1136" s="61">
        <v>26.7</v>
      </c>
      <c r="F1136" s="61">
        <v>62</v>
      </c>
      <c r="G1136" s="61">
        <v>34.700000000000003</v>
      </c>
      <c r="H1136" s="61">
        <v>21.3</v>
      </c>
      <c r="I1136" s="61">
        <v>14.5</v>
      </c>
      <c r="J1136" s="61">
        <v>42.8</v>
      </c>
      <c r="K1136" s="61">
        <v>18.5</v>
      </c>
      <c r="L1136" s="61">
        <v>45.2</v>
      </c>
      <c r="M1136" s="61">
        <v>42.7</v>
      </c>
      <c r="N1136" s="61">
        <v>84</v>
      </c>
      <c r="O1136" s="85">
        <v>32.5</v>
      </c>
      <c r="P1136" s="105"/>
      <c r="Q1136" s="87">
        <f t="shared" si="104"/>
        <v>1.1258327659778059E-3</v>
      </c>
      <c r="R1136" s="87">
        <f t="shared" si="107"/>
        <v>1.6289208431397343E-3</v>
      </c>
      <c r="S1136" s="87">
        <f t="shared" si="107"/>
        <v>-8.2013094069197743E-3</v>
      </c>
      <c r="T1136" s="87">
        <f t="shared" si="107"/>
        <v>1.8904154639152654E-2</v>
      </c>
      <c r="U1136" s="87">
        <f t="shared" si="107"/>
        <v>9.7245498919947809E-3</v>
      </c>
      <c r="V1136" s="87">
        <f t="shared" si="107"/>
        <v>0</v>
      </c>
      <c r="W1136" s="87">
        <f t="shared" si="107"/>
        <v>9.4340322333584942E-3</v>
      </c>
      <c r="X1136" s="87">
        <f t="shared" si="106"/>
        <v>0</v>
      </c>
      <c r="Y1136" s="87">
        <f t="shared" si="106"/>
        <v>-1.622283550688737E-2</v>
      </c>
      <c r="Z1136" s="87">
        <f t="shared" si="106"/>
        <v>2.1858793812499017E-2</v>
      </c>
      <c r="AA1136" s="87">
        <f t="shared" si="106"/>
        <v>2.2148403295528213E-3</v>
      </c>
      <c r="AB1136" s="87">
        <f t="shared" si="108"/>
        <v>-4.6729056993923702E-3</v>
      </c>
      <c r="AC1136" s="87">
        <f t="shared" si="108"/>
        <v>5.9701669865037544E-3</v>
      </c>
      <c r="AD1136" s="87">
        <f t="shared" si="108"/>
        <v>0</v>
      </c>
      <c r="AE1136" s="90">
        <f t="shared" si="105"/>
        <v>8.6784308439432126E-4</v>
      </c>
    </row>
    <row r="1137" spans="1:31" ht="15.5" x14ac:dyDescent="0.35">
      <c r="A1137" s="82">
        <v>41416</v>
      </c>
      <c r="B1137" s="83">
        <v>9508</v>
      </c>
      <c r="C1137" s="84">
        <v>3463.3</v>
      </c>
      <c r="D1137" s="61">
        <v>443.9</v>
      </c>
      <c r="E1137" s="61">
        <v>26.4</v>
      </c>
      <c r="F1137" s="61">
        <v>62.6</v>
      </c>
      <c r="G1137" s="61">
        <v>34.4</v>
      </c>
      <c r="H1137" s="61">
        <v>20.5</v>
      </c>
      <c r="I1137" s="61">
        <v>14.3</v>
      </c>
      <c r="J1137" s="61">
        <v>42.1</v>
      </c>
      <c r="K1137" s="61">
        <v>18.5</v>
      </c>
      <c r="L1137" s="61">
        <v>46.5</v>
      </c>
      <c r="M1137" s="61">
        <v>42</v>
      </c>
      <c r="N1137" s="61">
        <v>82.6</v>
      </c>
      <c r="O1137" s="85">
        <v>32</v>
      </c>
      <c r="P1137" s="105"/>
      <c r="Q1137" s="87">
        <f t="shared" si="104"/>
        <v>-9.452449961404874E-3</v>
      </c>
      <c r="R1137" s="87">
        <f t="shared" si="107"/>
        <v>-1.1140896809702415E-2</v>
      </c>
      <c r="S1137" s="87">
        <f t="shared" si="107"/>
        <v>-1.2091504236124784E-2</v>
      </c>
      <c r="T1137" s="87">
        <f t="shared" si="107"/>
        <v>-1.1299555253933394E-2</v>
      </c>
      <c r="U1137" s="87">
        <f t="shared" si="107"/>
        <v>9.6308930609613659E-3</v>
      </c>
      <c r="V1137" s="87">
        <f t="shared" si="107"/>
        <v>-8.6831225734609937E-3</v>
      </c>
      <c r="W1137" s="87">
        <f t="shared" si="107"/>
        <v>-3.8282186571016924E-2</v>
      </c>
      <c r="X1137" s="87">
        <f t="shared" si="106"/>
        <v>-1.3889112160667037E-2</v>
      </c>
      <c r="Y1137" s="87">
        <f t="shared" si="106"/>
        <v>-1.6490361899415235E-2</v>
      </c>
      <c r="Z1137" s="87">
        <f t="shared" si="106"/>
        <v>0</v>
      </c>
      <c r="AA1137" s="87">
        <f t="shared" si="106"/>
        <v>2.8355225755125005E-2</v>
      </c>
      <c r="AB1137" s="87">
        <f t="shared" si="108"/>
        <v>-1.6529301951210582E-2</v>
      </c>
      <c r="AC1137" s="87">
        <f t="shared" si="108"/>
        <v>-1.6807118316381289E-2</v>
      </c>
      <c r="AD1137" s="87">
        <f t="shared" si="108"/>
        <v>-1.5504186535965199E-2</v>
      </c>
      <c r="AE1137" s="90">
        <f t="shared" si="105"/>
        <v>-6.0100877365860403E-3</v>
      </c>
    </row>
    <row r="1138" spans="1:31" ht="15.5" x14ac:dyDescent="0.35">
      <c r="A1138" s="82">
        <v>41417</v>
      </c>
      <c r="B1138" s="83">
        <v>9466.2999999999993</v>
      </c>
      <c r="C1138" s="84">
        <v>3459.4</v>
      </c>
      <c r="D1138" s="61">
        <v>437.4</v>
      </c>
      <c r="E1138" s="61">
        <v>25.7</v>
      </c>
      <c r="F1138" s="61">
        <v>62.3</v>
      </c>
      <c r="G1138" s="61">
        <v>33.9</v>
      </c>
      <c r="H1138" s="61">
        <v>20.100000000000001</v>
      </c>
      <c r="I1138" s="61">
        <v>14</v>
      </c>
      <c r="J1138" s="61">
        <v>41.4</v>
      </c>
      <c r="K1138" s="61">
        <v>18.3</v>
      </c>
      <c r="L1138" s="61">
        <v>46.4</v>
      </c>
      <c r="M1138" s="61">
        <v>41.4</v>
      </c>
      <c r="N1138" s="61">
        <v>80.900000000000006</v>
      </c>
      <c r="O1138" s="85">
        <v>31.5</v>
      </c>
      <c r="P1138" s="105"/>
      <c r="Q1138" s="87">
        <f t="shared" si="104"/>
        <v>-4.3954261433816833E-3</v>
      </c>
      <c r="R1138" s="87">
        <f t="shared" si="107"/>
        <v>-1.1267281299471939E-3</v>
      </c>
      <c r="S1138" s="87">
        <f t="shared" si="107"/>
        <v>-1.4751203597322141E-2</v>
      </c>
      <c r="T1138" s="87">
        <f t="shared" si="107"/>
        <v>-2.687301825109634E-2</v>
      </c>
      <c r="U1138" s="87">
        <f t="shared" si="107"/>
        <v>-4.8038523126455006E-3</v>
      </c>
      <c r="V1138" s="87">
        <f t="shared" si="107"/>
        <v>-1.4641549992948118E-2</v>
      </c>
      <c r="W1138" s="87">
        <f t="shared" si="107"/>
        <v>-1.9705071079332333E-2</v>
      </c>
      <c r="X1138" s="87">
        <f t="shared" si="106"/>
        <v>-2.1202207650603051E-2</v>
      </c>
      <c r="Y1138" s="87">
        <f t="shared" si="106"/>
        <v>-1.6766859857067089E-2</v>
      </c>
      <c r="Z1138" s="87">
        <f t="shared" si="106"/>
        <v>-1.0869672236903879E-2</v>
      </c>
      <c r="AA1138" s="87">
        <f t="shared" si="106"/>
        <v>-2.1528533611010897E-3</v>
      </c>
      <c r="AB1138" s="87">
        <f t="shared" si="108"/>
        <v>-1.4388737452099669E-2</v>
      </c>
      <c r="AC1138" s="87">
        <f t="shared" si="108"/>
        <v>-2.0795856462486256E-2</v>
      </c>
      <c r="AD1138" s="87">
        <f t="shared" si="108"/>
        <v>-1.5748356968139168E-2</v>
      </c>
      <c r="AE1138" s="90">
        <f t="shared" si="105"/>
        <v>-7.9441548133034091E-3</v>
      </c>
    </row>
    <row r="1139" spans="1:31" ht="15.5" x14ac:dyDescent="0.35">
      <c r="A1139" s="82">
        <v>41418</v>
      </c>
      <c r="B1139" s="83">
        <v>9442.2000000000007</v>
      </c>
      <c r="C1139" s="84">
        <v>3459.1</v>
      </c>
      <c r="D1139" s="61">
        <v>435.9</v>
      </c>
      <c r="E1139" s="61">
        <v>25.7</v>
      </c>
      <c r="F1139" s="61">
        <v>62.9</v>
      </c>
      <c r="G1139" s="61">
        <v>33.9</v>
      </c>
      <c r="H1139" s="61">
        <v>20.399999999999999</v>
      </c>
      <c r="I1139" s="61">
        <v>14.3</v>
      </c>
      <c r="J1139" s="61">
        <v>41</v>
      </c>
      <c r="K1139" s="61">
        <v>18.899999999999999</v>
      </c>
      <c r="L1139" s="61">
        <v>46.6</v>
      </c>
      <c r="M1139" s="61">
        <v>41.6</v>
      </c>
      <c r="N1139" s="61">
        <v>81.3</v>
      </c>
      <c r="O1139" s="85">
        <v>30.8</v>
      </c>
      <c r="P1139" s="105"/>
      <c r="Q1139" s="87">
        <f t="shared" si="104"/>
        <v>-2.5491195018291172E-3</v>
      </c>
      <c r="R1139" s="87">
        <f t="shared" si="107"/>
        <v>-8.6724000921617714E-5</v>
      </c>
      <c r="S1139" s="87">
        <f t="shared" si="107"/>
        <v>-3.435248998320557E-3</v>
      </c>
      <c r="T1139" s="87">
        <f t="shared" si="107"/>
        <v>0</v>
      </c>
      <c r="U1139" s="87">
        <f t="shared" si="107"/>
        <v>9.5847379129873102E-3</v>
      </c>
      <c r="V1139" s="87">
        <f t="shared" si="107"/>
        <v>0</v>
      </c>
      <c r="W1139" s="87">
        <f t="shared" si="107"/>
        <v>1.4815085785140463E-2</v>
      </c>
      <c r="X1139" s="87">
        <f t="shared" si="106"/>
        <v>2.1202207650603124E-2</v>
      </c>
      <c r="Y1139" s="87">
        <f t="shared" si="106"/>
        <v>-9.7088141269608269E-3</v>
      </c>
      <c r="Z1139" s="87">
        <f t="shared" si="106"/>
        <v>3.2260862218221262E-2</v>
      </c>
      <c r="AA1139" s="87">
        <f t="shared" si="106"/>
        <v>4.3010818993907017E-3</v>
      </c>
      <c r="AB1139" s="87">
        <f t="shared" si="108"/>
        <v>4.8192864359489218E-3</v>
      </c>
      <c r="AC1139" s="87">
        <f t="shared" si="108"/>
        <v>4.9321924893188721E-3</v>
      </c>
      <c r="AD1139" s="87">
        <f t="shared" si="108"/>
        <v>-2.2472855852058628E-2</v>
      </c>
      <c r="AE1139" s="90">
        <f t="shared" si="105"/>
        <v>-1.0226003595991788E-3</v>
      </c>
    </row>
    <row r="1140" spans="1:31" ht="15.5" x14ac:dyDescent="0.35">
      <c r="A1140" s="82">
        <v>41422</v>
      </c>
      <c r="B1140" s="83">
        <v>9494.2000000000007</v>
      </c>
      <c r="C1140" s="84">
        <v>3488.9</v>
      </c>
      <c r="D1140" s="61">
        <v>440.6</v>
      </c>
      <c r="E1140" s="61">
        <v>26</v>
      </c>
      <c r="F1140" s="61">
        <v>63</v>
      </c>
      <c r="G1140" s="61">
        <v>34.4</v>
      </c>
      <c r="H1140" s="61">
        <v>20.3</v>
      </c>
      <c r="I1140" s="61">
        <v>14.7</v>
      </c>
      <c r="J1140" s="61">
        <v>41.2</v>
      </c>
      <c r="K1140" s="61">
        <v>18.7</v>
      </c>
      <c r="L1140" s="61">
        <v>47.5</v>
      </c>
      <c r="M1140" s="61">
        <v>42.6</v>
      </c>
      <c r="N1140" s="61">
        <v>82.9</v>
      </c>
      <c r="O1140" s="85">
        <v>31.5</v>
      </c>
      <c r="P1140" s="105"/>
      <c r="Q1140" s="87">
        <f t="shared" si="104"/>
        <v>5.4920819908867921E-3</v>
      </c>
      <c r="R1140" s="87">
        <f t="shared" si="107"/>
        <v>8.5780606595285119E-3</v>
      </c>
      <c r="S1140" s="87">
        <f t="shared" si="107"/>
        <v>1.0724575123895989E-2</v>
      </c>
      <c r="T1140" s="87">
        <f t="shared" si="107"/>
        <v>1.160554612030789E-2</v>
      </c>
      <c r="U1140" s="87">
        <f t="shared" si="107"/>
        <v>1.5885626851379615E-3</v>
      </c>
      <c r="V1140" s="87">
        <f t="shared" si="107"/>
        <v>1.4641549992948187E-2</v>
      </c>
      <c r="W1140" s="87">
        <f t="shared" si="107"/>
        <v>-4.9140148024289293E-3</v>
      </c>
      <c r="X1140" s="87">
        <f t="shared" si="106"/>
        <v>2.7587956518828963E-2</v>
      </c>
      <c r="Y1140" s="87">
        <f t="shared" si="106"/>
        <v>4.8661896511729063E-3</v>
      </c>
      <c r="Z1140" s="87">
        <f t="shared" si="106"/>
        <v>-1.0638398205055754E-2</v>
      </c>
      <c r="AA1140" s="87">
        <f t="shared" si="106"/>
        <v>1.9129169908995391E-2</v>
      </c>
      <c r="AB1140" s="87">
        <f t="shared" si="108"/>
        <v>2.3754086008107057E-2</v>
      </c>
      <c r="AC1140" s="87">
        <f t="shared" si="108"/>
        <v>1.9489045587484558E-2</v>
      </c>
      <c r="AD1140" s="87">
        <f t="shared" si="108"/>
        <v>2.2472855852058576E-2</v>
      </c>
      <c r="AE1140" s="90">
        <f t="shared" si="105"/>
        <v>8.8968020034105519E-3</v>
      </c>
    </row>
    <row r="1141" spans="1:31" ht="15.5" x14ac:dyDescent="0.35">
      <c r="A1141" s="82">
        <v>41423</v>
      </c>
      <c r="B1141" s="83">
        <v>9422.5</v>
      </c>
      <c r="C1141" s="84">
        <v>3467.5</v>
      </c>
      <c r="D1141" s="61">
        <v>432.6</v>
      </c>
      <c r="E1141" s="61">
        <v>25.3</v>
      </c>
      <c r="F1141" s="61">
        <v>62.8</v>
      </c>
      <c r="G1141" s="61">
        <v>34.6</v>
      </c>
      <c r="H1141" s="61">
        <v>20.100000000000001</v>
      </c>
      <c r="I1141" s="61">
        <v>14.7</v>
      </c>
      <c r="J1141" s="61">
        <v>41</v>
      </c>
      <c r="K1141" s="61">
        <v>17.899999999999999</v>
      </c>
      <c r="L1141" s="61">
        <v>46.5</v>
      </c>
      <c r="M1141" s="61">
        <v>42.7</v>
      </c>
      <c r="N1141" s="61">
        <v>81</v>
      </c>
      <c r="O1141" s="85">
        <v>31.2</v>
      </c>
      <c r="P1141" s="105"/>
      <c r="Q1141" s="87">
        <f t="shared" si="104"/>
        <v>-7.5806396844700814E-3</v>
      </c>
      <c r="R1141" s="87">
        <f t="shared" si="107"/>
        <v>-6.1526270794433693E-3</v>
      </c>
      <c r="S1141" s="87">
        <f t="shared" si="107"/>
        <v>-1.8323920849284352E-2</v>
      </c>
      <c r="T1141" s="87">
        <f t="shared" ref="T1141:AD1184" si="109">+LN(E1141/E1140)</f>
        <v>-2.7292142288007512E-2</v>
      </c>
      <c r="U1141" s="87">
        <f t="shared" si="109"/>
        <v>-3.1796529173797957E-3</v>
      </c>
      <c r="V1141" s="87">
        <f t="shared" si="109"/>
        <v>5.7971176843259146E-3</v>
      </c>
      <c r="W1141" s="87">
        <f t="shared" si="109"/>
        <v>-9.9010709827115698E-3</v>
      </c>
      <c r="X1141" s="87">
        <f t="shared" si="106"/>
        <v>0</v>
      </c>
      <c r="Y1141" s="87">
        <f t="shared" si="106"/>
        <v>-4.8661896511730113E-3</v>
      </c>
      <c r="Z1141" s="87">
        <f t="shared" si="106"/>
        <v>-4.3722811013831693E-2</v>
      </c>
      <c r="AA1141" s="87">
        <f t="shared" si="106"/>
        <v>-2.1277398447284851E-2</v>
      </c>
      <c r="AB1141" s="87">
        <f t="shared" si="108"/>
        <v>2.3446669592540547E-3</v>
      </c>
      <c r="AC1141" s="87">
        <f t="shared" si="108"/>
        <v>-2.31859074688106E-2</v>
      </c>
      <c r="AD1141" s="87">
        <f t="shared" si="108"/>
        <v>-9.5694510161507852E-3</v>
      </c>
      <c r="AE1141" s="90">
        <f t="shared" si="105"/>
        <v>-9.2811676360349121E-3</v>
      </c>
    </row>
    <row r="1142" spans="1:31" ht="15.5" x14ac:dyDescent="0.35">
      <c r="A1142" s="82">
        <v>41424</v>
      </c>
      <c r="B1142" s="83">
        <v>9460</v>
      </c>
      <c r="C1142" s="84">
        <v>3491.3</v>
      </c>
      <c r="D1142" s="61">
        <v>433.6</v>
      </c>
      <c r="E1142" s="61">
        <v>25.8</v>
      </c>
      <c r="F1142" s="61">
        <v>63.5</v>
      </c>
      <c r="G1142" s="61">
        <v>34.799999999999997</v>
      </c>
      <c r="H1142" s="61">
        <v>20.2</v>
      </c>
      <c r="I1142" s="61">
        <v>15.2</v>
      </c>
      <c r="J1142" s="61">
        <v>41.9</v>
      </c>
      <c r="K1142" s="61">
        <v>17.600000000000001</v>
      </c>
      <c r="L1142" s="61">
        <v>46.7</v>
      </c>
      <c r="M1142" s="61">
        <v>43.8</v>
      </c>
      <c r="N1142" s="61">
        <v>81.400000000000006</v>
      </c>
      <c r="O1142" s="85">
        <v>31.2</v>
      </c>
      <c r="P1142" s="105"/>
      <c r="Q1142" s="87">
        <f t="shared" si="104"/>
        <v>3.9719369046333939E-3</v>
      </c>
      <c r="R1142" s="87">
        <f t="shared" ref="R1142:AC1194" si="110">+LN(C1142/C1141)</f>
        <v>6.8402864859289465E-3</v>
      </c>
      <c r="S1142" s="87">
        <f t="shared" si="110"/>
        <v>2.308936606477986E-3</v>
      </c>
      <c r="T1142" s="87">
        <f t="shared" si="109"/>
        <v>1.9570096194097296E-2</v>
      </c>
      <c r="U1142" s="87">
        <f t="shared" si="109"/>
        <v>1.1084832424492914E-2</v>
      </c>
      <c r="V1142" s="87">
        <f t="shared" si="109"/>
        <v>5.7637047167499126E-3</v>
      </c>
      <c r="W1142" s="87">
        <f t="shared" si="109"/>
        <v>4.962789342128876E-3</v>
      </c>
      <c r="X1142" s="87">
        <f t="shared" si="106"/>
        <v>3.3447934067540125E-2</v>
      </c>
      <c r="Y1142" s="87">
        <f t="shared" si="106"/>
        <v>2.1713760223784261E-2</v>
      </c>
      <c r="Z1142" s="87">
        <f t="shared" si="106"/>
        <v>-1.6901810802603025E-2</v>
      </c>
      <c r="AA1142" s="87">
        <f t="shared" si="106"/>
        <v>4.2918520815410843E-3</v>
      </c>
      <c r="AB1142" s="87">
        <f t="shared" si="108"/>
        <v>2.5434897147821389E-2</v>
      </c>
      <c r="AC1142" s="87">
        <f t="shared" si="108"/>
        <v>4.9261183360560026E-3</v>
      </c>
      <c r="AD1142" s="87">
        <f t="shared" si="108"/>
        <v>0</v>
      </c>
      <c r="AE1142" s="90">
        <f t="shared" si="105"/>
        <v>5.895924949360835E-3</v>
      </c>
    </row>
    <row r="1143" spans="1:31" ht="15.5" x14ac:dyDescent="0.35">
      <c r="A1143" s="82">
        <v>41425</v>
      </c>
      <c r="B1143" s="83">
        <v>9302.2999999999993</v>
      </c>
      <c r="C1143" s="84">
        <v>3455.9</v>
      </c>
      <c r="D1143" s="61">
        <v>434.2</v>
      </c>
      <c r="E1143" s="61">
        <v>26.1</v>
      </c>
      <c r="F1143" s="61">
        <v>64.2</v>
      </c>
      <c r="G1143" s="61">
        <v>34.799999999999997</v>
      </c>
      <c r="H1143" s="61">
        <v>20</v>
      </c>
      <c r="I1143" s="61">
        <v>15.1</v>
      </c>
      <c r="J1143" s="61">
        <v>42</v>
      </c>
      <c r="K1143" s="61">
        <v>17.600000000000001</v>
      </c>
      <c r="L1143" s="61">
        <v>46.7</v>
      </c>
      <c r="M1143" s="61">
        <v>43.9</v>
      </c>
      <c r="N1143" s="61">
        <v>81</v>
      </c>
      <c r="O1143" s="85">
        <v>30.8</v>
      </c>
      <c r="P1143" s="105"/>
      <c r="Q1143" s="87">
        <f t="shared" si="104"/>
        <v>-1.6810701653148678E-2</v>
      </c>
      <c r="R1143" s="87">
        <f t="shared" si="110"/>
        <v>-1.0191244354784992E-2</v>
      </c>
      <c r="S1143" s="87">
        <f t="shared" si="110"/>
        <v>1.3828073187550239E-3</v>
      </c>
      <c r="T1143" s="87">
        <f t="shared" si="109"/>
        <v>1.1560822401076006E-2</v>
      </c>
      <c r="U1143" s="87">
        <f t="shared" si="109"/>
        <v>1.0963304797269594E-2</v>
      </c>
      <c r="V1143" s="87">
        <f t="shared" si="109"/>
        <v>0</v>
      </c>
      <c r="W1143" s="87">
        <f t="shared" si="109"/>
        <v>-9.950330853168092E-3</v>
      </c>
      <c r="X1143" s="87">
        <f t="shared" si="106"/>
        <v>-6.6006840313520242E-3</v>
      </c>
      <c r="Y1143" s="87">
        <f t="shared" si="106"/>
        <v>2.3837913552761975E-3</v>
      </c>
      <c r="Z1143" s="87">
        <f t="shared" si="106"/>
        <v>0</v>
      </c>
      <c r="AA1143" s="87">
        <f t="shared" si="106"/>
        <v>0</v>
      </c>
      <c r="AB1143" s="87">
        <f t="shared" si="108"/>
        <v>2.2805026987253031E-3</v>
      </c>
      <c r="AC1143" s="87">
        <f t="shared" si="108"/>
        <v>-4.926118336055889E-3</v>
      </c>
      <c r="AD1143" s="87">
        <f t="shared" si="108"/>
        <v>-1.2903404835907841E-2</v>
      </c>
      <c r="AE1143" s="90">
        <f t="shared" si="105"/>
        <v>-1.0835242492811795E-3</v>
      </c>
    </row>
    <row r="1144" spans="1:31" ht="15.5" x14ac:dyDescent="0.35">
      <c r="A1144" s="82">
        <v>41428</v>
      </c>
      <c r="B1144" s="83">
        <v>9357.1</v>
      </c>
      <c r="C1144" s="84">
        <v>3465.4</v>
      </c>
      <c r="D1144" s="61">
        <v>427.9</v>
      </c>
      <c r="E1144" s="61">
        <v>26.1</v>
      </c>
      <c r="F1144" s="61">
        <v>63.2</v>
      </c>
      <c r="G1144" s="61">
        <v>34.799999999999997</v>
      </c>
      <c r="H1144" s="61">
        <v>19.8</v>
      </c>
      <c r="I1144" s="61">
        <v>14.8</v>
      </c>
      <c r="J1144" s="61">
        <v>41.5</v>
      </c>
      <c r="K1144" s="61">
        <v>17.399999999999999</v>
      </c>
      <c r="L1144" s="61">
        <v>48.3</v>
      </c>
      <c r="M1144" s="61">
        <v>43.4</v>
      </c>
      <c r="N1144" s="61">
        <v>80.099999999999994</v>
      </c>
      <c r="O1144" s="85">
        <v>30.6</v>
      </c>
      <c r="P1144" s="105"/>
      <c r="Q1144" s="87">
        <f t="shared" si="104"/>
        <v>5.873732012094136E-3</v>
      </c>
      <c r="R1144" s="87">
        <f t="shared" si="110"/>
        <v>2.7451507566158468E-3</v>
      </c>
      <c r="S1144" s="87">
        <f t="shared" si="110"/>
        <v>-1.4615734021420324E-2</v>
      </c>
      <c r="T1144" s="87">
        <f t="shared" si="109"/>
        <v>0</v>
      </c>
      <c r="U1144" s="87">
        <f t="shared" si="109"/>
        <v>-1.5698909543103753E-2</v>
      </c>
      <c r="V1144" s="87">
        <f t="shared" si="109"/>
        <v>0</v>
      </c>
      <c r="W1144" s="87">
        <f t="shared" si="109"/>
        <v>-1.0050335853501451E-2</v>
      </c>
      <c r="X1144" s="87">
        <f t="shared" si="106"/>
        <v>-2.0067563050809142E-2</v>
      </c>
      <c r="Y1144" s="87">
        <f t="shared" si="106"/>
        <v>-1.1976191046715649E-2</v>
      </c>
      <c r="Z1144" s="87">
        <f t="shared" si="106"/>
        <v>-1.1428695823622968E-2</v>
      </c>
      <c r="AA1144" s="87">
        <f t="shared" si="106"/>
        <v>3.3687395983675199E-2</v>
      </c>
      <c r="AB1144" s="87">
        <f t="shared" si="108"/>
        <v>-1.1454878974766478E-2</v>
      </c>
      <c r="AC1144" s="87">
        <f t="shared" si="108"/>
        <v>-1.1173300598125302E-2</v>
      </c>
      <c r="AD1144" s="87">
        <f t="shared" si="108"/>
        <v>-6.5146810211936419E-3</v>
      </c>
      <c r="AE1144" s="90">
        <f t="shared" si="105"/>
        <v>-8.7368880635375814E-3</v>
      </c>
    </row>
    <row r="1145" spans="1:31" ht="15.5" x14ac:dyDescent="0.35">
      <c r="A1145" s="82">
        <v>41429</v>
      </c>
      <c r="B1145" s="83">
        <v>9320.1</v>
      </c>
      <c r="C1145" s="84">
        <v>3445.3</v>
      </c>
      <c r="D1145" s="61">
        <v>427.5</v>
      </c>
      <c r="E1145" s="61">
        <v>26</v>
      </c>
      <c r="F1145" s="61">
        <v>63.9</v>
      </c>
      <c r="G1145" s="61">
        <v>34.799999999999997</v>
      </c>
      <c r="H1145" s="61">
        <v>20</v>
      </c>
      <c r="I1145" s="61">
        <v>14.9</v>
      </c>
      <c r="J1145" s="61">
        <v>41.5</v>
      </c>
      <c r="K1145" s="61">
        <v>17.8</v>
      </c>
      <c r="L1145" s="61">
        <v>48.2</v>
      </c>
      <c r="M1145" s="61">
        <v>43.7</v>
      </c>
      <c r="N1145" s="61">
        <v>80.599999999999994</v>
      </c>
      <c r="O1145" s="85">
        <v>31.2</v>
      </c>
      <c r="P1145" s="105"/>
      <c r="Q1145" s="87">
        <f t="shared" si="104"/>
        <v>-3.9620551690604643E-3</v>
      </c>
      <c r="R1145" s="87">
        <f t="shared" si="110"/>
        <v>-5.8170826918759449E-3</v>
      </c>
      <c r="S1145" s="87">
        <f t="shared" si="110"/>
        <v>-9.3523504595616322E-4</v>
      </c>
      <c r="T1145" s="87">
        <f t="shared" si="109"/>
        <v>-3.8387763071657129E-3</v>
      </c>
      <c r="U1145" s="87">
        <f t="shared" si="109"/>
        <v>1.1015060230677221E-2</v>
      </c>
      <c r="V1145" s="87">
        <f t="shared" si="109"/>
        <v>0</v>
      </c>
      <c r="W1145" s="87">
        <f t="shared" si="109"/>
        <v>1.0050335853501506E-2</v>
      </c>
      <c r="X1145" s="87">
        <f t="shared" si="106"/>
        <v>6.7340321813441194E-3</v>
      </c>
      <c r="Y1145" s="87">
        <f t="shared" si="106"/>
        <v>0</v>
      </c>
      <c r="Z1145" s="87">
        <f t="shared" si="106"/>
        <v>2.272825107755631E-2</v>
      </c>
      <c r="AA1145" s="87">
        <f t="shared" si="106"/>
        <v>-2.0725396019723123E-3</v>
      </c>
      <c r="AB1145" s="87">
        <f t="shared" si="108"/>
        <v>6.8886609951853157E-3</v>
      </c>
      <c r="AC1145" s="87">
        <f t="shared" si="108"/>
        <v>6.2227954382690857E-3</v>
      </c>
      <c r="AD1145" s="87">
        <f t="shared" si="108"/>
        <v>1.9418085857101516E-2</v>
      </c>
      <c r="AE1145" s="90">
        <f t="shared" si="105"/>
        <v>3.4924034971092412E-3</v>
      </c>
    </row>
    <row r="1146" spans="1:31" ht="15.5" x14ac:dyDescent="0.35">
      <c r="A1146" s="82">
        <v>41430</v>
      </c>
      <c r="B1146" s="83">
        <v>9178.4</v>
      </c>
      <c r="C1146" s="84">
        <v>3401.5</v>
      </c>
      <c r="D1146" s="61">
        <v>429</v>
      </c>
      <c r="E1146" s="61">
        <v>25.7</v>
      </c>
      <c r="F1146" s="61">
        <v>63.4</v>
      </c>
      <c r="G1146" s="61">
        <v>34.4</v>
      </c>
      <c r="H1146" s="61">
        <v>20</v>
      </c>
      <c r="I1146" s="61">
        <v>14.5</v>
      </c>
      <c r="J1146" s="61">
        <v>41.1</v>
      </c>
      <c r="K1146" s="61">
        <v>18</v>
      </c>
      <c r="L1146" s="61">
        <v>48.5</v>
      </c>
      <c r="M1146" s="61">
        <v>42.7</v>
      </c>
      <c r="N1146" s="61">
        <v>79.7</v>
      </c>
      <c r="O1146" s="85">
        <v>30.8</v>
      </c>
      <c r="P1146" s="105"/>
      <c r="Q1146" s="87">
        <f t="shared" si="104"/>
        <v>-1.5320460750875732E-2</v>
      </c>
      <c r="R1146" s="87">
        <f t="shared" si="110"/>
        <v>-1.2794472599755021E-2</v>
      </c>
      <c r="S1146" s="87">
        <f t="shared" si="110"/>
        <v>3.5026305512020745E-3</v>
      </c>
      <c r="T1146" s="87">
        <f t="shared" si="109"/>
        <v>-1.1605546120308003E-2</v>
      </c>
      <c r="U1146" s="87">
        <f t="shared" si="109"/>
        <v>-7.855499940308883E-3</v>
      </c>
      <c r="V1146" s="87">
        <f t="shared" si="109"/>
        <v>-1.1560822401075971E-2</v>
      </c>
      <c r="W1146" s="87">
        <f t="shared" si="109"/>
        <v>0</v>
      </c>
      <c r="X1146" s="87">
        <f t="shared" si="106"/>
        <v>-2.7212563524884815E-2</v>
      </c>
      <c r="Y1146" s="87">
        <f t="shared" si="106"/>
        <v>-9.6853057344636548E-3</v>
      </c>
      <c r="Z1146" s="87">
        <f t="shared" si="106"/>
        <v>1.1173300598125255E-2</v>
      </c>
      <c r="AA1146" s="87">
        <f t="shared" si="106"/>
        <v>6.2047768868828696E-3</v>
      </c>
      <c r="AB1146" s="87">
        <f t="shared" si="108"/>
        <v>-2.3149181866965636E-2</v>
      </c>
      <c r="AC1146" s="87">
        <f t="shared" si="108"/>
        <v>-1.122906371641319E-2</v>
      </c>
      <c r="AD1146" s="87">
        <f t="shared" si="108"/>
        <v>-1.2903404835907841E-2</v>
      </c>
      <c r="AE1146" s="90">
        <f t="shared" si="105"/>
        <v>-6.6242581646887575E-3</v>
      </c>
    </row>
    <row r="1147" spans="1:31" ht="15.5" x14ac:dyDescent="0.35">
      <c r="A1147" s="82">
        <v>41431</v>
      </c>
      <c r="B1147" s="83">
        <v>9260.5</v>
      </c>
      <c r="C1147" s="84">
        <v>3424.1</v>
      </c>
      <c r="D1147" s="61">
        <v>424</v>
      </c>
      <c r="E1147" s="61">
        <v>25.7</v>
      </c>
      <c r="F1147" s="61">
        <v>62</v>
      </c>
      <c r="G1147" s="61">
        <v>34.5</v>
      </c>
      <c r="H1147" s="61">
        <v>20</v>
      </c>
      <c r="I1147" s="61">
        <v>14.5</v>
      </c>
      <c r="J1147" s="61">
        <v>41</v>
      </c>
      <c r="K1147" s="61">
        <v>17.899999999999999</v>
      </c>
      <c r="L1147" s="61">
        <v>47.8</v>
      </c>
      <c r="M1147" s="61">
        <v>42.5</v>
      </c>
      <c r="N1147" s="61">
        <v>79.900000000000006</v>
      </c>
      <c r="O1147" s="85">
        <v>30.6</v>
      </c>
      <c r="P1147" s="105"/>
      <c r="Q1147" s="87">
        <f t="shared" si="104"/>
        <v>8.9051453779232341E-3</v>
      </c>
      <c r="R1147" s="87">
        <f t="shared" si="110"/>
        <v>6.6221526575183732E-3</v>
      </c>
      <c r="S1147" s="87">
        <f t="shared" si="110"/>
        <v>-1.1723463696059259E-2</v>
      </c>
      <c r="T1147" s="87">
        <f t="shared" si="109"/>
        <v>0</v>
      </c>
      <c r="U1147" s="87">
        <f t="shared" si="109"/>
        <v>-2.2329476398088657E-2</v>
      </c>
      <c r="V1147" s="87">
        <f t="shared" si="109"/>
        <v>2.9027596579614102E-3</v>
      </c>
      <c r="W1147" s="87">
        <f t="shared" si="109"/>
        <v>0</v>
      </c>
      <c r="X1147" s="87">
        <f t="shared" si="106"/>
        <v>0</v>
      </c>
      <c r="Y1147" s="87">
        <f t="shared" si="106"/>
        <v>-2.4360547978811158E-3</v>
      </c>
      <c r="Z1147" s="87">
        <f t="shared" si="106"/>
        <v>-5.571045049455472E-3</v>
      </c>
      <c r="AA1147" s="87">
        <f t="shared" si="106"/>
        <v>-1.4538158446027282E-2</v>
      </c>
      <c r="AB1147" s="87">
        <f t="shared" si="108"/>
        <v>-4.6948443042078413E-3</v>
      </c>
      <c r="AC1147" s="87">
        <f t="shared" si="108"/>
        <v>2.5062669760597587E-3</v>
      </c>
      <c r="AD1147" s="87">
        <f t="shared" si="108"/>
        <v>-6.5146810211936419E-3</v>
      </c>
      <c r="AE1147" s="90">
        <f t="shared" si="105"/>
        <v>-8.6239461270484919E-3</v>
      </c>
    </row>
    <row r="1148" spans="1:31" ht="15.5" x14ac:dyDescent="0.35">
      <c r="A1148" s="82">
        <v>41432</v>
      </c>
      <c r="B1148" s="83">
        <v>9355.4</v>
      </c>
      <c r="C1148" s="84">
        <v>3469.2</v>
      </c>
      <c r="D1148" s="61">
        <v>433.1</v>
      </c>
      <c r="E1148" s="61">
        <v>26.3</v>
      </c>
      <c r="F1148" s="61">
        <v>61.8</v>
      </c>
      <c r="G1148" s="61">
        <v>35.1</v>
      </c>
      <c r="H1148" s="61">
        <v>20.3</v>
      </c>
      <c r="I1148" s="61">
        <v>14.6</v>
      </c>
      <c r="J1148" s="61">
        <v>41.4</v>
      </c>
      <c r="K1148" s="61">
        <v>18.100000000000001</v>
      </c>
      <c r="L1148" s="61">
        <v>48.1</v>
      </c>
      <c r="M1148" s="61">
        <v>43.9</v>
      </c>
      <c r="N1148" s="61">
        <v>81.3</v>
      </c>
      <c r="O1148" s="85">
        <v>31.1</v>
      </c>
      <c r="P1148" s="105"/>
      <c r="Q1148" s="87">
        <f t="shared" si="104"/>
        <v>1.0195673814726008E-2</v>
      </c>
      <c r="R1148" s="87">
        <f t="shared" si="110"/>
        <v>1.3085356367666699E-2</v>
      </c>
      <c r="S1148" s="87">
        <f t="shared" si="110"/>
        <v>2.123519298862326E-2</v>
      </c>
      <c r="T1148" s="87">
        <f t="shared" si="109"/>
        <v>2.3077947282544888E-2</v>
      </c>
      <c r="U1148" s="87">
        <f t="shared" si="109"/>
        <v>-3.2310205814465318E-3</v>
      </c>
      <c r="V1148" s="87">
        <f t="shared" si="109"/>
        <v>1.7241806434506173E-2</v>
      </c>
      <c r="W1148" s="87">
        <f t="shared" si="109"/>
        <v>1.4888612493750777E-2</v>
      </c>
      <c r="X1148" s="87">
        <f t="shared" si="106"/>
        <v>6.8728792877620504E-3</v>
      </c>
      <c r="Y1148" s="87">
        <f t="shared" si="106"/>
        <v>9.7088141269609032E-3</v>
      </c>
      <c r="Z1148" s="87">
        <f t="shared" si="106"/>
        <v>1.1111225425070849E-2</v>
      </c>
      <c r="AA1148" s="87">
        <f t="shared" si="106"/>
        <v>6.2565376143053578E-3</v>
      </c>
      <c r="AB1148" s="87">
        <f t="shared" si="108"/>
        <v>3.2410244150754539E-2</v>
      </c>
      <c r="AC1148" s="87">
        <f t="shared" si="108"/>
        <v>1.7370163781535924E-2</v>
      </c>
      <c r="AD1148" s="87">
        <f t="shared" si="108"/>
        <v>1.6207810226853303E-2</v>
      </c>
      <c r="AE1148" s="90">
        <f t="shared" si="105"/>
        <v>1.1185379332187353E-2</v>
      </c>
    </row>
    <row r="1149" spans="1:31" ht="15.5" x14ac:dyDescent="0.35">
      <c r="A1149" s="82">
        <v>41435</v>
      </c>
      <c r="B1149" s="83">
        <v>9358</v>
      </c>
      <c r="C1149" s="84">
        <v>3473.8</v>
      </c>
      <c r="D1149" s="61">
        <v>440.5</v>
      </c>
      <c r="E1149" s="61">
        <v>26.7</v>
      </c>
      <c r="F1149" s="61">
        <v>62.4</v>
      </c>
      <c r="G1149" s="61">
        <v>35.1</v>
      </c>
      <c r="H1149" s="61">
        <v>21.4</v>
      </c>
      <c r="I1149" s="61">
        <v>14.6</v>
      </c>
      <c r="J1149" s="61">
        <v>41.4</v>
      </c>
      <c r="K1149" s="61">
        <v>18.399999999999999</v>
      </c>
      <c r="L1149" s="61">
        <v>48.4</v>
      </c>
      <c r="M1149" s="61">
        <v>45.2</v>
      </c>
      <c r="N1149" s="61">
        <v>82</v>
      </c>
      <c r="O1149" s="85">
        <v>31.4</v>
      </c>
      <c r="P1149" s="105"/>
      <c r="Q1149" s="87">
        <f t="shared" si="104"/>
        <v>2.778757485791131E-4</v>
      </c>
      <c r="R1149" s="87">
        <f t="shared" si="110"/>
        <v>1.3250758096116026E-3</v>
      </c>
      <c r="S1149" s="87">
        <f t="shared" si="110"/>
        <v>1.6941797155653176E-2</v>
      </c>
      <c r="T1149" s="87">
        <f t="shared" si="109"/>
        <v>1.5094626222484888E-2</v>
      </c>
      <c r="U1149" s="87">
        <f t="shared" si="109"/>
        <v>9.6619109117368901E-3</v>
      </c>
      <c r="V1149" s="87">
        <f t="shared" si="109"/>
        <v>0</v>
      </c>
      <c r="W1149" s="87">
        <f t="shared" si="109"/>
        <v>5.2770035980063981E-2</v>
      </c>
      <c r="X1149" s="87">
        <f t="shared" si="106"/>
        <v>0</v>
      </c>
      <c r="Y1149" s="87">
        <f t="shared" si="106"/>
        <v>0</v>
      </c>
      <c r="Z1149" s="87">
        <f t="shared" si="106"/>
        <v>1.643872634315972E-2</v>
      </c>
      <c r="AA1149" s="87">
        <f t="shared" si="106"/>
        <v>6.2176366108703616E-3</v>
      </c>
      <c r="AB1149" s="87">
        <f t="shared" si="108"/>
        <v>2.9182766757059917E-2</v>
      </c>
      <c r="AC1149" s="87">
        <f t="shared" si="108"/>
        <v>8.5732307104883099E-3</v>
      </c>
      <c r="AD1149" s="87">
        <f t="shared" si="108"/>
        <v>9.6000737290191374E-3</v>
      </c>
      <c r="AE1149" s="90">
        <f t="shared" si="105"/>
        <v>9.28673187328251E-3</v>
      </c>
    </row>
    <row r="1150" spans="1:31" ht="15.5" x14ac:dyDescent="0.35">
      <c r="A1150" s="82">
        <v>41436</v>
      </c>
      <c r="B1150" s="83">
        <v>9255.5</v>
      </c>
      <c r="C1150" s="84">
        <v>3436.9</v>
      </c>
      <c r="D1150" s="61">
        <v>440.2</v>
      </c>
      <c r="E1150" s="61">
        <v>26.3</v>
      </c>
      <c r="F1150" s="61">
        <v>61.9</v>
      </c>
      <c r="G1150" s="61">
        <v>34.700000000000003</v>
      </c>
      <c r="H1150" s="61">
        <v>21.4</v>
      </c>
      <c r="I1150" s="61">
        <v>14.3</v>
      </c>
      <c r="J1150" s="61">
        <v>40.700000000000003</v>
      </c>
      <c r="K1150" s="61">
        <v>18.100000000000001</v>
      </c>
      <c r="L1150" s="61">
        <v>47.6</v>
      </c>
      <c r="M1150" s="61">
        <v>44.4</v>
      </c>
      <c r="N1150" s="61">
        <v>81.5</v>
      </c>
      <c r="O1150" s="85">
        <v>31</v>
      </c>
      <c r="P1150" s="105"/>
      <c r="Q1150" s="87">
        <f t="shared" si="104"/>
        <v>-1.1013623026421835E-2</v>
      </c>
      <c r="R1150" s="87">
        <f t="shared" si="110"/>
        <v>-1.0679193334461625E-2</v>
      </c>
      <c r="S1150" s="87">
        <f t="shared" si="110"/>
        <v>-6.8127628387290075E-4</v>
      </c>
      <c r="T1150" s="87">
        <f t="shared" si="109"/>
        <v>-1.5094626222484904E-2</v>
      </c>
      <c r="U1150" s="87">
        <f t="shared" si="109"/>
        <v>-8.0450956848315339E-3</v>
      </c>
      <c r="V1150" s="87">
        <f t="shared" si="109"/>
        <v>-1.1461443519006539E-2</v>
      </c>
      <c r="W1150" s="87">
        <f t="shared" si="109"/>
        <v>0</v>
      </c>
      <c r="X1150" s="87">
        <f t="shared" si="106"/>
        <v>-2.0761991448429128E-2</v>
      </c>
      <c r="Y1150" s="87">
        <f t="shared" si="106"/>
        <v>-1.7052788382719244E-2</v>
      </c>
      <c r="Z1150" s="87">
        <f t="shared" si="106"/>
        <v>-1.643872634315972E-2</v>
      </c>
      <c r="AA1150" s="87">
        <f t="shared" si="106"/>
        <v>-1.6667052485211647E-2</v>
      </c>
      <c r="AB1150" s="87">
        <f t="shared" si="108"/>
        <v>-1.7857617400006572E-2</v>
      </c>
      <c r="AC1150" s="87">
        <f t="shared" si="108"/>
        <v>-6.1162270174360944E-3</v>
      </c>
      <c r="AD1150" s="87">
        <f t="shared" si="108"/>
        <v>-1.2820688429061434E-2</v>
      </c>
      <c r="AE1150" s="90">
        <f t="shared" si="105"/>
        <v>-7.2592638103450065E-3</v>
      </c>
    </row>
    <row r="1151" spans="1:31" ht="15.5" x14ac:dyDescent="0.35">
      <c r="A1151" s="82">
        <v>41437</v>
      </c>
      <c r="B1151" s="83">
        <v>9189.4</v>
      </c>
      <c r="C1151" s="84">
        <v>3400.4</v>
      </c>
      <c r="D1151" s="61">
        <v>435.3</v>
      </c>
      <c r="E1151" s="61">
        <v>25.9</v>
      </c>
      <c r="F1151" s="61">
        <v>61.6</v>
      </c>
      <c r="G1151" s="61">
        <v>34.9</v>
      </c>
      <c r="H1151" s="61">
        <v>21.1</v>
      </c>
      <c r="I1151" s="61">
        <v>14.8</v>
      </c>
      <c r="J1151" s="61">
        <v>40.200000000000003</v>
      </c>
      <c r="K1151" s="61">
        <v>17.7</v>
      </c>
      <c r="L1151" s="61">
        <v>47.2</v>
      </c>
      <c r="M1151" s="61">
        <v>44.2</v>
      </c>
      <c r="N1151" s="61">
        <v>79.2</v>
      </c>
      <c r="O1151" s="85">
        <v>30.7</v>
      </c>
      <c r="P1151" s="105"/>
      <c r="Q1151" s="87">
        <f t="shared" si="104"/>
        <v>-7.1673235382943264E-3</v>
      </c>
      <c r="R1151" s="87">
        <f t="shared" si="110"/>
        <v>-1.0676830542246876E-2</v>
      </c>
      <c r="S1151" s="87">
        <f t="shared" si="110"/>
        <v>-1.1193720534109438E-2</v>
      </c>
      <c r="T1151" s="87">
        <f t="shared" si="109"/>
        <v>-1.5325970478226933E-2</v>
      </c>
      <c r="U1151" s="87">
        <f t="shared" si="109"/>
        <v>-4.8583091510762946E-3</v>
      </c>
      <c r="V1151" s="87">
        <f t="shared" si="109"/>
        <v>5.747142255567851E-3</v>
      </c>
      <c r="W1151" s="87">
        <f t="shared" si="109"/>
        <v>-1.4117881545784819E-2</v>
      </c>
      <c r="X1151" s="87">
        <f t="shared" si="106"/>
        <v>3.4367643504207818E-2</v>
      </c>
      <c r="Y1151" s="87">
        <f t="shared" si="106"/>
        <v>-1.2361096823573975E-2</v>
      </c>
      <c r="Z1151" s="87">
        <f t="shared" si="106"/>
        <v>-2.2347298691996774E-2</v>
      </c>
      <c r="AA1151" s="87">
        <f t="shared" si="106"/>
        <v>-8.4388686458645949E-3</v>
      </c>
      <c r="AB1151" s="87">
        <f t="shared" si="108"/>
        <v>-4.5146803545265827E-3</v>
      </c>
      <c r="AC1151" s="87">
        <f t="shared" si="108"/>
        <v>-2.86267214264368E-2</v>
      </c>
      <c r="AD1151" s="87">
        <f t="shared" si="108"/>
        <v>-9.7245498919947444E-3</v>
      </c>
      <c r="AE1151" s="90">
        <f t="shared" si="105"/>
        <v>-9.0486677046096101E-3</v>
      </c>
    </row>
    <row r="1152" spans="1:31" ht="15.5" x14ac:dyDescent="0.35">
      <c r="A1152" s="82">
        <v>41438</v>
      </c>
      <c r="B1152" s="83">
        <v>9331.4</v>
      </c>
      <c r="C1152" s="84">
        <v>3445.4</v>
      </c>
      <c r="D1152" s="61">
        <v>433.2</v>
      </c>
      <c r="E1152" s="61">
        <v>25.7</v>
      </c>
      <c r="F1152" s="61">
        <v>61.3</v>
      </c>
      <c r="G1152" s="61">
        <v>34.6</v>
      </c>
      <c r="H1152" s="61">
        <v>21</v>
      </c>
      <c r="I1152" s="61">
        <v>14.7</v>
      </c>
      <c r="J1152" s="61">
        <v>40.1</v>
      </c>
      <c r="K1152" s="61">
        <v>17.8</v>
      </c>
      <c r="L1152" s="61">
        <v>46.5</v>
      </c>
      <c r="M1152" s="61">
        <v>43.9</v>
      </c>
      <c r="N1152" s="61">
        <v>79.099999999999994</v>
      </c>
      <c r="O1152" s="85">
        <v>30.5</v>
      </c>
      <c r="P1152" s="105"/>
      <c r="Q1152" s="87">
        <f t="shared" si="104"/>
        <v>1.5334411313598122E-2</v>
      </c>
      <c r="R1152" s="87">
        <f t="shared" si="110"/>
        <v>1.3146936269065044E-2</v>
      </c>
      <c r="S1152" s="87">
        <f t="shared" si="110"/>
        <v>-4.8359334314163754E-3</v>
      </c>
      <c r="T1152" s="87">
        <f t="shared" si="109"/>
        <v>-7.7519768043179359E-3</v>
      </c>
      <c r="U1152" s="87">
        <f t="shared" si="109"/>
        <v>-4.8820275973084212E-3</v>
      </c>
      <c r="V1152" s="87">
        <f t="shared" si="109"/>
        <v>-8.6331471447027783E-3</v>
      </c>
      <c r="W1152" s="87">
        <f t="shared" si="109"/>
        <v>-4.7506027585978647E-3</v>
      </c>
      <c r="X1152" s="87">
        <f t="shared" si="106"/>
        <v>-6.7796869853788038E-3</v>
      </c>
      <c r="Y1152" s="87">
        <f t="shared" si="106"/>
        <v>-2.4906613124519189E-3</v>
      </c>
      <c r="Z1152" s="87">
        <f t="shared" si="106"/>
        <v>5.6338177182560642E-3</v>
      </c>
      <c r="AA1152" s="87">
        <f t="shared" si="106"/>
        <v>-1.494157999819914E-2</v>
      </c>
      <c r="AB1152" s="87">
        <f t="shared" si="108"/>
        <v>-6.8104690025268628E-3</v>
      </c>
      <c r="AC1152" s="87">
        <f t="shared" si="108"/>
        <v>-1.2634240467721285E-3</v>
      </c>
      <c r="AD1152" s="87">
        <f t="shared" si="108"/>
        <v>-6.5359709797855334E-3</v>
      </c>
      <c r="AE1152" s="90">
        <f t="shared" si="105"/>
        <v>3.3458811890428228E-4</v>
      </c>
    </row>
    <row r="1153" spans="1:31" ht="15.5" x14ac:dyDescent="0.35">
      <c r="A1153" s="82">
        <v>41439</v>
      </c>
      <c r="B1153" s="83">
        <v>9263.7000000000007</v>
      </c>
      <c r="C1153" s="84">
        <v>3423.6</v>
      </c>
      <c r="D1153" s="61">
        <v>437.5</v>
      </c>
      <c r="E1153" s="61">
        <v>26.2</v>
      </c>
      <c r="F1153" s="61">
        <v>61.2</v>
      </c>
      <c r="G1153" s="61">
        <v>34.299999999999997</v>
      </c>
      <c r="H1153" s="61">
        <v>20.9</v>
      </c>
      <c r="I1153" s="61">
        <v>15.3</v>
      </c>
      <c r="J1153" s="61">
        <v>40.200000000000003</v>
      </c>
      <c r="K1153" s="61">
        <v>17.3</v>
      </c>
      <c r="L1153" s="61">
        <v>47.5</v>
      </c>
      <c r="M1153" s="61">
        <v>43.8</v>
      </c>
      <c r="N1153" s="61">
        <v>80.3</v>
      </c>
      <c r="O1153" s="85">
        <v>30.8</v>
      </c>
      <c r="P1153" s="105"/>
      <c r="Q1153" s="87">
        <f t="shared" si="104"/>
        <v>-7.2815203063103873E-3</v>
      </c>
      <c r="R1153" s="87">
        <f t="shared" si="110"/>
        <v>-6.3473790048142282E-3</v>
      </c>
      <c r="S1153" s="87">
        <f t="shared" si="110"/>
        <v>9.8771906708336448E-3</v>
      </c>
      <c r="T1153" s="87">
        <f t="shared" si="109"/>
        <v>1.9268418865876987E-2</v>
      </c>
      <c r="U1153" s="87">
        <f t="shared" si="109"/>
        <v>-1.6326534238852235E-3</v>
      </c>
      <c r="V1153" s="87">
        <f t="shared" si="109"/>
        <v>-8.7083278917844207E-3</v>
      </c>
      <c r="W1153" s="87">
        <f t="shared" si="109"/>
        <v>-4.7732787526577709E-3</v>
      </c>
      <c r="X1153" s="87">
        <f t="shared" si="106"/>
        <v>4.0005334613699206E-2</v>
      </c>
      <c r="Y1153" s="87">
        <f t="shared" si="106"/>
        <v>2.4906613124518304E-3</v>
      </c>
      <c r="Z1153" s="87">
        <f t="shared" si="106"/>
        <v>-2.8491955794306158E-2</v>
      </c>
      <c r="AA1153" s="87">
        <f t="shared" si="106"/>
        <v>2.1277398447284879E-2</v>
      </c>
      <c r="AB1153" s="87">
        <f t="shared" si="108"/>
        <v>-2.2805026987252177E-3</v>
      </c>
      <c r="AC1153" s="87">
        <f t="shared" si="108"/>
        <v>1.505674617910773E-2</v>
      </c>
      <c r="AD1153" s="87">
        <f t="shared" si="108"/>
        <v>9.7880063661629439E-3</v>
      </c>
      <c r="AE1153" s="90">
        <f t="shared" si="105"/>
        <v>1.7119475899626947E-3</v>
      </c>
    </row>
    <row r="1154" spans="1:31" ht="15.5" x14ac:dyDescent="0.35">
      <c r="A1154" s="82">
        <v>41442</v>
      </c>
      <c r="B1154" s="83">
        <v>9337.9</v>
      </c>
      <c r="C1154" s="84">
        <v>3452.1</v>
      </c>
      <c r="D1154" s="61">
        <v>439.6</v>
      </c>
      <c r="E1154" s="61">
        <v>26.2</v>
      </c>
      <c r="F1154" s="61">
        <v>61.5</v>
      </c>
      <c r="G1154" s="61">
        <v>34.6</v>
      </c>
      <c r="H1154" s="61">
        <v>20.7</v>
      </c>
      <c r="I1154" s="61">
        <v>15</v>
      </c>
      <c r="J1154" s="61">
        <v>40.4</v>
      </c>
      <c r="K1154" s="61">
        <v>17.2</v>
      </c>
      <c r="L1154" s="61">
        <v>47.6</v>
      </c>
      <c r="M1154" s="61">
        <v>44.4</v>
      </c>
      <c r="N1154" s="61">
        <v>79.599999999999994</v>
      </c>
      <c r="O1154" s="85">
        <v>30.9</v>
      </c>
      <c r="P1154" s="105"/>
      <c r="Q1154" s="87">
        <f t="shared" si="104"/>
        <v>7.9778506735594355E-3</v>
      </c>
      <c r="R1154" s="87">
        <f t="shared" si="110"/>
        <v>8.290112490067985E-3</v>
      </c>
      <c r="S1154" s="87">
        <f t="shared" si="110"/>
        <v>4.7885167317973151E-3</v>
      </c>
      <c r="T1154" s="87">
        <f t="shared" si="109"/>
        <v>0</v>
      </c>
      <c r="U1154" s="87">
        <f t="shared" si="109"/>
        <v>4.8899852941917702E-3</v>
      </c>
      <c r="V1154" s="87">
        <f t="shared" si="109"/>
        <v>8.7083278917844138E-3</v>
      </c>
      <c r="W1154" s="87">
        <f t="shared" si="109"/>
        <v>-9.6154586994418693E-3</v>
      </c>
      <c r="X1154" s="87">
        <f t="shared" si="106"/>
        <v>-1.9802627296179754E-2</v>
      </c>
      <c r="Y1154" s="87">
        <f t="shared" si="106"/>
        <v>4.962789342128876E-3</v>
      </c>
      <c r="Z1154" s="87">
        <f t="shared" si="106"/>
        <v>-5.7971176843259579E-3</v>
      </c>
      <c r="AA1154" s="87">
        <f t="shared" si="106"/>
        <v>2.10305019677889E-3</v>
      </c>
      <c r="AB1154" s="87">
        <f t="shared" si="108"/>
        <v>1.3605652055778678E-2</v>
      </c>
      <c r="AC1154" s="87">
        <f t="shared" si="108"/>
        <v>-8.7555281023786943E-3</v>
      </c>
      <c r="AD1154" s="87">
        <f t="shared" si="108"/>
        <v>3.2414939241710229E-3</v>
      </c>
      <c r="AE1154" s="90">
        <f t="shared" si="105"/>
        <v>5.6790907143516086E-3</v>
      </c>
    </row>
    <row r="1155" spans="1:31" ht="15.5" x14ac:dyDescent="0.35">
      <c r="A1155" s="82">
        <v>41443</v>
      </c>
      <c r="B1155" s="83">
        <v>9399.6</v>
      </c>
      <c r="C1155" s="84">
        <v>3482.2</v>
      </c>
      <c r="D1155" s="61">
        <v>444.6</v>
      </c>
      <c r="E1155" s="61">
        <v>26.5</v>
      </c>
      <c r="F1155" s="61">
        <v>61.5</v>
      </c>
      <c r="G1155" s="61">
        <v>34.9</v>
      </c>
      <c r="H1155" s="61">
        <v>20</v>
      </c>
      <c r="I1155" s="61">
        <v>14.9</v>
      </c>
      <c r="J1155" s="61">
        <v>40.4</v>
      </c>
      <c r="K1155" s="61">
        <v>17.399999999999999</v>
      </c>
      <c r="L1155" s="61">
        <v>47.7</v>
      </c>
      <c r="M1155" s="61">
        <v>44.9</v>
      </c>
      <c r="N1155" s="61">
        <v>79.599999999999994</v>
      </c>
      <c r="O1155" s="85">
        <v>30.8</v>
      </c>
      <c r="P1155" s="105"/>
      <c r="Q1155" s="87">
        <f t="shared" si="104"/>
        <v>6.5857476189006715E-3</v>
      </c>
      <c r="R1155" s="87">
        <f t="shared" si="110"/>
        <v>8.6815364349755175E-3</v>
      </c>
      <c r="S1155" s="87">
        <f t="shared" si="110"/>
        <v>1.130977900062992E-2</v>
      </c>
      <c r="T1155" s="87">
        <f t="shared" si="109"/>
        <v>1.1385322225125429E-2</v>
      </c>
      <c r="U1155" s="87">
        <f t="shared" si="109"/>
        <v>0</v>
      </c>
      <c r="V1155" s="87">
        <f t="shared" si="109"/>
        <v>8.6331471447028754E-3</v>
      </c>
      <c r="W1155" s="87">
        <f t="shared" si="109"/>
        <v>-3.4401426717332324E-2</v>
      </c>
      <c r="X1155" s="87">
        <f t="shared" si="106"/>
        <v>-6.6889881507965401E-3</v>
      </c>
      <c r="Y1155" s="87">
        <f t="shared" si="106"/>
        <v>0</v>
      </c>
      <c r="Z1155" s="87">
        <f t="shared" si="106"/>
        <v>1.1560822401076006E-2</v>
      </c>
      <c r="AA1155" s="87">
        <f t="shared" si="106"/>
        <v>2.0986366569212054E-3</v>
      </c>
      <c r="AB1155" s="87">
        <f t="shared" si="108"/>
        <v>1.1198325310029535E-2</v>
      </c>
      <c r="AC1155" s="87">
        <f t="shared" si="108"/>
        <v>0</v>
      </c>
      <c r="AD1155" s="87">
        <f t="shared" si="108"/>
        <v>-3.2414939241709557E-3</v>
      </c>
      <c r="AE1155" s="90">
        <f t="shared" si="105"/>
        <v>5.5193794678632408E-3</v>
      </c>
    </row>
    <row r="1156" spans="1:31" ht="15.5" x14ac:dyDescent="0.35">
      <c r="A1156" s="82">
        <v>41444</v>
      </c>
      <c r="B1156" s="83">
        <v>9255.7000000000007</v>
      </c>
      <c r="C1156" s="84">
        <v>3443.2</v>
      </c>
      <c r="D1156" s="61">
        <v>449.2</v>
      </c>
      <c r="E1156" s="61">
        <v>26.2</v>
      </c>
      <c r="F1156" s="61">
        <v>60.4</v>
      </c>
      <c r="G1156" s="61">
        <v>34.6</v>
      </c>
      <c r="H1156" s="61">
        <v>19.899999999999999</v>
      </c>
      <c r="I1156" s="61">
        <v>15</v>
      </c>
      <c r="J1156" s="61">
        <v>40.700000000000003</v>
      </c>
      <c r="K1156" s="61">
        <v>17.100000000000001</v>
      </c>
      <c r="L1156" s="61">
        <v>47.5</v>
      </c>
      <c r="M1156" s="61">
        <v>44.7</v>
      </c>
      <c r="N1156" s="61">
        <v>79.2</v>
      </c>
      <c r="O1156" s="85">
        <v>30.9</v>
      </c>
      <c r="P1156" s="105"/>
      <c r="Q1156" s="87">
        <f t="shared" si="104"/>
        <v>-1.5427557221757544E-2</v>
      </c>
      <c r="R1156" s="87">
        <f t="shared" si="110"/>
        <v>-1.126300640508748E-2</v>
      </c>
      <c r="S1156" s="87">
        <f t="shared" si="110"/>
        <v>1.0293221334191898E-2</v>
      </c>
      <c r="T1156" s="87">
        <f t="shared" si="109"/>
        <v>-1.1385322225125352E-2</v>
      </c>
      <c r="U1156" s="87">
        <f t="shared" si="109"/>
        <v>-1.8048069871702977E-2</v>
      </c>
      <c r="V1156" s="87">
        <f t="shared" si="109"/>
        <v>-8.6331471447027783E-3</v>
      </c>
      <c r="W1156" s="87">
        <f t="shared" si="109"/>
        <v>-5.0125418235443982E-3</v>
      </c>
      <c r="X1156" s="87">
        <f t="shared" si="106"/>
        <v>6.6889881507964889E-3</v>
      </c>
      <c r="Y1156" s="87">
        <f t="shared" si="106"/>
        <v>7.3983074814449254E-3</v>
      </c>
      <c r="Z1156" s="87">
        <f t="shared" si="106"/>
        <v>-1.7391742711868996E-2</v>
      </c>
      <c r="AA1156" s="87">
        <f t="shared" si="106"/>
        <v>-4.2016868537000807E-3</v>
      </c>
      <c r="AB1156" s="87">
        <f t="shared" si="108"/>
        <v>-4.4642931286853812E-3</v>
      </c>
      <c r="AC1156" s="87">
        <f t="shared" si="108"/>
        <v>-5.0377940299570698E-3</v>
      </c>
      <c r="AD1156" s="87">
        <f t="shared" si="108"/>
        <v>3.2414939241710229E-3</v>
      </c>
      <c r="AE1156" s="90">
        <f t="shared" si="105"/>
        <v>-5.1292290482808783E-3</v>
      </c>
    </row>
    <row r="1157" spans="1:31" ht="15.5" x14ac:dyDescent="0.35">
      <c r="A1157" s="82">
        <v>41445</v>
      </c>
      <c r="B1157" s="83">
        <v>8996</v>
      </c>
      <c r="C1157" s="84">
        <v>3364.6</v>
      </c>
      <c r="D1157" s="61">
        <v>442.1</v>
      </c>
      <c r="E1157" s="61">
        <v>25.2</v>
      </c>
      <c r="F1157" s="61">
        <v>59.3</v>
      </c>
      <c r="G1157" s="61">
        <v>33.4</v>
      </c>
      <c r="H1157" s="61">
        <v>19.600000000000001</v>
      </c>
      <c r="I1157" s="61">
        <v>14.7</v>
      </c>
      <c r="J1157" s="61">
        <v>39.4</v>
      </c>
      <c r="K1157" s="61">
        <v>16.2</v>
      </c>
      <c r="L1157" s="61">
        <v>46.2</v>
      </c>
      <c r="M1157" s="61">
        <v>44.5</v>
      </c>
      <c r="N1157" s="61">
        <v>74.7</v>
      </c>
      <c r="O1157" s="85">
        <v>30.3</v>
      </c>
      <c r="P1157" s="105"/>
      <c r="Q1157" s="87">
        <f t="shared" si="104"/>
        <v>-2.8459543860229333E-2</v>
      </c>
      <c r="R1157" s="87">
        <f t="shared" si="110"/>
        <v>-2.3092186242350588E-2</v>
      </c>
      <c r="S1157" s="87">
        <f t="shared" si="110"/>
        <v>-1.5932122032090514E-2</v>
      </c>
      <c r="T1157" s="87">
        <f t="shared" si="109"/>
        <v>-3.8915416249673498E-2</v>
      </c>
      <c r="U1157" s="87">
        <f t="shared" si="109"/>
        <v>-1.8379798937089534E-2</v>
      </c>
      <c r="V1157" s="87">
        <f t="shared" si="109"/>
        <v>-3.5297782081023937E-2</v>
      </c>
      <c r="W1157" s="87">
        <f t="shared" si="109"/>
        <v>-1.5190165493975007E-2</v>
      </c>
      <c r="X1157" s="87">
        <f t="shared" si="106"/>
        <v>-2.0202707317519466E-2</v>
      </c>
      <c r="Y1157" s="87">
        <f t="shared" si="106"/>
        <v>-3.2462276144661274E-2</v>
      </c>
      <c r="Z1157" s="87">
        <f t="shared" si="106"/>
        <v>-5.4067221270275939E-2</v>
      </c>
      <c r="AA1157" s="87">
        <f t="shared" si="106"/>
        <v>-2.7749912952902266E-2</v>
      </c>
      <c r="AB1157" s="87">
        <f t="shared" si="108"/>
        <v>-4.484312447328687E-3</v>
      </c>
      <c r="AC1157" s="87">
        <f t="shared" si="108"/>
        <v>-5.8496206681608494E-2</v>
      </c>
      <c r="AD1157" s="87">
        <f t="shared" si="108"/>
        <v>-1.9608471388376198E-2</v>
      </c>
      <c r="AE1157" s="90">
        <f t="shared" si="105"/>
        <v>-1.9225080474453194E-2</v>
      </c>
    </row>
    <row r="1158" spans="1:31" ht="15.5" x14ac:dyDescent="0.35">
      <c r="A1158" s="82">
        <v>41446</v>
      </c>
      <c r="B1158" s="83">
        <v>9018.5</v>
      </c>
      <c r="C1158" s="84">
        <v>3357.3</v>
      </c>
      <c r="D1158" s="61">
        <v>437</v>
      </c>
      <c r="E1158" s="61">
        <v>24.9</v>
      </c>
      <c r="F1158" s="61">
        <v>58.3</v>
      </c>
      <c r="G1158" s="61">
        <v>33.1</v>
      </c>
      <c r="H1158" s="61">
        <v>18.899999999999999</v>
      </c>
      <c r="I1158" s="61">
        <v>14.5</v>
      </c>
      <c r="J1158" s="61">
        <v>38.799999999999997</v>
      </c>
      <c r="K1158" s="61">
        <v>15.8</v>
      </c>
      <c r="L1158" s="61">
        <v>46.7</v>
      </c>
      <c r="M1158" s="61">
        <v>44.4</v>
      </c>
      <c r="N1158" s="61">
        <v>74</v>
      </c>
      <c r="O1158" s="85">
        <v>30</v>
      </c>
      <c r="P1158" s="105"/>
      <c r="Q1158" s="87">
        <f t="shared" si="104"/>
        <v>2.4979890310476245E-3</v>
      </c>
      <c r="R1158" s="87">
        <f t="shared" si="110"/>
        <v>-2.1720057929688094E-3</v>
      </c>
      <c r="S1158" s="87">
        <f t="shared" si="110"/>
        <v>-1.1602905736607425E-2</v>
      </c>
      <c r="T1158" s="87">
        <f t="shared" si="109"/>
        <v>-1.1976191046715762E-2</v>
      </c>
      <c r="U1158" s="87">
        <f t="shared" si="109"/>
        <v>-1.7007212647233112E-2</v>
      </c>
      <c r="V1158" s="87">
        <f t="shared" si="109"/>
        <v>-9.0226175996374197E-3</v>
      </c>
      <c r="W1158" s="87">
        <f t="shared" si="109"/>
        <v>-3.6367644170874951E-2</v>
      </c>
      <c r="X1158" s="87">
        <f t="shared" si="106"/>
        <v>-1.3698844358161802E-2</v>
      </c>
      <c r="Y1158" s="87">
        <f t="shared" si="106"/>
        <v>-1.5345569674660421E-2</v>
      </c>
      <c r="Z1158" s="87">
        <f t="shared" si="106"/>
        <v>-2.5001302205417155E-2</v>
      </c>
      <c r="AA1158" s="87">
        <f t="shared" si="106"/>
        <v>1.0764366587158484E-2</v>
      </c>
      <c r="AB1158" s="87">
        <f t="shared" si="108"/>
        <v>-2.2497197340154416E-3</v>
      </c>
      <c r="AC1158" s="87">
        <f t="shared" si="108"/>
        <v>-9.4149989346018741E-3</v>
      </c>
      <c r="AD1158" s="87">
        <f t="shared" si="108"/>
        <v>-9.950330853168092E-3</v>
      </c>
      <c r="AE1158" s="90">
        <f t="shared" si="105"/>
        <v>-1.0120441726845862E-2</v>
      </c>
    </row>
    <row r="1159" spans="1:31" ht="15.5" x14ac:dyDescent="0.35">
      <c r="A1159" s="82">
        <v>41449</v>
      </c>
      <c r="B1159" s="83">
        <v>8892</v>
      </c>
      <c r="C1159" s="84">
        <v>3320.8</v>
      </c>
      <c r="D1159" s="61">
        <v>432.1</v>
      </c>
      <c r="E1159" s="61">
        <v>23.8</v>
      </c>
      <c r="F1159" s="61">
        <v>56.9</v>
      </c>
      <c r="G1159" s="61">
        <v>32.6</v>
      </c>
      <c r="H1159" s="61">
        <v>18.600000000000001</v>
      </c>
      <c r="I1159" s="61">
        <v>13.9</v>
      </c>
      <c r="J1159" s="61">
        <v>38</v>
      </c>
      <c r="K1159" s="61">
        <v>15</v>
      </c>
      <c r="L1159" s="61">
        <v>46.1</v>
      </c>
      <c r="M1159" s="61">
        <v>43.4</v>
      </c>
      <c r="N1159" s="61">
        <v>73.099999999999994</v>
      </c>
      <c r="O1159" s="85">
        <v>29.6</v>
      </c>
      <c r="P1159" s="105"/>
      <c r="Q1159" s="87">
        <f t="shared" si="104"/>
        <v>-1.4126027026166717E-2</v>
      </c>
      <c r="R1159" s="87">
        <f t="shared" si="110"/>
        <v>-1.0931361753262156E-2</v>
      </c>
      <c r="S1159" s="87">
        <f t="shared" si="110"/>
        <v>-1.1276152157702619E-2</v>
      </c>
      <c r="T1159" s="87">
        <f t="shared" si="109"/>
        <v>-4.51822227932328E-2</v>
      </c>
      <c r="U1159" s="87">
        <f t="shared" si="109"/>
        <v>-2.430675222416143E-2</v>
      </c>
      <c r="V1159" s="87">
        <f t="shared" si="109"/>
        <v>-1.5220994010355243E-2</v>
      </c>
      <c r="W1159" s="87">
        <f t="shared" si="109"/>
        <v>-1.6000341346440964E-2</v>
      </c>
      <c r="X1159" s="87">
        <f t="shared" si="106"/>
        <v>-4.2259809289882613E-2</v>
      </c>
      <c r="Y1159" s="87">
        <f t="shared" si="106"/>
        <v>-2.0834086902841914E-2</v>
      </c>
      <c r="Z1159" s="87">
        <f t="shared" si="106"/>
        <v>-5.1959738930711104E-2</v>
      </c>
      <c r="AA1159" s="87">
        <f t="shared" si="106"/>
        <v>-1.2931214672248779E-2</v>
      </c>
      <c r="AB1159" s="87">
        <f t="shared" si="108"/>
        <v>-2.2780028331819885E-2</v>
      </c>
      <c r="AC1159" s="87">
        <f t="shared" si="108"/>
        <v>-1.2236726448437034E-2</v>
      </c>
      <c r="AD1159" s="87">
        <f t="shared" si="108"/>
        <v>-1.3423020332140661E-2</v>
      </c>
      <c r="AE1159" s="90">
        <f t="shared" si="105"/>
        <v>-1.515970557248357E-2</v>
      </c>
    </row>
    <row r="1160" spans="1:31" ht="15.5" x14ac:dyDescent="0.35">
      <c r="A1160" s="82">
        <v>41450</v>
      </c>
      <c r="B1160" s="83">
        <v>8989.2999999999993</v>
      </c>
      <c r="C1160" s="84">
        <v>3347.9</v>
      </c>
      <c r="D1160" s="61">
        <v>432.7</v>
      </c>
      <c r="E1160" s="61">
        <v>24.2</v>
      </c>
      <c r="F1160" s="61">
        <v>57</v>
      </c>
      <c r="G1160" s="61">
        <v>33.5</v>
      </c>
      <c r="H1160" s="61">
        <v>19.2</v>
      </c>
      <c r="I1160" s="61">
        <v>14.3</v>
      </c>
      <c r="J1160" s="61">
        <v>38</v>
      </c>
      <c r="K1160" s="61">
        <v>15.6</v>
      </c>
      <c r="L1160" s="61">
        <v>46.1</v>
      </c>
      <c r="M1160" s="61">
        <v>43.9</v>
      </c>
      <c r="N1160" s="61">
        <v>74</v>
      </c>
      <c r="O1160" s="85">
        <v>30</v>
      </c>
      <c r="P1160" s="105"/>
      <c r="Q1160" s="87">
        <f t="shared" si="104"/>
        <v>1.0882985056337629E-2</v>
      </c>
      <c r="R1160" s="87">
        <f t="shared" si="110"/>
        <v>8.1275658462064467E-3</v>
      </c>
      <c r="S1160" s="87">
        <f t="shared" si="110"/>
        <v>1.3876042929515189E-3</v>
      </c>
      <c r="T1160" s="87">
        <f t="shared" si="109"/>
        <v>1.6667052485211643E-2</v>
      </c>
      <c r="U1160" s="87">
        <f t="shared" si="109"/>
        <v>1.7559267022650125E-3</v>
      </c>
      <c r="V1160" s="87">
        <f t="shared" si="109"/>
        <v>2.7233150458358852E-2</v>
      </c>
      <c r="W1160" s="87">
        <f t="shared" si="109"/>
        <v>3.174869831458027E-2</v>
      </c>
      <c r="X1160" s="87">
        <f t="shared" si="106"/>
        <v>2.8370697129215566E-2</v>
      </c>
      <c r="Y1160" s="87">
        <f t="shared" si="106"/>
        <v>0</v>
      </c>
      <c r="Z1160" s="87">
        <f t="shared" si="106"/>
        <v>3.9220713153281329E-2</v>
      </c>
      <c r="AA1160" s="87">
        <f t="shared" si="106"/>
        <v>0</v>
      </c>
      <c r="AB1160" s="87">
        <f t="shared" si="108"/>
        <v>1.1454878974766386E-2</v>
      </c>
      <c r="AC1160" s="87">
        <f t="shared" si="108"/>
        <v>1.2236726448437084E-2</v>
      </c>
      <c r="AD1160" s="87">
        <f t="shared" si="108"/>
        <v>1.342302033214055E-2</v>
      </c>
      <c r="AE1160" s="90">
        <f t="shared" si="105"/>
        <v>4.9760991155802939E-3</v>
      </c>
    </row>
    <row r="1161" spans="1:31" ht="15.5" x14ac:dyDescent="0.35">
      <c r="A1161" s="82">
        <v>41451</v>
      </c>
      <c r="B1161" s="83">
        <v>9067.2999999999993</v>
      </c>
      <c r="C1161" s="84">
        <v>3376.2</v>
      </c>
      <c r="D1161" s="61">
        <v>435.7</v>
      </c>
      <c r="E1161" s="61">
        <v>25</v>
      </c>
      <c r="F1161" s="61">
        <v>56.5</v>
      </c>
      <c r="G1161" s="61">
        <v>33.9</v>
      </c>
      <c r="H1161" s="61">
        <v>17.399999999999999</v>
      </c>
      <c r="I1161" s="61">
        <v>14.7</v>
      </c>
      <c r="J1161" s="61">
        <v>38.700000000000003</v>
      </c>
      <c r="K1161" s="61">
        <v>15.8</v>
      </c>
      <c r="L1161" s="61">
        <v>46.3</v>
      </c>
      <c r="M1161" s="61">
        <v>44.7</v>
      </c>
      <c r="N1161" s="61">
        <v>74.7</v>
      </c>
      <c r="O1161" s="85">
        <v>30.4</v>
      </c>
      <c r="P1161" s="105"/>
      <c r="Q1161" s="87">
        <f t="shared" si="104"/>
        <v>8.6395539771275884E-3</v>
      </c>
      <c r="R1161" s="87">
        <f t="shared" si="110"/>
        <v>8.41753308225285E-3</v>
      </c>
      <c r="S1161" s="87">
        <f t="shared" si="110"/>
        <v>6.9092858925573651E-3</v>
      </c>
      <c r="T1161" s="87">
        <f t="shared" si="109"/>
        <v>3.2523191705560145E-2</v>
      </c>
      <c r="U1161" s="87">
        <f t="shared" si="109"/>
        <v>-8.8106296821549197E-3</v>
      </c>
      <c r="V1161" s="87">
        <f t="shared" si="109"/>
        <v>1.1869575555383729E-2</v>
      </c>
      <c r="W1161" s="87">
        <f t="shared" si="109"/>
        <v>-9.8440072813252524E-2</v>
      </c>
      <c r="X1161" s="87">
        <f t="shared" si="106"/>
        <v>2.7587956518828963E-2</v>
      </c>
      <c r="Y1161" s="87">
        <f t="shared" si="106"/>
        <v>1.8253440309350517E-2</v>
      </c>
      <c r="Z1161" s="87">
        <f t="shared" si="106"/>
        <v>1.2739025777429932E-2</v>
      </c>
      <c r="AA1161" s="87">
        <f t="shared" si="106"/>
        <v>4.3290110895854786E-3</v>
      </c>
      <c r="AB1161" s="87">
        <f t="shared" si="108"/>
        <v>1.8059181538397681E-2</v>
      </c>
      <c r="AC1161" s="87">
        <f t="shared" si="108"/>
        <v>9.4149989346018828E-3</v>
      </c>
      <c r="AD1161" s="87">
        <f t="shared" si="108"/>
        <v>1.3245226750020505E-2</v>
      </c>
      <c r="AE1161" s="90">
        <f t="shared" si="105"/>
        <v>3.6365674987724117E-3</v>
      </c>
    </row>
    <row r="1162" spans="1:31" ht="15.5" x14ac:dyDescent="0.35">
      <c r="A1162" s="82">
        <v>41452</v>
      </c>
      <c r="B1162" s="83">
        <v>9143.5</v>
      </c>
      <c r="C1162" s="84">
        <v>3401.9</v>
      </c>
      <c r="D1162" s="61">
        <v>438.8</v>
      </c>
      <c r="E1162" s="61">
        <v>25.4</v>
      </c>
      <c r="F1162" s="61">
        <v>56.2</v>
      </c>
      <c r="G1162" s="61">
        <v>34.5</v>
      </c>
      <c r="H1162" s="61">
        <v>16.899999999999999</v>
      </c>
      <c r="I1162" s="61">
        <v>14.9</v>
      </c>
      <c r="J1162" s="61">
        <v>38.700000000000003</v>
      </c>
      <c r="K1162" s="61">
        <v>16.2</v>
      </c>
      <c r="L1162" s="61">
        <v>46.9</v>
      </c>
      <c r="M1162" s="61">
        <v>45.5</v>
      </c>
      <c r="N1162" s="61">
        <v>75.5</v>
      </c>
      <c r="O1162" s="85">
        <v>31.1</v>
      </c>
      <c r="P1162" s="105"/>
      <c r="Q1162" s="87">
        <f t="shared" si="104"/>
        <v>8.3687091971353985E-3</v>
      </c>
      <c r="R1162" s="87">
        <f t="shared" si="110"/>
        <v>7.5832823826539799E-3</v>
      </c>
      <c r="S1162" s="87">
        <f t="shared" si="110"/>
        <v>7.0897952776788568E-3</v>
      </c>
      <c r="T1162" s="87">
        <f t="shared" si="109"/>
        <v>1.5873349156290163E-2</v>
      </c>
      <c r="U1162" s="87">
        <f t="shared" si="109"/>
        <v>-5.3238812527498548E-3</v>
      </c>
      <c r="V1162" s="87">
        <f t="shared" si="109"/>
        <v>1.7544309650909525E-2</v>
      </c>
      <c r="W1162" s="87">
        <f t="shared" si="109"/>
        <v>-2.9156584291455578E-2</v>
      </c>
      <c r="X1162" s="87">
        <f t="shared" si="106"/>
        <v>1.3513719166722855E-2</v>
      </c>
      <c r="Y1162" s="87">
        <f t="shared" si="106"/>
        <v>0</v>
      </c>
      <c r="Z1162" s="87">
        <f t="shared" si="106"/>
        <v>2.5001302205417186E-2</v>
      </c>
      <c r="AA1162" s="87">
        <f t="shared" si="106"/>
        <v>1.2875714360045367E-2</v>
      </c>
      <c r="AB1162" s="87">
        <f t="shared" si="108"/>
        <v>1.7738824337381411E-2</v>
      </c>
      <c r="AC1162" s="87">
        <f t="shared" si="108"/>
        <v>1.0652564116207309E-2</v>
      </c>
      <c r="AD1162" s="87">
        <f t="shared" si="108"/>
        <v>2.2765210773012426E-2</v>
      </c>
      <c r="AE1162" s="90">
        <f t="shared" si="105"/>
        <v>5.5934832800083618E-3</v>
      </c>
    </row>
    <row r="1163" spans="1:31" ht="15.5" x14ac:dyDescent="0.35">
      <c r="A1163" s="82">
        <v>41453</v>
      </c>
      <c r="B1163" s="83">
        <v>9112.7000000000007</v>
      </c>
      <c r="C1163" s="84">
        <v>3403.3</v>
      </c>
      <c r="D1163" s="61">
        <v>437.5</v>
      </c>
      <c r="E1163" s="61">
        <v>24.9</v>
      </c>
      <c r="F1163" s="61">
        <v>55.6</v>
      </c>
      <c r="G1163" s="61">
        <v>34.299999999999997</v>
      </c>
      <c r="H1163" s="61">
        <v>17.2</v>
      </c>
      <c r="I1163" s="61">
        <v>14.8</v>
      </c>
      <c r="J1163" s="61">
        <v>38</v>
      </c>
      <c r="K1163" s="61">
        <v>16.7</v>
      </c>
      <c r="L1163" s="61">
        <v>46.4</v>
      </c>
      <c r="M1163" s="61">
        <v>45.6</v>
      </c>
      <c r="N1163" s="61">
        <v>77.599999999999994</v>
      </c>
      <c r="O1163" s="85">
        <v>30.1</v>
      </c>
      <c r="P1163" s="105"/>
      <c r="Q1163" s="87">
        <f t="shared" si="104"/>
        <v>-3.3741993648252941E-3</v>
      </c>
      <c r="R1163" s="87">
        <f t="shared" si="110"/>
        <v>4.1145007339995674E-4</v>
      </c>
      <c r="S1163" s="87">
        <f t="shared" si="110"/>
        <v>-2.9670226034061165E-3</v>
      </c>
      <c r="T1163" s="87">
        <f t="shared" si="109"/>
        <v>-1.9881370553828933E-2</v>
      </c>
      <c r="U1163" s="87">
        <f t="shared" si="109"/>
        <v>-1.0733555643108777E-2</v>
      </c>
      <c r="V1163" s="87">
        <f t="shared" si="109"/>
        <v>-5.8139698654199566E-3</v>
      </c>
      <c r="W1163" s="87">
        <f t="shared" si="109"/>
        <v>1.759576189037966E-2</v>
      </c>
      <c r="X1163" s="87">
        <f t="shared" si="106"/>
        <v>-6.7340321813440683E-3</v>
      </c>
      <c r="Y1163" s="87">
        <f t="shared" si="106"/>
        <v>-1.8253440309350461E-2</v>
      </c>
      <c r="Z1163" s="87">
        <f t="shared" si="106"/>
        <v>3.0397477184370948E-2</v>
      </c>
      <c r="AA1163" s="87">
        <f t="shared" si="106"/>
        <v>-1.0718216220024147E-2</v>
      </c>
      <c r="AB1163" s="87">
        <f t="shared" si="108"/>
        <v>2.195390563435656E-3</v>
      </c>
      <c r="AC1163" s="87">
        <f t="shared" si="108"/>
        <v>2.7434770934194011E-2</v>
      </c>
      <c r="AD1163" s="87">
        <f t="shared" si="108"/>
        <v>-3.2682647430358418E-2</v>
      </c>
      <c r="AE1163" s="90">
        <f t="shared" si="105"/>
        <v>-7.7869667079115282E-3</v>
      </c>
    </row>
    <row r="1164" spans="1:31" ht="15.5" x14ac:dyDescent="0.35">
      <c r="A1164" s="82">
        <v>41456</v>
      </c>
      <c r="B1164" s="83">
        <v>9167.9</v>
      </c>
      <c r="C1164" s="84">
        <v>3434.5</v>
      </c>
      <c r="D1164" s="61">
        <v>442.9</v>
      </c>
      <c r="E1164" s="61">
        <v>25.2</v>
      </c>
      <c r="F1164" s="61">
        <v>57.3</v>
      </c>
      <c r="G1164" s="61">
        <v>34.299999999999997</v>
      </c>
      <c r="H1164" s="61">
        <v>17.600000000000001</v>
      </c>
      <c r="I1164" s="61">
        <v>15.3</v>
      </c>
      <c r="J1164" s="61">
        <v>37.5</v>
      </c>
      <c r="K1164" s="61">
        <v>16.600000000000001</v>
      </c>
      <c r="L1164" s="61">
        <v>46.2</v>
      </c>
      <c r="M1164" s="61">
        <v>46.1</v>
      </c>
      <c r="N1164" s="61">
        <v>76.2</v>
      </c>
      <c r="O1164" s="85">
        <v>31.1</v>
      </c>
      <c r="P1164" s="105"/>
      <c r="Q1164" s="87">
        <f t="shared" si="104"/>
        <v>6.0392074408081213E-3</v>
      </c>
      <c r="R1164" s="87">
        <f t="shared" si="110"/>
        <v>9.1258055305941319E-3</v>
      </c>
      <c r="S1164" s="87">
        <f t="shared" si="110"/>
        <v>1.2267305131483238E-2</v>
      </c>
      <c r="T1164" s="87">
        <f t="shared" si="109"/>
        <v>1.197619104671562E-2</v>
      </c>
      <c r="U1164" s="87">
        <f t="shared" si="109"/>
        <v>3.0117422464157221E-2</v>
      </c>
      <c r="V1164" s="87">
        <f t="shared" si="109"/>
        <v>0</v>
      </c>
      <c r="W1164" s="87">
        <f t="shared" si="109"/>
        <v>2.2989518224698781E-2</v>
      </c>
      <c r="X1164" s="87">
        <f t="shared" si="106"/>
        <v>3.3225647628320386E-2</v>
      </c>
      <c r="Y1164" s="87">
        <f t="shared" si="106"/>
        <v>-1.324522675002068E-2</v>
      </c>
      <c r="Z1164" s="87">
        <f t="shared" si="106"/>
        <v>-6.006024060211698E-3</v>
      </c>
      <c r="AA1164" s="87">
        <f t="shared" si="106"/>
        <v>-4.3196611445162842E-3</v>
      </c>
      <c r="AB1164" s="87">
        <f t="shared" si="108"/>
        <v>1.0905233482262527E-2</v>
      </c>
      <c r="AC1164" s="87">
        <f t="shared" si="108"/>
        <v>-1.820596449657241E-2</v>
      </c>
      <c r="AD1164" s="87">
        <f t="shared" si="108"/>
        <v>3.2682647430358404E-2</v>
      </c>
      <c r="AE1164" s="90">
        <f t="shared" si="105"/>
        <v>1.8911137753969395E-2</v>
      </c>
    </row>
    <row r="1165" spans="1:31" ht="15.5" x14ac:dyDescent="0.35">
      <c r="A1165" s="82">
        <v>41457</v>
      </c>
      <c r="B1165" s="83">
        <v>9144.7000000000007</v>
      </c>
      <c r="C1165" s="84">
        <v>3433.4</v>
      </c>
      <c r="D1165" s="61">
        <v>439.1</v>
      </c>
      <c r="E1165" s="61">
        <v>24.9</v>
      </c>
      <c r="F1165" s="61">
        <v>58.5</v>
      </c>
      <c r="G1165" s="61">
        <v>33.6</v>
      </c>
      <c r="H1165" s="61">
        <v>17.899999999999999</v>
      </c>
      <c r="I1165" s="61">
        <v>15.3</v>
      </c>
      <c r="J1165" s="61">
        <v>37.6</v>
      </c>
      <c r="K1165" s="61">
        <v>16.5</v>
      </c>
      <c r="L1165" s="61">
        <v>46</v>
      </c>
      <c r="M1165" s="61">
        <v>46.3</v>
      </c>
      <c r="N1165" s="61">
        <v>78.400000000000006</v>
      </c>
      <c r="O1165" s="85">
        <v>31</v>
      </c>
      <c r="P1165" s="105"/>
      <c r="Q1165" s="87">
        <f t="shared" si="104"/>
        <v>-2.5337759151662729E-3</v>
      </c>
      <c r="R1165" s="87">
        <f t="shared" si="110"/>
        <v>-3.203308171073641E-4</v>
      </c>
      <c r="S1165" s="87">
        <f t="shared" si="110"/>
        <v>-8.6168333614805911E-3</v>
      </c>
      <c r="T1165" s="87">
        <f t="shared" si="109"/>
        <v>-1.1976191046715762E-2</v>
      </c>
      <c r="U1165" s="87">
        <f t="shared" si="109"/>
        <v>2.0726130517116952E-2</v>
      </c>
      <c r="V1165" s="87">
        <f t="shared" si="109"/>
        <v>-2.0619287202735592E-2</v>
      </c>
      <c r="W1165" s="87">
        <f t="shared" si="109"/>
        <v>1.6901810802603036E-2</v>
      </c>
      <c r="X1165" s="87">
        <f t="shared" si="106"/>
        <v>0</v>
      </c>
      <c r="Y1165" s="87">
        <f t="shared" si="106"/>
        <v>2.6631174194836284E-3</v>
      </c>
      <c r="Z1165" s="87">
        <f t="shared" si="106"/>
        <v>-6.0423144559626982E-3</v>
      </c>
      <c r="AA1165" s="87">
        <f t="shared" si="106"/>
        <v>-4.3384015985982417E-3</v>
      </c>
      <c r="AB1165" s="87">
        <f t="shared" si="108"/>
        <v>4.3290110895854786E-3</v>
      </c>
      <c r="AC1165" s="87">
        <f t="shared" si="108"/>
        <v>2.8462464663761667E-2</v>
      </c>
      <c r="AD1165" s="87">
        <f t="shared" si="108"/>
        <v>-3.2206147000422834E-3</v>
      </c>
      <c r="AE1165" s="90">
        <f t="shared" si="105"/>
        <v>2.9162272770737576E-3</v>
      </c>
    </row>
    <row r="1166" spans="1:31" ht="15.5" x14ac:dyDescent="0.35">
      <c r="A1166" s="82">
        <v>41458</v>
      </c>
      <c r="B1166" s="83">
        <v>9135.1</v>
      </c>
      <c r="C1166" s="84">
        <v>3443.7</v>
      </c>
      <c r="D1166" s="61">
        <v>439.7</v>
      </c>
      <c r="E1166" s="61">
        <v>24.8</v>
      </c>
      <c r="F1166" s="61">
        <v>59.6</v>
      </c>
      <c r="G1166" s="61">
        <v>33.6</v>
      </c>
      <c r="H1166" s="61">
        <v>17.5</v>
      </c>
      <c r="I1166" s="61">
        <v>15.2</v>
      </c>
      <c r="J1166" s="61">
        <v>37.6</v>
      </c>
      <c r="K1166" s="61">
        <v>16.3</v>
      </c>
      <c r="L1166" s="61">
        <v>46.2</v>
      </c>
      <c r="M1166" s="61">
        <v>46</v>
      </c>
      <c r="N1166" s="61">
        <v>78.3</v>
      </c>
      <c r="O1166" s="85">
        <v>31.1</v>
      </c>
      <c r="P1166" s="105"/>
      <c r="Q1166" s="87">
        <f t="shared" ref="Q1166:Q1229" si="111">+LN(B1166/B1165)</f>
        <v>-1.0503398158154586E-3</v>
      </c>
      <c r="R1166" s="87">
        <f t="shared" si="110"/>
        <v>2.9954509027318699E-3</v>
      </c>
      <c r="S1166" s="87">
        <f t="shared" si="110"/>
        <v>1.3654986190926963E-3</v>
      </c>
      <c r="T1166" s="87">
        <f t="shared" si="109"/>
        <v>-4.0241502997253797E-3</v>
      </c>
      <c r="U1166" s="87">
        <f t="shared" si="109"/>
        <v>1.8628819833493199E-2</v>
      </c>
      <c r="V1166" s="87">
        <f t="shared" si="109"/>
        <v>0</v>
      </c>
      <c r="W1166" s="87">
        <f t="shared" si="109"/>
        <v>-2.2599831917240919E-2</v>
      </c>
      <c r="X1166" s="87">
        <f t="shared" si="106"/>
        <v>-6.5574005461591636E-3</v>
      </c>
      <c r="Y1166" s="87">
        <f t="shared" si="106"/>
        <v>0</v>
      </c>
      <c r="Z1166" s="87">
        <f t="shared" si="106"/>
        <v>-1.2195273093818243E-2</v>
      </c>
      <c r="AA1166" s="87">
        <f t="shared" si="106"/>
        <v>4.3384015985981411E-3</v>
      </c>
      <c r="AB1166" s="87">
        <f t="shared" si="108"/>
        <v>-6.5005646030933161E-3</v>
      </c>
      <c r="AC1166" s="87">
        <f t="shared" si="108"/>
        <v>-1.2763243596049009E-3</v>
      </c>
      <c r="AD1166" s="87">
        <f t="shared" si="108"/>
        <v>3.2206147000421572E-3</v>
      </c>
      <c r="AE1166" s="90">
        <f t="shared" si="105"/>
        <v>7.0158159694213712E-3</v>
      </c>
    </row>
    <row r="1167" spans="1:31" ht="15.5" x14ac:dyDescent="0.35">
      <c r="A1167" s="82">
        <v>41460</v>
      </c>
      <c r="B1167" s="83">
        <v>9214.2000000000007</v>
      </c>
      <c r="C1167" s="84">
        <v>3479.4</v>
      </c>
      <c r="D1167" s="61">
        <v>444.1</v>
      </c>
      <c r="E1167" s="61">
        <v>25.5</v>
      </c>
      <c r="F1167" s="61">
        <v>59.3</v>
      </c>
      <c r="G1167" s="61">
        <v>33.6</v>
      </c>
      <c r="H1167" s="61">
        <v>17.5</v>
      </c>
      <c r="I1167" s="61">
        <v>15.5</v>
      </c>
      <c r="J1167" s="61">
        <v>37.799999999999997</v>
      </c>
      <c r="K1167" s="61">
        <v>16.399999999999999</v>
      </c>
      <c r="L1167" s="61">
        <v>46.6</v>
      </c>
      <c r="M1167" s="61">
        <v>46.8</v>
      </c>
      <c r="N1167" s="61">
        <v>79.400000000000006</v>
      </c>
      <c r="O1167" s="85">
        <v>31.6</v>
      </c>
      <c r="P1167" s="105"/>
      <c r="Q1167" s="87">
        <f t="shared" si="111"/>
        <v>8.6216357000134629E-3</v>
      </c>
      <c r="R1167" s="87">
        <f t="shared" si="110"/>
        <v>1.0313390370889188E-2</v>
      </c>
      <c r="S1167" s="87">
        <f t="shared" si="110"/>
        <v>9.9570861112922935E-3</v>
      </c>
      <c r="T1167" s="87">
        <f t="shared" si="109"/>
        <v>2.7834798993443838E-2</v>
      </c>
      <c r="U1167" s="87">
        <f t="shared" si="109"/>
        <v>-5.046268067624384E-3</v>
      </c>
      <c r="V1167" s="87">
        <f t="shared" si="109"/>
        <v>0</v>
      </c>
      <c r="W1167" s="87">
        <f t="shared" si="109"/>
        <v>0</v>
      </c>
      <c r="X1167" s="87">
        <f t="shared" si="106"/>
        <v>1.9544596072970346E-2</v>
      </c>
      <c r="Y1167" s="87">
        <f t="shared" si="106"/>
        <v>5.3050522296930981E-3</v>
      </c>
      <c r="Z1167" s="87">
        <f t="shared" si="106"/>
        <v>6.1162270174360536E-3</v>
      </c>
      <c r="AA1167" s="87">
        <f t="shared" si="106"/>
        <v>8.6207430439069546E-3</v>
      </c>
      <c r="AB1167" s="87">
        <f t="shared" si="108"/>
        <v>1.7241806434505954E-2</v>
      </c>
      <c r="AC1167" s="87">
        <f t="shared" si="108"/>
        <v>1.3950765256332811E-2</v>
      </c>
      <c r="AD1167" s="87">
        <f t="shared" si="108"/>
        <v>1.594930140767804E-2</v>
      </c>
      <c r="AE1167" s="90">
        <f t="shared" ref="AE1167:AE1230" si="112">+SUMPRODUCT(Q1167:AD1167,$Q$8:$AD$8)</f>
        <v>6.5021881045335805E-3</v>
      </c>
    </row>
    <row r="1168" spans="1:31" ht="15.5" x14ac:dyDescent="0.35">
      <c r="A1168" s="82">
        <v>41463</v>
      </c>
      <c r="B1168" s="83">
        <v>9266.2999999999993</v>
      </c>
      <c r="C1168" s="84">
        <v>3484.8</v>
      </c>
      <c r="D1168" s="61">
        <v>449</v>
      </c>
      <c r="E1168" s="61">
        <v>25.5</v>
      </c>
      <c r="F1168" s="61">
        <v>58.7</v>
      </c>
      <c r="G1168" s="61">
        <v>34</v>
      </c>
      <c r="H1168" s="61">
        <v>17.5</v>
      </c>
      <c r="I1168" s="61">
        <v>15.9</v>
      </c>
      <c r="J1168" s="61">
        <v>38.299999999999997</v>
      </c>
      <c r="K1168" s="61">
        <v>16.7</v>
      </c>
      <c r="L1168" s="61">
        <v>47.2</v>
      </c>
      <c r="M1168" s="61">
        <v>47.6</v>
      </c>
      <c r="N1168" s="61">
        <v>79.599999999999994</v>
      </c>
      <c r="O1168" s="85">
        <v>31.7</v>
      </c>
      <c r="P1168" s="105"/>
      <c r="Q1168" s="87">
        <f t="shared" si="111"/>
        <v>5.6383905227448527E-3</v>
      </c>
      <c r="R1168" s="87">
        <f t="shared" si="110"/>
        <v>1.5507886281915374E-3</v>
      </c>
      <c r="S1168" s="87">
        <f t="shared" si="110"/>
        <v>1.0973125444197658E-2</v>
      </c>
      <c r="T1168" s="87">
        <f t="shared" si="109"/>
        <v>0</v>
      </c>
      <c r="U1168" s="87">
        <f t="shared" si="109"/>
        <v>-1.0169579169628937E-2</v>
      </c>
      <c r="V1168" s="87">
        <f t="shared" si="109"/>
        <v>1.1834457647002798E-2</v>
      </c>
      <c r="W1168" s="87">
        <f t="shared" si="109"/>
        <v>0</v>
      </c>
      <c r="X1168" s="87">
        <f t="shared" si="109"/>
        <v>2.5479085300984968E-2</v>
      </c>
      <c r="Y1168" s="87">
        <f t="shared" si="109"/>
        <v>1.3140793561058328E-2</v>
      </c>
      <c r="Z1168" s="87">
        <f t="shared" si="109"/>
        <v>1.8127384592556701E-2</v>
      </c>
      <c r="AA1168" s="87">
        <f t="shared" si="109"/>
        <v>1.2793351459909542E-2</v>
      </c>
      <c r="AB1168" s="87">
        <f t="shared" si="108"/>
        <v>1.6949558313773424E-2</v>
      </c>
      <c r="AC1168" s="87">
        <f t="shared" si="108"/>
        <v>2.5157245972471489E-3</v>
      </c>
      <c r="AD1168" s="87">
        <f t="shared" si="108"/>
        <v>3.1595602903685179E-3</v>
      </c>
      <c r="AE1168" s="90">
        <f t="shared" si="112"/>
        <v>1.1535467464312834E-3</v>
      </c>
    </row>
    <row r="1169" spans="1:31" ht="15.5" x14ac:dyDescent="0.35">
      <c r="A1169" s="82">
        <v>41464</v>
      </c>
      <c r="B1169" s="83">
        <v>9341.4</v>
      </c>
      <c r="C1169" s="84">
        <v>3504.3</v>
      </c>
      <c r="D1169" s="61">
        <v>449.4</v>
      </c>
      <c r="E1169" s="61">
        <v>25.7</v>
      </c>
      <c r="F1169" s="61">
        <v>58.6</v>
      </c>
      <c r="G1169" s="61">
        <v>34.1</v>
      </c>
      <c r="H1169" s="61">
        <v>17.5</v>
      </c>
      <c r="I1169" s="61">
        <v>16.2</v>
      </c>
      <c r="J1169" s="61">
        <v>38.9</v>
      </c>
      <c r="K1169" s="61">
        <v>16.899999999999999</v>
      </c>
      <c r="L1169" s="61">
        <v>47.6</v>
      </c>
      <c r="M1169" s="61">
        <v>48</v>
      </c>
      <c r="N1169" s="61">
        <v>80.099999999999994</v>
      </c>
      <c r="O1169" s="85">
        <v>31.7</v>
      </c>
      <c r="P1169" s="105"/>
      <c r="Q1169" s="87">
        <f t="shared" si="111"/>
        <v>8.0719710412364386E-3</v>
      </c>
      <c r="R1169" s="87">
        <f t="shared" si="110"/>
        <v>5.5801320911188085E-3</v>
      </c>
      <c r="S1169" s="87">
        <f t="shared" si="110"/>
        <v>8.9047200897435306E-4</v>
      </c>
      <c r="T1169" s="87">
        <f t="shared" si="109"/>
        <v>7.8125397367936247E-3</v>
      </c>
      <c r="U1169" s="87">
        <f t="shared" si="109"/>
        <v>-1.7050302510838342E-3</v>
      </c>
      <c r="V1169" s="87">
        <f t="shared" si="109"/>
        <v>2.9368596733097057E-3</v>
      </c>
      <c r="W1169" s="87">
        <f t="shared" si="109"/>
        <v>0</v>
      </c>
      <c r="X1169" s="87">
        <f t="shared" si="109"/>
        <v>1.8692133012152546E-2</v>
      </c>
      <c r="Y1169" s="87">
        <f t="shared" si="109"/>
        <v>1.5544354437800379E-2</v>
      </c>
      <c r="Z1169" s="87">
        <f t="shared" si="109"/>
        <v>1.1904902506318239E-2</v>
      </c>
      <c r="AA1169" s="87">
        <f t="shared" si="109"/>
        <v>8.4388686458646035E-3</v>
      </c>
      <c r="AB1169" s="87">
        <f t="shared" si="108"/>
        <v>8.3682496705165792E-3</v>
      </c>
      <c r="AC1169" s="87">
        <f t="shared" si="108"/>
        <v>6.2617612239763169E-3</v>
      </c>
      <c r="AD1169" s="87">
        <f t="shared" si="108"/>
        <v>0</v>
      </c>
      <c r="AE1169" s="90">
        <f t="shared" si="112"/>
        <v>1.4458001578911274E-3</v>
      </c>
    </row>
    <row r="1170" spans="1:31" ht="15.5" x14ac:dyDescent="0.35">
      <c r="A1170" s="82">
        <v>41465</v>
      </c>
      <c r="B1170" s="83">
        <v>9340.7000000000007</v>
      </c>
      <c r="C1170" s="84">
        <v>3520.8</v>
      </c>
      <c r="D1170" s="61">
        <v>450.6</v>
      </c>
      <c r="E1170" s="61">
        <v>26.2</v>
      </c>
      <c r="F1170" s="61">
        <v>59.8</v>
      </c>
      <c r="G1170" s="61">
        <v>34.299999999999997</v>
      </c>
      <c r="H1170" s="61">
        <v>17.5</v>
      </c>
      <c r="I1170" s="61">
        <v>16.2</v>
      </c>
      <c r="J1170" s="61">
        <v>38.9</v>
      </c>
      <c r="K1170" s="61">
        <v>16.899999999999999</v>
      </c>
      <c r="L1170" s="61">
        <v>47.6</v>
      </c>
      <c r="M1170" s="61">
        <v>48.4</v>
      </c>
      <c r="N1170" s="61">
        <v>79.900000000000006</v>
      </c>
      <c r="O1170" s="85">
        <v>31.7</v>
      </c>
      <c r="P1170" s="105"/>
      <c r="Q1170" s="87">
        <f t="shared" si="111"/>
        <v>-7.4938042332114884E-5</v>
      </c>
      <c r="R1170" s="87">
        <f t="shared" si="110"/>
        <v>4.6974506671214602E-3</v>
      </c>
      <c r="S1170" s="87">
        <f t="shared" si="110"/>
        <v>2.6666682469152977E-3</v>
      </c>
      <c r="T1170" s="87">
        <f t="shared" si="109"/>
        <v>1.9268418865876987E-2</v>
      </c>
      <c r="U1170" s="87">
        <f t="shared" si="109"/>
        <v>2.0270964373618985E-2</v>
      </c>
      <c r="V1170" s="87">
        <f t="shared" si="109"/>
        <v>5.8479698824228992E-3</v>
      </c>
      <c r="W1170" s="87">
        <f t="shared" si="109"/>
        <v>0</v>
      </c>
      <c r="X1170" s="87">
        <f t="shared" si="109"/>
        <v>0</v>
      </c>
      <c r="Y1170" s="87">
        <f t="shared" si="109"/>
        <v>0</v>
      </c>
      <c r="Z1170" s="87">
        <f t="shared" si="109"/>
        <v>0</v>
      </c>
      <c r="AA1170" s="87">
        <f t="shared" si="109"/>
        <v>0</v>
      </c>
      <c r="AB1170" s="87">
        <f t="shared" si="108"/>
        <v>8.2988028146950641E-3</v>
      </c>
      <c r="AC1170" s="87">
        <f t="shared" si="108"/>
        <v>-2.500001302084449E-3</v>
      </c>
      <c r="AD1170" s="87">
        <f t="shared" si="108"/>
        <v>0</v>
      </c>
      <c r="AE1170" s="90">
        <f t="shared" si="112"/>
        <v>7.9850168675507233E-3</v>
      </c>
    </row>
    <row r="1171" spans="1:31" ht="15.5" x14ac:dyDescent="0.35">
      <c r="A1171" s="82">
        <v>41466</v>
      </c>
      <c r="B1171" s="83">
        <v>9493.2999999999993</v>
      </c>
      <c r="C1171" s="84">
        <v>3578.3</v>
      </c>
      <c r="D1171" s="61">
        <v>454.7</v>
      </c>
      <c r="E1171" s="61">
        <v>26.9</v>
      </c>
      <c r="F1171" s="61">
        <v>60.2</v>
      </c>
      <c r="G1171" s="61">
        <v>34.9</v>
      </c>
      <c r="H1171" s="61">
        <v>18.600000000000001</v>
      </c>
      <c r="I1171" s="61">
        <v>16.399999999999999</v>
      </c>
      <c r="J1171" s="61">
        <v>39.4</v>
      </c>
      <c r="K1171" s="61">
        <v>17.2</v>
      </c>
      <c r="L1171" s="61">
        <v>48.1</v>
      </c>
      <c r="M1171" s="61">
        <v>48</v>
      </c>
      <c r="N1171" s="61">
        <v>80.400000000000006</v>
      </c>
      <c r="O1171" s="85">
        <v>31.7</v>
      </c>
      <c r="P1171" s="105"/>
      <c r="Q1171" s="87">
        <f t="shared" si="111"/>
        <v>1.6205090734331119E-2</v>
      </c>
      <c r="R1171" s="87">
        <f t="shared" si="110"/>
        <v>1.6199590780794668E-2</v>
      </c>
      <c r="S1171" s="87">
        <f t="shared" si="110"/>
        <v>9.0578328328207065E-3</v>
      </c>
      <c r="T1171" s="87">
        <f t="shared" si="109"/>
        <v>2.6366875840742134E-2</v>
      </c>
      <c r="U1171" s="87">
        <f t="shared" si="109"/>
        <v>6.6666913581892974E-3</v>
      </c>
      <c r="V1171" s="87">
        <f t="shared" si="109"/>
        <v>1.7341475036487392E-2</v>
      </c>
      <c r="W1171" s="87">
        <f t="shared" si="109"/>
        <v>6.0960699789687274E-2</v>
      </c>
      <c r="X1171" s="87">
        <f t="shared" si="109"/>
        <v>1.2270092591814401E-2</v>
      </c>
      <c r="Y1171" s="87">
        <f t="shared" si="109"/>
        <v>1.2771565679487539E-2</v>
      </c>
      <c r="Z1171" s="87">
        <f t="shared" si="109"/>
        <v>1.759576189037966E-2</v>
      </c>
      <c r="AA1171" s="87">
        <f t="shared" si="109"/>
        <v>1.044941587434114E-2</v>
      </c>
      <c r="AB1171" s="87">
        <f t="shared" si="108"/>
        <v>-8.2988028146950658E-3</v>
      </c>
      <c r="AC1171" s="87">
        <f t="shared" si="108"/>
        <v>6.2383234126917181E-3</v>
      </c>
      <c r="AD1171" s="87">
        <f t="shared" si="108"/>
        <v>0</v>
      </c>
      <c r="AE1171" s="90">
        <f t="shared" si="112"/>
        <v>9.4138799490510357E-3</v>
      </c>
    </row>
    <row r="1172" spans="1:31" ht="15.5" x14ac:dyDescent="0.35">
      <c r="A1172" s="82">
        <v>41467</v>
      </c>
      <c r="B1172" s="83">
        <v>9498.5</v>
      </c>
      <c r="C1172" s="84">
        <v>3600.1</v>
      </c>
      <c r="D1172" s="61">
        <v>458.1</v>
      </c>
      <c r="E1172" s="61">
        <v>27</v>
      </c>
      <c r="F1172" s="61">
        <v>60.5</v>
      </c>
      <c r="G1172" s="61">
        <v>35.299999999999997</v>
      </c>
      <c r="H1172" s="61">
        <v>18.399999999999999</v>
      </c>
      <c r="I1172" s="61">
        <v>16.399999999999999</v>
      </c>
      <c r="J1172" s="61">
        <v>39.4</v>
      </c>
      <c r="K1172" s="61">
        <v>17.399999999999999</v>
      </c>
      <c r="L1172" s="61">
        <v>48.2</v>
      </c>
      <c r="M1172" s="61">
        <v>48.2</v>
      </c>
      <c r="N1172" s="61">
        <v>79.8</v>
      </c>
      <c r="O1172" s="85">
        <v>31.7</v>
      </c>
      <c r="P1172" s="105"/>
      <c r="Q1172" s="87">
        <f t="shared" si="111"/>
        <v>5.4760476942100937E-4</v>
      </c>
      <c r="R1172" s="87">
        <f t="shared" si="110"/>
        <v>6.0737955585073774E-3</v>
      </c>
      <c r="S1172" s="87">
        <f t="shared" si="110"/>
        <v>7.4496400617315751E-3</v>
      </c>
      <c r="T1172" s="87">
        <f t="shared" si="109"/>
        <v>3.7105793965357746E-3</v>
      </c>
      <c r="U1172" s="87">
        <f t="shared" si="109"/>
        <v>4.9710127220204021E-3</v>
      </c>
      <c r="V1172" s="87">
        <f t="shared" si="109"/>
        <v>1.1396134730869582E-2</v>
      </c>
      <c r="W1172" s="87">
        <f t="shared" si="109"/>
        <v>-1.081091610421573E-2</v>
      </c>
      <c r="X1172" s="87">
        <f t="shared" si="109"/>
        <v>0</v>
      </c>
      <c r="Y1172" s="87">
        <f t="shared" si="109"/>
        <v>0</v>
      </c>
      <c r="Z1172" s="87">
        <f t="shared" si="109"/>
        <v>1.1560822401076006E-2</v>
      </c>
      <c r="AA1172" s="87">
        <f t="shared" si="109"/>
        <v>2.0768439448390691E-3</v>
      </c>
      <c r="AB1172" s="87">
        <f t="shared" si="108"/>
        <v>4.158010148663677E-3</v>
      </c>
      <c r="AC1172" s="87">
        <f t="shared" si="108"/>
        <v>-7.4906717291577376E-3</v>
      </c>
      <c r="AD1172" s="87">
        <f t="shared" si="108"/>
        <v>0</v>
      </c>
      <c r="AE1172" s="90">
        <f t="shared" si="112"/>
        <v>5.4230060032203252E-3</v>
      </c>
    </row>
    <row r="1173" spans="1:31" ht="15.5" x14ac:dyDescent="0.35">
      <c r="A1173" s="82">
        <v>41470</v>
      </c>
      <c r="B1173" s="83">
        <v>9521</v>
      </c>
      <c r="C1173" s="84">
        <v>3607.5</v>
      </c>
      <c r="D1173" s="61">
        <v>458.6</v>
      </c>
      <c r="E1173" s="61">
        <v>27.1</v>
      </c>
      <c r="F1173" s="61">
        <v>60.7</v>
      </c>
      <c r="G1173" s="61">
        <v>35.6</v>
      </c>
      <c r="H1173" s="61">
        <v>18.100000000000001</v>
      </c>
      <c r="I1173" s="61">
        <v>16.600000000000001</v>
      </c>
      <c r="J1173" s="61">
        <v>39.4</v>
      </c>
      <c r="K1173" s="61">
        <v>17.5</v>
      </c>
      <c r="L1173" s="61">
        <v>48.3</v>
      </c>
      <c r="M1173" s="61">
        <v>48.5</v>
      </c>
      <c r="N1173" s="61">
        <v>79</v>
      </c>
      <c r="O1173" s="85">
        <v>31.6</v>
      </c>
      <c r="P1173" s="105"/>
      <c r="Q1173" s="87">
        <f t="shared" si="111"/>
        <v>2.365993900587623E-3</v>
      </c>
      <c r="R1173" s="87">
        <f t="shared" si="110"/>
        <v>2.0533888118422282E-3</v>
      </c>
      <c r="S1173" s="87">
        <f t="shared" si="110"/>
        <v>1.0908695311076849E-3</v>
      </c>
      <c r="T1173" s="87">
        <f t="shared" si="109"/>
        <v>3.6968618813262026E-3</v>
      </c>
      <c r="U1173" s="87">
        <f t="shared" si="109"/>
        <v>3.3003330286569214E-3</v>
      </c>
      <c r="V1173" s="87">
        <f t="shared" si="109"/>
        <v>8.4626739187337284E-3</v>
      </c>
      <c r="W1173" s="87">
        <f t="shared" si="109"/>
        <v>-1.643872634315972E-2</v>
      </c>
      <c r="X1173" s="87">
        <f t="shared" si="109"/>
        <v>1.2121360532345041E-2</v>
      </c>
      <c r="Y1173" s="87">
        <f t="shared" si="109"/>
        <v>0</v>
      </c>
      <c r="Z1173" s="87">
        <f t="shared" si="109"/>
        <v>5.7306747089850745E-3</v>
      </c>
      <c r="AA1173" s="87">
        <f t="shared" si="109"/>
        <v>2.0725396019723751E-3</v>
      </c>
      <c r="AB1173" s="87">
        <f t="shared" si="108"/>
        <v>6.2047768868828696E-3</v>
      </c>
      <c r="AC1173" s="87">
        <f t="shared" si="108"/>
        <v>-1.0075651988741587E-2</v>
      </c>
      <c r="AD1173" s="87">
        <f t="shared" si="108"/>
        <v>-3.1595602903684815E-3</v>
      </c>
      <c r="AE1173" s="90">
        <f t="shared" si="112"/>
        <v>1.4945225605273438E-3</v>
      </c>
    </row>
    <row r="1174" spans="1:31" ht="15.5" x14ac:dyDescent="0.35">
      <c r="A1174" s="82">
        <v>41471</v>
      </c>
      <c r="B1174" s="83">
        <v>9489</v>
      </c>
      <c r="C1174" s="84">
        <v>3598.5</v>
      </c>
      <c r="D1174" s="61">
        <v>457.4</v>
      </c>
      <c r="E1174" s="61">
        <v>26.7</v>
      </c>
      <c r="F1174" s="61">
        <v>60.6</v>
      </c>
      <c r="G1174" s="61">
        <v>36</v>
      </c>
      <c r="H1174" s="61">
        <v>18.8</v>
      </c>
      <c r="I1174" s="61">
        <v>16.399999999999999</v>
      </c>
      <c r="J1174" s="61">
        <v>38.299999999999997</v>
      </c>
      <c r="K1174" s="61">
        <v>16.899999999999999</v>
      </c>
      <c r="L1174" s="61">
        <v>48</v>
      </c>
      <c r="M1174" s="61">
        <v>48</v>
      </c>
      <c r="N1174" s="61">
        <v>78.099999999999994</v>
      </c>
      <c r="O1174" s="85">
        <v>31.2</v>
      </c>
      <c r="P1174" s="105"/>
      <c r="Q1174" s="87">
        <f t="shared" si="111"/>
        <v>-3.366652311932815E-3</v>
      </c>
      <c r="R1174" s="87">
        <f t="shared" si="110"/>
        <v>-2.4979197001669816E-3</v>
      </c>
      <c r="S1174" s="87">
        <f t="shared" si="110"/>
        <v>-2.6200888351234266E-3</v>
      </c>
      <c r="T1174" s="87">
        <f t="shared" si="109"/>
        <v>-1.4870162479451506E-2</v>
      </c>
      <c r="U1174" s="87">
        <f t="shared" si="109"/>
        <v>-1.6488049901837822E-3</v>
      </c>
      <c r="V1174" s="87">
        <f t="shared" si="109"/>
        <v>1.1173300598125255E-2</v>
      </c>
      <c r="W1174" s="87">
        <f t="shared" si="109"/>
        <v>3.7944931564123471E-2</v>
      </c>
      <c r="X1174" s="87">
        <f t="shared" si="109"/>
        <v>-1.2121360532344963E-2</v>
      </c>
      <c r="Y1174" s="87">
        <f t="shared" si="109"/>
        <v>-2.8315920117287854E-2</v>
      </c>
      <c r="Z1174" s="87">
        <f t="shared" si="109"/>
        <v>-3.4887259000440665E-2</v>
      </c>
      <c r="AA1174" s="87">
        <f t="shared" si="109"/>
        <v>-6.2305497506359745E-3</v>
      </c>
      <c r="AB1174" s="87">
        <f t="shared" si="108"/>
        <v>-1.0362787035546547E-2</v>
      </c>
      <c r="AC1174" s="87">
        <f t="shared" si="108"/>
        <v>-1.1457795621381274E-2</v>
      </c>
      <c r="AD1174" s="87">
        <f t="shared" si="108"/>
        <v>-1.2739025777429826E-2</v>
      </c>
      <c r="AE1174" s="90">
        <f t="shared" si="112"/>
        <v>-3.5356800178453348E-3</v>
      </c>
    </row>
    <row r="1175" spans="1:31" ht="15.5" x14ac:dyDescent="0.35">
      <c r="A1175" s="82">
        <v>41472</v>
      </c>
      <c r="B1175" s="83">
        <v>9523.7999999999993</v>
      </c>
      <c r="C1175" s="84">
        <v>3610</v>
      </c>
      <c r="D1175" s="61">
        <v>458.6</v>
      </c>
      <c r="E1175" s="61">
        <v>27.5</v>
      </c>
      <c r="F1175" s="61">
        <v>61.2</v>
      </c>
      <c r="G1175" s="61">
        <v>35.5</v>
      </c>
      <c r="H1175" s="61">
        <v>18.7</v>
      </c>
      <c r="I1175" s="61">
        <v>16.600000000000001</v>
      </c>
      <c r="J1175" s="61">
        <v>38</v>
      </c>
      <c r="K1175" s="61">
        <v>16.5</v>
      </c>
      <c r="L1175" s="61">
        <v>48.1</v>
      </c>
      <c r="M1175" s="61">
        <v>47.5</v>
      </c>
      <c r="N1175" s="61">
        <v>77.8</v>
      </c>
      <c r="O1175" s="85">
        <v>31.3</v>
      </c>
      <c r="P1175" s="105"/>
      <c r="Q1175" s="87">
        <f t="shared" si="111"/>
        <v>3.6606958324921779E-3</v>
      </c>
      <c r="R1175" s="87">
        <f t="shared" si="110"/>
        <v>3.1906803790676614E-3</v>
      </c>
      <c r="S1175" s="87">
        <f t="shared" si="110"/>
        <v>2.6200888351234227E-3</v>
      </c>
      <c r="T1175" s="87">
        <f t="shared" si="109"/>
        <v>2.9522439266321834E-2</v>
      </c>
      <c r="U1175" s="87">
        <f t="shared" si="109"/>
        <v>9.8522964430116395E-3</v>
      </c>
      <c r="V1175" s="87">
        <f t="shared" si="109"/>
        <v>-1.3986241974739839E-2</v>
      </c>
      <c r="W1175" s="87">
        <f t="shared" si="109"/>
        <v>-5.3333459753626168E-3</v>
      </c>
      <c r="X1175" s="87">
        <f t="shared" si="109"/>
        <v>1.2121360532345041E-2</v>
      </c>
      <c r="Y1175" s="87">
        <f t="shared" si="109"/>
        <v>-7.8637364602144634E-3</v>
      </c>
      <c r="Z1175" s="87">
        <f t="shared" si="109"/>
        <v>-2.3953241022492758E-2</v>
      </c>
      <c r="AA1175" s="87">
        <f t="shared" si="109"/>
        <v>2.0811662038246709E-3</v>
      </c>
      <c r="AB1175" s="87">
        <f t="shared" si="108"/>
        <v>-1.0471299867295366E-2</v>
      </c>
      <c r="AC1175" s="87">
        <f t="shared" si="108"/>
        <v>-3.8486256612943379E-3</v>
      </c>
      <c r="AD1175" s="87">
        <f t="shared" si="108"/>
        <v>3.2000027306708497E-3</v>
      </c>
      <c r="AE1175" s="90">
        <f t="shared" si="112"/>
        <v>4.929579972246077E-3</v>
      </c>
    </row>
    <row r="1176" spans="1:31" ht="15.5" x14ac:dyDescent="0.35">
      <c r="A1176" s="82">
        <v>41473</v>
      </c>
      <c r="B1176" s="83">
        <v>9587.2000000000007</v>
      </c>
      <c r="C1176" s="84">
        <v>3611.3</v>
      </c>
      <c r="D1176" s="61">
        <v>452.1</v>
      </c>
      <c r="E1176" s="61">
        <v>28.7</v>
      </c>
      <c r="F1176" s="61">
        <v>61.5</v>
      </c>
      <c r="G1176" s="61">
        <v>35.200000000000003</v>
      </c>
      <c r="H1176" s="61">
        <v>18.7</v>
      </c>
      <c r="I1176" s="61">
        <v>17</v>
      </c>
      <c r="J1176" s="61">
        <v>38</v>
      </c>
      <c r="K1176" s="61">
        <v>16.100000000000001</v>
      </c>
      <c r="L1176" s="61">
        <v>47.4</v>
      </c>
      <c r="M1176" s="61">
        <v>47.7</v>
      </c>
      <c r="N1176" s="61">
        <v>78.400000000000006</v>
      </c>
      <c r="O1176" s="85">
        <v>31.5</v>
      </c>
      <c r="P1176" s="105"/>
      <c r="Q1176" s="87">
        <f t="shared" si="111"/>
        <v>6.6349466365404281E-3</v>
      </c>
      <c r="R1176" s="87">
        <f t="shared" si="110"/>
        <v>3.6004597899103567E-4</v>
      </c>
      <c r="S1176" s="87">
        <f t="shared" si="110"/>
        <v>-1.4274976123244593E-2</v>
      </c>
      <c r="T1176" s="87">
        <f t="shared" si="109"/>
        <v>4.2711118093049873E-2</v>
      </c>
      <c r="U1176" s="87">
        <f t="shared" si="109"/>
        <v>4.8899852941917702E-3</v>
      </c>
      <c r="V1176" s="87">
        <f t="shared" si="109"/>
        <v>-8.4866138773185811E-3</v>
      </c>
      <c r="W1176" s="87">
        <f t="shared" si="109"/>
        <v>0</v>
      </c>
      <c r="X1176" s="87">
        <f t="shared" si="109"/>
        <v>2.3810648693718392E-2</v>
      </c>
      <c r="Y1176" s="87">
        <f t="shared" si="109"/>
        <v>0</v>
      </c>
      <c r="Z1176" s="87">
        <f t="shared" si="109"/>
        <v>-2.4541108916117545E-2</v>
      </c>
      <c r="AA1176" s="87">
        <f t="shared" si="109"/>
        <v>-1.4659948410684742E-2</v>
      </c>
      <c r="AB1176" s="87">
        <f t="shared" si="108"/>
        <v>4.2016868536999766E-3</v>
      </c>
      <c r="AC1176" s="87">
        <f t="shared" si="108"/>
        <v>7.6824961720164311E-3</v>
      </c>
      <c r="AD1176" s="87">
        <f t="shared" si="108"/>
        <v>6.3694482854799285E-3</v>
      </c>
      <c r="AE1176" s="90">
        <f t="shared" si="112"/>
        <v>-1.8988481207309344E-3</v>
      </c>
    </row>
    <row r="1177" spans="1:31" ht="15.5" x14ac:dyDescent="0.35">
      <c r="A1177" s="82">
        <v>41474</v>
      </c>
      <c r="B1177" s="83">
        <v>9618.5</v>
      </c>
      <c r="C1177" s="84">
        <v>3587.6</v>
      </c>
      <c r="D1177" s="61">
        <v>438.2</v>
      </c>
      <c r="E1177" s="61">
        <v>29</v>
      </c>
      <c r="F1177" s="61">
        <v>60.6</v>
      </c>
      <c r="G1177" s="61">
        <v>31</v>
      </c>
      <c r="H1177" s="61">
        <v>18.2</v>
      </c>
      <c r="I1177" s="61">
        <v>17.100000000000001</v>
      </c>
      <c r="J1177" s="61">
        <v>38.200000000000003</v>
      </c>
      <c r="K1177" s="61">
        <v>16.2</v>
      </c>
      <c r="L1177" s="61">
        <v>47.2</v>
      </c>
      <c r="M1177" s="61">
        <v>47.9</v>
      </c>
      <c r="N1177" s="61">
        <v>78.3</v>
      </c>
      <c r="O1177" s="85">
        <v>31.5</v>
      </c>
      <c r="P1177" s="105"/>
      <c r="Q1177" s="87">
        <f t="shared" si="111"/>
        <v>3.2594519034450098E-3</v>
      </c>
      <c r="R1177" s="87">
        <f t="shared" si="110"/>
        <v>-6.5843630620695667E-3</v>
      </c>
      <c r="S1177" s="87">
        <f t="shared" si="110"/>
        <v>-3.1227967139193364E-2</v>
      </c>
      <c r="T1177" s="87">
        <f t="shared" si="109"/>
        <v>1.0398707220898517E-2</v>
      </c>
      <c r="U1177" s="87">
        <f t="shared" si="109"/>
        <v>-1.4742281737203431E-2</v>
      </c>
      <c r="V1177" s="87">
        <f t="shared" si="109"/>
        <v>-0.12705887811890523</v>
      </c>
      <c r="W1177" s="87">
        <f t="shared" si="109"/>
        <v>-2.7101929777791269E-2</v>
      </c>
      <c r="X1177" s="87">
        <f t="shared" si="109"/>
        <v>5.8651194523980576E-3</v>
      </c>
      <c r="Y1177" s="87">
        <f t="shared" si="109"/>
        <v>5.249355886143745E-3</v>
      </c>
      <c r="Z1177" s="87">
        <f t="shared" si="109"/>
        <v>6.1919702479209804E-3</v>
      </c>
      <c r="AA1177" s="87">
        <f t="shared" si="109"/>
        <v>-4.2283361095210642E-3</v>
      </c>
      <c r="AB1177" s="87">
        <f t="shared" si="108"/>
        <v>4.1841065225738695E-3</v>
      </c>
      <c r="AC1177" s="87">
        <f t="shared" si="108"/>
        <v>-1.2763243596049009E-3</v>
      </c>
      <c r="AD1177" s="87">
        <f t="shared" si="108"/>
        <v>0</v>
      </c>
      <c r="AE1177" s="90">
        <f t="shared" si="112"/>
        <v>-1.5331479909453395E-2</v>
      </c>
    </row>
    <row r="1178" spans="1:31" ht="15.5" x14ac:dyDescent="0.35">
      <c r="A1178" s="82">
        <v>41477</v>
      </c>
      <c r="B1178" s="83">
        <v>9650.6</v>
      </c>
      <c r="C1178" s="84">
        <v>3600.4</v>
      </c>
      <c r="D1178" s="61">
        <v>449</v>
      </c>
      <c r="E1178" s="61">
        <v>27.6</v>
      </c>
      <c r="F1178" s="61">
        <v>60.8</v>
      </c>
      <c r="G1178" s="61">
        <v>31.6</v>
      </c>
      <c r="H1178" s="61">
        <v>18.3</v>
      </c>
      <c r="I1178" s="61">
        <v>17.2</v>
      </c>
      <c r="J1178" s="61">
        <v>38.200000000000003</v>
      </c>
      <c r="K1178" s="61">
        <v>16</v>
      </c>
      <c r="L1178" s="61">
        <v>47.6</v>
      </c>
      <c r="M1178" s="61">
        <v>48.8</v>
      </c>
      <c r="N1178" s="61">
        <v>78.3</v>
      </c>
      <c r="O1178" s="85">
        <v>31.4</v>
      </c>
      <c r="P1178" s="105"/>
      <c r="Q1178" s="87">
        <f t="shared" si="111"/>
        <v>3.3317622197410125E-3</v>
      </c>
      <c r="R1178" s="87">
        <f t="shared" si="110"/>
        <v>3.5614951390821772E-3</v>
      </c>
      <c r="S1178" s="87">
        <f t="shared" si="110"/>
        <v>2.434746058088821E-2</v>
      </c>
      <c r="T1178" s="87">
        <f t="shared" si="109"/>
        <v>-4.9480057263369695E-2</v>
      </c>
      <c r="U1178" s="87">
        <f t="shared" si="109"/>
        <v>3.2948958968524846E-3</v>
      </c>
      <c r="V1178" s="87">
        <f t="shared" si="109"/>
        <v>1.9169916107720123E-2</v>
      </c>
      <c r="W1178" s="87">
        <f t="shared" si="109"/>
        <v>5.4794657646255705E-3</v>
      </c>
      <c r="X1178" s="87">
        <f t="shared" si="109"/>
        <v>5.8309203107931437E-3</v>
      </c>
      <c r="Y1178" s="87">
        <f t="shared" si="109"/>
        <v>0</v>
      </c>
      <c r="Z1178" s="87">
        <f t="shared" si="109"/>
        <v>-1.2422519998557096E-2</v>
      </c>
      <c r="AA1178" s="87">
        <f t="shared" si="109"/>
        <v>8.4388686458646035E-3</v>
      </c>
      <c r="AB1178" s="87">
        <f t="shared" si="108"/>
        <v>1.8614808442232011E-2</v>
      </c>
      <c r="AC1178" s="87">
        <f t="shared" si="108"/>
        <v>0</v>
      </c>
      <c r="AD1178" s="87">
        <f t="shared" si="108"/>
        <v>-3.1796529173797957E-3</v>
      </c>
      <c r="AE1178" s="90">
        <f t="shared" si="112"/>
        <v>8.7512784820348213E-3</v>
      </c>
    </row>
    <row r="1179" spans="1:31" ht="15.5" x14ac:dyDescent="0.35">
      <c r="A1179" s="82">
        <v>41478</v>
      </c>
      <c r="B1179" s="83">
        <v>9659.6</v>
      </c>
      <c r="C1179" s="84">
        <v>3579.3</v>
      </c>
      <c r="D1179" s="61">
        <v>450.2</v>
      </c>
      <c r="E1179" s="61">
        <v>27.2</v>
      </c>
      <c r="F1179" s="61">
        <v>59.8</v>
      </c>
      <c r="G1179" s="61">
        <v>31.7</v>
      </c>
      <c r="H1179" s="61">
        <v>18.3</v>
      </c>
      <c r="I1179" s="61">
        <v>16.899999999999999</v>
      </c>
      <c r="J1179" s="61">
        <v>38.1</v>
      </c>
      <c r="K1179" s="61">
        <v>16.100000000000001</v>
      </c>
      <c r="L1179" s="61">
        <v>47.5</v>
      </c>
      <c r="M1179" s="61">
        <v>49.2</v>
      </c>
      <c r="N1179" s="61">
        <v>79</v>
      </c>
      <c r="O1179" s="85">
        <v>31.6</v>
      </c>
      <c r="P1179" s="105"/>
      <c r="Q1179" s="87">
        <f t="shared" si="111"/>
        <v>9.3214991576230091E-4</v>
      </c>
      <c r="R1179" s="87">
        <f t="shared" si="110"/>
        <v>-5.8776998330657944E-3</v>
      </c>
      <c r="S1179" s="87">
        <f t="shared" si="110"/>
        <v>2.6690407303775715E-3</v>
      </c>
      <c r="T1179" s="87">
        <f t="shared" si="109"/>
        <v>-1.4598799421152749E-2</v>
      </c>
      <c r="U1179" s="87">
        <f t="shared" si="109"/>
        <v>-1.6584128015535295E-2</v>
      </c>
      <c r="V1179" s="87">
        <f t="shared" si="109"/>
        <v>3.1595602903685179E-3</v>
      </c>
      <c r="W1179" s="87">
        <f t="shared" si="109"/>
        <v>0</v>
      </c>
      <c r="X1179" s="87">
        <f t="shared" si="109"/>
        <v>-1.7595761890379601E-2</v>
      </c>
      <c r="Y1179" s="87">
        <f t="shared" si="109"/>
        <v>-2.6212334798743041E-3</v>
      </c>
      <c r="Z1179" s="87">
        <f t="shared" si="109"/>
        <v>6.2305497506361628E-3</v>
      </c>
      <c r="AA1179" s="87">
        <f t="shared" si="109"/>
        <v>-2.1030501967787877E-3</v>
      </c>
      <c r="AB1179" s="87">
        <f t="shared" si="108"/>
        <v>8.1633106391610557E-3</v>
      </c>
      <c r="AC1179" s="87">
        <f t="shared" si="108"/>
        <v>8.9002494702640784E-3</v>
      </c>
      <c r="AD1179" s="87">
        <f t="shared" si="108"/>
        <v>6.3492276786587445E-3</v>
      </c>
      <c r="AE1179" s="90">
        <f t="shared" si="112"/>
        <v>-4.9507420214660201E-3</v>
      </c>
    </row>
    <row r="1180" spans="1:31" ht="15.5" x14ac:dyDescent="0.35">
      <c r="A1180" s="82">
        <v>41479</v>
      </c>
      <c r="B1180" s="83">
        <v>9605</v>
      </c>
      <c r="C1180" s="84">
        <v>3579.6</v>
      </c>
      <c r="D1180" s="61">
        <v>450.8</v>
      </c>
      <c r="E1180" s="61">
        <v>27.2</v>
      </c>
      <c r="F1180" s="61">
        <v>62.2</v>
      </c>
      <c r="G1180" s="61">
        <v>31.9</v>
      </c>
      <c r="H1180" s="61">
        <v>18</v>
      </c>
      <c r="I1180" s="61">
        <v>16.899999999999999</v>
      </c>
      <c r="J1180" s="61">
        <v>37.799999999999997</v>
      </c>
      <c r="K1180" s="61">
        <v>15.7</v>
      </c>
      <c r="L1180" s="61">
        <v>47.5</v>
      </c>
      <c r="M1180" s="61">
        <v>49</v>
      </c>
      <c r="N1180" s="61">
        <v>81</v>
      </c>
      <c r="O1180" s="85">
        <v>31.3</v>
      </c>
      <c r="P1180" s="105"/>
      <c r="Q1180" s="87">
        <f t="shared" si="111"/>
        <v>-5.6684432790824867E-3</v>
      </c>
      <c r="R1180" s="87">
        <f t="shared" si="110"/>
        <v>8.381175883884567E-5</v>
      </c>
      <c r="S1180" s="87">
        <f t="shared" si="110"/>
        <v>1.3318536929894174E-3</v>
      </c>
      <c r="T1180" s="87">
        <f t="shared" si="109"/>
        <v>0</v>
      </c>
      <c r="U1180" s="87">
        <f t="shared" si="109"/>
        <v>3.9349338788547898E-2</v>
      </c>
      <c r="V1180" s="87">
        <f t="shared" si="109"/>
        <v>6.2893289075639184E-3</v>
      </c>
      <c r="W1180" s="87">
        <f t="shared" si="109"/>
        <v>-1.6529301951210582E-2</v>
      </c>
      <c r="X1180" s="87">
        <f t="shared" si="109"/>
        <v>0</v>
      </c>
      <c r="Y1180" s="87">
        <f t="shared" si="109"/>
        <v>-7.9051795071133739E-3</v>
      </c>
      <c r="Z1180" s="87">
        <f t="shared" si="109"/>
        <v>-2.5158559636155101E-2</v>
      </c>
      <c r="AA1180" s="87">
        <f t="shared" si="109"/>
        <v>0</v>
      </c>
      <c r="AB1180" s="87">
        <f t="shared" si="108"/>
        <v>-4.0733253876358982E-3</v>
      </c>
      <c r="AC1180" s="87">
        <f t="shared" si="108"/>
        <v>2.5001302205417186E-2</v>
      </c>
      <c r="AD1180" s="87">
        <f t="shared" si="108"/>
        <v>-9.539023046758948E-3</v>
      </c>
      <c r="AE1180" s="90">
        <f t="shared" si="112"/>
        <v>1.0507097739927746E-2</v>
      </c>
    </row>
    <row r="1181" spans="1:31" ht="15.5" x14ac:dyDescent="0.35">
      <c r="A1181" s="82">
        <v>41480</v>
      </c>
      <c r="B1181" s="83">
        <v>9635.1</v>
      </c>
      <c r="C1181" s="84">
        <v>3605.2</v>
      </c>
      <c r="D1181" s="61">
        <v>443.5</v>
      </c>
      <c r="E1181" s="61">
        <v>27.7</v>
      </c>
      <c r="F1181" s="61">
        <v>62.3</v>
      </c>
      <c r="G1181" s="61">
        <v>31.3</v>
      </c>
      <c r="H1181" s="61">
        <v>18</v>
      </c>
      <c r="I1181" s="61">
        <v>16.5</v>
      </c>
      <c r="J1181" s="61">
        <v>36</v>
      </c>
      <c r="K1181" s="61">
        <v>15.8</v>
      </c>
      <c r="L1181" s="61">
        <v>47.4</v>
      </c>
      <c r="M1181" s="61">
        <v>48.4</v>
      </c>
      <c r="N1181" s="61">
        <v>81.5</v>
      </c>
      <c r="O1181" s="85">
        <v>31.1</v>
      </c>
      <c r="P1181" s="105"/>
      <c r="Q1181" s="87">
        <f t="shared" si="111"/>
        <v>3.1288844191427159E-3</v>
      </c>
      <c r="R1181" s="87">
        <f t="shared" si="110"/>
        <v>7.1261853735516498E-3</v>
      </c>
      <c r="S1181" s="87">
        <f t="shared" si="110"/>
        <v>-1.6325980415987065E-2</v>
      </c>
      <c r="T1181" s="87">
        <f t="shared" si="109"/>
        <v>1.8215439891341119E-2</v>
      </c>
      <c r="U1181" s="87">
        <f t="shared" si="109"/>
        <v>1.6064260482735728E-3</v>
      </c>
      <c r="V1181" s="87">
        <f t="shared" si="109"/>
        <v>-1.8987912244691343E-2</v>
      </c>
      <c r="W1181" s="87">
        <f t="shared" si="109"/>
        <v>0</v>
      </c>
      <c r="X1181" s="87">
        <f t="shared" si="109"/>
        <v>-2.3953241022492758E-2</v>
      </c>
      <c r="Y1181" s="87">
        <f t="shared" si="109"/>
        <v>-4.8790164169431945E-2</v>
      </c>
      <c r="Z1181" s="87">
        <f t="shared" si="109"/>
        <v>6.3492276786587445E-3</v>
      </c>
      <c r="AA1181" s="87">
        <f t="shared" si="109"/>
        <v>-2.1074823395646983E-3</v>
      </c>
      <c r="AB1181" s="87">
        <f t="shared" si="109"/>
        <v>-1.2320484388040624E-2</v>
      </c>
      <c r="AC1181" s="87">
        <f t="shared" si="109"/>
        <v>6.1538655743782859E-3</v>
      </c>
      <c r="AD1181" s="87">
        <f t="shared" si="109"/>
        <v>-6.4102783609190543E-3</v>
      </c>
      <c r="AE1181" s="90">
        <f t="shared" si="112"/>
        <v>-2.9634196425364998E-3</v>
      </c>
    </row>
    <row r="1182" spans="1:31" ht="15.5" x14ac:dyDescent="0.35">
      <c r="A1182" s="82">
        <v>41481</v>
      </c>
      <c r="B1182" s="83">
        <v>9620.1</v>
      </c>
      <c r="C1182" s="84">
        <v>3613.2</v>
      </c>
      <c r="D1182" s="61">
        <v>441.4</v>
      </c>
      <c r="E1182" s="61">
        <v>27.7</v>
      </c>
      <c r="F1182" s="61">
        <v>62.1</v>
      </c>
      <c r="G1182" s="61">
        <v>31.2</v>
      </c>
      <c r="H1182" s="61">
        <v>18</v>
      </c>
      <c r="I1182" s="61">
        <v>16.5</v>
      </c>
      <c r="J1182" s="61">
        <v>36.4</v>
      </c>
      <c r="K1182" s="61">
        <v>15.9</v>
      </c>
      <c r="L1182" s="61">
        <v>47.8</v>
      </c>
      <c r="M1182" s="61">
        <v>48.3</v>
      </c>
      <c r="N1182" s="61">
        <v>81.900000000000006</v>
      </c>
      <c r="O1182" s="85">
        <v>31</v>
      </c>
      <c r="P1182" s="105"/>
      <c r="Q1182" s="87">
        <f t="shared" si="111"/>
        <v>-1.5580210056802366E-3</v>
      </c>
      <c r="R1182" s="87">
        <f t="shared" si="110"/>
        <v>2.2165585934337617E-3</v>
      </c>
      <c r="S1182" s="87">
        <f t="shared" si="110"/>
        <v>-4.746307926998216E-3</v>
      </c>
      <c r="T1182" s="87">
        <f t="shared" si="109"/>
        <v>0</v>
      </c>
      <c r="U1182" s="87">
        <f t="shared" si="109"/>
        <v>-3.2154368539743547E-3</v>
      </c>
      <c r="V1182" s="87">
        <f t="shared" si="109"/>
        <v>-3.2000027306709027E-3</v>
      </c>
      <c r="W1182" s="87">
        <f t="shared" si="109"/>
        <v>0</v>
      </c>
      <c r="X1182" s="87">
        <f t="shared" si="109"/>
        <v>0</v>
      </c>
      <c r="Y1182" s="87">
        <f t="shared" si="109"/>
        <v>1.1049836186584935E-2</v>
      </c>
      <c r="Z1182" s="87">
        <f t="shared" si="109"/>
        <v>6.3091691932647556E-3</v>
      </c>
      <c r="AA1182" s="87">
        <f t="shared" si="109"/>
        <v>8.4034107963793792E-3</v>
      </c>
      <c r="AB1182" s="87">
        <f t="shared" si="109"/>
        <v>-2.0682530640590683E-3</v>
      </c>
      <c r="AC1182" s="87">
        <f t="shared" si="109"/>
        <v>4.8959706122066867E-3</v>
      </c>
      <c r="AD1182" s="87">
        <f t="shared" si="109"/>
        <v>-3.2206147000422834E-3</v>
      </c>
      <c r="AE1182" s="90">
        <f t="shared" si="112"/>
        <v>-2.0360181536542288E-3</v>
      </c>
    </row>
    <row r="1183" spans="1:31" ht="15.5" x14ac:dyDescent="0.35">
      <c r="A1183" s="82">
        <v>41484</v>
      </c>
      <c r="B1183" s="83">
        <v>9571.7999999999993</v>
      </c>
      <c r="C1183" s="84">
        <v>3599.1</v>
      </c>
      <c r="D1183" s="61">
        <v>440.9</v>
      </c>
      <c r="E1183" s="61">
        <v>27.8</v>
      </c>
      <c r="F1183" s="61">
        <v>62.9</v>
      </c>
      <c r="G1183" s="61">
        <v>31.4</v>
      </c>
      <c r="H1183" s="61">
        <v>18</v>
      </c>
      <c r="I1183" s="61">
        <v>16.7</v>
      </c>
      <c r="J1183" s="61">
        <v>37</v>
      </c>
      <c r="K1183" s="61">
        <v>16.3</v>
      </c>
      <c r="L1183" s="61">
        <v>48.2</v>
      </c>
      <c r="M1183" s="61">
        <v>48.4</v>
      </c>
      <c r="N1183" s="61">
        <v>82.3</v>
      </c>
      <c r="O1183" s="85">
        <v>31.1</v>
      </c>
      <c r="P1183" s="105"/>
      <c r="Q1183" s="87">
        <f t="shared" si="111"/>
        <v>-5.0333840811126827E-3</v>
      </c>
      <c r="R1183" s="87">
        <f t="shared" si="110"/>
        <v>-3.9099920866963655E-3</v>
      </c>
      <c r="S1183" s="87">
        <f t="shared" si="110"/>
        <v>-1.1334014587440955E-3</v>
      </c>
      <c r="T1183" s="87">
        <f t="shared" si="109"/>
        <v>3.6036075032986181E-3</v>
      </c>
      <c r="U1183" s="87">
        <f t="shared" si="109"/>
        <v>1.2800174766961816E-2</v>
      </c>
      <c r="V1183" s="87">
        <f t="shared" si="109"/>
        <v>6.3897980987709883E-3</v>
      </c>
      <c r="W1183" s="87">
        <f t="shared" si="109"/>
        <v>0</v>
      </c>
      <c r="X1183" s="87">
        <f t="shared" si="109"/>
        <v>1.2048338516174355E-2</v>
      </c>
      <c r="Y1183" s="87">
        <f t="shared" si="109"/>
        <v>1.6349138001529411E-2</v>
      </c>
      <c r="Z1183" s="87">
        <f t="shared" si="109"/>
        <v>2.4845998586530804E-2</v>
      </c>
      <c r="AA1183" s="87">
        <f t="shared" si="109"/>
        <v>8.3333815591444607E-3</v>
      </c>
      <c r="AB1183" s="87">
        <f t="shared" si="109"/>
        <v>2.0682530640590605E-3</v>
      </c>
      <c r="AC1183" s="87">
        <f t="shared" si="109"/>
        <v>4.8721168240003707E-3</v>
      </c>
      <c r="AD1183" s="87">
        <f t="shared" si="109"/>
        <v>3.2206147000421572E-3</v>
      </c>
      <c r="AE1183" s="90">
        <f t="shared" si="112"/>
        <v>2.547694483419312E-3</v>
      </c>
    </row>
    <row r="1184" spans="1:31" ht="15.5" x14ac:dyDescent="0.35">
      <c r="A1184" s="82">
        <v>41485</v>
      </c>
      <c r="B1184" s="83">
        <v>9556.2000000000007</v>
      </c>
      <c r="C1184" s="84">
        <v>3616.5</v>
      </c>
      <c r="D1184" s="61">
        <v>440.9</v>
      </c>
      <c r="E1184" s="61">
        <v>27.9</v>
      </c>
      <c r="F1184" s="61">
        <v>64.2</v>
      </c>
      <c r="G1184" s="61">
        <v>31.6</v>
      </c>
      <c r="H1184" s="61">
        <v>18.100000000000001</v>
      </c>
      <c r="I1184" s="61">
        <v>18.100000000000001</v>
      </c>
      <c r="J1184" s="61">
        <v>29</v>
      </c>
      <c r="K1184" s="61">
        <v>16.100000000000001</v>
      </c>
      <c r="L1184" s="61">
        <v>47.8</v>
      </c>
      <c r="M1184" s="61">
        <v>47.9</v>
      </c>
      <c r="N1184" s="61">
        <v>82.2</v>
      </c>
      <c r="O1184" s="85">
        <v>31.3</v>
      </c>
      <c r="P1184" s="105"/>
      <c r="Q1184" s="87">
        <f t="shared" si="111"/>
        <v>-1.6311170492161876E-3</v>
      </c>
      <c r="R1184" s="87">
        <f t="shared" si="110"/>
        <v>4.8228931003434332E-3</v>
      </c>
      <c r="S1184" s="87">
        <f t="shared" si="110"/>
        <v>0</v>
      </c>
      <c r="T1184" s="87">
        <f t="shared" si="109"/>
        <v>3.59066813072854E-3</v>
      </c>
      <c r="U1184" s="87">
        <f t="shared" si="109"/>
        <v>2.0457046989520802E-2</v>
      </c>
      <c r="V1184" s="87">
        <f t="shared" si="109"/>
        <v>6.3492276786587445E-3</v>
      </c>
      <c r="W1184" s="87">
        <f t="shared" si="109"/>
        <v>5.5401803756153509E-3</v>
      </c>
      <c r="X1184" s="87">
        <f t="shared" si="109"/>
        <v>8.0503218849070843E-2</v>
      </c>
      <c r="Y1184" s="87">
        <f t="shared" si="109"/>
        <v>-0.24362208265775043</v>
      </c>
      <c r="Z1184" s="87">
        <f t="shared" si="109"/>
        <v>-1.2345835822299266E-2</v>
      </c>
      <c r="AA1184" s="87">
        <f t="shared" si="109"/>
        <v>-8.3333815591444104E-3</v>
      </c>
      <c r="AB1184" s="87">
        <f t="shared" si="109"/>
        <v>-1.0384309305716493E-2</v>
      </c>
      <c r="AC1184" s="87">
        <f t="shared" si="109"/>
        <v>-1.2158056208898781E-3</v>
      </c>
      <c r="AD1184" s="87">
        <f t="shared" ref="AD1184:AD1247" si="113">+LN(O1184/O1183)</f>
        <v>6.4102783609190188E-3</v>
      </c>
      <c r="AE1184" s="90">
        <f t="shared" si="112"/>
        <v>8.0742790807263928E-3</v>
      </c>
    </row>
    <row r="1185" spans="1:31" ht="15.5" x14ac:dyDescent="0.35">
      <c r="A1185" s="82">
        <v>41486</v>
      </c>
      <c r="B1185" s="83">
        <v>9558.7999999999993</v>
      </c>
      <c r="C1185" s="84">
        <v>3626.4</v>
      </c>
      <c r="D1185" s="61">
        <v>443.5</v>
      </c>
      <c r="E1185" s="61">
        <v>27.6</v>
      </c>
      <c r="F1185" s="61">
        <v>64.2</v>
      </c>
      <c r="G1185" s="61">
        <v>31.7</v>
      </c>
      <c r="H1185" s="61">
        <v>18.100000000000001</v>
      </c>
      <c r="I1185" s="61">
        <v>18.399999999999999</v>
      </c>
      <c r="J1185" s="61">
        <v>29</v>
      </c>
      <c r="K1185" s="61">
        <v>14.1</v>
      </c>
      <c r="L1185" s="61">
        <v>48</v>
      </c>
      <c r="M1185" s="61">
        <v>48.3</v>
      </c>
      <c r="N1185" s="61">
        <v>82.6</v>
      </c>
      <c r="O1185" s="85">
        <v>31.4</v>
      </c>
      <c r="P1185" s="105"/>
      <c r="Q1185" s="87">
        <f t="shared" si="111"/>
        <v>2.7203766843136526E-4</v>
      </c>
      <c r="R1185" s="87">
        <f t="shared" si="110"/>
        <v>2.7337133373040801E-3</v>
      </c>
      <c r="S1185" s="87">
        <f t="shared" si="110"/>
        <v>5.8797093857423767E-3</v>
      </c>
      <c r="T1185" s="87">
        <f t="shared" si="110"/>
        <v>-1.0810916104215506E-2</v>
      </c>
      <c r="U1185" s="87">
        <f t="shared" si="110"/>
        <v>0</v>
      </c>
      <c r="V1185" s="87">
        <f t="shared" si="110"/>
        <v>3.1595602903685179E-3</v>
      </c>
      <c r="W1185" s="87">
        <f t="shared" si="110"/>
        <v>0</v>
      </c>
      <c r="X1185" s="87">
        <f t="shared" si="110"/>
        <v>1.643872634315972E-2</v>
      </c>
      <c r="Y1185" s="87">
        <f t="shared" si="110"/>
        <v>0</v>
      </c>
      <c r="Z1185" s="87">
        <f t="shared" si="110"/>
        <v>-0.13264447460629486</v>
      </c>
      <c r="AA1185" s="87">
        <f t="shared" si="110"/>
        <v>4.175371410480592E-3</v>
      </c>
      <c r="AB1185" s="87">
        <f t="shared" si="110"/>
        <v>8.3160562416573856E-3</v>
      </c>
      <c r="AC1185" s="87">
        <f t="shared" si="110"/>
        <v>4.854378464798143E-3</v>
      </c>
      <c r="AD1185" s="87">
        <f t="shared" si="113"/>
        <v>3.1897953681000808E-3</v>
      </c>
      <c r="AE1185" s="90">
        <f t="shared" si="112"/>
        <v>2.9285096748472915E-3</v>
      </c>
    </row>
    <row r="1186" spans="1:31" ht="15.5" x14ac:dyDescent="0.35">
      <c r="A1186" s="82">
        <v>41487</v>
      </c>
      <c r="B1186" s="83">
        <v>9673.4</v>
      </c>
      <c r="C1186" s="84">
        <v>3675.7</v>
      </c>
      <c r="D1186" s="61">
        <v>448</v>
      </c>
      <c r="E1186" s="61">
        <v>27.9</v>
      </c>
      <c r="F1186" s="61">
        <v>64.8</v>
      </c>
      <c r="G1186" s="61">
        <v>31.6</v>
      </c>
      <c r="H1186" s="61">
        <v>18.100000000000001</v>
      </c>
      <c r="I1186" s="61">
        <v>18.5</v>
      </c>
      <c r="J1186" s="61">
        <v>28.9</v>
      </c>
      <c r="K1186" s="61">
        <v>14.5</v>
      </c>
      <c r="L1186" s="61">
        <v>48</v>
      </c>
      <c r="M1186" s="61">
        <v>49.1</v>
      </c>
      <c r="N1186" s="61">
        <v>84.8</v>
      </c>
      <c r="O1186" s="85">
        <v>31.6</v>
      </c>
      <c r="P1186" s="105"/>
      <c r="Q1186" s="87">
        <f t="shared" si="111"/>
        <v>1.1917654390858387E-2</v>
      </c>
      <c r="R1186" s="87">
        <f t="shared" si="110"/>
        <v>1.3503170072487341E-2</v>
      </c>
      <c r="S1186" s="87">
        <f t="shared" si="110"/>
        <v>1.0095430665350935E-2</v>
      </c>
      <c r="T1186" s="87">
        <f t="shared" si="110"/>
        <v>1.0810916104215456E-2</v>
      </c>
      <c r="U1186" s="87">
        <f t="shared" si="110"/>
        <v>9.3023926623134103E-3</v>
      </c>
      <c r="V1186" s="87">
        <f t="shared" si="110"/>
        <v>-3.1595602903684815E-3</v>
      </c>
      <c r="W1186" s="87">
        <f t="shared" si="110"/>
        <v>0</v>
      </c>
      <c r="X1186" s="87">
        <f t="shared" si="110"/>
        <v>5.4200674693393345E-3</v>
      </c>
      <c r="Y1186" s="87">
        <f t="shared" si="110"/>
        <v>-3.4542348680875576E-3</v>
      </c>
      <c r="Z1186" s="87">
        <f t="shared" si="110"/>
        <v>2.7973852042406162E-2</v>
      </c>
      <c r="AA1186" s="87">
        <f t="shared" si="110"/>
        <v>0</v>
      </c>
      <c r="AB1186" s="87">
        <f t="shared" si="110"/>
        <v>1.6427474141947996E-2</v>
      </c>
      <c r="AC1186" s="87">
        <f t="shared" si="110"/>
        <v>2.628586227092506E-2</v>
      </c>
      <c r="AD1186" s="87">
        <f t="shared" si="113"/>
        <v>6.3492276786587445E-3</v>
      </c>
      <c r="AE1186" s="90">
        <f t="shared" si="112"/>
        <v>1.0434790605390064E-2</v>
      </c>
    </row>
    <row r="1187" spans="1:31" ht="15.5" x14ac:dyDescent="0.35">
      <c r="A1187" s="82">
        <v>41488</v>
      </c>
      <c r="B1187" s="83">
        <v>9690.1</v>
      </c>
      <c r="C1187" s="84">
        <v>3689.6</v>
      </c>
      <c r="D1187" s="61">
        <v>450.9</v>
      </c>
      <c r="E1187" s="61">
        <v>27.6</v>
      </c>
      <c r="F1187" s="61">
        <v>65.2</v>
      </c>
      <c r="G1187" s="61">
        <v>31.6</v>
      </c>
      <c r="H1187" s="61">
        <v>19.2</v>
      </c>
      <c r="I1187" s="61">
        <v>18.600000000000001</v>
      </c>
      <c r="J1187" s="61">
        <v>28.6</v>
      </c>
      <c r="K1187" s="61">
        <v>14</v>
      </c>
      <c r="L1187" s="61">
        <v>48.2</v>
      </c>
      <c r="M1187" s="61">
        <v>50.6</v>
      </c>
      <c r="N1187" s="61">
        <v>85.4</v>
      </c>
      <c r="O1187" s="85">
        <v>32.700000000000003</v>
      </c>
      <c r="P1187" s="105"/>
      <c r="Q1187" s="87">
        <f t="shared" si="111"/>
        <v>1.7248952039224058E-3</v>
      </c>
      <c r="R1187" s="87">
        <f t="shared" si="110"/>
        <v>3.774460375613103E-3</v>
      </c>
      <c r="S1187" s="87">
        <f t="shared" si="110"/>
        <v>6.4523530120532855E-3</v>
      </c>
      <c r="T1187" s="87">
        <f t="shared" si="110"/>
        <v>-1.0810916104215506E-2</v>
      </c>
      <c r="U1187" s="87">
        <f t="shared" si="110"/>
        <v>6.1538655743782859E-3</v>
      </c>
      <c r="V1187" s="87">
        <f t="shared" si="110"/>
        <v>0</v>
      </c>
      <c r="W1187" s="87">
        <f t="shared" si="110"/>
        <v>5.8998340761955759E-2</v>
      </c>
      <c r="X1187" s="87">
        <f t="shared" si="110"/>
        <v>5.3908486348765933E-3</v>
      </c>
      <c r="Y1187" s="87">
        <f t="shared" si="110"/>
        <v>-1.0434877292579508E-2</v>
      </c>
      <c r="Z1187" s="87">
        <f t="shared" si="110"/>
        <v>-3.5091319811270061E-2</v>
      </c>
      <c r="AA1187" s="87">
        <f t="shared" si="110"/>
        <v>4.158010148663677E-3</v>
      </c>
      <c r="AB1187" s="87">
        <f t="shared" si="110"/>
        <v>3.0092541492944897E-2</v>
      </c>
      <c r="AC1187" s="87">
        <f t="shared" si="110"/>
        <v>7.0505579966669832E-3</v>
      </c>
      <c r="AD1187" s="87">
        <f t="shared" si="113"/>
        <v>3.4217957310341246E-2</v>
      </c>
      <c r="AE1187" s="90">
        <f t="shared" si="112"/>
        <v>8.9391700813845325E-3</v>
      </c>
    </row>
    <row r="1188" spans="1:31" ht="15.5" x14ac:dyDescent="0.35">
      <c r="A1188" s="82">
        <v>41491</v>
      </c>
      <c r="B1188" s="83">
        <v>9671.6</v>
      </c>
      <c r="C1188" s="84">
        <v>3692.9</v>
      </c>
      <c r="D1188" s="61">
        <v>450.1</v>
      </c>
      <c r="E1188" s="61">
        <v>27.5</v>
      </c>
      <c r="F1188" s="61">
        <v>66</v>
      </c>
      <c r="G1188" s="61">
        <v>31.6</v>
      </c>
      <c r="H1188" s="61">
        <v>19.2</v>
      </c>
      <c r="I1188" s="61">
        <v>18.8</v>
      </c>
      <c r="J1188" s="61">
        <v>28.9</v>
      </c>
      <c r="K1188" s="61">
        <v>13.7</v>
      </c>
      <c r="L1188" s="61">
        <v>48.1</v>
      </c>
      <c r="M1188" s="61">
        <v>50.1</v>
      </c>
      <c r="N1188" s="61">
        <v>85.4</v>
      </c>
      <c r="O1188" s="85">
        <v>33.1</v>
      </c>
      <c r="P1188" s="105"/>
      <c r="Q1188" s="87">
        <f t="shared" si="111"/>
        <v>-1.9109898025467353E-3</v>
      </c>
      <c r="R1188" s="87">
        <f t="shared" si="110"/>
        <v>8.9400615504045349E-4</v>
      </c>
      <c r="S1188" s="87">
        <f t="shared" si="110"/>
        <v>-1.7758051281513878E-3</v>
      </c>
      <c r="T1188" s="87">
        <f t="shared" si="110"/>
        <v>-3.6297680505787237E-3</v>
      </c>
      <c r="U1188" s="87">
        <f t="shared" si="110"/>
        <v>1.2195273093818206E-2</v>
      </c>
      <c r="V1188" s="87">
        <f t="shared" si="110"/>
        <v>0</v>
      </c>
      <c r="W1188" s="87">
        <f t="shared" si="110"/>
        <v>0</v>
      </c>
      <c r="X1188" s="87">
        <f t="shared" si="110"/>
        <v>1.069528911674795E-2</v>
      </c>
      <c r="Y1188" s="87">
        <f t="shared" si="110"/>
        <v>1.0434877292579494E-2</v>
      </c>
      <c r="Z1188" s="87">
        <f t="shared" si="110"/>
        <v>-2.1661496781179419E-2</v>
      </c>
      <c r="AA1188" s="87">
        <f t="shared" si="110"/>
        <v>-2.0768439448391172E-3</v>
      </c>
      <c r="AB1188" s="87">
        <f t="shared" si="110"/>
        <v>-9.9305682026007997E-3</v>
      </c>
      <c r="AC1188" s="87">
        <f t="shared" si="110"/>
        <v>0</v>
      </c>
      <c r="AD1188" s="87">
        <f t="shared" si="113"/>
        <v>1.2158204479809363E-2</v>
      </c>
      <c r="AE1188" s="90">
        <f t="shared" si="112"/>
        <v>4.712996325592661E-3</v>
      </c>
    </row>
    <row r="1189" spans="1:31" ht="15.5" x14ac:dyDescent="0.35">
      <c r="A1189" s="82">
        <v>41492</v>
      </c>
      <c r="B1189" s="83">
        <v>9614.2999999999993</v>
      </c>
      <c r="C1189" s="84">
        <v>3665.8</v>
      </c>
      <c r="D1189" s="61">
        <v>448.3</v>
      </c>
      <c r="E1189" s="61">
        <v>27.2</v>
      </c>
      <c r="F1189" s="61">
        <v>66</v>
      </c>
      <c r="G1189" s="61">
        <v>31.4</v>
      </c>
      <c r="H1189" s="61">
        <v>19.899999999999999</v>
      </c>
      <c r="I1189" s="61">
        <v>18.7</v>
      </c>
      <c r="J1189" s="61">
        <v>28.8</v>
      </c>
      <c r="K1189" s="61">
        <v>12.7</v>
      </c>
      <c r="L1189" s="61">
        <v>48.1</v>
      </c>
      <c r="M1189" s="61">
        <v>49.5</v>
      </c>
      <c r="N1189" s="61">
        <v>85.3</v>
      </c>
      <c r="O1189" s="85">
        <v>32.9</v>
      </c>
      <c r="P1189" s="105"/>
      <c r="Q1189" s="87">
        <f t="shared" si="111"/>
        <v>-5.9421824859529826E-3</v>
      </c>
      <c r="R1189" s="87">
        <f t="shared" si="110"/>
        <v>-7.3654646920327613E-3</v>
      </c>
      <c r="S1189" s="87">
        <f t="shared" si="110"/>
        <v>-4.007129137493199E-3</v>
      </c>
      <c r="T1189" s="87">
        <f t="shared" si="110"/>
        <v>-1.0969031370574046E-2</v>
      </c>
      <c r="U1189" s="87">
        <f t="shared" si="110"/>
        <v>0</v>
      </c>
      <c r="V1189" s="87">
        <f t="shared" si="110"/>
        <v>-6.3492276786588919E-3</v>
      </c>
      <c r="W1189" s="87">
        <f t="shared" si="110"/>
        <v>3.5809452696710778E-2</v>
      </c>
      <c r="X1189" s="87">
        <f t="shared" si="110"/>
        <v>-5.3333459753626168E-3</v>
      </c>
      <c r="Y1189" s="87">
        <f t="shared" si="110"/>
        <v>-3.4662079764861725E-3</v>
      </c>
      <c r="Z1189" s="87">
        <f t="shared" si="110"/>
        <v>-7.5793839369533669E-2</v>
      </c>
      <c r="AA1189" s="87">
        <f t="shared" si="110"/>
        <v>0</v>
      </c>
      <c r="AB1189" s="87">
        <f t="shared" si="110"/>
        <v>-1.204833851617448E-2</v>
      </c>
      <c r="AC1189" s="87">
        <f t="shared" si="110"/>
        <v>-1.1716462968908577E-3</v>
      </c>
      <c r="AD1189" s="87">
        <f t="shared" si="113"/>
        <v>-6.0606246116910699E-3</v>
      </c>
      <c r="AE1189" s="90">
        <f t="shared" si="112"/>
        <v>-4.1175897730914169E-3</v>
      </c>
    </row>
    <row r="1190" spans="1:31" ht="15.5" x14ac:dyDescent="0.35">
      <c r="A1190" s="82">
        <v>41493</v>
      </c>
      <c r="B1190" s="83">
        <v>9568.2999999999993</v>
      </c>
      <c r="C1190" s="84">
        <v>3654</v>
      </c>
      <c r="D1190" s="61">
        <v>445</v>
      </c>
      <c r="E1190" s="61">
        <v>27.1</v>
      </c>
      <c r="F1190" s="61">
        <v>66</v>
      </c>
      <c r="G1190" s="61">
        <v>31.3</v>
      </c>
      <c r="H1190" s="61">
        <v>20</v>
      </c>
      <c r="I1190" s="61">
        <v>18.3</v>
      </c>
      <c r="J1190" s="61">
        <v>29.1</v>
      </c>
      <c r="K1190" s="61">
        <v>12.5</v>
      </c>
      <c r="L1190" s="61">
        <v>48.4</v>
      </c>
      <c r="M1190" s="61">
        <v>48.7</v>
      </c>
      <c r="N1190" s="61">
        <v>84.8</v>
      </c>
      <c r="O1190" s="85">
        <v>32.799999999999997</v>
      </c>
      <c r="P1190" s="105"/>
      <c r="Q1190" s="87">
        <f t="shared" si="111"/>
        <v>-4.7960222465823843E-3</v>
      </c>
      <c r="R1190" s="87">
        <f t="shared" si="110"/>
        <v>-3.224134599795472E-3</v>
      </c>
      <c r="S1190" s="87">
        <f t="shared" si="110"/>
        <v>-7.3883689951536741E-3</v>
      </c>
      <c r="T1190" s="87">
        <f t="shared" si="110"/>
        <v>-3.6832454162962934E-3</v>
      </c>
      <c r="U1190" s="87">
        <f t="shared" si="110"/>
        <v>0</v>
      </c>
      <c r="V1190" s="87">
        <f t="shared" si="110"/>
        <v>-3.1897953681000379E-3</v>
      </c>
      <c r="W1190" s="87">
        <f t="shared" si="110"/>
        <v>5.0125418235444138E-3</v>
      </c>
      <c r="X1190" s="87">
        <f t="shared" si="110"/>
        <v>-2.1622464013165657E-2</v>
      </c>
      <c r="Y1190" s="87">
        <f t="shared" si="110"/>
        <v>1.0362787035546658E-2</v>
      </c>
      <c r="Z1190" s="87">
        <f t="shared" si="110"/>
        <v>-1.5873349156290122E-2</v>
      </c>
      <c r="AA1190" s="87">
        <f t="shared" si="110"/>
        <v>6.2176366108703616E-3</v>
      </c>
      <c r="AB1190" s="87">
        <f t="shared" si="110"/>
        <v>-1.6293639486100502E-2</v>
      </c>
      <c r="AC1190" s="87">
        <f t="shared" si="110"/>
        <v>-5.8789116997759973E-3</v>
      </c>
      <c r="AD1190" s="87">
        <f t="shared" si="113"/>
        <v>-3.044142381228244E-3</v>
      </c>
      <c r="AE1190" s="90">
        <f t="shared" si="112"/>
        <v>-3.499490563012683E-3</v>
      </c>
    </row>
    <row r="1191" spans="1:31" ht="15.5" x14ac:dyDescent="0.35">
      <c r="A1191" s="82">
        <v>41494</v>
      </c>
      <c r="B1191" s="83">
        <v>9634.7000000000007</v>
      </c>
      <c r="C1191" s="84">
        <v>3669.1</v>
      </c>
      <c r="D1191" s="61">
        <v>443.1</v>
      </c>
      <c r="E1191" s="61">
        <v>27.2</v>
      </c>
      <c r="F1191" s="61">
        <v>65.400000000000006</v>
      </c>
      <c r="G1191" s="61">
        <v>32.1</v>
      </c>
      <c r="H1191" s="61">
        <v>20.399999999999999</v>
      </c>
      <c r="I1191" s="61">
        <v>18.8</v>
      </c>
      <c r="J1191" s="61">
        <v>30.1</v>
      </c>
      <c r="K1191" s="61">
        <v>12.6</v>
      </c>
      <c r="L1191" s="61">
        <v>48.2</v>
      </c>
      <c r="M1191" s="61">
        <v>49</v>
      </c>
      <c r="N1191" s="61">
        <v>84.8</v>
      </c>
      <c r="O1191" s="85">
        <v>32.9</v>
      </c>
      <c r="P1191" s="105"/>
      <c r="Q1191" s="87">
        <f t="shared" si="111"/>
        <v>6.9156136682183593E-3</v>
      </c>
      <c r="R1191" s="87">
        <f t="shared" si="110"/>
        <v>4.1239424288468376E-3</v>
      </c>
      <c r="S1191" s="87">
        <f t="shared" si="110"/>
        <v>-4.2788039607963169E-3</v>
      </c>
      <c r="T1191" s="87">
        <f t="shared" si="110"/>
        <v>3.683245416296368E-3</v>
      </c>
      <c r="U1191" s="87">
        <f t="shared" si="110"/>
        <v>-9.1324835632724741E-3</v>
      </c>
      <c r="V1191" s="87">
        <f t="shared" si="110"/>
        <v>2.5237932589862754E-2</v>
      </c>
      <c r="W1191" s="87">
        <f t="shared" si="110"/>
        <v>1.980262729617973E-2</v>
      </c>
      <c r="X1191" s="87">
        <f t="shared" si="110"/>
        <v>2.6955809988528295E-2</v>
      </c>
      <c r="Y1191" s="87">
        <f t="shared" si="110"/>
        <v>3.3786997577383314E-2</v>
      </c>
      <c r="Z1191" s="87">
        <f t="shared" si="110"/>
        <v>7.9681696491768813E-3</v>
      </c>
      <c r="AA1191" s="87">
        <f t="shared" si="110"/>
        <v>-4.1407926660312769E-3</v>
      </c>
      <c r="AB1191" s="87">
        <f t="shared" si="110"/>
        <v>6.1412680220824288E-3</v>
      </c>
      <c r="AC1191" s="87">
        <f t="shared" si="110"/>
        <v>0</v>
      </c>
      <c r="AD1191" s="87">
        <f t="shared" si="113"/>
        <v>3.044142381228273E-3</v>
      </c>
      <c r="AE1191" s="90">
        <f t="shared" si="112"/>
        <v>-2.2578579434847689E-3</v>
      </c>
    </row>
    <row r="1192" spans="1:31" ht="15.5" x14ac:dyDescent="0.35">
      <c r="A1192" s="82">
        <v>41495</v>
      </c>
      <c r="B1192" s="83">
        <v>9622.1</v>
      </c>
      <c r="C1192" s="84">
        <v>3660.1</v>
      </c>
      <c r="D1192" s="61">
        <v>445.4</v>
      </c>
      <c r="E1192" s="61">
        <v>27.2</v>
      </c>
      <c r="F1192" s="61">
        <v>64.8</v>
      </c>
      <c r="G1192" s="61">
        <v>32.5</v>
      </c>
      <c r="H1192" s="61">
        <v>20.2</v>
      </c>
      <c r="I1192" s="61">
        <v>18.8</v>
      </c>
      <c r="J1192" s="61">
        <v>29.9</v>
      </c>
      <c r="K1192" s="61">
        <v>12.3</v>
      </c>
      <c r="L1192" s="61">
        <v>48.3</v>
      </c>
      <c r="M1192" s="61">
        <v>49.3</v>
      </c>
      <c r="N1192" s="61">
        <v>85.2</v>
      </c>
      <c r="O1192" s="85">
        <v>32.9</v>
      </c>
      <c r="P1192" s="105"/>
      <c r="Q1192" s="87">
        <f t="shared" si="111"/>
        <v>-1.3086288270258155E-3</v>
      </c>
      <c r="R1192" s="87">
        <f t="shared" si="110"/>
        <v>-2.455930940265528E-3</v>
      </c>
      <c r="S1192" s="87">
        <f t="shared" si="110"/>
        <v>5.1772766178233946E-3</v>
      </c>
      <c r="T1192" s="87">
        <f t="shared" si="110"/>
        <v>0</v>
      </c>
      <c r="U1192" s="87">
        <f t="shared" si="110"/>
        <v>-9.2166551049241759E-3</v>
      </c>
      <c r="V1192" s="87">
        <f t="shared" si="110"/>
        <v>1.2384059199721622E-2</v>
      </c>
      <c r="W1192" s="87">
        <f t="shared" si="110"/>
        <v>-9.8522964430115944E-3</v>
      </c>
      <c r="X1192" s="87">
        <f t="shared" si="110"/>
        <v>0</v>
      </c>
      <c r="Y1192" s="87">
        <f t="shared" si="110"/>
        <v>-6.6666913581893451E-3</v>
      </c>
      <c r="Z1192" s="87">
        <f t="shared" si="110"/>
        <v>-2.4097551579060416E-2</v>
      </c>
      <c r="AA1192" s="87">
        <f t="shared" si="110"/>
        <v>2.0725396019723751E-3</v>
      </c>
      <c r="AB1192" s="87">
        <f t="shared" si="110"/>
        <v>6.1037829380176656E-3</v>
      </c>
      <c r="AC1192" s="87">
        <f t="shared" si="110"/>
        <v>4.7058910374127138E-3</v>
      </c>
      <c r="AD1192" s="87">
        <f t="shared" si="113"/>
        <v>0</v>
      </c>
      <c r="AE1192" s="90">
        <f t="shared" si="112"/>
        <v>-1.8558401567797722E-3</v>
      </c>
    </row>
    <row r="1193" spans="1:31" ht="15.5" x14ac:dyDescent="0.35">
      <c r="A1193" s="82">
        <v>41498</v>
      </c>
      <c r="B1193" s="83">
        <v>9609</v>
      </c>
      <c r="C1193" s="84">
        <v>3669.9</v>
      </c>
      <c r="D1193" s="61">
        <v>441.3</v>
      </c>
      <c r="E1193" s="61">
        <v>27.5</v>
      </c>
      <c r="F1193" s="61">
        <v>65.2</v>
      </c>
      <c r="G1193" s="61">
        <v>32.5</v>
      </c>
      <c r="H1193" s="61">
        <v>19.7</v>
      </c>
      <c r="I1193" s="61">
        <v>18.8</v>
      </c>
      <c r="J1193" s="61">
        <v>30</v>
      </c>
      <c r="K1193" s="61">
        <v>12.5</v>
      </c>
      <c r="L1193" s="61">
        <v>48.1</v>
      </c>
      <c r="M1193" s="61">
        <v>48.8</v>
      </c>
      <c r="N1193" s="61">
        <v>85.6</v>
      </c>
      <c r="O1193" s="85">
        <v>33</v>
      </c>
      <c r="P1193" s="105"/>
      <c r="Q1193" s="87">
        <f t="shared" si="111"/>
        <v>-1.3623767778453704E-3</v>
      </c>
      <c r="R1193" s="87">
        <f t="shared" si="110"/>
        <v>2.6739442944470003E-3</v>
      </c>
      <c r="S1193" s="87">
        <f t="shared" si="110"/>
        <v>-9.247838547765598E-3</v>
      </c>
      <c r="T1193" s="87">
        <f t="shared" si="110"/>
        <v>1.0969031370573937E-2</v>
      </c>
      <c r="U1193" s="87">
        <f t="shared" si="110"/>
        <v>6.1538655743782859E-3</v>
      </c>
      <c r="V1193" s="87">
        <f t="shared" si="110"/>
        <v>0</v>
      </c>
      <c r="W1193" s="87">
        <f t="shared" si="110"/>
        <v>-2.5063968663216276E-2</v>
      </c>
      <c r="X1193" s="87">
        <f t="shared" si="110"/>
        <v>0</v>
      </c>
      <c r="Y1193" s="87">
        <f t="shared" si="110"/>
        <v>3.3389012655146303E-3</v>
      </c>
      <c r="Z1193" s="87">
        <f t="shared" si="110"/>
        <v>1.6129381929883498E-2</v>
      </c>
      <c r="AA1193" s="87">
        <f t="shared" si="110"/>
        <v>-4.1493835468113657E-3</v>
      </c>
      <c r="AB1193" s="87">
        <f t="shared" si="110"/>
        <v>-1.0193768189542944E-2</v>
      </c>
      <c r="AC1193" s="87">
        <f t="shared" si="110"/>
        <v>4.6838493124262163E-3</v>
      </c>
      <c r="AD1193" s="87">
        <f t="shared" si="113"/>
        <v>3.0349036951541112E-3</v>
      </c>
      <c r="AE1193" s="90">
        <f t="shared" si="112"/>
        <v>2.2259049507740702E-4</v>
      </c>
    </row>
    <row r="1194" spans="1:31" ht="15.5" x14ac:dyDescent="0.35">
      <c r="A1194" s="82">
        <v>41499</v>
      </c>
      <c r="B1194" s="83">
        <v>9630.6</v>
      </c>
      <c r="C1194" s="84">
        <v>3684.4</v>
      </c>
      <c r="D1194" s="61">
        <v>438.5</v>
      </c>
      <c r="E1194" s="61">
        <v>28.2</v>
      </c>
      <c r="F1194" s="61">
        <v>66.900000000000006</v>
      </c>
      <c r="G1194" s="61">
        <v>32.200000000000003</v>
      </c>
      <c r="H1194" s="61">
        <v>19.5</v>
      </c>
      <c r="I1194" s="61">
        <v>19</v>
      </c>
      <c r="J1194" s="61">
        <v>30.7</v>
      </c>
      <c r="K1194" s="61">
        <v>12.5</v>
      </c>
      <c r="L1194" s="61">
        <v>48.1</v>
      </c>
      <c r="M1194" s="61">
        <v>48.7</v>
      </c>
      <c r="N1194" s="61">
        <v>86.7</v>
      </c>
      <c r="O1194" s="85">
        <v>32.799999999999997</v>
      </c>
      <c r="P1194" s="105"/>
      <c r="Q1194" s="87">
        <f t="shared" si="111"/>
        <v>2.2453698699591781E-3</v>
      </c>
      <c r="R1194" s="87">
        <f t="shared" si="110"/>
        <v>3.9432763931001825E-3</v>
      </c>
      <c r="S1194" s="87">
        <f t="shared" si="110"/>
        <v>-6.3651044632638491E-3</v>
      </c>
      <c r="T1194" s="87">
        <f t="shared" si="110"/>
        <v>2.5135973271542239E-2</v>
      </c>
      <c r="U1194" s="87">
        <f t="shared" si="110"/>
        <v>2.5739498201575457E-2</v>
      </c>
      <c r="V1194" s="87">
        <f t="shared" si="110"/>
        <v>-9.2736367853291021E-3</v>
      </c>
      <c r="W1194" s="87">
        <f t="shared" si="110"/>
        <v>-1.0204170174241623E-2</v>
      </c>
      <c r="X1194" s="87">
        <f t="shared" si="110"/>
        <v>1.0582109330537008E-2</v>
      </c>
      <c r="Y1194" s="87">
        <f t="shared" si="110"/>
        <v>2.3065272930995969E-2</v>
      </c>
      <c r="Z1194" s="87">
        <f t="shared" ref="Z1194:AD1255" si="114">+LN(K1194/K1193)</f>
        <v>0</v>
      </c>
      <c r="AA1194" s="87">
        <f t="shared" si="114"/>
        <v>0</v>
      </c>
      <c r="AB1194" s="87">
        <f t="shared" si="114"/>
        <v>-2.0512827705572493E-3</v>
      </c>
      <c r="AC1194" s="87">
        <f t="shared" si="114"/>
        <v>1.2768600638799957E-2</v>
      </c>
      <c r="AD1194" s="87">
        <f t="shared" si="113"/>
        <v>-6.0790460763822263E-3</v>
      </c>
      <c r="AE1194" s="90">
        <f t="shared" si="112"/>
        <v>5.9395426797688505E-3</v>
      </c>
    </row>
    <row r="1195" spans="1:31" ht="15.5" x14ac:dyDescent="0.35">
      <c r="A1195" s="82">
        <v>41500</v>
      </c>
      <c r="B1195" s="83">
        <v>9593.5</v>
      </c>
      <c r="C1195" s="84">
        <v>3669.3</v>
      </c>
      <c r="D1195" s="61">
        <v>434</v>
      </c>
      <c r="E1195" s="61">
        <v>28</v>
      </c>
      <c r="F1195" s="61">
        <v>70.5</v>
      </c>
      <c r="G1195" s="61">
        <v>31.7</v>
      </c>
      <c r="H1195" s="61">
        <v>19.7</v>
      </c>
      <c r="I1195" s="61">
        <v>19.2</v>
      </c>
      <c r="J1195" s="61">
        <v>30.7</v>
      </c>
      <c r="K1195" s="61">
        <v>12.5</v>
      </c>
      <c r="L1195" s="61">
        <v>48.4</v>
      </c>
      <c r="M1195" s="61">
        <v>48.6</v>
      </c>
      <c r="N1195" s="61">
        <v>87.1</v>
      </c>
      <c r="O1195" s="85">
        <v>32.1</v>
      </c>
      <c r="P1195" s="105"/>
      <c r="Q1195" s="87">
        <f t="shared" si="111"/>
        <v>-3.859743349073306E-3</v>
      </c>
      <c r="R1195" s="87">
        <f t="shared" ref="R1195:Y1223" si="115">+LN(C1195/C1194)</f>
        <v>-4.1067819526533593E-3</v>
      </c>
      <c r="S1195" s="87">
        <f t="shared" si="115"/>
        <v>-1.031527771183291E-2</v>
      </c>
      <c r="T1195" s="87">
        <f t="shared" si="115"/>
        <v>-7.1174677688639896E-3</v>
      </c>
      <c r="U1195" s="87">
        <f t="shared" si="115"/>
        <v>5.2413742684040136E-2</v>
      </c>
      <c r="V1195" s="87">
        <f t="shared" si="115"/>
        <v>-1.5649771667127776E-2</v>
      </c>
      <c r="W1195" s="87">
        <f t="shared" si="115"/>
        <v>1.0204170174241668E-2</v>
      </c>
      <c r="X1195" s="87">
        <f t="shared" si="115"/>
        <v>1.0471299867295437E-2</v>
      </c>
      <c r="Y1195" s="87">
        <f t="shared" si="115"/>
        <v>0</v>
      </c>
      <c r="Z1195" s="87">
        <f t="shared" si="114"/>
        <v>0</v>
      </c>
      <c r="AA1195" s="87">
        <f t="shared" si="114"/>
        <v>6.2176366108703616E-3</v>
      </c>
      <c r="AB1195" s="87">
        <f t="shared" si="114"/>
        <v>-2.055499182095999E-3</v>
      </c>
      <c r="AC1195" s="87">
        <f t="shared" si="114"/>
        <v>4.6030000719609401E-3</v>
      </c>
      <c r="AD1195" s="87">
        <f t="shared" si="113"/>
        <v>-2.1572485254127773E-2</v>
      </c>
      <c r="AE1195" s="90">
        <f t="shared" si="112"/>
        <v>8.1140843102431859E-3</v>
      </c>
    </row>
    <row r="1196" spans="1:31" ht="15.5" x14ac:dyDescent="0.35">
      <c r="A1196" s="82">
        <v>41501</v>
      </c>
      <c r="B1196" s="83">
        <v>9489.2999999999993</v>
      </c>
      <c r="C1196" s="84">
        <v>3606.1</v>
      </c>
      <c r="D1196" s="61">
        <v>429.4</v>
      </c>
      <c r="E1196" s="61">
        <v>27.1</v>
      </c>
      <c r="F1196" s="61">
        <v>69.900000000000006</v>
      </c>
      <c r="G1196" s="61">
        <v>30.8</v>
      </c>
      <c r="H1196" s="61">
        <v>19.3</v>
      </c>
      <c r="I1196" s="61">
        <v>18.600000000000001</v>
      </c>
      <c r="J1196" s="61">
        <v>30</v>
      </c>
      <c r="K1196" s="61">
        <v>13.2</v>
      </c>
      <c r="L1196" s="61">
        <v>47.9</v>
      </c>
      <c r="M1196" s="61">
        <v>47.7</v>
      </c>
      <c r="N1196" s="61">
        <v>86.1</v>
      </c>
      <c r="O1196" s="85">
        <v>31.6</v>
      </c>
      <c r="P1196" s="105"/>
      <c r="Q1196" s="87">
        <f t="shared" si="111"/>
        <v>-1.0920937769303488E-2</v>
      </c>
      <c r="R1196" s="87">
        <f t="shared" si="115"/>
        <v>-1.7374052224163584E-2</v>
      </c>
      <c r="S1196" s="87">
        <f t="shared" si="115"/>
        <v>-1.0655648655724307E-2</v>
      </c>
      <c r="T1196" s="87">
        <f t="shared" si="115"/>
        <v>-3.2670782289548707E-2</v>
      </c>
      <c r="U1196" s="87">
        <f t="shared" si="115"/>
        <v>-8.5470605784582973E-3</v>
      </c>
      <c r="V1196" s="87">
        <f t="shared" si="115"/>
        <v>-2.8801990903706078E-2</v>
      </c>
      <c r="W1196" s="87">
        <f t="shared" si="115"/>
        <v>-2.0513539833102903E-2</v>
      </c>
      <c r="X1196" s="87">
        <f t="shared" si="115"/>
        <v>-3.1748698314580187E-2</v>
      </c>
      <c r="Y1196" s="87">
        <f t="shared" si="115"/>
        <v>-2.3065272930996104E-2</v>
      </c>
      <c r="Z1196" s="87">
        <f t="shared" si="114"/>
        <v>5.4488185284069776E-2</v>
      </c>
      <c r="AA1196" s="87">
        <f t="shared" si="114"/>
        <v>-1.0384309305716493E-2</v>
      </c>
      <c r="AB1196" s="87">
        <f t="shared" si="114"/>
        <v>-1.8692133012152522E-2</v>
      </c>
      <c r="AC1196" s="87">
        <f t="shared" si="114"/>
        <v>-1.1547472424771995E-2</v>
      </c>
      <c r="AD1196" s="87">
        <f t="shared" si="113"/>
        <v>-1.5698909543103753E-2</v>
      </c>
      <c r="AE1196" s="90">
        <f t="shared" si="112"/>
        <v>-1.267955217915046E-2</v>
      </c>
    </row>
    <row r="1197" spans="1:31" ht="15.5" x14ac:dyDescent="0.35">
      <c r="A1197" s="82">
        <v>41502</v>
      </c>
      <c r="B1197" s="83">
        <v>9465.6</v>
      </c>
      <c r="C1197" s="84">
        <v>3602.8</v>
      </c>
      <c r="D1197" s="61">
        <v>428.7</v>
      </c>
      <c r="E1197" s="61">
        <v>27</v>
      </c>
      <c r="F1197" s="61">
        <v>71.3</v>
      </c>
      <c r="G1197" s="61">
        <v>31.7</v>
      </c>
      <c r="H1197" s="61">
        <v>19</v>
      </c>
      <c r="I1197" s="61">
        <v>18.600000000000001</v>
      </c>
      <c r="J1197" s="61">
        <v>30.2</v>
      </c>
      <c r="K1197" s="61">
        <v>13.2</v>
      </c>
      <c r="L1197" s="61">
        <v>47.5</v>
      </c>
      <c r="M1197" s="61">
        <v>47.8</v>
      </c>
      <c r="N1197" s="61">
        <v>86</v>
      </c>
      <c r="O1197" s="85">
        <v>31.7</v>
      </c>
      <c r="P1197" s="105"/>
      <c r="Q1197" s="87">
        <f t="shared" si="111"/>
        <v>-2.5006739524243119E-3</v>
      </c>
      <c r="R1197" s="87">
        <f t="shared" si="115"/>
        <v>-9.1553502767573289E-4</v>
      </c>
      <c r="S1197" s="87">
        <f t="shared" si="115"/>
        <v>-1.6315118407491784E-3</v>
      </c>
      <c r="T1197" s="87">
        <f t="shared" si="115"/>
        <v>-3.6968618813262031E-3</v>
      </c>
      <c r="U1197" s="87">
        <f t="shared" si="115"/>
        <v>1.9830678180485495E-2</v>
      </c>
      <c r="V1197" s="87">
        <f t="shared" si="115"/>
        <v>2.8801990903706182E-2</v>
      </c>
      <c r="W1197" s="87">
        <f t="shared" si="115"/>
        <v>-1.5666116744399463E-2</v>
      </c>
      <c r="X1197" s="87">
        <f t="shared" si="115"/>
        <v>0</v>
      </c>
      <c r="Y1197" s="87">
        <f t="shared" si="115"/>
        <v>6.6445427186685108E-3</v>
      </c>
      <c r="Z1197" s="87">
        <f t="shared" si="114"/>
        <v>0</v>
      </c>
      <c r="AA1197" s="87">
        <f t="shared" si="114"/>
        <v>-8.3857933762739589E-3</v>
      </c>
      <c r="AB1197" s="87">
        <f t="shared" si="114"/>
        <v>2.0942416031146851E-3</v>
      </c>
      <c r="AC1197" s="87">
        <f t="shared" si="114"/>
        <v>-1.1621151801772627E-3</v>
      </c>
      <c r="AD1197" s="87">
        <f t="shared" si="113"/>
        <v>3.1595602903685179E-3</v>
      </c>
      <c r="AE1197" s="90">
        <f t="shared" si="112"/>
        <v>5.302323072128929E-3</v>
      </c>
    </row>
    <row r="1198" spans="1:31" ht="15.5" x14ac:dyDescent="0.35">
      <c r="A1198" s="82">
        <v>41505</v>
      </c>
      <c r="B1198" s="83">
        <v>9385.9</v>
      </c>
      <c r="C1198" s="84">
        <v>3589.1</v>
      </c>
      <c r="D1198" s="61">
        <v>429.2</v>
      </c>
      <c r="E1198" s="61">
        <v>26.9</v>
      </c>
      <c r="F1198" s="61">
        <v>72</v>
      </c>
      <c r="G1198" s="61">
        <v>31.4</v>
      </c>
      <c r="H1198" s="61">
        <v>18.5</v>
      </c>
      <c r="I1198" s="61">
        <v>18.3</v>
      </c>
      <c r="J1198" s="61">
        <v>30</v>
      </c>
      <c r="K1198" s="61">
        <v>13</v>
      </c>
      <c r="L1198" s="61">
        <v>47.5</v>
      </c>
      <c r="M1198" s="61">
        <v>47.6</v>
      </c>
      <c r="N1198" s="61">
        <v>85.5</v>
      </c>
      <c r="O1198" s="85">
        <v>31.8</v>
      </c>
      <c r="P1198" s="105"/>
      <c r="Q1198" s="87">
        <f t="shared" si="111"/>
        <v>-8.4556109445979629E-3</v>
      </c>
      <c r="R1198" s="87">
        <f t="shared" si="115"/>
        <v>-3.8098462356834931E-3</v>
      </c>
      <c r="S1198" s="87">
        <f t="shared" si="115"/>
        <v>1.1656371526119617E-3</v>
      </c>
      <c r="T1198" s="87">
        <f t="shared" si="115"/>
        <v>-3.710579396535713E-3</v>
      </c>
      <c r="U1198" s="87">
        <f t="shared" si="115"/>
        <v>9.7697915958050302E-3</v>
      </c>
      <c r="V1198" s="87">
        <f t="shared" si="115"/>
        <v>-9.5087879690273006E-3</v>
      </c>
      <c r="W1198" s="87">
        <f t="shared" si="115"/>
        <v>-2.6668247082161294E-2</v>
      </c>
      <c r="X1198" s="87">
        <f t="shared" si="115"/>
        <v>-1.6260520871780291E-2</v>
      </c>
      <c r="Y1198" s="87">
        <f t="shared" si="115"/>
        <v>-6.6445427186685013E-3</v>
      </c>
      <c r="Z1198" s="87">
        <f t="shared" si="114"/>
        <v>-1.5267472130788421E-2</v>
      </c>
      <c r="AA1198" s="87">
        <f t="shared" si="114"/>
        <v>0</v>
      </c>
      <c r="AB1198" s="87">
        <f t="shared" si="114"/>
        <v>-4.1928782600359274E-3</v>
      </c>
      <c r="AC1198" s="87">
        <f t="shared" si="114"/>
        <v>-5.8309203107932096E-3</v>
      </c>
      <c r="AD1198" s="87">
        <f t="shared" si="113"/>
        <v>3.1496089028962013E-3</v>
      </c>
      <c r="AE1198" s="90">
        <f t="shared" si="112"/>
        <v>2.3756544110517617E-3</v>
      </c>
    </row>
    <row r="1199" spans="1:31" ht="15.5" x14ac:dyDescent="0.35">
      <c r="A1199" s="82">
        <v>41506</v>
      </c>
      <c r="B1199" s="83">
        <v>9421.6</v>
      </c>
      <c r="C1199" s="84">
        <v>3613.6</v>
      </c>
      <c r="D1199" s="61">
        <v>432.2</v>
      </c>
      <c r="E1199" s="61">
        <v>26.9</v>
      </c>
      <c r="F1199" s="61">
        <v>71.599999999999994</v>
      </c>
      <c r="G1199" s="61">
        <v>31.4</v>
      </c>
      <c r="H1199" s="61">
        <v>18.5</v>
      </c>
      <c r="I1199" s="61">
        <v>18.3</v>
      </c>
      <c r="J1199" s="61">
        <v>29.8</v>
      </c>
      <c r="K1199" s="61">
        <v>12.8</v>
      </c>
      <c r="L1199" s="61">
        <v>47.6</v>
      </c>
      <c r="M1199" s="61">
        <v>47.1</v>
      </c>
      <c r="N1199" s="61">
        <v>85.6</v>
      </c>
      <c r="O1199" s="85">
        <v>32.200000000000003</v>
      </c>
      <c r="P1199" s="105"/>
      <c r="Q1199" s="87">
        <f t="shared" si="111"/>
        <v>3.7963623955106192E-3</v>
      </c>
      <c r="R1199" s="87">
        <f t="shared" si="115"/>
        <v>6.803030666490145E-3</v>
      </c>
      <c r="S1199" s="87">
        <f t="shared" si="115"/>
        <v>6.965433316242115E-3</v>
      </c>
      <c r="T1199" s="87">
        <f t="shared" si="115"/>
        <v>0</v>
      </c>
      <c r="U1199" s="87">
        <f t="shared" si="115"/>
        <v>-5.571045049455472E-3</v>
      </c>
      <c r="V1199" s="87">
        <f t="shared" si="115"/>
        <v>0</v>
      </c>
      <c r="W1199" s="87">
        <f t="shared" si="115"/>
        <v>0</v>
      </c>
      <c r="X1199" s="87">
        <f t="shared" si="115"/>
        <v>0</v>
      </c>
      <c r="Y1199" s="87">
        <f t="shared" si="115"/>
        <v>-6.6889881507965401E-3</v>
      </c>
      <c r="Z1199" s="87">
        <f t="shared" si="114"/>
        <v>-1.5504186535965199E-2</v>
      </c>
      <c r="AA1199" s="87">
        <f t="shared" si="114"/>
        <v>2.10305019677889E-3</v>
      </c>
      <c r="AB1199" s="87">
        <f t="shared" si="114"/>
        <v>-1.0559760215002217E-2</v>
      </c>
      <c r="AC1199" s="87">
        <f t="shared" si="114"/>
        <v>1.16890720498174E-3</v>
      </c>
      <c r="AD1199" s="87">
        <f t="shared" si="113"/>
        <v>1.2500162764231468E-2</v>
      </c>
      <c r="AE1199" s="90">
        <f t="shared" si="112"/>
        <v>4.00482290196258E-3</v>
      </c>
    </row>
    <row r="1200" spans="1:31" ht="15.5" x14ac:dyDescent="0.35">
      <c r="A1200" s="82">
        <v>41507</v>
      </c>
      <c r="B1200" s="83">
        <v>9339.4</v>
      </c>
      <c r="C1200" s="84">
        <v>3599.8</v>
      </c>
      <c r="D1200" s="61">
        <v>433.7</v>
      </c>
      <c r="E1200" s="61">
        <v>27</v>
      </c>
      <c r="F1200" s="61">
        <v>71.599999999999994</v>
      </c>
      <c r="G1200" s="61">
        <v>31.5</v>
      </c>
      <c r="H1200" s="61">
        <v>18.3</v>
      </c>
      <c r="I1200" s="61">
        <v>18.5</v>
      </c>
      <c r="J1200" s="61">
        <v>29.2</v>
      </c>
      <c r="K1200" s="61">
        <v>13.3</v>
      </c>
      <c r="L1200" s="61">
        <v>47.3</v>
      </c>
      <c r="M1200" s="61">
        <v>47.3</v>
      </c>
      <c r="N1200" s="61">
        <v>82</v>
      </c>
      <c r="O1200" s="85">
        <v>32</v>
      </c>
      <c r="P1200" s="105"/>
      <c r="Q1200" s="87">
        <f t="shared" si="111"/>
        <v>-8.7629151966103994E-3</v>
      </c>
      <c r="R1200" s="87">
        <f t="shared" si="115"/>
        <v>-3.8262169950155729E-3</v>
      </c>
      <c r="S1200" s="87">
        <f t="shared" si="115"/>
        <v>3.4646067685349682E-3</v>
      </c>
      <c r="T1200" s="87">
        <f t="shared" si="115"/>
        <v>3.7105793965357746E-3</v>
      </c>
      <c r="U1200" s="87">
        <f t="shared" si="115"/>
        <v>0</v>
      </c>
      <c r="V1200" s="87">
        <f t="shared" si="115"/>
        <v>3.1796529173798056E-3</v>
      </c>
      <c r="W1200" s="87">
        <f t="shared" si="115"/>
        <v>-1.0869672236903879E-2</v>
      </c>
      <c r="X1200" s="87">
        <f t="shared" si="115"/>
        <v>1.0869672236903891E-2</v>
      </c>
      <c r="Y1200" s="87">
        <f t="shared" si="115"/>
        <v>-2.0339684237122787E-2</v>
      </c>
      <c r="Z1200" s="87">
        <f t="shared" si="114"/>
        <v>3.8318864302136602E-2</v>
      </c>
      <c r="AA1200" s="87">
        <f t="shared" si="114"/>
        <v>-6.3224657394871263E-3</v>
      </c>
      <c r="AB1200" s="87">
        <f t="shared" si="114"/>
        <v>4.2372944755152174E-3</v>
      </c>
      <c r="AC1200" s="87">
        <f t="shared" si="114"/>
        <v>-4.2966035883443249E-2</v>
      </c>
      <c r="AD1200" s="87">
        <f t="shared" si="113"/>
        <v>-6.2305497506361975E-3</v>
      </c>
      <c r="AE1200" s="90">
        <f t="shared" si="112"/>
        <v>-8.8990194916249341E-4</v>
      </c>
    </row>
    <row r="1201" spans="1:31" ht="15.5" x14ac:dyDescent="0.35">
      <c r="A1201" s="82">
        <v>41508</v>
      </c>
      <c r="B1201" s="83">
        <v>9425.7999999999993</v>
      </c>
      <c r="C1201" s="84">
        <v>3638.7</v>
      </c>
      <c r="D1201" s="61">
        <v>435.6</v>
      </c>
      <c r="E1201" s="61">
        <v>27.4</v>
      </c>
      <c r="F1201" s="61">
        <v>71.2</v>
      </c>
      <c r="G1201" s="61">
        <v>32.1</v>
      </c>
      <c r="H1201" s="61">
        <v>18.100000000000001</v>
      </c>
      <c r="I1201" s="61">
        <v>18.600000000000001</v>
      </c>
      <c r="J1201" s="61">
        <v>29.3</v>
      </c>
      <c r="K1201" s="61">
        <v>13</v>
      </c>
      <c r="L1201" s="61">
        <v>47.4</v>
      </c>
      <c r="M1201" s="61">
        <v>48</v>
      </c>
      <c r="N1201" s="61">
        <v>82.2</v>
      </c>
      <c r="O1201" s="85">
        <v>32</v>
      </c>
      <c r="P1201" s="105"/>
      <c r="Q1201" s="87">
        <f t="shared" si="111"/>
        <v>9.2086000199304366E-3</v>
      </c>
      <c r="R1201" s="87">
        <f t="shared" si="115"/>
        <v>1.0748186637565778E-2</v>
      </c>
      <c r="S1201" s="87">
        <f t="shared" si="115"/>
        <v>4.3713402174850296E-3</v>
      </c>
      <c r="T1201" s="87">
        <f t="shared" si="115"/>
        <v>1.4706147389695487E-2</v>
      </c>
      <c r="U1201" s="87">
        <f t="shared" si="115"/>
        <v>-5.6022555486696752E-3</v>
      </c>
      <c r="V1201" s="87">
        <f t="shared" si="115"/>
        <v>1.8868484304382954E-2</v>
      </c>
      <c r="W1201" s="87">
        <f t="shared" si="115"/>
        <v>-1.0989121575595206E-2</v>
      </c>
      <c r="X1201" s="87">
        <f t="shared" si="115"/>
        <v>5.3908486348765933E-3</v>
      </c>
      <c r="Y1201" s="87">
        <f t="shared" si="115"/>
        <v>3.4188067487856823E-3</v>
      </c>
      <c r="Z1201" s="87">
        <f t="shared" si="114"/>
        <v>-2.2814677766171399E-2</v>
      </c>
      <c r="AA1201" s="87">
        <f t="shared" si="114"/>
        <v>2.1119332031435513E-3</v>
      </c>
      <c r="AB1201" s="87">
        <f t="shared" si="114"/>
        <v>1.469071541000381E-2</v>
      </c>
      <c r="AC1201" s="87">
        <f t="shared" si="114"/>
        <v>2.436054797881121E-3</v>
      </c>
      <c r="AD1201" s="87">
        <f t="shared" si="113"/>
        <v>0</v>
      </c>
      <c r="AE1201" s="90">
        <f t="shared" si="112"/>
        <v>2.8996223964627287E-3</v>
      </c>
    </row>
    <row r="1202" spans="1:31" ht="15.5" x14ac:dyDescent="0.35">
      <c r="A1202" s="82">
        <v>41509</v>
      </c>
      <c r="B1202" s="83">
        <v>9474.7999999999993</v>
      </c>
      <c r="C1202" s="84">
        <v>3657.8</v>
      </c>
      <c r="D1202" s="61">
        <v>435.3</v>
      </c>
      <c r="E1202" s="61">
        <v>27.8</v>
      </c>
      <c r="F1202" s="61">
        <v>71.3</v>
      </c>
      <c r="G1202" s="61">
        <v>34</v>
      </c>
      <c r="H1202" s="61">
        <v>18.3</v>
      </c>
      <c r="I1202" s="61">
        <v>18.7</v>
      </c>
      <c r="J1202" s="61">
        <v>29.7</v>
      </c>
      <c r="K1202" s="61">
        <v>13.2</v>
      </c>
      <c r="L1202" s="61">
        <v>47.5</v>
      </c>
      <c r="M1202" s="61">
        <v>48.1</v>
      </c>
      <c r="N1202" s="61">
        <v>83.1</v>
      </c>
      <c r="O1202" s="85">
        <v>32</v>
      </c>
      <c r="P1202" s="105"/>
      <c r="Q1202" s="87">
        <f t="shared" si="111"/>
        <v>5.1850321977679062E-3</v>
      </c>
      <c r="R1202" s="87">
        <f t="shared" si="115"/>
        <v>5.2353987875309402E-3</v>
      </c>
      <c r="S1202" s="87">
        <f t="shared" si="115"/>
        <v>-6.8894250055353103E-4</v>
      </c>
      <c r="T1202" s="87">
        <f t="shared" si="115"/>
        <v>1.4493007302566824E-2</v>
      </c>
      <c r="U1202" s="87">
        <f t="shared" si="115"/>
        <v>1.4035090023200904E-3</v>
      </c>
      <c r="V1202" s="87">
        <f t="shared" si="115"/>
        <v>5.7504494480191112E-2</v>
      </c>
      <c r="W1202" s="87">
        <f t="shared" si="115"/>
        <v>1.0989121575595165E-2</v>
      </c>
      <c r="X1202" s="87">
        <f t="shared" si="115"/>
        <v>5.3619431413853731E-3</v>
      </c>
      <c r="Y1202" s="87">
        <f t="shared" si="115"/>
        <v>1.3559529785632294E-2</v>
      </c>
      <c r="Z1202" s="87">
        <f t="shared" si="114"/>
        <v>1.5267472130788381E-2</v>
      </c>
      <c r="AA1202" s="87">
        <f t="shared" si="114"/>
        <v>2.1074823395647994E-3</v>
      </c>
      <c r="AB1202" s="87">
        <f t="shared" si="114"/>
        <v>2.0811662038246709E-3</v>
      </c>
      <c r="AC1202" s="87">
        <f t="shared" si="114"/>
        <v>1.0889399799268097E-2</v>
      </c>
      <c r="AD1202" s="87">
        <f t="shared" si="113"/>
        <v>0</v>
      </c>
      <c r="AE1202" s="90">
        <f t="shared" si="112"/>
        <v>1.7689230092455587E-3</v>
      </c>
    </row>
    <row r="1203" spans="1:31" ht="15.5" x14ac:dyDescent="0.35">
      <c r="A1203" s="82">
        <v>41512</v>
      </c>
      <c r="B1203" s="83">
        <v>9432.5</v>
      </c>
      <c r="C1203" s="84">
        <v>3657.6</v>
      </c>
      <c r="D1203" s="61">
        <v>433.5</v>
      </c>
      <c r="E1203" s="61">
        <v>27.7</v>
      </c>
      <c r="F1203" s="61">
        <v>71.5</v>
      </c>
      <c r="G1203" s="61">
        <v>34</v>
      </c>
      <c r="H1203" s="61">
        <v>18.399999999999999</v>
      </c>
      <c r="I1203" s="61">
        <v>18.600000000000001</v>
      </c>
      <c r="J1203" s="61">
        <v>30.4</v>
      </c>
      <c r="K1203" s="61">
        <v>13.3</v>
      </c>
      <c r="L1203" s="61">
        <v>47.5</v>
      </c>
      <c r="M1203" s="61">
        <v>47.9</v>
      </c>
      <c r="N1203" s="61">
        <v>83.6</v>
      </c>
      <c r="O1203" s="85">
        <v>32</v>
      </c>
      <c r="P1203" s="105"/>
      <c r="Q1203" s="87">
        <f t="shared" si="111"/>
        <v>-4.4744697099611715E-3</v>
      </c>
      <c r="R1203" s="87">
        <f t="shared" si="115"/>
        <v>-5.4679169983932179E-5</v>
      </c>
      <c r="S1203" s="87">
        <f t="shared" si="115"/>
        <v>-4.1436523376553692E-3</v>
      </c>
      <c r="T1203" s="87">
        <f t="shared" si="115"/>
        <v>-3.6036075032986558E-3</v>
      </c>
      <c r="U1203" s="87">
        <f t="shared" si="115"/>
        <v>2.8011222797117733E-3</v>
      </c>
      <c r="V1203" s="87">
        <f t="shared" si="115"/>
        <v>0</v>
      </c>
      <c r="W1203" s="87">
        <f t="shared" si="115"/>
        <v>5.4496047675644645E-3</v>
      </c>
      <c r="X1203" s="87">
        <f t="shared" si="115"/>
        <v>-5.3619431413852872E-3</v>
      </c>
      <c r="Y1203" s="87">
        <f t="shared" si="115"/>
        <v>2.3295562603522082E-2</v>
      </c>
      <c r="Z1203" s="87">
        <f t="shared" si="114"/>
        <v>7.5472056353831241E-3</v>
      </c>
      <c r="AA1203" s="87">
        <f t="shared" si="114"/>
        <v>0</v>
      </c>
      <c r="AB1203" s="87">
        <f t="shared" si="114"/>
        <v>-4.1666726948460572E-3</v>
      </c>
      <c r="AC1203" s="87">
        <f t="shared" si="114"/>
        <v>5.998818229253443E-3</v>
      </c>
      <c r="AD1203" s="87">
        <f t="shared" si="113"/>
        <v>0</v>
      </c>
      <c r="AE1203" s="90">
        <f t="shared" si="112"/>
        <v>-4.2855369650421685E-4</v>
      </c>
    </row>
    <row r="1204" spans="1:31" ht="15.5" x14ac:dyDescent="0.35">
      <c r="A1204" s="82">
        <v>41513</v>
      </c>
      <c r="B1204" s="83">
        <v>9288.2000000000007</v>
      </c>
      <c r="C1204" s="84">
        <v>3578.5</v>
      </c>
      <c r="D1204" s="61">
        <v>424.4</v>
      </c>
      <c r="E1204" s="61">
        <v>26.8</v>
      </c>
      <c r="F1204" s="61">
        <v>69.5</v>
      </c>
      <c r="G1204" s="61">
        <v>33.200000000000003</v>
      </c>
      <c r="H1204" s="61">
        <v>18.600000000000001</v>
      </c>
      <c r="I1204" s="61">
        <v>18.3</v>
      </c>
      <c r="J1204" s="61">
        <v>29.8</v>
      </c>
      <c r="K1204" s="61">
        <v>13.1</v>
      </c>
      <c r="L1204" s="61">
        <v>46.9</v>
      </c>
      <c r="M1204" s="61">
        <v>45.8</v>
      </c>
      <c r="N1204" s="61">
        <v>82.5</v>
      </c>
      <c r="O1204" s="85">
        <v>31.4</v>
      </c>
      <c r="P1204" s="105"/>
      <c r="Q1204" s="87">
        <f t="shared" si="111"/>
        <v>-1.5416395531505211E-2</v>
      </c>
      <c r="R1204" s="87">
        <f t="shared" si="115"/>
        <v>-2.1863476421839296E-2</v>
      </c>
      <c r="S1204" s="87">
        <f t="shared" si="115"/>
        <v>-2.1215389480768537E-2</v>
      </c>
      <c r="T1204" s="87">
        <f t="shared" si="115"/>
        <v>-3.3030525676481723E-2</v>
      </c>
      <c r="U1204" s="87">
        <f t="shared" si="115"/>
        <v>-2.8370697129215576E-2</v>
      </c>
      <c r="V1204" s="87">
        <f t="shared" si="115"/>
        <v>-2.3810648693718447E-2</v>
      </c>
      <c r="W1204" s="87">
        <f t="shared" si="115"/>
        <v>1.0810916104215676E-2</v>
      </c>
      <c r="X1204" s="87">
        <f t="shared" si="115"/>
        <v>-1.6260520871780291E-2</v>
      </c>
      <c r="Y1204" s="87">
        <f t="shared" si="115"/>
        <v>-1.9934214900817138E-2</v>
      </c>
      <c r="Z1204" s="87">
        <f t="shared" si="114"/>
        <v>-1.5151805020602333E-2</v>
      </c>
      <c r="AA1204" s="87">
        <f t="shared" si="114"/>
        <v>-1.2712035588361861E-2</v>
      </c>
      <c r="AB1204" s="87">
        <f t="shared" si="114"/>
        <v>-4.4831413296730259E-2</v>
      </c>
      <c r="AC1204" s="87">
        <f t="shared" si="114"/>
        <v>-1.3245226750020567E-2</v>
      </c>
      <c r="AD1204" s="87">
        <f t="shared" si="113"/>
        <v>-1.8928009885518911E-2</v>
      </c>
      <c r="AE1204" s="90">
        <f t="shared" si="112"/>
        <v>-2.3177606555685674E-2</v>
      </c>
    </row>
    <row r="1205" spans="1:31" ht="15.5" x14ac:dyDescent="0.35">
      <c r="A1205" s="82">
        <v>41514</v>
      </c>
      <c r="B1205" s="83">
        <v>9309.1</v>
      </c>
      <c r="C1205" s="84">
        <v>3593.4</v>
      </c>
      <c r="D1205" s="61">
        <v>424.3</v>
      </c>
      <c r="E1205" s="61">
        <v>26.8</v>
      </c>
      <c r="F1205" s="61">
        <v>69.400000000000006</v>
      </c>
      <c r="G1205" s="61">
        <v>33</v>
      </c>
      <c r="H1205" s="61">
        <v>18.399999999999999</v>
      </c>
      <c r="I1205" s="61">
        <v>18.8</v>
      </c>
      <c r="J1205" s="61">
        <v>29.6</v>
      </c>
      <c r="K1205" s="61">
        <v>12.7</v>
      </c>
      <c r="L1205" s="61">
        <v>46.5</v>
      </c>
      <c r="M1205" s="61">
        <v>45.5</v>
      </c>
      <c r="N1205" s="61">
        <v>81.900000000000006</v>
      </c>
      <c r="O1205" s="85">
        <v>31.3</v>
      </c>
      <c r="P1205" s="105"/>
      <c r="Q1205" s="87">
        <f t="shared" si="111"/>
        <v>2.2476390442366734E-3</v>
      </c>
      <c r="R1205" s="87">
        <f t="shared" si="115"/>
        <v>4.1551113198195081E-3</v>
      </c>
      <c r="S1205" s="87">
        <f t="shared" si="115"/>
        <v>-2.3565453154882608E-4</v>
      </c>
      <c r="T1205" s="87">
        <f t="shared" si="115"/>
        <v>0</v>
      </c>
      <c r="U1205" s="87">
        <f t="shared" si="115"/>
        <v>-1.4398850579875322E-3</v>
      </c>
      <c r="V1205" s="87">
        <f t="shared" si="115"/>
        <v>-6.0423144559626982E-3</v>
      </c>
      <c r="W1205" s="87">
        <f t="shared" si="115"/>
        <v>-1.081091610421573E-2</v>
      </c>
      <c r="X1205" s="87">
        <f t="shared" si="115"/>
        <v>2.6955809988528295E-2</v>
      </c>
      <c r="Y1205" s="87">
        <f t="shared" si="115"/>
        <v>-6.7340321813440683E-3</v>
      </c>
      <c r="Z1205" s="87">
        <f t="shared" si="114"/>
        <v>-3.1010236742560322E-2</v>
      </c>
      <c r="AA1205" s="87">
        <f t="shared" si="114"/>
        <v>-8.5653628589230455E-3</v>
      </c>
      <c r="AB1205" s="87">
        <f t="shared" si="114"/>
        <v>-6.5717651632345017E-3</v>
      </c>
      <c r="AC1205" s="87">
        <f t="shared" si="114"/>
        <v>-7.299302481611496E-3</v>
      </c>
      <c r="AD1205" s="87">
        <f t="shared" si="113"/>
        <v>-3.1897953681000379E-3</v>
      </c>
      <c r="AE1205" s="90">
        <f t="shared" si="112"/>
        <v>3.7706393139607508E-4</v>
      </c>
    </row>
    <row r="1206" spans="1:31" ht="15.5" x14ac:dyDescent="0.35">
      <c r="A1206" s="82">
        <v>41515</v>
      </c>
      <c r="B1206" s="83">
        <v>9315.7999999999993</v>
      </c>
      <c r="C1206" s="84">
        <v>3620.3</v>
      </c>
      <c r="D1206" s="61">
        <v>424.7</v>
      </c>
      <c r="E1206" s="61">
        <v>27</v>
      </c>
      <c r="F1206" s="61">
        <v>70.2</v>
      </c>
      <c r="G1206" s="61">
        <v>32.799999999999997</v>
      </c>
      <c r="H1206" s="61">
        <v>18.5</v>
      </c>
      <c r="I1206" s="61">
        <v>19.600000000000001</v>
      </c>
      <c r="J1206" s="61">
        <v>29.6</v>
      </c>
      <c r="K1206" s="61">
        <v>12.3</v>
      </c>
      <c r="L1206" s="61">
        <v>46.8</v>
      </c>
      <c r="M1206" s="61">
        <v>45.9</v>
      </c>
      <c r="N1206" s="61">
        <v>82</v>
      </c>
      <c r="O1206" s="85">
        <v>31.4</v>
      </c>
      <c r="P1206" s="105"/>
      <c r="Q1206" s="87">
        <f t="shared" si="111"/>
        <v>7.1946698119290512E-4</v>
      </c>
      <c r="R1206" s="87">
        <f t="shared" si="115"/>
        <v>7.4580658157505008E-3</v>
      </c>
      <c r="S1206" s="87">
        <f t="shared" si="115"/>
        <v>9.4228511094618969E-4</v>
      </c>
      <c r="T1206" s="87">
        <f t="shared" si="115"/>
        <v>7.4349784875179905E-3</v>
      </c>
      <c r="U1206" s="87">
        <f t="shared" si="115"/>
        <v>1.1461443519006598E-2</v>
      </c>
      <c r="V1206" s="87">
        <f t="shared" si="115"/>
        <v>-6.0790460763822263E-3</v>
      </c>
      <c r="W1206" s="87">
        <f t="shared" si="115"/>
        <v>5.4200674693393345E-3</v>
      </c>
      <c r="X1206" s="87">
        <f t="shared" si="115"/>
        <v>4.1672696400568081E-2</v>
      </c>
      <c r="Y1206" s="87">
        <f t="shared" si="115"/>
        <v>0</v>
      </c>
      <c r="Z1206" s="87">
        <f t="shared" si="114"/>
        <v>-3.200273108617372E-2</v>
      </c>
      <c r="AA1206" s="87">
        <f t="shared" si="114"/>
        <v>6.4308903302903314E-3</v>
      </c>
      <c r="AB1206" s="87">
        <f t="shared" si="114"/>
        <v>8.7527911095947077E-3</v>
      </c>
      <c r="AC1206" s="87">
        <f t="shared" si="114"/>
        <v>1.220256405229369E-3</v>
      </c>
      <c r="AD1206" s="87">
        <f t="shared" si="113"/>
        <v>3.1897953681000808E-3</v>
      </c>
      <c r="AE1206" s="90">
        <f t="shared" si="112"/>
        <v>6.1763983818538155E-3</v>
      </c>
    </row>
    <row r="1207" spans="1:31" ht="15.5" x14ac:dyDescent="0.35">
      <c r="A1207" s="82">
        <v>41516</v>
      </c>
      <c r="B1207" s="83">
        <v>9270.7000000000007</v>
      </c>
      <c r="C1207" s="84">
        <v>3589.9</v>
      </c>
      <c r="D1207" s="61">
        <v>423.2</v>
      </c>
      <c r="E1207" s="61">
        <v>26.8</v>
      </c>
      <c r="F1207" s="61">
        <v>69.5</v>
      </c>
      <c r="G1207" s="61">
        <v>33.1</v>
      </c>
      <c r="H1207" s="61">
        <v>18.3</v>
      </c>
      <c r="I1207" s="61">
        <v>19.899999999999999</v>
      </c>
      <c r="J1207" s="61">
        <v>29.6</v>
      </c>
      <c r="K1207" s="61">
        <v>12.1</v>
      </c>
      <c r="L1207" s="61">
        <v>47</v>
      </c>
      <c r="M1207" s="61">
        <v>46</v>
      </c>
      <c r="N1207" s="61">
        <v>80.5</v>
      </c>
      <c r="O1207" s="85">
        <v>31.3</v>
      </c>
      <c r="P1207" s="105"/>
      <c r="Q1207" s="87">
        <f t="shared" si="111"/>
        <v>-4.8529942177979197E-3</v>
      </c>
      <c r="R1207" s="87">
        <f t="shared" si="115"/>
        <v>-8.4325483730629102E-3</v>
      </c>
      <c r="S1207" s="87">
        <f t="shared" si="115"/>
        <v>-3.5381567751358936E-3</v>
      </c>
      <c r="T1207" s="87">
        <f t="shared" si="115"/>
        <v>-7.4349784875180902E-3</v>
      </c>
      <c r="U1207" s="87">
        <f t="shared" si="115"/>
        <v>-1.002155846101899E-2</v>
      </c>
      <c r="V1207" s="87">
        <f t="shared" si="115"/>
        <v>9.104766992919287E-3</v>
      </c>
      <c r="W1207" s="87">
        <f t="shared" si="115"/>
        <v>-1.0869672236903879E-2</v>
      </c>
      <c r="X1207" s="87">
        <f t="shared" si="115"/>
        <v>1.5190165493975019E-2</v>
      </c>
      <c r="Y1207" s="87">
        <f t="shared" si="115"/>
        <v>0</v>
      </c>
      <c r="Z1207" s="87">
        <f t="shared" si="114"/>
        <v>-1.6393809775676497E-2</v>
      </c>
      <c r="AA1207" s="87">
        <f t="shared" si="114"/>
        <v>4.264398786457518E-3</v>
      </c>
      <c r="AB1207" s="87">
        <f t="shared" si="114"/>
        <v>2.17627942259567E-3</v>
      </c>
      <c r="AC1207" s="87">
        <f t="shared" si="114"/>
        <v>-1.8462062839735442E-2</v>
      </c>
      <c r="AD1207" s="87">
        <f t="shared" si="113"/>
        <v>-3.1897953681000379E-3</v>
      </c>
      <c r="AE1207" s="90">
        <f t="shared" si="112"/>
        <v>-6.8167575048962417E-3</v>
      </c>
    </row>
    <row r="1208" spans="1:31" ht="15.5" x14ac:dyDescent="0.35">
      <c r="A1208" s="82">
        <v>41520</v>
      </c>
      <c r="B1208" s="83">
        <v>9333.5</v>
      </c>
      <c r="C1208" s="84">
        <v>3612.6</v>
      </c>
      <c r="D1208" s="61">
        <v>427.4</v>
      </c>
      <c r="E1208" s="61">
        <v>27.4</v>
      </c>
      <c r="F1208" s="61">
        <v>69.599999999999994</v>
      </c>
      <c r="G1208" s="61">
        <v>31.3</v>
      </c>
      <c r="H1208" s="61">
        <v>18.5</v>
      </c>
      <c r="I1208" s="61">
        <v>20.100000000000001</v>
      </c>
      <c r="J1208" s="61">
        <v>29.5</v>
      </c>
      <c r="K1208" s="61">
        <v>12.5</v>
      </c>
      <c r="L1208" s="61">
        <v>47</v>
      </c>
      <c r="M1208" s="61">
        <v>46.6</v>
      </c>
      <c r="N1208" s="61">
        <v>80.599999999999994</v>
      </c>
      <c r="O1208" s="85">
        <v>31.8</v>
      </c>
      <c r="P1208" s="105"/>
      <c r="Q1208" s="87">
        <f t="shared" si="111"/>
        <v>6.7511893580592128E-3</v>
      </c>
      <c r="R1208" s="87">
        <f t="shared" si="115"/>
        <v>6.3033877572978118E-3</v>
      </c>
      <c r="S1208" s="87">
        <f t="shared" si="115"/>
        <v>9.8754623409575484E-3</v>
      </c>
      <c r="T1208" s="87">
        <f t="shared" si="115"/>
        <v>2.2141125877213501E-2</v>
      </c>
      <c r="U1208" s="87">
        <f t="shared" si="115"/>
        <v>1.4378147696274175E-3</v>
      </c>
      <c r="V1208" s="87">
        <f t="shared" si="115"/>
        <v>-5.5915184836909673E-2</v>
      </c>
      <c r="W1208" s="87">
        <f t="shared" si="115"/>
        <v>1.0869672236903891E-2</v>
      </c>
      <c r="X1208" s="87">
        <f t="shared" si="115"/>
        <v>1.0000083334583399E-2</v>
      </c>
      <c r="Y1208" s="87">
        <f t="shared" si="115"/>
        <v>-3.3840979842405684E-3</v>
      </c>
      <c r="Z1208" s="87">
        <f t="shared" si="114"/>
        <v>3.2523191705560145E-2</v>
      </c>
      <c r="AA1208" s="87">
        <f t="shared" si="114"/>
        <v>0</v>
      </c>
      <c r="AB1208" s="87">
        <f t="shared" si="114"/>
        <v>1.2959144642505116E-2</v>
      </c>
      <c r="AC1208" s="87">
        <f t="shared" si="114"/>
        <v>1.2414650880649455E-3</v>
      </c>
      <c r="AD1208" s="87">
        <f t="shared" si="113"/>
        <v>1.5848192240023713E-2</v>
      </c>
      <c r="AE1208" s="90">
        <f t="shared" si="112"/>
        <v>7.1180613254791681E-3</v>
      </c>
    </row>
    <row r="1209" spans="1:31" ht="15.5" x14ac:dyDescent="0.35">
      <c r="A1209" s="82">
        <v>41521</v>
      </c>
      <c r="B1209" s="83">
        <v>9400.2000000000007</v>
      </c>
      <c r="C1209" s="84">
        <v>3649</v>
      </c>
      <c r="D1209" s="61">
        <v>428</v>
      </c>
      <c r="E1209" s="61">
        <v>27.6</v>
      </c>
      <c r="F1209" s="61">
        <v>70.900000000000006</v>
      </c>
      <c r="G1209" s="61">
        <v>31.1</v>
      </c>
      <c r="H1209" s="61">
        <v>18.5</v>
      </c>
      <c r="I1209" s="61">
        <v>20.2</v>
      </c>
      <c r="J1209" s="61">
        <v>29.6</v>
      </c>
      <c r="K1209" s="61">
        <v>13</v>
      </c>
      <c r="L1209" s="61">
        <v>47.1</v>
      </c>
      <c r="M1209" s="61">
        <v>47.5</v>
      </c>
      <c r="N1209" s="61">
        <v>80.7</v>
      </c>
      <c r="O1209" s="85">
        <v>32.200000000000003</v>
      </c>
      <c r="P1209" s="105"/>
      <c r="Q1209" s="87">
        <f t="shared" si="111"/>
        <v>7.1208871548448394E-3</v>
      </c>
      <c r="R1209" s="87">
        <f t="shared" si="115"/>
        <v>1.0025422737990503E-2</v>
      </c>
      <c r="S1209" s="87">
        <f t="shared" si="115"/>
        <v>1.4028526967496337E-3</v>
      </c>
      <c r="T1209" s="87">
        <f t="shared" si="115"/>
        <v>7.2727593290798781E-3</v>
      </c>
      <c r="U1209" s="87">
        <f t="shared" si="115"/>
        <v>1.8505866197707953E-2</v>
      </c>
      <c r="V1209" s="87">
        <f t="shared" si="115"/>
        <v>-6.4102783609190543E-3</v>
      </c>
      <c r="W1209" s="87">
        <f t="shared" si="115"/>
        <v>0</v>
      </c>
      <c r="X1209" s="87">
        <f t="shared" si="115"/>
        <v>4.962789342128876E-3</v>
      </c>
      <c r="Y1209" s="87">
        <f t="shared" si="115"/>
        <v>3.3840979842404942E-3</v>
      </c>
      <c r="Z1209" s="87">
        <f t="shared" si="114"/>
        <v>3.9220713153281329E-2</v>
      </c>
      <c r="AA1209" s="87">
        <f t="shared" si="114"/>
        <v>2.1253993123135366E-3</v>
      </c>
      <c r="AB1209" s="87">
        <f t="shared" si="114"/>
        <v>1.9129169908995391E-2</v>
      </c>
      <c r="AC1209" s="87">
        <f t="shared" si="114"/>
        <v>1.2399257633205734E-3</v>
      </c>
      <c r="AD1209" s="87">
        <f t="shared" si="113"/>
        <v>1.2500162764231468E-2</v>
      </c>
      <c r="AE1209" s="90">
        <f t="shared" si="112"/>
        <v>1.0226731013904528E-2</v>
      </c>
    </row>
    <row r="1210" spans="1:31" ht="15.5" x14ac:dyDescent="0.35">
      <c r="A1210" s="82">
        <v>41522</v>
      </c>
      <c r="B1210" s="83">
        <v>9420.2999999999993</v>
      </c>
      <c r="C1210" s="84">
        <v>3658.8</v>
      </c>
      <c r="D1210" s="61">
        <v>436.2</v>
      </c>
      <c r="E1210" s="61">
        <v>27.9</v>
      </c>
      <c r="F1210" s="61">
        <v>70.5</v>
      </c>
      <c r="G1210" s="61">
        <v>31</v>
      </c>
      <c r="H1210" s="61">
        <v>19.2</v>
      </c>
      <c r="I1210" s="61">
        <v>20.7</v>
      </c>
      <c r="J1210" s="61">
        <v>29.8</v>
      </c>
      <c r="K1210" s="61">
        <v>13.5</v>
      </c>
      <c r="L1210" s="61">
        <v>47.3</v>
      </c>
      <c r="M1210" s="61">
        <v>48.3</v>
      </c>
      <c r="N1210" s="61">
        <v>81.7</v>
      </c>
      <c r="O1210" s="85">
        <v>32.299999999999997</v>
      </c>
      <c r="P1210" s="105"/>
      <c r="Q1210" s="87">
        <f t="shared" si="111"/>
        <v>2.135969569560912E-3</v>
      </c>
      <c r="R1210" s="87">
        <f t="shared" si="115"/>
        <v>2.6820673457618074E-3</v>
      </c>
      <c r="S1210" s="87">
        <f t="shared" si="115"/>
        <v>1.8977658185731789E-2</v>
      </c>
      <c r="T1210" s="87">
        <f t="shared" si="115"/>
        <v>1.0810916104215456E-2</v>
      </c>
      <c r="U1210" s="87">
        <f t="shared" si="115"/>
        <v>-5.6577237198589493E-3</v>
      </c>
      <c r="V1210" s="87">
        <f t="shared" si="115"/>
        <v>-3.2206147000422834E-3</v>
      </c>
      <c r="W1210" s="87">
        <f t="shared" si="115"/>
        <v>3.7139546949456786E-2</v>
      </c>
      <c r="X1210" s="87">
        <f t="shared" si="115"/>
        <v>2.4451095864164336E-2</v>
      </c>
      <c r="Y1210" s="87">
        <f t="shared" si="115"/>
        <v>6.7340321813441194E-3</v>
      </c>
      <c r="Z1210" s="87">
        <f t="shared" si="114"/>
        <v>3.7740327982847113E-2</v>
      </c>
      <c r="AA1210" s="87">
        <f t="shared" si="114"/>
        <v>4.2372944755152174E-3</v>
      </c>
      <c r="AB1210" s="87">
        <f t="shared" si="114"/>
        <v>1.6701849617931353E-2</v>
      </c>
      <c r="AC1210" s="87">
        <f t="shared" si="114"/>
        <v>1.2315426590054052E-2</v>
      </c>
      <c r="AD1210" s="87">
        <f t="shared" si="113"/>
        <v>3.1007776782479642E-3</v>
      </c>
      <c r="AE1210" s="90">
        <f t="shared" si="112"/>
        <v>5.1190576533044017E-3</v>
      </c>
    </row>
    <row r="1211" spans="1:31" ht="15.5" x14ac:dyDescent="0.35">
      <c r="A1211" s="82">
        <v>41523</v>
      </c>
      <c r="B1211" s="83">
        <v>9439.7000000000007</v>
      </c>
      <c r="C1211" s="84">
        <v>3660</v>
      </c>
      <c r="D1211" s="61">
        <v>437.3</v>
      </c>
      <c r="E1211" s="61">
        <v>27.8</v>
      </c>
      <c r="F1211" s="61">
        <v>70</v>
      </c>
      <c r="G1211" s="61">
        <v>31.1</v>
      </c>
      <c r="H1211" s="61">
        <v>19.600000000000001</v>
      </c>
      <c r="I1211" s="61">
        <v>20.399999999999999</v>
      </c>
      <c r="J1211" s="61">
        <v>30.1</v>
      </c>
      <c r="K1211" s="61">
        <v>13.9</v>
      </c>
      <c r="L1211" s="61">
        <v>47.1</v>
      </c>
      <c r="M1211" s="61">
        <v>47.4</v>
      </c>
      <c r="N1211" s="61">
        <v>81.099999999999994</v>
      </c>
      <c r="O1211" s="85">
        <v>32.1</v>
      </c>
      <c r="P1211" s="105"/>
      <c r="Q1211" s="87">
        <f t="shared" si="111"/>
        <v>2.0572647764878975E-3</v>
      </c>
      <c r="R1211" s="87">
        <f t="shared" si="115"/>
        <v>3.2792261320255364E-4</v>
      </c>
      <c r="S1211" s="87">
        <f t="shared" si="115"/>
        <v>2.518604651346304E-3</v>
      </c>
      <c r="T1211" s="87">
        <f t="shared" si="115"/>
        <v>-3.5906681307284844E-3</v>
      </c>
      <c r="U1211" s="87">
        <f t="shared" si="115"/>
        <v>-7.1174677688639896E-3</v>
      </c>
      <c r="V1211" s="87">
        <f t="shared" si="115"/>
        <v>3.2206147000421572E-3</v>
      </c>
      <c r="W1211" s="87">
        <f t="shared" si="115"/>
        <v>2.0619287202735825E-2</v>
      </c>
      <c r="X1211" s="87">
        <f t="shared" si="115"/>
        <v>-1.4598799421152749E-2</v>
      </c>
      <c r="Y1211" s="87">
        <f t="shared" si="115"/>
        <v>1.0016778243471209E-2</v>
      </c>
      <c r="Z1211" s="87">
        <f t="shared" si="114"/>
        <v>2.919915469226235E-2</v>
      </c>
      <c r="AA1211" s="87">
        <f t="shared" si="114"/>
        <v>-4.237294475515155E-3</v>
      </c>
      <c r="AB1211" s="87">
        <f t="shared" si="114"/>
        <v>-1.8809331957496116E-2</v>
      </c>
      <c r="AC1211" s="87">
        <f t="shared" si="114"/>
        <v>-7.3710407445901046E-3</v>
      </c>
      <c r="AD1211" s="87">
        <f t="shared" si="113"/>
        <v>-6.2112000926405238E-3</v>
      </c>
      <c r="AE1211" s="90">
        <f t="shared" si="112"/>
        <v>-1.9544696537098045E-3</v>
      </c>
    </row>
    <row r="1212" spans="1:31" ht="15.5" x14ac:dyDescent="0.35">
      <c r="A1212" s="82">
        <v>41526</v>
      </c>
      <c r="B1212" s="83">
        <v>9539.9</v>
      </c>
      <c r="C1212" s="84">
        <v>3706.2</v>
      </c>
      <c r="D1212" s="61">
        <v>441.7</v>
      </c>
      <c r="E1212" s="61">
        <v>28.3</v>
      </c>
      <c r="F1212" s="61">
        <v>71.900000000000006</v>
      </c>
      <c r="G1212" s="61">
        <v>31.2</v>
      </c>
      <c r="H1212" s="61">
        <v>20</v>
      </c>
      <c r="I1212" s="61">
        <v>20.8</v>
      </c>
      <c r="J1212" s="61">
        <v>31.1</v>
      </c>
      <c r="K1212" s="61">
        <v>14.3</v>
      </c>
      <c r="L1212" s="61">
        <v>47.5</v>
      </c>
      <c r="M1212" s="61">
        <v>48</v>
      </c>
      <c r="N1212" s="61">
        <v>82.2</v>
      </c>
      <c r="O1212" s="85">
        <v>32.5</v>
      </c>
      <c r="P1212" s="105"/>
      <c r="Q1212" s="87">
        <f t="shared" si="111"/>
        <v>1.0558803233554806E-2</v>
      </c>
      <c r="R1212" s="87">
        <f t="shared" si="115"/>
        <v>1.2543945534496411E-2</v>
      </c>
      <c r="S1212" s="87">
        <f t="shared" si="115"/>
        <v>1.0011460183605762E-2</v>
      </c>
      <c r="T1212" s="87">
        <f t="shared" si="115"/>
        <v>1.7825783952600666E-2</v>
      </c>
      <c r="U1212" s="87">
        <f t="shared" si="115"/>
        <v>2.6781022677642007E-2</v>
      </c>
      <c r="V1212" s="87">
        <f t="shared" si="115"/>
        <v>3.2102756302481894E-3</v>
      </c>
      <c r="W1212" s="87">
        <f t="shared" si="115"/>
        <v>2.0202707317519469E-2</v>
      </c>
      <c r="X1212" s="87">
        <f t="shared" si="115"/>
        <v>1.9418085857101731E-2</v>
      </c>
      <c r="Y1212" s="87">
        <f t="shared" si="115"/>
        <v>3.2682647430358404E-2</v>
      </c>
      <c r="Z1212" s="87">
        <f t="shared" si="114"/>
        <v>2.8370697129215566E-2</v>
      </c>
      <c r="AA1212" s="87">
        <f t="shared" si="114"/>
        <v>8.4567100182234584E-3</v>
      </c>
      <c r="AB1212" s="87">
        <f t="shared" si="114"/>
        <v>1.2578782206860185E-2</v>
      </c>
      <c r="AC1212" s="87">
        <f t="shared" si="114"/>
        <v>1.347234094076712E-2</v>
      </c>
      <c r="AD1212" s="87">
        <f t="shared" si="113"/>
        <v>1.2384059199721622E-2</v>
      </c>
      <c r="AE1212" s="90">
        <f t="shared" si="112"/>
        <v>1.5854024775729142E-2</v>
      </c>
    </row>
    <row r="1213" spans="1:31" ht="15.5" x14ac:dyDescent="0.35">
      <c r="A1213" s="82">
        <v>41527</v>
      </c>
      <c r="B1213" s="83">
        <v>9620.7000000000007</v>
      </c>
      <c r="C1213" s="84">
        <v>3729</v>
      </c>
      <c r="D1213" s="61">
        <v>442.4</v>
      </c>
      <c r="E1213" s="61">
        <v>29.1</v>
      </c>
      <c r="F1213" s="61">
        <v>69.900000000000006</v>
      </c>
      <c r="G1213" s="61">
        <v>31.8</v>
      </c>
      <c r="H1213" s="61">
        <v>20.399999999999999</v>
      </c>
      <c r="I1213" s="61">
        <v>21.2</v>
      </c>
      <c r="J1213" s="61">
        <v>31.7</v>
      </c>
      <c r="K1213" s="61">
        <v>14</v>
      </c>
      <c r="L1213" s="61">
        <v>47.9</v>
      </c>
      <c r="M1213" s="61">
        <v>48.9</v>
      </c>
      <c r="N1213" s="61">
        <v>83</v>
      </c>
      <c r="O1213" s="85">
        <v>33</v>
      </c>
      <c r="P1213" s="105"/>
      <c r="Q1213" s="87">
        <f t="shared" si="111"/>
        <v>8.4340238781675271E-3</v>
      </c>
      <c r="R1213" s="87">
        <f t="shared" si="115"/>
        <v>6.1330082489124051E-3</v>
      </c>
      <c r="S1213" s="87">
        <f t="shared" si="115"/>
        <v>1.5835316056442201E-3</v>
      </c>
      <c r="T1213" s="87">
        <f t="shared" si="115"/>
        <v>2.7876369528254868E-2</v>
      </c>
      <c r="U1213" s="87">
        <f t="shared" si="115"/>
        <v>-2.8210615487236475E-2</v>
      </c>
      <c r="V1213" s="87">
        <f t="shared" si="115"/>
        <v>1.904819497069463E-2</v>
      </c>
      <c r="W1213" s="87">
        <f t="shared" si="115"/>
        <v>1.980262729617973E-2</v>
      </c>
      <c r="X1213" s="87">
        <f t="shared" si="115"/>
        <v>1.9048194970694411E-2</v>
      </c>
      <c r="Y1213" s="87">
        <f t="shared" si="115"/>
        <v>1.9108861698046507E-2</v>
      </c>
      <c r="Z1213" s="87">
        <f t="shared" si="114"/>
        <v>-2.1202207650603051E-2</v>
      </c>
      <c r="AA1213" s="87">
        <f t="shared" si="114"/>
        <v>8.3857933762739641E-3</v>
      </c>
      <c r="AB1213" s="87">
        <f t="shared" si="114"/>
        <v>1.8576385572935457E-2</v>
      </c>
      <c r="AC1213" s="87">
        <f t="shared" si="114"/>
        <v>9.6853057344636791E-3</v>
      </c>
      <c r="AD1213" s="87">
        <f t="shared" si="113"/>
        <v>1.5267472130788381E-2</v>
      </c>
      <c r="AE1213" s="90">
        <f t="shared" si="112"/>
        <v>-3.9088169421583061E-3</v>
      </c>
    </row>
    <row r="1214" spans="1:31" ht="15.5" x14ac:dyDescent="0.35">
      <c r="A1214" s="82">
        <v>41528</v>
      </c>
      <c r="B1214" s="83">
        <v>9655.4</v>
      </c>
      <c r="C1214" s="84">
        <v>3725</v>
      </c>
      <c r="D1214" s="61">
        <v>443.5</v>
      </c>
      <c r="E1214" s="61">
        <v>29</v>
      </c>
      <c r="F1214" s="61">
        <v>66.400000000000006</v>
      </c>
      <c r="G1214" s="61">
        <v>32.5</v>
      </c>
      <c r="H1214" s="61">
        <v>20.7</v>
      </c>
      <c r="I1214" s="61">
        <v>21.9</v>
      </c>
      <c r="J1214" s="61">
        <v>31.4</v>
      </c>
      <c r="K1214" s="61">
        <v>13.8</v>
      </c>
      <c r="L1214" s="61">
        <v>48</v>
      </c>
      <c r="M1214" s="61">
        <v>49.2</v>
      </c>
      <c r="N1214" s="61">
        <v>83.5</v>
      </c>
      <c r="O1214" s="85">
        <v>33.4</v>
      </c>
      <c r="P1214" s="105"/>
      <c r="Q1214" s="87">
        <f t="shared" si="111"/>
        <v>3.6003172304144865E-3</v>
      </c>
      <c r="R1214" s="87">
        <f t="shared" si="115"/>
        <v>-1.0732493651608784E-3</v>
      </c>
      <c r="S1214" s="87">
        <f t="shared" si="115"/>
        <v>2.4833515415092771E-3</v>
      </c>
      <c r="T1214" s="87">
        <f t="shared" si="115"/>
        <v>-3.4423441909729015E-3</v>
      </c>
      <c r="U1214" s="87">
        <f t="shared" si="115"/>
        <v>-5.1368592757376381E-2</v>
      </c>
      <c r="V1214" s="87">
        <f t="shared" si="115"/>
        <v>2.1773799549560536E-2</v>
      </c>
      <c r="W1214" s="87">
        <f t="shared" si="115"/>
        <v>1.4598799421152631E-2</v>
      </c>
      <c r="X1214" s="87">
        <f t="shared" si="115"/>
        <v>3.2485455144488307E-2</v>
      </c>
      <c r="Y1214" s="87">
        <f t="shared" si="115"/>
        <v>-9.5087879690273006E-3</v>
      </c>
      <c r="Z1214" s="87">
        <f t="shared" si="114"/>
        <v>-1.4388737452099556E-2</v>
      </c>
      <c r="AA1214" s="87">
        <f t="shared" si="114"/>
        <v>2.0855064910213611E-3</v>
      </c>
      <c r="AB1214" s="87">
        <f t="shared" si="114"/>
        <v>6.1162270174362739E-3</v>
      </c>
      <c r="AC1214" s="87">
        <f t="shared" si="114"/>
        <v>6.0060240602119487E-3</v>
      </c>
      <c r="AD1214" s="87">
        <f t="shared" si="113"/>
        <v>1.2048338516174355E-2</v>
      </c>
      <c r="AE1214" s="90">
        <f t="shared" si="112"/>
        <v>-1.2818493832328325E-2</v>
      </c>
    </row>
    <row r="1215" spans="1:31" ht="15.5" x14ac:dyDescent="0.35">
      <c r="A1215" s="82">
        <v>41529</v>
      </c>
      <c r="B1215" s="83">
        <v>9607.2999999999993</v>
      </c>
      <c r="C1215" s="84">
        <v>3716</v>
      </c>
      <c r="D1215" s="61">
        <v>445.5</v>
      </c>
      <c r="E1215" s="61">
        <v>29.5</v>
      </c>
      <c r="F1215" s="61">
        <v>66.599999999999994</v>
      </c>
      <c r="G1215" s="61">
        <v>32.6</v>
      </c>
      <c r="H1215" s="61">
        <v>20.8</v>
      </c>
      <c r="I1215" s="61">
        <v>21.7</v>
      </c>
      <c r="J1215" s="61">
        <v>31.5</v>
      </c>
      <c r="K1215" s="61">
        <v>13.7</v>
      </c>
      <c r="L1215" s="61">
        <v>47.7</v>
      </c>
      <c r="M1215" s="61">
        <v>49.1</v>
      </c>
      <c r="N1215" s="61">
        <v>84</v>
      </c>
      <c r="O1215" s="85">
        <v>33.9</v>
      </c>
      <c r="P1215" s="105"/>
      <c r="Q1215" s="87">
        <f t="shared" si="111"/>
        <v>-4.994118163358951E-3</v>
      </c>
      <c r="R1215" s="87">
        <f t="shared" si="115"/>
        <v>-2.4190308799307996E-3</v>
      </c>
      <c r="S1215" s="87">
        <f t="shared" si="115"/>
        <v>4.4994451612297504E-3</v>
      </c>
      <c r="T1215" s="87">
        <f t="shared" si="115"/>
        <v>1.709443335930004E-2</v>
      </c>
      <c r="U1215" s="87">
        <f t="shared" si="115"/>
        <v>3.0075210639551007E-3</v>
      </c>
      <c r="V1215" s="87">
        <f t="shared" si="115"/>
        <v>3.07219903697028E-3</v>
      </c>
      <c r="W1215" s="87">
        <f t="shared" si="115"/>
        <v>4.8192864359489218E-3</v>
      </c>
      <c r="X1215" s="87">
        <f t="shared" si="115"/>
        <v>-9.1743762760412694E-3</v>
      </c>
      <c r="Y1215" s="87">
        <f t="shared" si="115"/>
        <v>3.1796529173798056E-3</v>
      </c>
      <c r="Z1215" s="87">
        <f t="shared" si="114"/>
        <v>-7.2727593290799206E-3</v>
      </c>
      <c r="AA1215" s="87">
        <f t="shared" si="114"/>
        <v>-6.2696130135953742E-3</v>
      </c>
      <c r="AB1215" s="87">
        <f t="shared" si="114"/>
        <v>-2.0345886977875742E-3</v>
      </c>
      <c r="AC1215" s="87">
        <f t="shared" si="114"/>
        <v>5.9701669865037544E-3</v>
      </c>
      <c r="AD1215" s="87">
        <f t="shared" si="113"/>
        <v>1.4859114403749905E-2</v>
      </c>
      <c r="AE1215" s="90">
        <f t="shared" si="112"/>
        <v>3.2582428066293906E-3</v>
      </c>
    </row>
    <row r="1216" spans="1:31" ht="15.5" x14ac:dyDescent="0.35">
      <c r="A1216" s="82">
        <v>41530</v>
      </c>
      <c r="B1216" s="83">
        <v>9635.1</v>
      </c>
      <c r="C1216" s="84">
        <v>3722.2</v>
      </c>
      <c r="D1216" s="61">
        <v>442.9</v>
      </c>
      <c r="E1216" s="61">
        <v>28.8</v>
      </c>
      <c r="F1216" s="61">
        <v>66.400000000000006</v>
      </c>
      <c r="G1216" s="61">
        <v>32.5</v>
      </c>
      <c r="H1216" s="61">
        <v>20.5</v>
      </c>
      <c r="I1216" s="61">
        <v>21.4</v>
      </c>
      <c r="J1216" s="61">
        <v>31.6</v>
      </c>
      <c r="K1216" s="61">
        <v>13.7</v>
      </c>
      <c r="L1216" s="61">
        <v>47.7</v>
      </c>
      <c r="M1216" s="61">
        <v>48.7</v>
      </c>
      <c r="N1216" s="61">
        <v>84.3</v>
      </c>
      <c r="O1216" s="85">
        <v>33.6</v>
      </c>
      <c r="P1216" s="105"/>
      <c r="Q1216" s="87">
        <f t="shared" si="111"/>
        <v>2.8894544694764296E-3</v>
      </c>
      <c r="R1216" s="87">
        <f t="shared" si="115"/>
        <v>1.6670703761341604E-3</v>
      </c>
      <c r="S1216" s="87">
        <f t="shared" si="115"/>
        <v>-5.8532359817115524E-3</v>
      </c>
      <c r="T1216" s="87">
        <f t="shared" si="115"/>
        <v>-2.4014876203873853E-2</v>
      </c>
      <c r="U1216" s="87">
        <f t="shared" si="115"/>
        <v>-3.0075210639551055E-3</v>
      </c>
      <c r="V1216" s="87">
        <f t="shared" si="115"/>
        <v>-3.0721990369702518E-3</v>
      </c>
      <c r="W1216" s="87">
        <f t="shared" si="115"/>
        <v>-1.4528100562909856E-2</v>
      </c>
      <c r="X1216" s="87">
        <f t="shared" si="115"/>
        <v>-1.392133851860812E-2</v>
      </c>
      <c r="Y1216" s="87">
        <f t="shared" si="115"/>
        <v>3.1695747612790395E-3</v>
      </c>
      <c r="Z1216" s="87">
        <f t="shared" si="114"/>
        <v>0</v>
      </c>
      <c r="AA1216" s="87">
        <f t="shared" si="114"/>
        <v>0</v>
      </c>
      <c r="AB1216" s="87">
        <f t="shared" si="114"/>
        <v>-8.1800047119308071E-3</v>
      </c>
      <c r="AC1216" s="87">
        <f t="shared" si="114"/>
        <v>3.5650661644961446E-3</v>
      </c>
      <c r="AD1216" s="87">
        <f t="shared" si="113"/>
        <v>-8.8889474172459283E-3</v>
      </c>
      <c r="AE1216" s="90">
        <f t="shared" si="112"/>
        <v>-3.1543201628254705E-3</v>
      </c>
    </row>
    <row r="1217" spans="1:31" ht="15.5" x14ac:dyDescent="0.35">
      <c r="A1217" s="82">
        <v>41533</v>
      </c>
      <c r="B1217" s="83">
        <v>9704.5</v>
      </c>
      <c r="C1217" s="84">
        <v>3717.9</v>
      </c>
      <c r="D1217" s="61">
        <v>442.9</v>
      </c>
      <c r="E1217" s="61">
        <v>29.5</v>
      </c>
      <c r="F1217" s="61">
        <v>63.9</v>
      </c>
      <c r="G1217" s="61">
        <v>32.700000000000003</v>
      </c>
      <c r="H1217" s="61">
        <v>20.8</v>
      </c>
      <c r="I1217" s="61">
        <v>21.7</v>
      </c>
      <c r="J1217" s="61">
        <v>32.799999999999997</v>
      </c>
      <c r="K1217" s="61">
        <v>13.6</v>
      </c>
      <c r="L1217" s="61">
        <v>48.1</v>
      </c>
      <c r="M1217" s="61">
        <v>49</v>
      </c>
      <c r="N1217" s="61">
        <v>85.4</v>
      </c>
      <c r="O1217" s="85">
        <v>34</v>
      </c>
      <c r="P1217" s="105"/>
      <c r="Q1217" s="87">
        <f t="shared" si="111"/>
        <v>7.1770148189821432E-3</v>
      </c>
      <c r="R1217" s="87">
        <f t="shared" si="115"/>
        <v>-1.1558985709249903E-3</v>
      </c>
      <c r="S1217" s="87">
        <f t="shared" si="115"/>
        <v>0</v>
      </c>
      <c r="T1217" s="87">
        <f t="shared" si="115"/>
        <v>2.4014876203873919E-2</v>
      </c>
      <c r="U1217" s="87">
        <f t="shared" si="115"/>
        <v>-3.8377695098899191E-2</v>
      </c>
      <c r="V1217" s="87">
        <f t="shared" si="115"/>
        <v>6.1349885675159293E-3</v>
      </c>
      <c r="W1217" s="87">
        <f t="shared" si="115"/>
        <v>1.4528100562909808E-2</v>
      </c>
      <c r="X1217" s="87">
        <f t="shared" si="115"/>
        <v>1.3921338518608014E-2</v>
      </c>
      <c r="Y1217" s="87">
        <f t="shared" si="115"/>
        <v>3.7271394797231384E-2</v>
      </c>
      <c r="Z1217" s="87">
        <f t="shared" si="114"/>
        <v>-7.3260400920728977E-3</v>
      </c>
      <c r="AA1217" s="87">
        <f t="shared" si="114"/>
        <v>8.3507792174198885E-3</v>
      </c>
      <c r="AB1217" s="87">
        <f t="shared" si="114"/>
        <v>6.1412680220824288E-3</v>
      </c>
      <c r="AC1217" s="87">
        <f t="shared" si="114"/>
        <v>1.2964235786714474E-2</v>
      </c>
      <c r="AD1217" s="87">
        <f t="shared" si="113"/>
        <v>1.1834457647002798E-2</v>
      </c>
      <c r="AE1217" s="90">
        <f t="shared" si="112"/>
        <v>-9.8816981016062906E-3</v>
      </c>
    </row>
    <row r="1218" spans="1:31" ht="15.5" x14ac:dyDescent="0.35">
      <c r="A1218" s="82">
        <v>41534</v>
      </c>
      <c r="B1218" s="83">
        <v>9738.9</v>
      </c>
      <c r="C1218" s="84">
        <v>3745.7</v>
      </c>
      <c r="D1218" s="61">
        <v>440.9</v>
      </c>
      <c r="E1218" s="61">
        <v>29.3</v>
      </c>
      <c r="F1218" s="61">
        <v>63.9</v>
      </c>
      <c r="G1218" s="61">
        <v>32.9</v>
      </c>
      <c r="H1218" s="61">
        <v>20.7</v>
      </c>
      <c r="I1218" s="61">
        <v>21.6</v>
      </c>
      <c r="J1218" s="61">
        <v>32.299999999999997</v>
      </c>
      <c r="K1218" s="61">
        <v>13.6</v>
      </c>
      <c r="L1218" s="61">
        <v>47.9</v>
      </c>
      <c r="M1218" s="61">
        <v>49.1</v>
      </c>
      <c r="N1218" s="61">
        <v>85.8</v>
      </c>
      <c r="O1218" s="85">
        <v>34</v>
      </c>
      <c r="P1218" s="105"/>
      <c r="Q1218" s="87">
        <f t="shared" si="111"/>
        <v>3.5384794730404616E-3</v>
      </c>
      <c r="R1218" s="87">
        <f t="shared" si="115"/>
        <v>7.4495226336338304E-3</v>
      </c>
      <c r="S1218" s="87">
        <f t="shared" si="115"/>
        <v>-4.525918565260619E-3</v>
      </c>
      <c r="T1218" s="87">
        <f t="shared" si="115"/>
        <v>-6.8027473227525231E-3</v>
      </c>
      <c r="U1218" s="87">
        <f t="shared" si="115"/>
        <v>0</v>
      </c>
      <c r="V1218" s="87">
        <f t="shared" si="115"/>
        <v>6.0975798681183165E-3</v>
      </c>
      <c r="W1218" s="87">
        <f t="shared" si="115"/>
        <v>-4.8192864359489947E-3</v>
      </c>
      <c r="X1218" s="87">
        <f t="shared" si="115"/>
        <v>-4.6189458562944166E-3</v>
      </c>
      <c r="Y1218" s="87">
        <f t="shared" si="115"/>
        <v>-1.5361285161487206E-2</v>
      </c>
      <c r="Z1218" s="87">
        <f t="shared" si="114"/>
        <v>0</v>
      </c>
      <c r="AA1218" s="87">
        <f t="shared" si="114"/>
        <v>-4.1666726948460572E-3</v>
      </c>
      <c r="AB1218" s="87">
        <f t="shared" si="114"/>
        <v>2.0387366898483089E-3</v>
      </c>
      <c r="AC1218" s="87">
        <f t="shared" si="114"/>
        <v>4.6729056993924231E-3</v>
      </c>
      <c r="AD1218" s="87">
        <f t="shared" si="113"/>
        <v>0</v>
      </c>
      <c r="AE1218" s="90">
        <f t="shared" si="112"/>
        <v>9.0795574739271391E-4</v>
      </c>
    </row>
    <row r="1219" spans="1:31" ht="15.5" x14ac:dyDescent="0.35">
      <c r="A1219" s="82">
        <v>41535</v>
      </c>
      <c r="B1219" s="83">
        <v>9887.9</v>
      </c>
      <c r="C1219" s="84">
        <v>3783.6</v>
      </c>
      <c r="D1219" s="61">
        <v>442</v>
      </c>
      <c r="E1219" s="61">
        <v>29.9</v>
      </c>
      <c r="F1219" s="61">
        <v>65.8</v>
      </c>
      <c r="G1219" s="61">
        <v>32.799999999999997</v>
      </c>
      <c r="H1219" s="61">
        <v>20.7</v>
      </c>
      <c r="I1219" s="61">
        <v>21.6</v>
      </c>
      <c r="J1219" s="61">
        <v>32.200000000000003</v>
      </c>
      <c r="K1219" s="61">
        <v>13.3</v>
      </c>
      <c r="L1219" s="61">
        <v>47.6</v>
      </c>
      <c r="M1219" s="61">
        <v>48.3</v>
      </c>
      <c r="N1219" s="61">
        <v>84.8</v>
      </c>
      <c r="O1219" s="85">
        <v>34</v>
      </c>
      <c r="P1219" s="105"/>
      <c r="Q1219" s="87">
        <f t="shared" si="111"/>
        <v>1.5183612463901793E-2</v>
      </c>
      <c r="R1219" s="87">
        <f t="shared" si="115"/>
        <v>1.0067421966443333E-2</v>
      </c>
      <c r="S1219" s="87">
        <f t="shared" si="115"/>
        <v>2.4917897138062584E-3</v>
      </c>
      <c r="T1219" s="87">
        <f t="shared" si="115"/>
        <v>2.0270964373618985E-2</v>
      </c>
      <c r="U1219" s="87">
        <f t="shared" si="115"/>
        <v>2.9300476947782383E-2</v>
      </c>
      <c r="V1219" s="87">
        <f t="shared" si="115"/>
        <v>-3.044142381228244E-3</v>
      </c>
      <c r="W1219" s="87">
        <f t="shared" si="115"/>
        <v>0</v>
      </c>
      <c r="X1219" s="87">
        <f t="shared" si="115"/>
        <v>0</v>
      </c>
      <c r="Y1219" s="87">
        <f t="shared" si="115"/>
        <v>-3.1007776782480479E-3</v>
      </c>
      <c r="Z1219" s="87">
        <f t="shared" si="114"/>
        <v>-2.2305757514298162E-2</v>
      </c>
      <c r="AA1219" s="87">
        <f t="shared" si="114"/>
        <v>-6.2827431794951804E-3</v>
      </c>
      <c r="AB1219" s="87">
        <f t="shared" si="114"/>
        <v>-1.642747414194793E-2</v>
      </c>
      <c r="AC1219" s="87">
        <f t="shared" si="114"/>
        <v>-1.1723463696059259E-2</v>
      </c>
      <c r="AD1219" s="87">
        <f t="shared" si="113"/>
        <v>0</v>
      </c>
      <c r="AE1219" s="90">
        <f t="shared" si="112"/>
        <v>1.2125348629745202E-2</v>
      </c>
    </row>
    <row r="1220" spans="1:31" ht="15.5" x14ac:dyDescent="0.35">
      <c r="A1220" s="82">
        <v>41536</v>
      </c>
      <c r="B1220" s="83">
        <v>9854.7999999999993</v>
      </c>
      <c r="C1220" s="84">
        <v>3789.4</v>
      </c>
      <c r="D1220" s="61">
        <v>448.2</v>
      </c>
      <c r="E1220" s="61">
        <v>30.3</v>
      </c>
      <c r="F1220" s="61">
        <v>67</v>
      </c>
      <c r="G1220" s="61">
        <v>33.299999999999997</v>
      </c>
      <c r="H1220" s="61">
        <v>21.2</v>
      </c>
      <c r="I1220" s="61">
        <v>21.9</v>
      </c>
      <c r="J1220" s="61">
        <v>31.7</v>
      </c>
      <c r="K1220" s="61">
        <v>13</v>
      </c>
      <c r="L1220" s="61">
        <v>48.1</v>
      </c>
      <c r="M1220" s="61">
        <v>46.9</v>
      </c>
      <c r="N1220" s="61">
        <v>86.8</v>
      </c>
      <c r="O1220" s="85">
        <v>34.4</v>
      </c>
      <c r="P1220" s="105"/>
      <c r="Q1220" s="87">
        <f t="shared" si="111"/>
        <v>-3.3531412637046289E-3</v>
      </c>
      <c r="R1220" s="87">
        <f t="shared" si="115"/>
        <v>1.5317578592464571E-3</v>
      </c>
      <c r="S1220" s="87">
        <f t="shared" si="115"/>
        <v>1.3929679289128449E-2</v>
      </c>
      <c r="T1220" s="87">
        <f t="shared" si="115"/>
        <v>1.3289232118682706E-2</v>
      </c>
      <c r="U1220" s="87">
        <f t="shared" si="115"/>
        <v>1.80727810596946E-2</v>
      </c>
      <c r="V1220" s="87">
        <f t="shared" si="115"/>
        <v>1.5128881596299999E-2</v>
      </c>
      <c r="W1220" s="87">
        <f t="shared" si="115"/>
        <v>2.3867481406643486E-2</v>
      </c>
      <c r="X1220" s="87">
        <f t="shared" si="115"/>
        <v>1.3793322132335769E-2</v>
      </c>
      <c r="Y1220" s="87">
        <f t="shared" si="115"/>
        <v>-1.5649771667127776E-2</v>
      </c>
      <c r="Z1220" s="87">
        <f t="shared" si="114"/>
        <v>-2.2814677766171399E-2</v>
      </c>
      <c r="AA1220" s="87">
        <f t="shared" si="114"/>
        <v>1.044941587434114E-2</v>
      </c>
      <c r="AB1220" s="87">
        <f t="shared" si="114"/>
        <v>-2.9413885206293341E-2</v>
      </c>
      <c r="AC1220" s="87">
        <f t="shared" si="114"/>
        <v>2.3311078868447146E-2</v>
      </c>
      <c r="AD1220" s="87">
        <f t="shared" si="113"/>
        <v>1.1696039763191236E-2</v>
      </c>
      <c r="AE1220" s="90">
        <f t="shared" si="112"/>
        <v>1.11266000045342E-2</v>
      </c>
    </row>
    <row r="1221" spans="1:31" ht="15.5" x14ac:dyDescent="0.35">
      <c r="A1221" s="82">
        <v>41537</v>
      </c>
      <c r="B1221" s="83">
        <v>9769.7000000000007</v>
      </c>
      <c r="C1221" s="84">
        <v>3774.7</v>
      </c>
      <c r="D1221" s="61">
        <v>448.3</v>
      </c>
      <c r="E1221" s="61">
        <v>30.8</v>
      </c>
      <c r="F1221" s="61">
        <v>66.599999999999994</v>
      </c>
      <c r="G1221" s="61">
        <v>32.700000000000003</v>
      </c>
      <c r="H1221" s="61">
        <v>21</v>
      </c>
      <c r="I1221" s="61">
        <v>22.1</v>
      </c>
      <c r="J1221" s="61">
        <v>31.9</v>
      </c>
      <c r="K1221" s="61">
        <v>12.8</v>
      </c>
      <c r="L1221" s="61">
        <v>47.9</v>
      </c>
      <c r="M1221" s="61">
        <v>47.3</v>
      </c>
      <c r="N1221" s="61">
        <v>85.9</v>
      </c>
      <c r="O1221" s="85">
        <v>34.1</v>
      </c>
      <c r="P1221" s="105"/>
      <c r="Q1221" s="87">
        <f t="shared" si="111"/>
        <v>-8.6728867922402243E-3</v>
      </c>
      <c r="R1221" s="87">
        <f t="shared" si="115"/>
        <v>-3.886785871735804E-3</v>
      </c>
      <c r="S1221" s="87">
        <f t="shared" si="115"/>
        <v>2.2308979456733903E-4</v>
      </c>
      <c r="T1221" s="87">
        <f t="shared" si="115"/>
        <v>1.6366977464205412E-2</v>
      </c>
      <c r="U1221" s="87">
        <f t="shared" si="115"/>
        <v>-5.9880418446226691E-3</v>
      </c>
      <c r="V1221" s="87">
        <f t="shared" si="115"/>
        <v>-1.8182319083190249E-2</v>
      </c>
      <c r="W1221" s="87">
        <f t="shared" si="115"/>
        <v>-9.47874395454377E-3</v>
      </c>
      <c r="X1221" s="87">
        <f t="shared" si="115"/>
        <v>9.0909717012521048E-3</v>
      </c>
      <c r="Y1221" s="87">
        <f t="shared" si="115"/>
        <v>6.2893289075639184E-3</v>
      </c>
      <c r="Z1221" s="87">
        <f t="shared" si="114"/>
        <v>-1.5504186535965199E-2</v>
      </c>
      <c r="AA1221" s="87">
        <f t="shared" si="114"/>
        <v>-4.1666726948460572E-3</v>
      </c>
      <c r="AB1221" s="87">
        <f t="shared" si="114"/>
        <v>8.4926200456535966E-3</v>
      </c>
      <c r="AC1221" s="87">
        <f t="shared" si="114"/>
        <v>-1.0422792676094726E-2</v>
      </c>
      <c r="AD1221" s="87">
        <f t="shared" si="113"/>
        <v>-8.7591800898814652E-3</v>
      </c>
      <c r="AE1221" s="90">
        <f t="shared" si="112"/>
        <v>-3.8766227403743982E-3</v>
      </c>
    </row>
    <row r="1222" spans="1:31" ht="15.5" x14ac:dyDescent="0.35">
      <c r="A1222" s="82">
        <v>41540</v>
      </c>
      <c r="B1222" s="83">
        <v>9733</v>
      </c>
      <c r="C1222" s="84">
        <v>3765.3</v>
      </c>
      <c r="D1222" s="61">
        <v>443</v>
      </c>
      <c r="E1222" s="61">
        <v>30</v>
      </c>
      <c r="F1222" s="61">
        <v>68.900000000000006</v>
      </c>
      <c r="G1222" s="61">
        <v>32.5</v>
      </c>
      <c r="H1222" s="61">
        <v>20.7</v>
      </c>
      <c r="I1222" s="61">
        <v>21.8</v>
      </c>
      <c r="J1222" s="61">
        <v>32</v>
      </c>
      <c r="K1222" s="61">
        <v>12.3</v>
      </c>
      <c r="L1222" s="61">
        <v>47.5</v>
      </c>
      <c r="M1222" s="61">
        <v>47.2</v>
      </c>
      <c r="N1222" s="61">
        <v>84.8</v>
      </c>
      <c r="O1222" s="85">
        <v>34</v>
      </c>
      <c r="P1222" s="105"/>
      <c r="Q1222" s="87">
        <f t="shared" si="111"/>
        <v>-3.7635858952857282E-3</v>
      </c>
      <c r="R1222" s="87">
        <f t="shared" si="115"/>
        <v>-2.4933699920157717E-3</v>
      </c>
      <c r="S1222" s="87">
        <f t="shared" si="115"/>
        <v>-1.1892881116258235E-2</v>
      </c>
      <c r="T1222" s="87">
        <f t="shared" si="115"/>
        <v>-2.6317308317373417E-2</v>
      </c>
      <c r="U1222" s="87">
        <f t="shared" si="115"/>
        <v>3.3951600473269596E-2</v>
      </c>
      <c r="V1222" s="87">
        <f t="shared" si="115"/>
        <v>-6.134988567515944E-3</v>
      </c>
      <c r="W1222" s="87">
        <f t="shared" si="115"/>
        <v>-1.4388737452099669E-2</v>
      </c>
      <c r="X1222" s="87">
        <f t="shared" si="115"/>
        <v>-1.366763872866387E-2</v>
      </c>
      <c r="Y1222" s="87">
        <f t="shared" si="115"/>
        <v>3.1298930089277868E-3</v>
      </c>
      <c r="Z1222" s="87">
        <f t="shared" si="114"/>
        <v>-3.9845908547199674E-2</v>
      </c>
      <c r="AA1222" s="87">
        <f t="shared" si="114"/>
        <v>-8.3857933762739589E-3</v>
      </c>
      <c r="AB1222" s="87">
        <f t="shared" si="114"/>
        <v>-2.1164029063775016E-3</v>
      </c>
      <c r="AC1222" s="87">
        <f t="shared" si="114"/>
        <v>-1.2888286192352456E-2</v>
      </c>
      <c r="AD1222" s="87">
        <f t="shared" si="113"/>
        <v>-2.9368596733097135E-3</v>
      </c>
      <c r="AE1222" s="90">
        <f t="shared" si="112"/>
        <v>5.1219186945894715E-3</v>
      </c>
    </row>
    <row r="1223" spans="1:31" ht="15.5" x14ac:dyDescent="0.35">
      <c r="A1223" s="82">
        <v>41541</v>
      </c>
      <c r="B1223" s="83">
        <v>9715.2000000000007</v>
      </c>
      <c r="C1223" s="84">
        <v>3768.3</v>
      </c>
      <c r="D1223" s="61">
        <v>441.1</v>
      </c>
      <c r="E1223" s="61">
        <v>30.5</v>
      </c>
      <c r="F1223" s="61">
        <v>69.7</v>
      </c>
      <c r="G1223" s="61">
        <v>32.200000000000003</v>
      </c>
      <c r="H1223" s="61">
        <v>20.5</v>
      </c>
      <c r="I1223" s="61">
        <v>22</v>
      </c>
      <c r="J1223" s="61">
        <v>31.5</v>
      </c>
      <c r="K1223" s="61">
        <v>11.9</v>
      </c>
      <c r="L1223" s="61">
        <v>47.5</v>
      </c>
      <c r="M1223" s="61">
        <v>46.9</v>
      </c>
      <c r="N1223" s="61">
        <v>85.6</v>
      </c>
      <c r="O1223" s="85">
        <v>34.6</v>
      </c>
      <c r="P1223" s="105"/>
      <c r="Q1223" s="87">
        <f t="shared" si="111"/>
        <v>-1.8305041052920944E-3</v>
      </c>
      <c r="R1223" s="87">
        <f t="shared" si="115"/>
        <v>7.9643202680689527E-4</v>
      </c>
      <c r="S1223" s="87">
        <f t="shared" si="115"/>
        <v>-4.298162934241595E-3</v>
      </c>
      <c r="T1223" s="87">
        <f t="shared" ref="T1223:AC1261" si="116">+LN(E1223/E1222)</f>
        <v>1.6529301951210506E-2</v>
      </c>
      <c r="U1223" s="87">
        <f t="shared" si="116"/>
        <v>1.1544139746865261E-2</v>
      </c>
      <c r="V1223" s="87">
        <f t="shared" si="116"/>
        <v>-9.2736367853291021E-3</v>
      </c>
      <c r="W1223" s="87">
        <f t="shared" si="116"/>
        <v>-9.7088141269608269E-3</v>
      </c>
      <c r="X1223" s="87">
        <f t="shared" si="116"/>
        <v>9.1324835632724723E-3</v>
      </c>
      <c r="Y1223" s="87">
        <f t="shared" si="116"/>
        <v>-1.5748356968139168E-2</v>
      </c>
      <c r="Z1223" s="87">
        <f t="shared" si="114"/>
        <v>-3.3060862260888176E-2</v>
      </c>
      <c r="AA1223" s="87">
        <f t="shared" si="114"/>
        <v>0</v>
      </c>
      <c r="AB1223" s="87">
        <f t="shared" si="114"/>
        <v>-6.3762171392761089E-3</v>
      </c>
      <c r="AC1223" s="87">
        <f t="shared" si="114"/>
        <v>9.3897403498389171E-3</v>
      </c>
      <c r="AD1223" s="87">
        <f t="shared" si="113"/>
        <v>1.7493157447517119E-2</v>
      </c>
      <c r="AE1223" s="90">
        <f t="shared" si="112"/>
        <v>4.4075620590061509E-3</v>
      </c>
    </row>
    <row r="1224" spans="1:31" ht="15.5" x14ac:dyDescent="0.35">
      <c r="A1224" s="82">
        <v>41542</v>
      </c>
      <c r="B1224" s="83">
        <v>9699</v>
      </c>
      <c r="C1224" s="84">
        <v>3761.1</v>
      </c>
      <c r="D1224" s="61">
        <v>438.2</v>
      </c>
      <c r="E1224" s="61">
        <v>31.1</v>
      </c>
      <c r="F1224" s="61">
        <v>68.8</v>
      </c>
      <c r="G1224" s="61">
        <v>32.4</v>
      </c>
      <c r="H1224" s="61">
        <v>20.5</v>
      </c>
      <c r="I1224" s="61">
        <v>22.7</v>
      </c>
      <c r="J1224" s="61">
        <v>31.3</v>
      </c>
      <c r="K1224" s="61">
        <v>9.9</v>
      </c>
      <c r="L1224" s="61">
        <v>47.4</v>
      </c>
      <c r="M1224" s="61">
        <v>47.1</v>
      </c>
      <c r="N1224" s="61">
        <v>85.6</v>
      </c>
      <c r="O1224" s="85">
        <v>34.4</v>
      </c>
      <c r="P1224" s="105"/>
      <c r="Q1224" s="87">
        <f t="shared" si="111"/>
        <v>-1.6688819276587006E-3</v>
      </c>
      <c r="R1224" s="87">
        <f t="shared" ref="R1224:Z1275" si="117">+LN(C1224/C1223)</f>
        <v>-1.9125035712279572E-3</v>
      </c>
      <c r="S1224" s="87">
        <f t="shared" si="117"/>
        <v>-6.5961799495279543E-3</v>
      </c>
      <c r="T1224" s="87">
        <f t="shared" si="116"/>
        <v>1.9481135571822489E-2</v>
      </c>
      <c r="U1224" s="87">
        <f t="shared" si="116"/>
        <v>-1.299657282718036E-2</v>
      </c>
      <c r="V1224" s="87">
        <f t="shared" si="116"/>
        <v>6.1919702479209804E-3</v>
      </c>
      <c r="W1224" s="87">
        <f t="shared" si="116"/>
        <v>0</v>
      </c>
      <c r="X1224" s="87">
        <f t="shared" si="116"/>
        <v>3.1322471129041067E-2</v>
      </c>
      <c r="Y1224" s="87">
        <f t="shared" si="116"/>
        <v>-6.3694482854798227E-3</v>
      </c>
      <c r="Z1224" s="87">
        <f t="shared" si="114"/>
        <v>-0.18400364297693941</v>
      </c>
      <c r="AA1224" s="87">
        <f t="shared" si="114"/>
        <v>-2.1074823395646983E-3</v>
      </c>
      <c r="AB1224" s="87">
        <f t="shared" si="114"/>
        <v>4.255325570138491E-3</v>
      </c>
      <c r="AC1224" s="87">
        <f t="shared" si="114"/>
        <v>0</v>
      </c>
      <c r="AD1224" s="87">
        <f t="shared" si="113"/>
        <v>-5.7971176843259579E-3</v>
      </c>
      <c r="AE1224" s="90">
        <f t="shared" si="112"/>
        <v>-6.9252518039051962E-3</v>
      </c>
    </row>
    <row r="1225" spans="1:31" ht="15.5" x14ac:dyDescent="0.35">
      <c r="A1225" s="82">
        <v>41543</v>
      </c>
      <c r="B1225" s="83">
        <v>9726.2999999999993</v>
      </c>
      <c r="C1225" s="84">
        <v>3787.4</v>
      </c>
      <c r="D1225" s="61">
        <v>437.9</v>
      </c>
      <c r="E1225" s="61">
        <v>31.6</v>
      </c>
      <c r="F1225" s="61">
        <v>69.099999999999994</v>
      </c>
      <c r="G1225" s="61">
        <v>32.6</v>
      </c>
      <c r="H1225" s="61">
        <v>20.5</v>
      </c>
      <c r="I1225" s="61">
        <v>22.5</v>
      </c>
      <c r="J1225" s="61">
        <v>31.4</v>
      </c>
      <c r="K1225" s="61">
        <v>9.5</v>
      </c>
      <c r="L1225" s="61">
        <v>47.5</v>
      </c>
      <c r="M1225" s="61">
        <v>47.4</v>
      </c>
      <c r="N1225" s="61">
        <v>86.7</v>
      </c>
      <c r="O1225" s="85">
        <v>34.6</v>
      </c>
      <c r="P1225" s="105"/>
      <c r="Q1225" s="87">
        <f t="shared" si="111"/>
        <v>2.8107692517964846E-3</v>
      </c>
      <c r="R1225" s="87">
        <f t="shared" si="117"/>
        <v>6.9683000387156706E-3</v>
      </c>
      <c r="S1225" s="87">
        <f t="shared" si="117"/>
        <v>-6.8485335401350788E-4</v>
      </c>
      <c r="T1225" s="87">
        <f t="shared" si="116"/>
        <v>1.594930140767804E-2</v>
      </c>
      <c r="U1225" s="87">
        <f t="shared" si="116"/>
        <v>4.3509858343261324E-3</v>
      </c>
      <c r="V1225" s="87">
        <f t="shared" si="116"/>
        <v>6.1538655743782859E-3</v>
      </c>
      <c r="W1225" s="87">
        <f t="shared" si="116"/>
        <v>0</v>
      </c>
      <c r="X1225" s="87">
        <f t="shared" si="116"/>
        <v>-8.8496152769824993E-3</v>
      </c>
      <c r="Y1225" s="87">
        <f t="shared" si="116"/>
        <v>3.1897953681000808E-3</v>
      </c>
      <c r="Z1225" s="87">
        <f t="shared" si="114"/>
        <v>-4.1242958534049134E-2</v>
      </c>
      <c r="AA1225" s="87">
        <f t="shared" si="114"/>
        <v>2.1074823395647994E-3</v>
      </c>
      <c r="AB1225" s="87">
        <f t="shared" si="114"/>
        <v>6.3492276786587445E-3</v>
      </c>
      <c r="AC1225" s="87">
        <f t="shared" si="114"/>
        <v>1.2768600638799957E-2</v>
      </c>
      <c r="AD1225" s="87">
        <f t="shared" si="113"/>
        <v>5.7971176843259146E-3</v>
      </c>
      <c r="AE1225" s="90">
        <f t="shared" si="112"/>
        <v>3.8369825689908337E-3</v>
      </c>
    </row>
    <row r="1226" spans="1:31" ht="15.5" x14ac:dyDescent="0.35">
      <c r="A1226" s="82">
        <v>41544</v>
      </c>
      <c r="B1226" s="83">
        <v>9684.2000000000007</v>
      </c>
      <c r="C1226" s="84">
        <v>3781.6</v>
      </c>
      <c r="D1226" s="61">
        <v>436.1</v>
      </c>
      <c r="E1226" s="61">
        <v>32.799999999999997</v>
      </c>
      <c r="F1226" s="61">
        <v>68.7</v>
      </c>
      <c r="G1226" s="61">
        <v>32.9</v>
      </c>
      <c r="H1226" s="61">
        <v>20.399999999999999</v>
      </c>
      <c r="I1226" s="61">
        <v>22.3</v>
      </c>
      <c r="J1226" s="61">
        <v>31.4</v>
      </c>
      <c r="K1226" s="61">
        <v>8.9</v>
      </c>
      <c r="L1226" s="61">
        <v>47.3</v>
      </c>
      <c r="M1226" s="61">
        <v>46.8</v>
      </c>
      <c r="N1226" s="61">
        <v>86.6</v>
      </c>
      <c r="O1226" s="85">
        <v>36.700000000000003</v>
      </c>
      <c r="P1226" s="105"/>
      <c r="Q1226" s="87">
        <f t="shared" si="111"/>
        <v>-4.3378651777694404E-3</v>
      </c>
      <c r="R1226" s="87">
        <f t="shared" si="117"/>
        <v>-1.5325673497781163E-3</v>
      </c>
      <c r="S1226" s="87">
        <f t="shared" si="117"/>
        <v>-4.1189989586318289E-3</v>
      </c>
      <c r="T1226" s="87">
        <f t="shared" si="116"/>
        <v>3.7271394797231384E-2</v>
      </c>
      <c r="U1226" s="87">
        <f t="shared" si="116"/>
        <v>-5.8055315453204E-3</v>
      </c>
      <c r="V1226" s="87">
        <f t="shared" si="116"/>
        <v>9.1603693986641952E-3</v>
      </c>
      <c r="W1226" s="87">
        <f t="shared" si="116"/>
        <v>-4.8899852941919038E-3</v>
      </c>
      <c r="X1226" s="87">
        <f t="shared" si="116"/>
        <v>-8.9286307443013184E-3</v>
      </c>
      <c r="Y1226" s="87">
        <f t="shared" si="116"/>
        <v>0</v>
      </c>
      <c r="Z1226" s="87">
        <f t="shared" si="114"/>
        <v>-6.5240521868400972E-2</v>
      </c>
      <c r="AA1226" s="87">
        <f t="shared" si="114"/>
        <v>-4.2194155427083217E-3</v>
      </c>
      <c r="AB1226" s="87">
        <f t="shared" si="114"/>
        <v>-1.2739025777429826E-2</v>
      </c>
      <c r="AC1226" s="87">
        <f t="shared" si="114"/>
        <v>-1.1540682181067506E-3</v>
      </c>
      <c r="AD1226" s="87">
        <f t="shared" si="113"/>
        <v>5.8923072996846015E-2</v>
      </c>
      <c r="AE1226" s="90">
        <f t="shared" si="112"/>
        <v>3.8366881133365467E-3</v>
      </c>
    </row>
    <row r="1227" spans="1:31" ht="15.5" x14ac:dyDescent="0.35">
      <c r="A1227" s="82">
        <v>41547</v>
      </c>
      <c r="B1227" s="83">
        <v>9621.2000000000007</v>
      </c>
      <c r="C1227" s="84">
        <v>3771.5</v>
      </c>
      <c r="D1227" s="61">
        <v>434.6</v>
      </c>
      <c r="E1227" s="61">
        <v>32.700000000000003</v>
      </c>
      <c r="F1227" s="61">
        <v>67.8</v>
      </c>
      <c r="G1227" s="61">
        <v>32.700000000000003</v>
      </c>
      <c r="H1227" s="61">
        <v>20.2</v>
      </c>
      <c r="I1227" s="61">
        <v>22</v>
      </c>
      <c r="J1227" s="61">
        <v>31.2</v>
      </c>
      <c r="K1227" s="61">
        <v>8.6</v>
      </c>
      <c r="L1227" s="61">
        <v>47.3</v>
      </c>
      <c r="M1227" s="61">
        <v>46.4</v>
      </c>
      <c r="N1227" s="61">
        <v>86.2</v>
      </c>
      <c r="O1227" s="85">
        <v>36.1</v>
      </c>
      <c r="P1227" s="105"/>
      <c r="Q1227" s="87">
        <f t="shared" si="111"/>
        <v>-6.5266944624798552E-3</v>
      </c>
      <c r="R1227" s="87">
        <f t="shared" si="117"/>
        <v>-2.6744001853409938E-3</v>
      </c>
      <c r="S1227" s="87">
        <f t="shared" si="117"/>
        <v>-3.4455070263915552E-3</v>
      </c>
      <c r="T1227" s="87">
        <f t="shared" si="116"/>
        <v>-3.0534374868901202E-3</v>
      </c>
      <c r="U1227" s="87">
        <f t="shared" si="116"/>
        <v>-1.3187004281953801E-2</v>
      </c>
      <c r="V1227" s="87">
        <f t="shared" si="116"/>
        <v>-6.0975798681183338E-3</v>
      </c>
      <c r="W1227" s="87">
        <f t="shared" si="116"/>
        <v>-9.8522964430115944E-3</v>
      </c>
      <c r="X1227" s="87">
        <f t="shared" si="116"/>
        <v>-1.354422510775726E-2</v>
      </c>
      <c r="Y1227" s="87">
        <f t="shared" si="116"/>
        <v>-6.38979809877101E-3</v>
      </c>
      <c r="Z1227" s="87">
        <f t="shared" si="114"/>
        <v>-3.4289073478632193E-2</v>
      </c>
      <c r="AA1227" s="87">
        <f t="shared" si="114"/>
        <v>0</v>
      </c>
      <c r="AB1227" s="87">
        <f t="shared" si="114"/>
        <v>-8.5837436913914419E-3</v>
      </c>
      <c r="AC1227" s="87">
        <f t="shared" si="114"/>
        <v>-4.6296378987419938E-3</v>
      </c>
      <c r="AD1227" s="87">
        <f t="shared" si="113"/>
        <v>-1.648388972168937E-2</v>
      </c>
      <c r="AE1227" s="90">
        <f t="shared" si="112"/>
        <v>-7.5846347165887743E-3</v>
      </c>
    </row>
    <row r="1228" spans="1:31" ht="15.5" x14ac:dyDescent="0.35">
      <c r="A1228" s="82">
        <v>41548</v>
      </c>
      <c r="B1228" s="83">
        <v>9693.2999999999993</v>
      </c>
      <c r="C1228" s="84">
        <v>3818</v>
      </c>
      <c r="D1228" s="61">
        <v>440.5</v>
      </c>
      <c r="E1228" s="61">
        <v>33.299999999999997</v>
      </c>
      <c r="F1228" s="61">
        <v>68.3</v>
      </c>
      <c r="G1228" s="61">
        <v>33.299999999999997</v>
      </c>
      <c r="H1228" s="61">
        <v>20.8</v>
      </c>
      <c r="I1228" s="61">
        <v>22.4</v>
      </c>
      <c r="J1228" s="61">
        <v>31.2</v>
      </c>
      <c r="K1228" s="61">
        <v>8.6999999999999993</v>
      </c>
      <c r="L1228" s="61">
        <v>48.2</v>
      </c>
      <c r="M1228" s="61">
        <v>46.9</v>
      </c>
      <c r="N1228" s="61">
        <v>85.6</v>
      </c>
      <c r="O1228" s="85">
        <v>36</v>
      </c>
      <c r="P1228" s="105"/>
      <c r="Q1228" s="87">
        <f t="shared" si="111"/>
        <v>7.465928178797333E-3</v>
      </c>
      <c r="R1228" s="87">
        <f t="shared" si="117"/>
        <v>1.2253924992007371E-2</v>
      </c>
      <c r="S1228" s="87">
        <f t="shared" si="117"/>
        <v>1.3484377553904898E-2</v>
      </c>
      <c r="T1228" s="87">
        <f t="shared" si="116"/>
        <v>1.8182319083190328E-2</v>
      </c>
      <c r="U1228" s="87">
        <f t="shared" si="116"/>
        <v>7.3475716303945419E-3</v>
      </c>
      <c r="V1228" s="87">
        <f t="shared" si="116"/>
        <v>1.8182319083190328E-2</v>
      </c>
      <c r="W1228" s="87">
        <f t="shared" si="116"/>
        <v>2.9270382300113237E-2</v>
      </c>
      <c r="X1228" s="87">
        <f t="shared" si="116"/>
        <v>1.8018505502678212E-2</v>
      </c>
      <c r="Y1228" s="87">
        <f t="shared" si="116"/>
        <v>0</v>
      </c>
      <c r="Z1228" s="87">
        <f t="shared" si="114"/>
        <v>1.1560822401076006E-2</v>
      </c>
      <c r="AA1228" s="87">
        <f t="shared" si="114"/>
        <v>1.884872555866755E-2</v>
      </c>
      <c r="AB1228" s="87">
        <f t="shared" si="114"/>
        <v>1.0718216220024107E-2</v>
      </c>
      <c r="AC1228" s="87">
        <f t="shared" si="114"/>
        <v>-6.9848945219510928E-3</v>
      </c>
      <c r="AD1228" s="87">
        <f t="shared" si="113"/>
        <v>-2.7739268827253194E-3</v>
      </c>
      <c r="AE1228" s="90">
        <f t="shared" si="112"/>
        <v>9.3846311450161771E-3</v>
      </c>
    </row>
    <row r="1229" spans="1:31" ht="15.5" x14ac:dyDescent="0.35">
      <c r="A1229" s="82">
        <v>41549</v>
      </c>
      <c r="B1229" s="83">
        <v>9689.2999999999993</v>
      </c>
      <c r="C1229" s="84">
        <v>3815</v>
      </c>
      <c r="D1229" s="61">
        <v>439.4</v>
      </c>
      <c r="E1229" s="61">
        <v>33.9</v>
      </c>
      <c r="F1229" s="61">
        <v>69.099999999999994</v>
      </c>
      <c r="G1229" s="61">
        <v>33.299999999999997</v>
      </c>
      <c r="H1229" s="61">
        <v>20.6</v>
      </c>
      <c r="I1229" s="61">
        <v>22.8</v>
      </c>
      <c r="J1229" s="61">
        <v>31.5</v>
      </c>
      <c r="K1229" s="61">
        <v>8.6999999999999993</v>
      </c>
      <c r="L1229" s="61">
        <v>48.1</v>
      </c>
      <c r="M1229" s="61">
        <v>46.4</v>
      </c>
      <c r="N1229" s="61">
        <v>85.5</v>
      </c>
      <c r="O1229" s="85">
        <v>35.799999999999997</v>
      </c>
      <c r="P1229" s="105"/>
      <c r="Q1229" s="87">
        <f t="shared" si="111"/>
        <v>-4.1274133055271161E-4</v>
      </c>
      <c r="R1229" s="87">
        <f t="shared" si="117"/>
        <v>-7.8606056713550023E-4</v>
      </c>
      <c r="S1229" s="87">
        <f t="shared" si="117"/>
        <v>-2.5002854257243821E-3</v>
      </c>
      <c r="T1229" s="87">
        <f t="shared" si="116"/>
        <v>1.7857617400006472E-2</v>
      </c>
      <c r="U1229" s="87">
        <f t="shared" si="116"/>
        <v>1.1644964196879834E-2</v>
      </c>
      <c r="V1229" s="87">
        <f t="shared" si="116"/>
        <v>0</v>
      </c>
      <c r="W1229" s="87">
        <f t="shared" si="116"/>
        <v>-9.6619109117368589E-3</v>
      </c>
      <c r="X1229" s="87">
        <f t="shared" si="116"/>
        <v>1.7699577099401075E-2</v>
      </c>
      <c r="Y1229" s="87">
        <f t="shared" si="116"/>
        <v>9.5694510161506725E-3</v>
      </c>
      <c r="Z1229" s="87">
        <f t="shared" si="114"/>
        <v>0</v>
      </c>
      <c r="AA1229" s="87">
        <f t="shared" si="114"/>
        <v>-2.0768439448391172E-3</v>
      </c>
      <c r="AB1229" s="87">
        <f t="shared" si="114"/>
        <v>-1.0718216220024147E-2</v>
      </c>
      <c r="AC1229" s="87">
        <f t="shared" si="114"/>
        <v>-1.1689072049818425E-3</v>
      </c>
      <c r="AD1229" s="87">
        <f t="shared" si="113"/>
        <v>-5.571045049455472E-3</v>
      </c>
      <c r="AE1229" s="90">
        <f t="shared" si="112"/>
        <v>1.6849829071371113E-3</v>
      </c>
    </row>
    <row r="1230" spans="1:31" ht="15.5" x14ac:dyDescent="0.35">
      <c r="A1230" s="82">
        <v>41550</v>
      </c>
      <c r="B1230" s="83">
        <v>9619.2000000000007</v>
      </c>
      <c r="C1230" s="84">
        <v>3774.3</v>
      </c>
      <c r="D1230" s="61">
        <v>436.5</v>
      </c>
      <c r="E1230" s="61">
        <v>33.200000000000003</v>
      </c>
      <c r="F1230" s="61">
        <v>68.7</v>
      </c>
      <c r="G1230" s="61">
        <v>33.4</v>
      </c>
      <c r="H1230" s="61">
        <v>20.3</v>
      </c>
      <c r="I1230" s="61">
        <v>22.7</v>
      </c>
      <c r="J1230" s="61">
        <v>32.200000000000003</v>
      </c>
      <c r="K1230" s="61">
        <v>8.4</v>
      </c>
      <c r="L1230" s="61">
        <v>48</v>
      </c>
      <c r="M1230" s="61">
        <v>46.1</v>
      </c>
      <c r="N1230" s="61">
        <v>85.3</v>
      </c>
      <c r="O1230" s="85">
        <v>35.5</v>
      </c>
      <c r="P1230" s="105"/>
      <c r="Q1230" s="87">
        <f t="shared" ref="Q1230:Q1293" si="118">+LN(B1230/B1229)</f>
        <v>-7.2610827347337602E-3</v>
      </c>
      <c r="R1230" s="87">
        <f t="shared" si="117"/>
        <v>-1.0725729693362484E-2</v>
      </c>
      <c r="S1230" s="87">
        <f t="shared" si="117"/>
        <v>-6.6217846708529378E-3</v>
      </c>
      <c r="T1230" s="87">
        <f t="shared" si="116"/>
        <v>-2.0865138463961562E-2</v>
      </c>
      <c r="U1230" s="87">
        <f t="shared" si="116"/>
        <v>-5.8055315453204E-3</v>
      </c>
      <c r="V1230" s="87">
        <f t="shared" si="116"/>
        <v>2.9985029962566329E-3</v>
      </c>
      <c r="W1230" s="87">
        <f t="shared" si="116"/>
        <v>-1.4670189747793742E-2</v>
      </c>
      <c r="X1230" s="87">
        <f t="shared" si="116"/>
        <v>-4.3956114730381093E-3</v>
      </c>
      <c r="Y1230" s="87">
        <f t="shared" si="116"/>
        <v>2.1978906718775382E-2</v>
      </c>
      <c r="Z1230" s="87">
        <f t="shared" si="114"/>
        <v>-3.5091319811269943E-2</v>
      </c>
      <c r="AA1230" s="87">
        <f t="shared" si="114"/>
        <v>-2.0811662038246232E-3</v>
      </c>
      <c r="AB1230" s="87">
        <f t="shared" si="114"/>
        <v>-6.4865092296066615E-3</v>
      </c>
      <c r="AC1230" s="87">
        <f t="shared" si="114"/>
        <v>-2.3419214450811437E-3</v>
      </c>
      <c r="AD1230" s="87">
        <f t="shared" si="113"/>
        <v>-8.4151969252844721E-3</v>
      </c>
      <c r="AE1230" s="90">
        <f t="shared" si="112"/>
        <v>-7.8365236200480942E-3</v>
      </c>
    </row>
    <row r="1231" spans="1:31" ht="15.5" x14ac:dyDescent="0.35">
      <c r="A1231" s="82">
        <v>41551</v>
      </c>
      <c r="B1231" s="83">
        <v>9675.7000000000007</v>
      </c>
      <c r="C1231" s="84">
        <v>3807.8</v>
      </c>
      <c r="D1231" s="61">
        <v>435.4</v>
      </c>
      <c r="E1231" s="61">
        <v>34</v>
      </c>
      <c r="F1231" s="61">
        <v>68.400000000000006</v>
      </c>
      <c r="G1231" s="61">
        <v>33.6</v>
      </c>
      <c r="H1231" s="61">
        <v>20.5</v>
      </c>
      <c r="I1231" s="61">
        <v>22.6</v>
      </c>
      <c r="J1231" s="61">
        <v>32.4</v>
      </c>
      <c r="K1231" s="61">
        <v>7.8</v>
      </c>
      <c r="L1231" s="61">
        <v>47.9</v>
      </c>
      <c r="M1231" s="61">
        <v>46.8</v>
      </c>
      <c r="N1231" s="61">
        <v>86.6</v>
      </c>
      <c r="O1231" s="85">
        <v>35.700000000000003</v>
      </c>
      <c r="P1231" s="105"/>
      <c r="Q1231" s="87">
        <f t="shared" si="118"/>
        <v>5.8564865833326332E-3</v>
      </c>
      <c r="R1231" s="87">
        <f t="shared" si="117"/>
        <v>8.8366594983811959E-3</v>
      </c>
      <c r="S1231" s="87">
        <f t="shared" si="117"/>
        <v>-2.523226479209933E-3</v>
      </c>
      <c r="T1231" s="87">
        <f t="shared" si="116"/>
        <v>2.3810648693718392E-2</v>
      </c>
      <c r="U1231" s="87">
        <f t="shared" si="116"/>
        <v>-4.3763745997988882E-3</v>
      </c>
      <c r="V1231" s="87">
        <f t="shared" si="116"/>
        <v>5.9701669865039747E-3</v>
      </c>
      <c r="W1231" s="87">
        <f t="shared" si="116"/>
        <v>9.8040000966208348E-3</v>
      </c>
      <c r="X1231" s="87">
        <f t="shared" si="116"/>
        <v>-4.4150182091167202E-3</v>
      </c>
      <c r="Y1231" s="87">
        <f t="shared" si="116"/>
        <v>6.1919702479209804E-3</v>
      </c>
      <c r="Z1231" s="87">
        <f t="shared" si="114"/>
        <v>-7.410797215372196E-2</v>
      </c>
      <c r="AA1231" s="87">
        <f t="shared" si="114"/>
        <v>-2.0855064910213707E-3</v>
      </c>
      <c r="AB1231" s="87">
        <f t="shared" si="114"/>
        <v>1.5070252920998173E-2</v>
      </c>
      <c r="AC1231" s="87">
        <f t="shared" si="114"/>
        <v>1.512536107075598E-2</v>
      </c>
      <c r="AD1231" s="87">
        <f t="shared" si="113"/>
        <v>5.6179923042232738E-3</v>
      </c>
      <c r="AE1231" s="90">
        <f t="shared" ref="AE1231:AE1294" si="119">+SUMPRODUCT(Q1231:AD1231,$Q$8:$AD$8)</f>
        <v>1.3415460230495975E-3</v>
      </c>
    </row>
    <row r="1232" spans="1:31" ht="15.5" x14ac:dyDescent="0.35">
      <c r="A1232" s="82">
        <v>41554</v>
      </c>
      <c r="B1232" s="83">
        <v>9597.5</v>
      </c>
      <c r="C1232" s="84">
        <v>3770.4</v>
      </c>
      <c r="D1232" s="61">
        <v>432.5</v>
      </c>
      <c r="E1232" s="61">
        <v>34.1</v>
      </c>
      <c r="F1232" s="61">
        <v>69.3</v>
      </c>
      <c r="G1232" s="61">
        <v>33.200000000000003</v>
      </c>
      <c r="H1232" s="61">
        <v>20.5</v>
      </c>
      <c r="I1232" s="61">
        <v>22.4</v>
      </c>
      <c r="J1232" s="61">
        <v>32.5</v>
      </c>
      <c r="K1232" s="61">
        <v>7.6</v>
      </c>
      <c r="L1232" s="61">
        <v>47.7</v>
      </c>
      <c r="M1232" s="61">
        <v>46.6</v>
      </c>
      <c r="N1232" s="61">
        <v>86.2</v>
      </c>
      <c r="O1232" s="85">
        <v>35.700000000000003</v>
      </c>
      <c r="P1232" s="105"/>
      <c r="Q1232" s="87">
        <f t="shared" si="118"/>
        <v>-8.1149398269806557E-3</v>
      </c>
      <c r="R1232" s="87">
        <f t="shared" si="117"/>
        <v>-9.870497914055025E-3</v>
      </c>
      <c r="S1232" s="87">
        <f t="shared" si="117"/>
        <v>-6.682822428512954E-3</v>
      </c>
      <c r="T1232" s="87">
        <f t="shared" si="116"/>
        <v>2.9368596733097057E-3</v>
      </c>
      <c r="U1232" s="87">
        <f t="shared" si="116"/>
        <v>1.3072081567352701E-2</v>
      </c>
      <c r="V1232" s="87">
        <f t="shared" si="116"/>
        <v>-1.1976191046715649E-2</v>
      </c>
      <c r="W1232" s="87">
        <f t="shared" si="116"/>
        <v>0</v>
      </c>
      <c r="X1232" s="87">
        <f t="shared" si="116"/>
        <v>-8.888947417246152E-3</v>
      </c>
      <c r="Y1232" s="87">
        <f t="shared" si="116"/>
        <v>3.0816665374081144E-3</v>
      </c>
      <c r="Z1232" s="87">
        <f t="shared" si="114"/>
        <v>-2.5975486403260677E-2</v>
      </c>
      <c r="AA1232" s="87">
        <f t="shared" si="114"/>
        <v>-4.1841065225739849E-3</v>
      </c>
      <c r="AB1232" s="87">
        <f t="shared" si="114"/>
        <v>-4.2826617920007359E-3</v>
      </c>
      <c r="AC1232" s="87">
        <f t="shared" si="114"/>
        <v>-4.6296378987419938E-3</v>
      </c>
      <c r="AD1232" s="87">
        <f t="shared" si="113"/>
        <v>0</v>
      </c>
      <c r="AE1232" s="90">
        <f t="shared" si="119"/>
        <v>-1.1773420383512445E-3</v>
      </c>
    </row>
    <row r="1233" spans="1:31" ht="15.5" x14ac:dyDescent="0.35">
      <c r="A1233" s="82">
        <v>41555</v>
      </c>
      <c r="B1233" s="83">
        <v>9483.2000000000007</v>
      </c>
      <c r="C1233" s="84">
        <v>3694.8</v>
      </c>
      <c r="D1233" s="61">
        <v>426.2</v>
      </c>
      <c r="E1233" s="61">
        <v>32.1</v>
      </c>
      <c r="F1233" s="61">
        <v>68.7</v>
      </c>
      <c r="G1233" s="61">
        <v>32.799999999999997</v>
      </c>
      <c r="H1233" s="61">
        <v>19.899999999999999</v>
      </c>
      <c r="I1233" s="61">
        <v>21.6</v>
      </c>
      <c r="J1233" s="61">
        <v>32.200000000000003</v>
      </c>
      <c r="K1233" s="61">
        <v>7.8</v>
      </c>
      <c r="L1233" s="61">
        <v>47.6</v>
      </c>
      <c r="M1233" s="61">
        <v>46.3</v>
      </c>
      <c r="N1233" s="61">
        <v>84.6</v>
      </c>
      <c r="O1233" s="85">
        <v>35.1</v>
      </c>
      <c r="P1233" s="105"/>
      <c r="Q1233" s="87">
        <f t="shared" si="118"/>
        <v>-1.1980835841379036E-2</v>
      </c>
      <c r="R1233" s="87">
        <f t="shared" si="117"/>
        <v>-2.0254670891066067E-2</v>
      </c>
      <c r="S1233" s="87">
        <f t="shared" si="117"/>
        <v>-1.4673606707417297E-2</v>
      </c>
      <c r="T1233" s="87">
        <f t="shared" si="116"/>
        <v>-6.0441354153500867E-2</v>
      </c>
      <c r="U1233" s="87">
        <f t="shared" si="116"/>
        <v>-8.695706967553821E-3</v>
      </c>
      <c r="V1233" s="87">
        <f t="shared" si="116"/>
        <v>-1.2121360532344963E-2</v>
      </c>
      <c r="W1233" s="87">
        <f t="shared" si="116"/>
        <v>-2.9705154413915809E-2</v>
      </c>
      <c r="X1233" s="87">
        <f t="shared" si="116"/>
        <v>-3.6367644170874715E-2</v>
      </c>
      <c r="Y1233" s="87">
        <f t="shared" si="116"/>
        <v>-9.2736367853291021E-3</v>
      </c>
      <c r="Z1233" s="87">
        <f t="shared" si="114"/>
        <v>2.5975486403260736E-2</v>
      </c>
      <c r="AA1233" s="87">
        <f t="shared" si="114"/>
        <v>-2.0986366569212492E-3</v>
      </c>
      <c r="AB1233" s="87">
        <f t="shared" si="114"/>
        <v>-6.4585800394119314E-3</v>
      </c>
      <c r="AC1233" s="87">
        <f t="shared" si="114"/>
        <v>-1.8735911057469929E-2</v>
      </c>
      <c r="AD1233" s="87">
        <f t="shared" si="113"/>
        <v>-1.694955831377332E-2</v>
      </c>
      <c r="AE1233" s="90">
        <f t="shared" si="119"/>
        <v>-1.4913846047956085E-2</v>
      </c>
    </row>
    <row r="1234" spans="1:31" ht="15.5" x14ac:dyDescent="0.35">
      <c r="A1234" s="82">
        <v>41556</v>
      </c>
      <c r="B1234" s="83">
        <v>9497</v>
      </c>
      <c r="C1234" s="84">
        <v>3677.8</v>
      </c>
      <c r="D1234" s="61">
        <v>421.9</v>
      </c>
      <c r="E1234" s="61">
        <v>31.8</v>
      </c>
      <c r="F1234" s="61">
        <v>68.3</v>
      </c>
      <c r="G1234" s="61">
        <v>33</v>
      </c>
      <c r="H1234" s="61">
        <v>19.899999999999999</v>
      </c>
      <c r="I1234" s="61">
        <v>21.5</v>
      </c>
      <c r="J1234" s="61">
        <v>32</v>
      </c>
      <c r="K1234" s="61">
        <v>7.8</v>
      </c>
      <c r="L1234" s="61">
        <v>47.1</v>
      </c>
      <c r="M1234" s="61">
        <v>45.8</v>
      </c>
      <c r="N1234" s="61">
        <v>84.4</v>
      </c>
      <c r="O1234" s="85">
        <v>35</v>
      </c>
      <c r="P1234" s="105"/>
      <c r="Q1234" s="87">
        <f t="shared" si="118"/>
        <v>1.454147209378762E-3</v>
      </c>
      <c r="R1234" s="87">
        <f t="shared" si="117"/>
        <v>-4.6116784117021786E-3</v>
      </c>
      <c r="S1234" s="87">
        <f t="shared" si="117"/>
        <v>-1.0140400534223829E-2</v>
      </c>
      <c r="T1234" s="87">
        <f t="shared" si="116"/>
        <v>-9.3897403498390316E-3</v>
      </c>
      <c r="U1234" s="87">
        <f t="shared" si="116"/>
        <v>-5.8394326515593276E-3</v>
      </c>
      <c r="V1234" s="87">
        <f t="shared" si="116"/>
        <v>6.0790460763821925E-3</v>
      </c>
      <c r="W1234" s="87">
        <f t="shared" si="116"/>
        <v>0</v>
      </c>
      <c r="X1234" s="87">
        <f t="shared" si="116"/>
        <v>-4.6403795565022254E-3</v>
      </c>
      <c r="Y1234" s="87">
        <f t="shared" si="116"/>
        <v>-6.2305497506361975E-3</v>
      </c>
      <c r="Z1234" s="87">
        <f t="shared" si="114"/>
        <v>0</v>
      </c>
      <c r="AA1234" s="87">
        <f t="shared" si="114"/>
        <v>-1.0559760215002217E-2</v>
      </c>
      <c r="AB1234" s="87">
        <f t="shared" si="114"/>
        <v>-1.0857869972049069E-2</v>
      </c>
      <c r="AC1234" s="87">
        <f t="shared" si="114"/>
        <v>-2.3668650102660568E-3</v>
      </c>
      <c r="AD1234" s="87">
        <f t="shared" si="113"/>
        <v>-2.8530689824065106E-3</v>
      </c>
      <c r="AE1234" s="90">
        <f t="shared" si="119"/>
        <v>-6.3675978526237416E-3</v>
      </c>
    </row>
    <row r="1235" spans="1:31" ht="15.5" x14ac:dyDescent="0.35">
      <c r="A1235" s="82">
        <v>41557</v>
      </c>
      <c r="B1235" s="83">
        <v>9694</v>
      </c>
      <c r="C1235" s="84">
        <v>3760.8</v>
      </c>
      <c r="D1235" s="61">
        <v>430.5</v>
      </c>
      <c r="E1235" s="61">
        <v>33.299999999999997</v>
      </c>
      <c r="F1235" s="61">
        <v>69.599999999999994</v>
      </c>
      <c r="G1235" s="61">
        <v>33.299999999999997</v>
      </c>
      <c r="H1235" s="61">
        <v>20.100000000000001</v>
      </c>
      <c r="I1235" s="61">
        <v>22.3</v>
      </c>
      <c r="J1235" s="61">
        <v>31.7</v>
      </c>
      <c r="K1235" s="61">
        <v>7.9</v>
      </c>
      <c r="L1235" s="61">
        <v>47</v>
      </c>
      <c r="M1235" s="61">
        <v>47.1</v>
      </c>
      <c r="N1235" s="61">
        <v>85.4</v>
      </c>
      <c r="O1235" s="85">
        <v>36</v>
      </c>
      <c r="P1235" s="105"/>
      <c r="Q1235" s="87">
        <f t="shared" si="118"/>
        <v>2.0531178162368834E-2</v>
      </c>
      <c r="R1235" s="87">
        <f t="shared" si="117"/>
        <v>2.2316953403167944E-2</v>
      </c>
      <c r="S1235" s="87">
        <f t="shared" si="117"/>
        <v>2.0179004737492654E-2</v>
      </c>
      <c r="T1235" s="87">
        <f t="shared" si="116"/>
        <v>4.6091107200266879E-2</v>
      </c>
      <c r="U1235" s="87">
        <f t="shared" si="116"/>
        <v>1.8854800763629612E-2</v>
      </c>
      <c r="V1235" s="87">
        <f t="shared" si="116"/>
        <v>9.0498355199178562E-3</v>
      </c>
      <c r="W1235" s="87">
        <f t="shared" si="116"/>
        <v>1.0000083334583399E-2</v>
      </c>
      <c r="X1235" s="87">
        <f t="shared" si="116"/>
        <v>3.653374333245607E-2</v>
      </c>
      <c r="Y1235" s="87">
        <f t="shared" si="116"/>
        <v>-9.4192219164916397E-3</v>
      </c>
      <c r="Z1235" s="87">
        <f t="shared" si="114"/>
        <v>1.2739025777429932E-2</v>
      </c>
      <c r="AA1235" s="87">
        <f t="shared" si="114"/>
        <v>-2.1253993123134776E-3</v>
      </c>
      <c r="AB1235" s="87">
        <f t="shared" si="114"/>
        <v>2.7988909902232802E-2</v>
      </c>
      <c r="AC1235" s="87">
        <f t="shared" si="114"/>
        <v>1.1778699192612705E-2</v>
      </c>
      <c r="AD1235" s="87">
        <f t="shared" si="113"/>
        <v>2.8170876966696224E-2</v>
      </c>
      <c r="AE1235" s="90">
        <f t="shared" si="119"/>
        <v>2.1412608254317886E-2</v>
      </c>
    </row>
    <row r="1236" spans="1:31" ht="15.5" x14ac:dyDescent="0.35">
      <c r="A1236" s="82">
        <v>41558</v>
      </c>
      <c r="B1236" s="83">
        <v>9761.7999999999993</v>
      </c>
      <c r="C1236" s="84">
        <v>3791.9</v>
      </c>
      <c r="D1236" s="61">
        <v>433.1</v>
      </c>
      <c r="E1236" s="61">
        <v>33.6</v>
      </c>
      <c r="F1236" s="61">
        <v>69.3</v>
      </c>
      <c r="G1236" s="61">
        <v>33.700000000000003</v>
      </c>
      <c r="H1236" s="61">
        <v>20.2</v>
      </c>
      <c r="I1236" s="61">
        <v>22.4</v>
      </c>
      <c r="J1236" s="61">
        <v>31</v>
      </c>
      <c r="K1236" s="61">
        <v>7.9</v>
      </c>
      <c r="L1236" s="61">
        <v>47.2</v>
      </c>
      <c r="M1236" s="61">
        <v>47.8</v>
      </c>
      <c r="N1236" s="61">
        <v>86.3</v>
      </c>
      <c r="O1236" s="85">
        <v>36.4</v>
      </c>
      <c r="P1236" s="105"/>
      <c r="Q1236" s="87">
        <f t="shared" si="118"/>
        <v>6.9696722268986194E-3</v>
      </c>
      <c r="R1236" s="87">
        <f t="shared" si="117"/>
        <v>8.2355120092456931E-3</v>
      </c>
      <c r="S1236" s="87">
        <f t="shared" si="117"/>
        <v>6.0213243527954896E-3</v>
      </c>
      <c r="T1236" s="87">
        <f t="shared" si="116"/>
        <v>8.9686699827605364E-3</v>
      </c>
      <c r="U1236" s="87">
        <f t="shared" si="116"/>
        <v>-4.3196611445163961E-3</v>
      </c>
      <c r="V1236" s="87">
        <f t="shared" si="116"/>
        <v>1.1940440371918069E-2</v>
      </c>
      <c r="W1236" s="87">
        <f t="shared" si="116"/>
        <v>4.962789342128876E-3</v>
      </c>
      <c r="X1236" s="87">
        <f t="shared" si="116"/>
        <v>4.4742803949211069E-3</v>
      </c>
      <c r="Y1236" s="87">
        <f t="shared" si="116"/>
        <v>-2.2329476398088657E-2</v>
      </c>
      <c r="Z1236" s="87">
        <f t="shared" si="114"/>
        <v>0</v>
      </c>
      <c r="AA1236" s="87">
        <f t="shared" si="114"/>
        <v>4.2462908814512243E-3</v>
      </c>
      <c r="AB1236" s="87">
        <f t="shared" si="114"/>
        <v>1.4752638475038224E-2</v>
      </c>
      <c r="AC1236" s="87">
        <f t="shared" si="114"/>
        <v>1.0483497294857983E-2</v>
      </c>
      <c r="AD1236" s="87">
        <f t="shared" si="113"/>
        <v>1.1049836186584935E-2</v>
      </c>
      <c r="AE1236" s="90">
        <f t="shared" si="119"/>
        <v>4.3393403258929208E-3</v>
      </c>
    </row>
    <row r="1237" spans="1:31" ht="15.5" x14ac:dyDescent="0.35">
      <c r="A1237" s="82">
        <v>41561</v>
      </c>
      <c r="B1237" s="83">
        <v>9797.2000000000007</v>
      </c>
      <c r="C1237" s="84">
        <v>3815.3</v>
      </c>
      <c r="D1237" s="61">
        <v>433.1</v>
      </c>
      <c r="E1237" s="61">
        <v>33.700000000000003</v>
      </c>
      <c r="F1237" s="61">
        <v>69.900000000000006</v>
      </c>
      <c r="G1237" s="61">
        <v>33.799999999999997</v>
      </c>
      <c r="H1237" s="61">
        <v>19.899999999999999</v>
      </c>
      <c r="I1237" s="61">
        <v>22.3</v>
      </c>
      <c r="J1237" s="61">
        <v>31.1</v>
      </c>
      <c r="K1237" s="61">
        <v>7.8</v>
      </c>
      <c r="L1237" s="61">
        <v>46.4</v>
      </c>
      <c r="M1237" s="61">
        <v>48</v>
      </c>
      <c r="N1237" s="61">
        <v>87</v>
      </c>
      <c r="O1237" s="85">
        <v>36.4</v>
      </c>
      <c r="P1237" s="105"/>
      <c r="Q1237" s="87">
        <f t="shared" si="118"/>
        <v>3.6198209166265478E-3</v>
      </c>
      <c r="R1237" s="87">
        <f t="shared" si="117"/>
        <v>6.1520858670382718E-3</v>
      </c>
      <c r="S1237" s="87">
        <f t="shared" si="117"/>
        <v>0</v>
      </c>
      <c r="T1237" s="87">
        <f t="shared" si="116"/>
        <v>2.97177038915748E-3</v>
      </c>
      <c r="U1237" s="87">
        <f t="shared" si="116"/>
        <v>8.6207430439071749E-3</v>
      </c>
      <c r="V1237" s="87">
        <f t="shared" si="116"/>
        <v>2.9629651306568271E-3</v>
      </c>
      <c r="W1237" s="87">
        <f t="shared" si="116"/>
        <v>-1.4962872676712377E-2</v>
      </c>
      <c r="X1237" s="87">
        <f t="shared" si="116"/>
        <v>-4.4742803949209663E-3</v>
      </c>
      <c r="Y1237" s="87">
        <f t="shared" si="116"/>
        <v>3.2206147000421572E-3</v>
      </c>
      <c r="Z1237" s="87">
        <f t="shared" si="114"/>
        <v>-1.2739025777429826E-2</v>
      </c>
      <c r="AA1237" s="87">
        <f t="shared" si="114"/>
        <v>-1.7094433359300183E-2</v>
      </c>
      <c r="AB1237" s="87">
        <f t="shared" si="114"/>
        <v>4.175371410480592E-3</v>
      </c>
      <c r="AC1237" s="87">
        <f t="shared" si="114"/>
        <v>8.0785205652014764E-3</v>
      </c>
      <c r="AD1237" s="87">
        <f t="shared" si="113"/>
        <v>0</v>
      </c>
      <c r="AE1237" s="90">
        <f t="shared" si="119"/>
        <v>4.3090845086588923E-3</v>
      </c>
    </row>
    <row r="1238" spans="1:31" ht="15.5" x14ac:dyDescent="0.35">
      <c r="A1238" s="82">
        <v>41562</v>
      </c>
      <c r="B1238" s="83">
        <v>9726.6</v>
      </c>
      <c r="C1238" s="84">
        <v>3794</v>
      </c>
      <c r="D1238" s="61">
        <v>437.4</v>
      </c>
      <c r="E1238" s="61">
        <v>33.1</v>
      </c>
      <c r="F1238" s="61">
        <v>70.8</v>
      </c>
      <c r="G1238" s="61">
        <v>34.5</v>
      </c>
      <c r="H1238" s="61">
        <v>20.100000000000001</v>
      </c>
      <c r="I1238" s="61">
        <v>22.2</v>
      </c>
      <c r="J1238" s="61">
        <v>31.3</v>
      </c>
      <c r="K1238" s="61">
        <v>7.1</v>
      </c>
      <c r="L1238" s="61">
        <v>46.4</v>
      </c>
      <c r="M1238" s="61">
        <v>48.3</v>
      </c>
      <c r="N1238" s="61">
        <v>86.8</v>
      </c>
      <c r="O1238" s="85">
        <v>36.700000000000003</v>
      </c>
      <c r="P1238" s="105"/>
      <c r="Q1238" s="87">
        <f t="shared" si="118"/>
        <v>-7.2322301732638226E-3</v>
      </c>
      <c r="R1238" s="87">
        <f t="shared" si="117"/>
        <v>-5.5984270912451872E-3</v>
      </c>
      <c r="S1238" s="87">
        <f t="shared" si="117"/>
        <v>9.8794600220863515E-3</v>
      </c>
      <c r="T1238" s="87">
        <f t="shared" si="116"/>
        <v>-1.7964554975298884E-2</v>
      </c>
      <c r="U1238" s="87">
        <f t="shared" si="116"/>
        <v>1.2793351459909322E-2</v>
      </c>
      <c r="V1238" s="87">
        <f t="shared" si="116"/>
        <v>2.0498521548340969E-2</v>
      </c>
      <c r="W1238" s="87">
        <f t="shared" si="116"/>
        <v>1.0000083334583399E-2</v>
      </c>
      <c r="X1238" s="87">
        <f t="shared" si="116"/>
        <v>-4.4943895878393264E-3</v>
      </c>
      <c r="Y1238" s="87">
        <f t="shared" si="116"/>
        <v>6.4102783609190188E-3</v>
      </c>
      <c r="Z1238" s="87">
        <f t="shared" si="114"/>
        <v>-9.4028949648276336E-2</v>
      </c>
      <c r="AA1238" s="87">
        <f t="shared" si="114"/>
        <v>0</v>
      </c>
      <c r="AB1238" s="87">
        <f t="shared" si="114"/>
        <v>6.2305497506359416E-3</v>
      </c>
      <c r="AC1238" s="87">
        <f t="shared" si="114"/>
        <v>-2.3014969882792745E-3</v>
      </c>
      <c r="AD1238" s="87">
        <f t="shared" si="113"/>
        <v>8.2079804178298021E-3</v>
      </c>
      <c r="AE1238" s="90">
        <f t="shared" si="119"/>
        <v>5.8700161121495818E-3</v>
      </c>
    </row>
    <row r="1239" spans="1:31" ht="15.5" x14ac:dyDescent="0.35">
      <c r="A1239" s="82">
        <v>41563</v>
      </c>
      <c r="B1239" s="83">
        <v>9845</v>
      </c>
      <c r="C1239" s="84">
        <v>3839.4</v>
      </c>
      <c r="D1239" s="61">
        <v>442.5</v>
      </c>
      <c r="E1239" s="61">
        <v>32.799999999999997</v>
      </c>
      <c r="F1239" s="61">
        <v>71.3</v>
      </c>
      <c r="G1239" s="61">
        <v>34.6</v>
      </c>
      <c r="H1239" s="61">
        <v>20.2</v>
      </c>
      <c r="I1239" s="61">
        <v>22.3</v>
      </c>
      <c r="J1239" s="61">
        <v>31.7</v>
      </c>
      <c r="K1239" s="61">
        <v>7.2</v>
      </c>
      <c r="L1239" s="61">
        <v>46.6</v>
      </c>
      <c r="M1239" s="61">
        <v>48.6</v>
      </c>
      <c r="N1239" s="61">
        <v>87.4</v>
      </c>
      <c r="O1239" s="85">
        <v>36.9</v>
      </c>
      <c r="P1239" s="105"/>
      <c r="Q1239" s="87">
        <f t="shared" si="118"/>
        <v>1.2099311697643394E-2</v>
      </c>
      <c r="R1239" s="87">
        <f t="shared" si="117"/>
        <v>1.1895232878510074E-2</v>
      </c>
      <c r="S1239" s="87">
        <f t="shared" si="117"/>
        <v>1.1592356205316817E-2</v>
      </c>
      <c r="T1239" s="87">
        <f t="shared" si="116"/>
        <v>-9.1047669929193165E-3</v>
      </c>
      <c r="U1239" s="87">
        <f t="shared" si="116"/>
        <v>7.037326720576084E-3</v>
      </c>
      <c r="V1239" s="87">
        <f t="shared" si="116"/>
        <v>2.8943580263645565E-3</v>
      </c>
      <c r="W1239" s="87">
        <f t="shared" si="116"/>
        <v>4.962789342128876E-3</v>
      </c>
      <c r="X1239" s="87">
        <f t="shared" si="116"/>
        <v>4.4943895878392674E-3</v>
      </c>
      <c r="Y1239" s="87">
        <f t="shared" si="116"/>
        <v>1.2698583337127343E-2</v>
      </c>
      <c r="Z1239" s="87">
        <f t="shared" si="114"/>
        <v>1.398624197473987E-2</v>
      </c>
      <c r="AA1239" s="87">
        <f t="shared" si="114"/>
        <v>4.3010818993907017E-3</v>
      </c>
      <c r="AB1239" s="87">
        <f t="shared" si="114"/>
        <v>6.1919702479212007E-3</v>
      </c>
      <c r="AC1239" s="87">
        <f t="shared" si="114"/>
        <v>6.8886609951853157E-3</v>
      </c>
      <c r="AD1239" s="87">
        <f t="shared" si="113"/>
        <v>5.4347959859567746E-3</v>
      </c>
      <c r="AE1239" s="90">
        <f t="shared" si="119"/>
        <v>9.6322421509909256E-3</v>
      </c>
    </row>
    <row r="1240" spans="1:31" ht="15.5" x14ac:dyDescent="0.35">
      <c r="A1240" s="82">
        <v>41564</v>
      </c>
      <c r="B1240" s="83">
        <v>9934.7999999999993</v>
      </c>
      <c r="C1240" s="84">
        <v>3863.1</v>
      </c>
      <c r="D1240" s="61">
        <v>443.3</v>
      </c>
      <c r="E1240" s="61">
        <v>32.299999999999997</v>
      </c>
      <c r="F1240" s="61">
        <v>71.400000000000006</v>
      </c>
      <c r="G1240" s="61">
        <v>34.4</v>
      </c>
      <c r="H1240" s="61">
        <v>20.3</v>
      </c>
      <c r="I1240" s="61">
        <v>22.1</v>
      </c>
      <c r="J1240" s="61">
        <v>32</v>
      </c>
      <c r="K1240" s="61">
        <v>7.3</v>
      </c>
      <c r="L1240" s="61">
        <v>46.9</v>
      </c>
      <c r="M1240" s="61">
        <v>48.8</v>
      </c>
      <c r="N1240" s="61">
        <v>90.3</v>
      </c>
      <c r="O1240" s="85">
        <v>37</v>
      </c>
      <c r="P1240" s="105"/>
      <c r="Q1240" s="87">
        <f t="shared" si="118"/>
        <v>9.0800328595346102E-3</v>
      </c>
      <c r="R1240" s="87">
        <f t="shared" si="117"/>
        <v>6.1538655743782859E-3</v>
      </c>
      <c r="S1240" s="87">
        <f t="shared" si="117"/>
        <v>1.8062773030236802E-3</v>
      </c>
      <c r="T1240" s="87">
        <f t="shared" si="116"/>
        <v>-1.5361285161487206E-2</v>
      </c>
      <c r="U1240" s="87">
        <f t="shared" si="116"/>
        <v>1.4015419252884772E-3</v>
      </c>
      <c r="V1240" s="87">
        <f t="shared" si="116"/>
        <v>-5.7971176843259579E-3</v>
      </c>
      <c r="W1240" s="87">
        <f t="shared" si="116"/>
        <v>4.9382816405825767E-3</v>
      </c>
      <c r="X1240" s="87">
        <f t="shared" si="116"/>
        <v>-9.009069942365857E-3</v>
      </c>
      <c r="Y1240" s="87">
        <f t="shared" si="116"/>
        <v>9.4192219164915582E-3</v>
      </c>
      <c r="Z1240" s="87">
        <f t="shared" si="114"/>
        <v>1.3793322132335769E-2</v>
      </c>
      <c r="AA1240" s="87">
        <f t="shared" si="114"/>
        <v>6.417134320633509E-3</v>
      </c>
      <c r="AB1240" s="87">
        <f t="shared" si="114"/>
        <v>4.1067819526532812E-3</v>
      </c>
      <c r="AC1240" s="87">
        <f t="shared" si="114"/>
        <v>3.2642177761449911E-2</v>
      </c>
      <c r="AD1240" s="87">
        <f t="shared" si="113"/>
        <v>2.7063615977430673E-3</v>
      </c>
      <c r="AE1240" s="90">
        <f t="shared" si="119"/>
        <v>3.1031344446773058E-3</v>
      </c>
    </row>
    <row r="1241" spans="1:31" ht="15.5" x14ac:dyDescent="0.35">
      <c r="A1241" s="82">
        <v>41565</v>
      </c>
      <c r="B1241" s="83">
        <v>9984.6</v>
      </c>
      <c r="C1241" s="84">
        <v>3914.3</v>
      </c>
      <c r="D1241" s="61">
        <v>487.5</v>
      </c>
      <c r="E1241" s="61">
        <v>33.1</v>
      </c>
      <c r="F1241" s="61">
        <v>72.2</v>
      </c>
      <c r="G1241" s="61">
        <v>34.299999999999997</v>
      </c>
      <c r="H1241" s="61">
        <v>21</v>
      </c>
      <c r="I1241" s="61">
        <v>22.4</v>
      </c>
      <c r="J1241" s="61">
        <v>32</v>
      </c>
      <c r="K1241" s="61">
        <v>7</v>
      </c>
      <c r="L1241" s="61">
        <v>46.5</v>
      </c>
      <c r="M1241" s="61">
        <v>48.8</v>
      </c>
      <c r="N1241" s="61">
        <v>91.6</v>
      </c>
      <c r="O1241" s="85">
        <v>37.1</v>
      </c>
      <c r="P1241" s="105"/>
      <c r="Q1241" s="87">
        <f t="shared" si="118"/>
        <v>5.0001610245930727E-3</v>
      </c>
      <c r="R1241" s="87">
        <f t="shared" si="117"/>
        <v>1.3166544001377104E-2</v>
      </c>
      <c r="S1241" s="87">
        <f t="shared" si="117"/>
        <v>9.504354868689395E-2</v>
      </c>
      <c r="T1241" s="87">
        <f t="shared" si="116"/>
        <v>2.4466052154406424E-2</v>
      </c>
      <c r="U1241" s="87">
        <f t="shared" si="116"/>
        <v>1.1142176553241803E-2</v>
      </c>
      <c r="V1241" s="87">
        <f t="shared" si="116"/>
        <v>-2.9112102074584415E-3</v>
      </c>
      <c r="W1241" s="87">
        <f t="shared" si="116"/>
        <v>3.3901551675681416E-2</v>
      </c>
      <c r="X1241" s="87">
        <f t="shared" si="116"/>
        <v>1.3483350337286988E-2</v>
      </c>
      <c r="Y1241" s="87">
        <f t="shared" si="116"/>
        <v>0</v>
      </c>
      <c r="Z1241" s="87">
        <f t="shared" si="114"/>
        <v>-4.1964199099032082E-2</v>
      </c>
      <c r="AA1241" s="87">
        <f t="shared" si="114"/>
        <v>-8.5653628589230455E-3</v>
      </c>
      <c r="AB1241" s="87">
        <f t="shared" si="114"/>
        <v>0</v>
      </c>
      <c r="AC1241" s="87">
        <f t="shared" si="114"/>
        <v>1.4293811257144904E-2</v>
      </c>
      <c r="AD1241" s="87">
        <f t="shared" si="113"/>
        <v>2.6990569691649835E-3</v>
      </c>
      <c r="AE1241" s="90">
        <f t="shared" si="119"/>
        <v>3.5286059995164466E-2</v>
      </c>
    </row>
    <row r="1242" spans="1:31" ht="15.5" x14ac:dyDescent="0.35">
      <c r="A1242" s="82">
        <v>41568</v>
      </c>
      <c r="B1242" s="83">
        <v>9982.7000000000007</v>
      </c>
      <c r="C1242" s="84">
        <v>3920.1</v>
      </c>
      <c r="D1242" s="61">
        <v>500.3</v>
      </c>
      <c r="E1242" s="61">
        <v>33.700000000000003</v>
      </c>
      <c r="F1242" s="61">
        <v>73.099999999999994</v>
      </c>
      <c r="G1242" s="61">
        <v>34.9</v>
      </c>
      <c r="H1242" s="61">
        <v>20.7</v>
      </c>
      <c r="I1242" s="61">
        <v>20.9</v>
      </c>
      <c r="J1242" s="61">
        <v>32</v>
      </c>
      <c r="K1242" s="61">
        <v>6.3</v>
      </c>
      <c r="L1242" s="61">
        <v>46.1</v>
      </c>
      <c r="M1242" s="61">
        <v>49.2</v>
      </c>
      <c r="N1242" s="61">
        <v>92.6</v>
      </c>
      <c r="O1242" s="85">
        <v>37.799999999999997</v>
      </c>
      <c r="P1242" s="105"/>
      <c r="Q1242" s="87">
        <f t="shared" si="118"/>
        <v>-1.903111593188606E-4</v>
      </c>
      <c r="R1242" s="87">
        <f t="shared" si="117"/>
        <v>1.4806497139852131E-3</v>
      </c>
      <c r="S1242" s="87">
        <f t="shared" si="117"/>
        <v>2.5917628056257469E-2</v>
      </c>
      <c r="T1242" s="87">
        <f t="shared" si="116"/>
        <v>1.7964554975298894E-2</v>
      </c>
      <c r="U1242" s="87">
        <f t="shared" si="116"/>
        <v>1.2388320856952266E-2</v>
      </c>
      <c r="V1242" s="87">
        <f t="shared" si="116"/>
        <v>1.7341475036487392E-2</v>
      </c>
      <c r="W1242" s="87">
        <f t="shared" si="116"/>
        <v>-1.4388737452099669E-2</v>
      </c>
      <c r="X1242" s="87">
        <f t="shared" si="116"/>
        <v>-6.9311799890228828E-2</v>
      </c>
      <c r="Y1242" s="87">
        <f t="shared" si="116"/>
        <v>0</v>
      </c>
      <c r="Z1242" s="87">
        <f t="shared" si="114"/>
        <v>-0.10536051565782628</v>
      </c>
      <c r="AA1242" s="87">
        <f t="shared" si="114"/>
        <v>-8.6393625907077408E-3</v>
      </c>
      <c r="AB1242" s="87">
        <f t="shared" si="114"/>
        <v>8.1633106391610557E-3</v>
      </c>
      <c r="AC1242" s="87">
        <f t="shared" si="114"/>
        <v>1.0857869972049086E-2</v>
      </c>
      <c r="AD1242" s="87">
        <f t="shared" si="113"/>
        <v>1.8692133012152327E-2</v>
      </c>
      <c r="AE1242" s="90">
        <f t="shared" si="119"/>
        <v>1.3845878608349267E-2</v>
      </c>
    </row>
    <row r="1243" spans="1:31" ht="15.5" x14ac:dyDescent="0.35">
      <c r="A1243" s="82">
        <v>41569</v>
      </c>
      <c r="B1243" s="83">
        <v>10056.6</v>
      </c>
      <c r="C1243" s="84">
        <v>3929.6</v>
      </c>
      <c r="D1243" s="61">
        <v>498.4</v>
      </c>
      <c r="E1243" s="61">
        <v>33.6</v>
      </c>
      <c r="F1243" s="61">
        <v>72.599999999999994</v>
      </c>
      <c r="G1243" s="61">
        <v>34.5</v>
      </c>
      <c r="H1243" s="61">
        <v>20.5</v>
      </c>
      <c r="I1243" s="61">
        <v>21.1</v>
      </c>
      <c r="J1243" s="61">
        <v>31.6</v>
      </c>
      <c r="K1243" s="61">
        <v>6.2</v>
      </c>
      <c r="L1243" s="61">
        <v>46.1</v>
      </c>
      <c r="M1243" s="61">
        <v>49</v>
      </c>
      <c r="N1243" s="61">
        <v>93.5</v>
      </c>
      <c r="O1243" s="85">
        <v>37.799999999999997</v>
      </c>
      <c r="P1243" s="105"/>
      <c r="Q1243" s="87">
        <f t="shared" si="118"/>
        <v>7.3755405632332386E-3</v>
      </c>
      <c r="R1243" s="87">
        <f t="shared" si="117"/>
        <v>2.4204758495585585E-3</v>
      </c>
      <c r="S1243" s="87">
        <f t="shared" si="117"/>
        <v>-3.8049510209159855E-3</v>
      </c>
      <c r="T1243" s="87">
        <f t="shared" si="116"/>
        <v>-2.9717703891574817E-3</v>
      </c>
      <c r="U1243" s="87">
        <f t="shared" si="116"/>
        <v>-6.8634449249824004E-3</v>
      </c>
      <c r="V1243" s="87">
        <f t="shared" si="116"/>
        <v>-1.1527505171067383E-2</v>
      </c>
      <c r="W1243" s="87">
        <f t="shared" si="116"/>
        <v>-9.7088141269608269E-3</v>
      </c>
      <c r="X1243" s="87">
        <f t="shared" si="116"/>
        <v>9.523881511255541E-3</v>
      </c>
      <c r="Y1243" s="87">
        <f t="shared" si="116"/>
        <v>-1.2578782206860073E-2</v>
      </c>
      <c r="Z1243" s="87">
        <f t="shared" si="114"/>
        <v>-1.6000341346441075E-2</v>
      </c>
      <c r="AA1243" s="87">
        <f t="shared" si="114"/>
        <v>0</v>
      </c>
      <c r="AB1243" s="87">
        <f t="shared" si="114"/>
        <v>-4.0733253876358982E-3</v>
      </c>
      <c r="AC1243" s="87">
        <f t="shared" si="114"/>
        <v>9.6722946425077273E-3</v>
      </c>
      <c r="AD1243" s="87">
        <f t="shared" si="113"/>
        <v>0</v>
      </c>
      <c r="AE1243" s="90">
        <f t="shared" si="119"/>
        <v>-2.3509459683205987E-3</v>
      </c>
    </row>
    <row r="1244" spans="1:31" ht="15.5" x14ac:dyDescent="0.35">
      <c r="A1244" s="82">
        <v>41570</v>
      </c>
      <c r="B1244" s="83">
        <v>9990.2999999999993</v>
      </c>
      <c r="C1244" s="84">
        <v>3907.1</v>
      </c>
      <c r="D1244" s="61">
        <v>500.8</v>
      </c>
      <c r="E1244" s="61">
        <v>33</v>
      </c>
      <c r="F1244" s="61">
        <v>74.099999999999994</v>
      </c>
      <c r="G1244" s="61">
        <v>33.700000000000003</v>
      </c>
      <c r="H1244" s="61">
        <v>24.6</v>
      </c>
      <c r="I1244" s="61">
        <v>21.5</v>
      </c>
      <c r="J1244" s="61">
        <v>31.5</v>
      </c>
      <c r="K1244" s="61">
        <v>6.5</v>
      </c>
      <c r="L1244" s="61">
        <v>46.5</v>
      </c>
      <c r="M1244" s="61">
        <v>48</v>
      </c>
      <c r="N1244" s="61">
        <v>88</v>
      </c>
      <c r="O1244" s="85">
        <v>37.6</v>
      </c>
      <c r="P1244" s="105"/>
      <c r="Q1244" s="87">
        <f t="shared" si="118"/>
        <v>-6.6145131395309682E-3</v>
      </c>
      <c r="R1244" s="87">
        <f t="shared" si="117"/>
        <v>-5.742228699503151E-3</v>
      </c>
      <c r="S1244" s="87">
        <f t="shared" si="117"/>
        <v>4.8038523126454572E-3</v>
      </c>
      <c r="T1244" s="87">
        <f t="shared" si="116"/>
        <v>-1.8018505502678365E-2</v>
      </c>
      <c r="U1244" s="87">
        <f t="shared" si="116"/>
        <v>2.0450610471290841E-2</v>
      </c>
      <c r="V1244" s="87">
        <f t="shared" si="116"/>
        <v>-2.3461486678997934E-2</v>
      </c>
      <c r="W1244" s="87">
        <f t="shared" si="116"/>
        <v>0.18232155679395479</v>
      </c>
      <c r="X1244" s="87">
        <f t="shared" si="116"/>
        <v>1.8779894651596275E-2</v>
      </c>
      <c r="Y1244" s="87">
        <f t="shared" si="116"/>
        <v>-3.1695747612790672E-3</v>
      </c>
      <c r="Z1244" s="87">
        <f t="shared" si="114"/>
        <v>4.7252884850545511E-2</v>
      </c>
      <c r="AA1244" s="87">
        <f t="shared" si="114"/>
        <v>8.6393625907078605E-3</v>
      </c>
      <c r="AB1244" s="87">
        <f t="shared" si="114"/>
        <v>-2.0619287202735703E-2</v>
      </c>
      <c r="AC1244" s="87">
        <f t="shared" si="114"/>
        <v>-6.0624621816434854E-2</v>
      </c>
      <c r="AD1244" s="87">
        <f t="shared" si="113"/>
        <v>-5.3050522296930061E-3</v>
      </c>
      <c r="AE1244" s="90">
        <f t="shared" si="119"/>
        <v>4.8879778804080797E-3</v>
      </c>
    </row>
    <row r="1245" spans="1:31" ht="15.5" x14ac:dyDescent="0.35">
      <c r="A1245" s="82">
        <v>41571</v>
      </c>
      <c r="B1245" s="83">
        <v>10029.200000000001</v>
      </c>
      <c r="C1245" s="84">
        <v>3929</v>
      </c>
      <c r="D1245" s="61">
        <v>512.9</v>
      </c>
      <c r="E1245" s="61">
        <v>32.799999999999997</v>
      </c>
      <c r="F1245" s="61">
        <v>74.599999999999994</v>
      </c>
      <c r="G1245" s="61">
        <v>33.6</v>
      </c>
      <c r="H1245" s="61">
        <v>26.7</v>
      </c>
      <c r="I1245" s="61">
        <v>21.9</v>
      </c>
      <c r="J1245" s="61">
        <v>30</v>
      </c>
      <c r="K1245" s="61">
        <v>6.6</v>
      </c>
      <c r="L1245" s="61">
        <v>46.2</v>
      </c>
      <c r="M1245" s="61">
        <v>47.9</v>
      </c>
      <c r="N1245" s="61">
        <v>87.5</v>
      </c>
      <c r="O1245" s="85">
        <v>37.6</v>
      </c>
      <c r="P1245" s="105"/>
      <c r="Q1245" s="87">
        <f t="shared" si="118"/>
        <v>3.886215835342789E-3</v>
      </c>
      <c r="R1245" s="87">
        <f t="shared" si="117"/>
        <v>5.5895297451942303E-3</v>
      </c>
      <c r="S1245" s="87">
        <f t="shared" si="117"/>
        <v>2.3874074609333943E-2</v>
      </c>
      <c r="T1245" s="87">
        <f t="shared" si="116"/>
        <v>-6.0790460763822263E-3</v>
      </c>
      <c r="U1245" s="87">
        <f t="shared" si="116"/>
        <v>6.7249749076739159E-3</v>
      </c>
      <c r="V1245" s="87">
        <f t="shared" si="116"/>
        <v>-2.9717703891574817E-3</v>
      </c>
      <c r="W1245" s="87">
        <f t="shared" si="116"/>
        <v>8.1917122467886586E-2</v>
      </c>
      <c r="X1245" s="87">
        <f t="shared" si="116"/>
        <v>1.8433701688837966E-2</v>
      </c>
      <c r="Y1245" s="87">
        <f t="shared" si="116"/>
        <v>-4.8790164169432056E-2</v>
      </c>
      <c r="Z1245" s="87">
        <f t="shared" si="114"/>
        <v>1.5267472130788381E-2</v>
      </c>
      <c r="AA1245" s="87">
        <f t="shared" si="114"/>
        <v>-6.4725145056173669E-3</v>
      </c>
      <c r="AB1245" s="87">
        <f t="shared" si="114"/>
        <v>-2.0855064910213707E-3</v>
      </c>
      <c r="AC1245" s="87">
        <f t="shared" si="114"/>
        <v>-5.6980211146377786E-3</v>
      </c>
      <c r="AD1245" s="87">
        <f t="shared" si="113"/>
        <v>0</v>
      </c>
      <c r="AE1245" s="90">
        <f t="shared" si="119"/>
        <v>1.058786263270789E-2</v>
      </c>
    </row>
    <row r="1246" spans="1:31" ht="15.5" x14ac:dyDescent="0.35">
      <c r="A1246" s="82">
        <v>41572</v>
      </c>
      <c r="B1246" s="83">
        <v>10053.9</v>
      </c>
      <c r="C1246" s="84">
        <v>3943.4</v>
      </c>
      <c r="D1246" s="61">
        <v>505.9</v>
      </c>
      <c r="E1246" s="61">
        <v>32</v>
      </c>
      <c r="F1246" s="61">
        <v>75</v>
      </c>
      <c r="G1246" s="61">
        <v>35.5</v>
      </c>
      <c r="H1246" s="61">
        <v>26.8</v>
      </c>
      <c r="I1246" s="61">
        <v>21.9</v>
      </c>
      <c r="J1246" s="61">
        <v>30.9</v>
      </c>
      <c r="K1246" s="61">
        <v>6.7</v>
      </c>
      <c r="L1246" s="61">
        <v>45.9</v>
      </c>
      <c r="M1246" s="61">
        <v>48.5</v>
      </c>
      <c r="N1246" s="61">
        <v>88</v>
      </c>
      <c r="O1246" s="85">
        <v>37.700000000000003</v>
      </c>
      <c r="P1246" s="105"/>
      <c r="Q1246" s="87">
        <f t="shared" si="118"/>
        <v>2.4597808559424206E-3</v>
      </c>
      <c r="R1246" s="87">
        <f t="shared" si="117"/>
        <v>3.6583547737075797E-3</v>
      </c>
      <c r="S1246" s="87">
        <f t="shared" si="117"/>
        <v>-1.3741873097332385E-2</v>
      </c>
      <c r="T1246" s="87">
        <f t="shared" si="116"/>
        <v>-2.4692612590371411E-2</v>
      </c>
      <c r="U1246" s="87">
        <f t="shared" si="116"/>
        <v>5.3476063265952773E-3</v>
      </c>
      <c r="V1246" s="87">
        <f t="shared" si="116"/>
        <v>5.500662951221158E-2</v>
      </c>
      <c r="W1246" s="87">
        <f t="shared" si="116"/>
        <v>3.7383221106071581E-3</v>
      </c>
      <c r="X1246" s="87">
        <f t="shared" si="116"/>
        <v>0</v>
      </c>
      <c r="Y1246" s="87">
        <f t="shared" si="116"/>
        <v>2.9558802241544429E-2</v>
      </c>
      <c r="Z1246" s="87">
        <f t="shared" si="114"/>
        <v>1.5037877364540502E-2</v>
      </c>
      <c r="AA1246" s="87">
        <f t="shared" si="114"/>
        <v>-6.5146810211937538E-3</v>
      </c>
      <c r="AB1246" s="87">
        <f t="shared" si="114"/>
        <v>1.2448293526568082E-2</v>
      </c>
      <c r="AC1246" s="87">
        <f t="shared" si="114"/>
        <v>5.6980211146377959E-3</v>
      </c>
      <c r="AD1246" s="87">
        <f t="shared" si="113"/>
        <v>2.6560440581162104E-3</v>
      </c>
      <c r="AE1246" s="90">
        <f t="shared" si="119"/>
        <v>-1.074617564235386E-3</v>
      </c>
    </row>
    <row r="1247" spans="1:31" ht="15.5" x14ac:dyDescent="0.35">
      <c r="A1247" s="82">
        <v>41575</v>
      </c>
      <c r="B1247" s="83">
        <v>10053.9</v>
      </c>
      <c r="C1247" s="84">
        <v>3940.1</v>
      </c>
      <c r="D1247" s="61">
        <v>507</v>
      </c>
      <c r="E1247" s="61">
        <v>31.7</v>
      </c>
      <c r="F1247" s="61">
        <v>74.7</v>
      </c>
      <c r="G1247" s="61">
        <v>35.299999999999997</v>
      </c>
      <c r="H1247" s="61">
        <v>27.5</v>
      </c>
      <c r="I1247" s="61">
        <v>21.8</v>
      </c>
      <c r="J1247" s="61">
        <v>31.1</v>
      </c>
      <c r="K1247" s="61">
        <v>6.7</v>
      </c>
      <c r="L1247" s="61">
        <v>45.2</v>
      </c>
      <c r="M1247" s="61">
        <v>48.3</v>
      </c>
      <c r="N1247" s="61">
        <v>89</v>
      </c>
      <c r="O1247" s="85">
        <v>37.700000000000003</v>
      </c>
      <c r="P1247" s="105"/>
      <c r="Q1247" s="87">
        <f t="shared" si="118"/>
        <v>0</v>
      </c>
      <c r="R1247" s="87">
        <f t="shared" si="117"/>
        <v>-8.3719165161286484E-4</v>
      </c>
      <c r="S1247" s="87">
        <f t="shared" si="117"/>
        <v>2.1719822932927059E-3</v>
      </c>
      <c r="T1247" s="87">
        <f t="shared" si="116"/>
        <v>-9.4192219164916397E-3</v>
      </c>
      <c r="U1247" s="87">
        <f t="shared" si="116"/>
        <v>-4.0080213975388218E-3</v>
      </c>
      <c r="V1247" s="87">
        <f t="shared" si="116"/>
        <v>-5.6497325421191328E-3</v>
      </c>
      <c r="W1247" s="87">
        <f t="shared" si="116"/>
        <v>2.5784117155714634E-2</v>
      </c>
      <c r="X1247" s="87">
        <f t="shared" si="116"/>
        <v>-4.5766670274117547E-3</v>
      </c>
      <c r="Y1247" s="87">
        <f t="shared" si="116"/>
        <v>6.4516352814888165E-3</v>
      </c>
      <c r="Z1247" s="87">
        <f t="shared" si="114"/>
        <v>0</v>
      </c>
      <c r="AA1247" s="87">
        <f t="shared" si="114"/>
        <v>-1.5368030228313836E-2</v>
      </c>
      <c r="AB1247" s="87">
        <f t="shared" si="114"/>
        <v>-4.1322372849106059E-3</v>
      </c>
      <c r="AC1247" s="87">
        <f t="shared" si="114"/>
        <v>1.1299555253933466E-2</v>
      </c>
      <c r="AD1247" s="87">
        <f t="shared" si="113"/>
        <v>0</v>
      </c>
      <c r="AE1247" s="90">
        <f t="shared" si="119"/>
        <v>-7.6111733383324291E-4</v>
      </c>
    </row>
    <row r="1248" spans="1:31" ht="15.5" x14ac:dyDescent="0.35">
      <c r="A1248" s="82">
        <v>41576</v>
      </c>
      <c r="B1248" s="83">
        <v>10108.4</v>
      </c>
      <c r="C1248" s="84">
        <v>3952.3</v>
      </c>
      <c r="D1248" s="61">
        <v>507.3</v>
      </c>
      <c r="E1248" s="61">
        <v>32.799999999999997</v>
      </c>
      <c r="F1248" s="61">
        <v>73.5</v>
      </c>
      <c r="G1248" s="61">
        <v>35.299999999999997</v>
      </c>
      <c r="H1248" s="61">
        <v>28</v>
      </c>
      <c r="I1248" s="61">
        <v>19.8</v>
      </c>
      <c r="J1248" s="61">
        <v>31.3</v>
      </c>
      <c r="K1248" s="61">
        <v>7.3</v>
      </c>
      <c r="L1248" s="61">
        <v>45.1</v>
      </c>
      <c r="M1248" s="61">
        <v>48.6</v>
      </c>
      <c r="N1248" s="61">
        <v>89.1</v>
      </c>
      <c r="O1248" s="85">
        <v>37.799999999999997</v>
      </c>
      <c r="P1248" s="105"/>
      <c r="Q1248" s="87">
        <f t="shared" si="118"/>
        <v>5.4061424278372787E-3</v>
      </c>
      <c r="R1248" s="87">
        <f t="shared" si="117"/>
        <v>3.0915842372890058E-3</v>
      </c>
      <c r="S1248" s="87">
        <f t="shared" si="117"/>
        <v>5.9154098146112308E-4</v>
      </c>
      <c r="T1248" s="87">
        <f t="shared" si="116"/>
        <v>3.4111834506863122E-2</v>
      </c>
      <c r="U1248" s="87">
        <f t="shared" si="116"/>
        <v>-1.619468591998072E-2</v>
      </c>
      <c r="V1248" s="87">
        <f t="shared" si="116"/>
        <v>0</v>
      </c>
      <c r="W1248" s="87">
        <f t="shared" si="116"/>
        <v>1.8018505502678212E-2</v>
      </c>
      <c r="X1248" s="87">
        <f t="shared" si="116"/>
        <v>-9.6228032094553773E-2</v>
      </c>
      <c r="Y1248" s="87">
        <f t="shared" si="116"/>
        <v>6.4102783609190188E-3</v>
      </c>
      <c r="Z1248" s="87">
        <f t="shared" si="114"/>
        <v>8.5766821757425102E-2</v>
      </c>
      <c r="AA1248" s="87">
        <f t="shared" si="114"/>
        <v>-2.2148403295528985E-3</v>
      </c>
      <c r="AB1248" s="87">
        <f t="shared" si="114"/>
        <v>6.1919702479212007E-3</v>
      </c>
      <c r="AC1248" s="87">
        <f t="shared" si="114"/>
        <v>1.1229647446237235E-3</v>
      </c>
      <c r="AD1248" s="87">
        <f t="shared" si="114"/>
        <v>2.6490081715768625E-3</v>
      </c>
      <c r="AE1248" s="90">
        <f t="shared" si="119"/>
        <v>-3.2088289179341453E-3</v>
      </c>
    </row>
    <row r="1249" spans="1:31" ht="15.5" x14ac:dyDescent="0.35">
      <c r="A1249" s="82">
        <v>41577</v>
      </c>
      <c r="B1249" s="83">
        <v>10054.4</v>
      </c>
      <c r="C1249" s="84">
        <v>3930.6</v>
      </c>
      <c r="D1249" s="61">
        <v>513.5</v>
      </c>
      <c r="E1249" s="61">
        <v>32.4</v>
      </c>
      <c r="F1249" s="61">
        <v>73.900000000000006</v>
      </c>
      <c r="G1249" s="61">
        <v>35.4</v>
      </c>
      <c r="H1249" s="61">
        <v>27.2</v>
      </c>
      <c r="I1249" s="61">
        <v>20.7</v>
      </c>
      <c r="J1249" s="61">
        <v>31</v>
      </c>
      <c r="K1249" s="61">
        <v>7.4</v>
      </c>
      <c r="L1249" s="61">
        <v>45.1</v>
      </c>
      <c r="M1249" s="61">
        <v>48.6</v>
      </c>
      <c r="N1249" s="61">
        <v>89.7</v>
      </c>
      <c r="O1249" s="85">
        <v>38</v>
      </c>
      <c r="P1249" s="105"/>
      <c r="Q1249" s="87">
        <f t="shared" si="118"/>
        <v>-5.3564117196120732E-3</v>
      </c>
      <c r="R1249" s="87">
        <f t="shared" si="117"/>
        <v>-5.5056019519580199E-3</v>
      </c>
      <c r="S1249" s="87">
        <f t="shared" si="117"/>
        <v>1.2147484795968598E-2</v>
      </c>
      <c r="T1249" s="87">
        <f t="shared" si="116"/>
        <v>-1.2270092591814359E-2</v>
      </c>
      <c r="U1249" s="87">
        <f t="shared" si="116"/>
        <v>5.4274217353652366E-3</v>
      </c>
      <c r="V1249" s="87">
        <f t="shared" si="116"/>
        <v>2.828856200477623E-3</v>
      </c>
      <c r="W1249" s="87">
        <f t="shared" si="116"/>
        <v>-2.8987536873252298E-2</v>
      </c>
      <c r="X1249" s="87">
        <f t="shared" si="116"/>
        <v>4.4451762570833796E-2</v>
      </c>
      <c r="Y1249" s="87">
        <f t="shared" si="116"/>
        <v>-9.6308930609613E-3</v>
      </c>
      <c r="Z1249" s="87">
        <f t="shared" si="114"/>
        <v>1.3605652055778678E-2</v>
      </c>
      <c r="AA1249" s="87">
        <f t="shared" si="114"/>
        <v>0</v>
      </c>
      <c r="AB1249" s="87">
        <f t="shared" si="114"/>
        <v>0</v>
      </c>
      <c r="AC1249" s="87">
        <f t="shared" si="114"/>
        <v>6.711434587986999E-3</v>
      </c>
      <c r="AD1249" s="87">
        <f t="shared" si="114"/>
        <v>5.2770571008438193E-3</v>
      </c>
      <c r="AE1249" s="90">
        <f t="shared" si="119"/>
        <v>4.0993824439775652E-3</v>
      </c>
    </row>
    <row r="1250" spans="1:31" ht="15.5" x14ac:dyDescent="0.35">
      <c r="A1250" s="82">
        <v>41578</v>
      </c>
      <c r="B1250" s="83">
        <v>10009.6</v>
      </c>
      <c r="C1250" s="84">
        <v>3919.7</v>
      </c>
      <c r="D1250" s="61">
        <v>512.5</v>
      </c>
      <c r="E1250" s="61">
        <v>32.299999999999997</v>
      </c>
      <c r="F1250" s="61">
        <v>74.5</v>
      </c>
      <c r="G1250" s="61">
        <v>35.299999999999997</v>
      </c>
      <c r="H1250" s="61">
        <v>25.5</v>
      </c>
      <c r="I1250" s="61">
        <v>21</v>
      </c>
      <c r="J1250" s="61">
        <v>31</v>
      </c>
      <c r="K1250" s="61">
        <v>7.4</v>
      </c>
      <c r="L1250" s="61">
        <v>45.1</v>
      </c>
      <c r="M1250" s="61">
        <v>47</v>
      </c>
      <c r="N1250" s="61">
        <v>89.1</v>
      </c>
      <c r="O1250" s="85">
        <v>37.6</v>
      </c>
      <c r="P1250" s="105"/>
      <c r="Q1250" s="87">
        <f t="shared" si="118"/>
        <v>-4.4657171503647494E-3</v>
      </c>
      <c r="R1250" s="87">
        <f t="shared" si="117"/>
        <v>-2.7769657222390669E-3</v>
      </c>
      <c r="S1250" s="87">
        <f t="shared" si="117"/>
        <v>-1.9493183560496533E-3</v>
      </c>
      <c r="T1250" s="87">
        <f t="shared" si="116"/>
        <v>-3.0911925696728579E-3</v>
      </c>
      <c r="U1250" s="87">
        <f t="shared" si="116"/>
        <v>8.0862974313576207E-3</v>
      </c>
      <c r="V1250" s="87">
        <f t="shared" si="116"/>
        <v>-2.8288562004777137E-3</v>
      </c>
      <c r="W1250" s="87">
        <f t="shared" si="116"/>
        <v>-6.4538521137571178E-2</v>
      </c>
      <c r="X1250" s="87">
        <f t="shared" si="116"/>
        <v>1.4388737452099671E-2</v>
      </c>
      <c r="Y1250" s="87">
        <f t="shared" si="116"/>
        <v>0</v>
      </c>
      <c r="Z1250" s="87">
        <f t="shared" si="114"/>
        <v>0</v>
      </c>
      <c r="AA1250" s="87">
        <f t="shared" si="114"/>
        <v>0</v>
      </c>
      <c r="AB1250" s="87">
        <f t="shared" si="114"/>
        <v>-3.3475929196389573E-2</v>
      </c>
      <c r="AC1250" s="87">
        <f t="shared" si="114"/>
        <v>-6.7114345879869157E-3</v>
      </c>
      <c r="AD1250" s="87">
        <f t="shared" si="114"/>
        <v>-1.0582109330536859E-2</v>
      </c>
      <c r="AE1250" s="90">
        <f t="shared" si="119"/>
        <v>-3.7713185471231541E-4</v>
      </c>
    </row>
    <row r="1251" spans="1:31" ht="15.5" x14ac:dyDescent="0.35">
      <c r="A1251" s="82">
        <v>41579</v>
      </c>
      <c r="B1251" s="83">
        <v>10018.200000000001</v>
      </c>
      <c r="C1251" s="84">
        <v>3922</v>
      </c>
      <c r="D1251" s="61">
        <v>513.1</v>
      </c>
      <c r="E1251" s="61">
        <v>33</v>
      </c>
      <c r="F1251" s="61">
        <v>73.7</v>
      </c>
      <c r="G1251" s="61">
        <v>35.4</v>
      </c>
      <c r="H1251" s="61">
        <v>25.9</v>
      </c>
      <c r="I1251" s="61">
        <v>20.7</v>
      </c>
      <c r="J1251" s="61">
        <v>30.8</v>
      </c>
      <c r="K1251" s="61">
        <v>7.6</v>
      </c>
      <c r="L1251" s="61">
        <v>44.6</v>
      </c>
      <c r="M1251" s="61">
        <v>47.1</v>
      </c>
      <c r="N1251" s="61">
        <v>89.4</v>
      </c>
      <c r="O1251" s="85">
        <v>37.799999999999997</v>
      </c>
      <c r="P1251" s="105"/>
      <c r="Q1251" s="87">
        <f t="shared" si="118"/>
        <v>8.5880631208385923E-4</v>
      </c>
      <c r="R1251" s="87">
        <f t="shared" si="117"/>
        <v>5.866075126450635E-4</v>
      </c>
      <c r="S1251" s="87">
        <f t="shared" si="117"/>
        <v>1.1700469353558708E-3</v>
      </c>
      <c r="T1251" s="87">
        <f t="shared" si="116"/>
        <v>2.1440331237869408E-2</v>
      </c>
      <c r="U1251" s="87">
        <f t="shared" si="116"/>
        <v>-1.0796326190222829E-2</v>
      </c>
      <c r="V1251" s="87">
        <f t="shared" si="116"/>
        <v>2.828856200477623E-3</v>
      </c>
      <c r="W1251" s="87">
        <f t="shared" si="116"/>
        <v>1.5564516541111548E-2</v>
      </c>
      <c r="X1251" s="87">
        <f t="shared" si="116"/>
        <v>-1.4388737452099669E-2</v>
      </c>
      <c r="Y1251" s="87">
        <f t="shared" si="116"/>
        <v>-6.4725145056174788E-3</v>
      </c>
      <c r="Z1251" s="87">
        <f t="shared" si="114"/>
        <v>2.6668247082161273E-2</v>
      </c>
      <c r="AA1251" s="87">
        <f t="shared" si="114"/>
        <v>-1.11483874826143E-2</v>
      </c>
      <c r="AB1251" s="87">
        <f t="shared" si="114"/>
        <v>2.1253993123135366E-3</v>
      </c>
      <c r="AC1251" s="87">
        <f t="shared" si="114"/>
        <v>3.3613477027049274E-3</v>
      </c>
      <c r="AD1251" s="87">
        <f t="shared" si="114"/>
        <v>5.3050522296930981E-3</v>
      </c>
      <c r="AE1251" s="90">
        <f t="shared" si="119"/>
        <v>-1.9238873604298357E-3</v>
      </c>
    </row>
    <row r="1252" spans="1:31" ht="15.5" x14ac:dyDescent="0.35">
      <c r="A1252" s="82">
        <v>41582</v>
      </c>
      <c r="B1252" s="83">
        <v>10064.1</v>
      </c>
      <c r="C1252" s="84">
        <v>3936.6</v>
      </c>
      <c r="D1252" s="61">
        <v>511.5</v>
      </c>
      <c r="E1252" s="61">
        <v>33</v>
      </c>
      <c r="F1252" s="61">
        <v>74.099999999999994</v>
      </c>
      <c r="G1252" s="61">
        <v>35.6</v>
      </c>
      <c r="H1252" s="61">
        <v>25.7</v>
      </c>
      <c r="I1252" s="61">
        <v>20.8</v>
      </c>
      <c r="J1252" s="61">
        <v>31.6</v>
      </c>
      <c r="K1252" s="61">
        <v>8.3000000000000007</v>
      </c>
      <c r="L1252" s="61">
        <v>45.7</v>
      </c>
      <c r="M1252" s="61">
        <v>47.3</v>
      </c>
      <c r="N1252" s="61">
        <v>90.5</v>
      </c>
      <c r="O1252" s="85">
        <v>37.799999999999997</v>
      </c>
      <c r="P1252" s="105"/>
      <c r="Q1252" s="87">
        <f t="shared" si="118"/>
        <v>4.5711975148847034E-3</v>
      </c>
      <c r="R1252" s="87">
        <f t="shared" si="117"/>
        <v>3.7156788225952263E-3</v>
      </c>
      <c r="S1252" s="87">
        <f t="shared" si="117"/>
        <v>-3.1231725562380413E-3</v>
      </c>
      <c r="T1252" s="87">
        <f t="shared" si="116"/>
        <v>0</v>
      </c>
      <c r="U1252" s="87">
        <f t="shared" si="116"/>
        <v>5.4127331067502591E-3</v>
      </c>
      <c r="V1252" s="87">
        <f t="shared" si="116"/>
        <v>5.6338177182560642E-3</v>
      </c>
      <c r="W1252" s="87">
        <f t="shared" si="116"/>
        <v>-7.7519768043179359E-3</v>
      </c>
      <c r="X1252" s="87">
        <f t="shared" si="116"/>
        <v>4.8192864359489218E-3</v>
      </c>
      <c r="Y1252" s="87">
        <f t="shared" si="116"/>
        <v>2.5642430613337652E-2</v>
      </c>
      <c r="Z1252" s="87">
        <f t="shared" si="114"/>
        <v>8.8107267510266998E-2</v>
      </c>
      <c r="AA1252" s="87">
        <f t="shared" si="114"/>
        <v>2.4364438874140592E-2</v>
      </c>
      <c r="AB1252" s="87">
        <f t="shared" si="114"/>
        <v>4.2372944755152174E-3</v>
      </c>
      <c r="AC1252" s="87">
        <f t="shared" si="114"/>
        <v>1.2229168526411944E-2</v>
      </c>
      <c r="AD1252" s="87">
        <f t="shared" si="114"/>
        <v>0</v>
      </c>
      <c r="AE1252" s="90">
        <f t="shared" si="119"/>
        <v>1.747126728144257E-3</v>
      </c>
    </row>
    <row r="1253" spans="1:31" ht="15.5" x14ac:dyDescent="0.35">
      <c r="A1253" s="82">
        <v>41583</v>
      </c>
      <c r="B1253" s="83">
        <v>10011.9</v>
      </c>
      <c r="C1253" s="84">
        <v>3939.9</v>
      </c>
      <c r="D1253" s="61">
        <v>509.2</v>
      </c>
      <c r="E1253" s="61">
        <v>32.5</v>
      </c>
      <c r="F1253" s="61">
        <v>74.7</v>
      </c>
      <c r="G1253" s="61">
        <v>35.799999999999997</v>
      </c>
      <c r="H1253" s="61">
        <v>24.9</v>
      </c>
      <c r="I1253" s="61">
        <v>20.5</v>
      </c>
      <c r="J1253" s="61">
        <v>31.8</v>
      </c>
      <c r="K1253" s="61">
        <v>8.1999999999999993</v>
      </c>
      <c r="L1253" s="61">
        <v>45.3</v>
      </c>
      <c r="M1253" s="61">
        <v>47.7</v>
      </c>
      <c r="N1253" s="61">
        <v>88.8</v>
      </c>
      <c r="O1253" s="85">
        <v>37.9</v>
      </c>
      <c r="P1253" s="105"/>
      <c r="Q1253" s="87">
        <f t="shared" si="118"/>
        <v>-5.2002508104497082E-3</v>
      </c>
      <c r="R1253" s="87">
        <f t="shared" si="117"/>
        <v>8.3793568033708988E-4</v>
      </c>
      <c r="S1253" s="87">
        <f t="shared" si="117"/>
        <v>-4.5067187084297357E-3</v>
      </c>
      <c r="T1253" s="87">
        <f t="shared" si="116"/>
        <v>-1.5267472130788421E-2</v>
      </c>
      <c r="U1253" s="87">
        <f t="shared" si="116"/>
        <v>8.0645598367304946E-3</v>
      </c>
      <c r="V1253" s="87">
        <f t="shared" si="116"/>
        <v>5.6022555486697516E-3</v>
      </c>
      <c r="W1253" s="87">
        <f t="shared" si="116"/>
        <v>-3.1623188430512185E-2</v>
      </c>
      <c r="X1253" s="87">
        <f t="shared" si="116"/>
        <v>-1.4528100562909856E-2</v>
      </c>
      <c r="Y1253" s="87">
        <f t="shared" si="116"/>
        <v>6.3091691932647556E-3</v>
      </c>
      <c r="Z1253" s="87">
        <f t="shared" si="114"/>
        <v>-1.2121360532344963E-2</v>
      </c>
      <c r="AA1253" s="87">
        <f t="shared" si="114"/>
        <v>-8.7912654111707705E-3</v>
      </c>
      <c r="AB1253" s="87">
        <f t="shared" si="114"/>
        <v>8.4211023964083451E-3</v>
      </c>
      <c r="AC1253" s="87">
        <f t="shared" si="114"/>
        <v>-1.8963200707756055E-2</v>
      </c>
      <c r="AD1253" s="87">
        <f t="shared" si="114"/>
        <v>2.6420094628387975E-3</v>
      </c>
      <c r="AE1253" s="90">
        <f t="shared" si="119"/>
        <v>1.5588666765002641E-3</v>
      </c>
    </row>
    <row r="1254" spans="1:31" ht="15.5" x14ac:dyDescent="0.35">
      <c r="A1254" s="82">
        <v>41584</v>
      </c>
      <c r="B1254" s="83">
        <v>10059.5</v>
      </c>
      <c r="C1254" s="84">
        <v>3931.9</v>
      </c>
      <c r="D1254" s="61">
        <v>508.2</v>
      </c>
      <c r="E1254" s="61">
        <v>32.700000000000003</v>
      </c>
      <c r="F1254" s="61">
        <v>74</v>
      </c>
      <c r="G1254" s="61">
        <v>37.1</v>
      </c>
      <c r="H1254" s="61">
        <v>25.2</v>
      </c>
      <c r="I1254" s="61">
        <v>20.5</v>
      </c>
      <c r="J1254" s="61">
        <v>32.200000000000003</v>
      </c>
      <c r="K1254" s="61">
        <v>7.6</v>
      </c>
      <c r="L1254" s="61">
        <v>45.3</v>
      </c>
      <c r="M1254" s="61">
        <v>47.6</v>
      </c>
      <c r="N1254" s="61">
        <v>88.7</v>
      </c>
      <c r="O1254" s="85">
        <v>38.1</v>
      </c>
      <c r="P1254" s="105"/>
      <c r="Q1254" s="87">
        <f t="shared" si="118"/>
        <v>4.7430761418893819E-3</v>
      </c>
      <c r="R1254" s="87">
        <f t="shared" si="117"/>
        <v>-2.032572665523594E-3</v>
      </c>
      <c r="S1254" s="87">
        <f t="shared" si="117"/>
        <v>-1.9657957971876976E-3</v>
      </c>
      <c r="T1254" s="87">
        <f t="shared" si="116"/>
        <v>6.1349885675159293E-3</v>
      </c>
      <c r="U1254" s="87">
        <f t="shared" si="116"/>
        <v>-9.4149989346018741E-3</v>
      </c>
      <c r="V1254" s="87">
        <f t="shared" si="116"/>
        <v>3.5669076206734929E-2</v>
      </c>
      <c r="W1254" s="87">
        <f t="shared" si="116"/>
        <v>1.197619104671562E-2</v>
      </c>
      <c r="X1254" s="87">
        <f t="shared" si="116"/>
        <v>0</v>
      </c>
      <c r="Y1254" s="87">
        <f t="shared" si="116"/>
        <v>1.2500162764231468E-2</v>
      </c>
      <c r="Z1254" s="87">
        <f t="shared" si="114"/>
        <v>-7.5985906977921985E-2</v>
      </c>
      <c r="AA1254" s="87">
        <f t="shared" si="114"/>
        <v>0</v>
      </c>
      <c r="AB1254" s="87">
        <f t="shared" si="114"/>
        <v>-2.0986366569212492E-3</v>
      </c>
      <c r="AC1254" s="87">
        <f t="shared" si="114"/>
        <v>-1.1267606825905066E-3</v>
      </c>
      <c r="AD1254" s="87">
        <f t="shared" si="114"/>
        <v>5.2631700442746909E-3</v>
      </c>
      <c r="AE1254" s="90">
        <f t="shared" si="119"/>
        <v>-3.2371610588287844E-3</v>
      </c>
    </row>
    <row r="1255" spans="1:31" ht="15.5" x14ac:dyDescent="0.35">
      <c r="A1255" s="82">
        <v>41585</v>
      </c>
      <c r="B1255" s="83">
        <v>9924.4</v>
      </c>
      <c r="C1255" s="84">
        <v>3857.3</v>
      </c>
      <c r="D1255" s="61">
        <v>504.3</v>
      </c>
      <c r="E1255" s="61">
        <v>32.1</v>
      </c>
      <c r="F1255" s="61">
        <v>73.2</v>
      </c>
      <c r="G1255" s="61">
        <v>37.4</v>
      </c>
      <c r="H1255" s="61">
        <v>24.7</v>
      </c>
      <c r="I1255" s="61">
        <v>20.5</v>
      </c>
      <c r="J1255" s="61">
        <v>32.1</v>
      </c>
      <c r="K1255" s="61">
        <v>7.9</v>
      </c>
      <c r="L1255" s="61">
        <v>45.8</v>
      </c>
      <c r="M1255" s="61">
        <v>47.6</v>
      </c>
      <c r="N1255" s="61">
        <v>86.2</v>
      </c>
      <c r="O1255" s="85">
        <v>37.799999999999997</v>
      </c>
      <c r="P1255" s="105"/>
      <c r="Q1255" s="87">
        <f t="shared" si="118"/>
        <v>-1.3521090301784059E-2</v>
      </c>
      <c r="R1255" s="87">
        <f t="shared" si="117"/>
        <v>-1.9155312751688164E-2</v>
      </c>
      <c r="S1255" s="87">
        <f t="shared" si="117"/>
        <v>-7.7037418033840208E-3</v>
      </c>
      <c r="T1255" s="87">
        <f t="shared" si="116"/>
        <v>-1.8519047767237527E-2</v>
      </c>
      <c r="U1255" s="87">
        <f t="shared" si="116"/>
        <v>-1.0869672236903879E-2</v>
      </c>
      <c r="V1255" s="87">
        <f t="shared" si="116"/>
        <v>8.053734807096825E-3</v>
      </c>
      <c r="W1255" s="87">
        <f t="shared" si="116"/>
        <v>-2.0040750883446153E-2</v>
      </c>
      <c r="X1255" s="87">
        <f t="shared" si="116"/>
        <v>0</v>
      </c>
      <c r="Y1255" s="87">
        <f t="shared" si="116"/>
        <v>-3.1104224143925024E-3</v>
      </c>
      <c r="Z1255" s="87">
        <f t="shared" si="114"/>
        <v>3.8714512180690427E-2</v>
      </c>
      <c r="AA1255" s="87">
        <f t="shared" si="114"/>
        <v>1.0977058631150994E-2</v>
      </c>
      <c r="AB1255" s="87">
        <f t="shared" si="114"/>
        <v>0</v>
      </c>
      <c r="AC1255" s="87">
        <f t="shared" si="114"/>
        <v>-2.8589711645886404E-2</v>
      </c>
      <c r="AD1255" s="87">
        <f t="shared" ref="AD1255:AD1318" si="120">+LN(O1255/O1254)</f>
        <v>-7.9051795071133739E-3</v>
      </c>
      <c r="AE1255" s="90">
        <f t="shared" si="119"/>
        <v>-1.2066080179326179E-2</v>
      </c>
    </row>
    <row r="1256" spans="1:31" ht="15.5" x14ac:dyDescent="0.35">
      <c r="A1256" s="82">
        <v>41586</v>
      </c>
      <c r="B1256" s="83">
        <v>10032.1</v>
      </c>
      <c r="C1256" s="84">
        <v>3919.2</v>
      </c>
      <c r="D1256" s="61">
        <v>504.8</v>
      </c>
      <c r="E1256" s="61">
        <v>32.200000000000003</v>
      </c>
      <c r="F1256" s="61">
        <v>73.2</v>
      </c>
      <c r="G1256" s="61">
        <v>37.299999999999997</v>
      </c>
      <c r="H1256" s="61">
        <v>25</v>
      </c>
      <c r="I1256" s="61">
        <v>20.8</v>
      </c>
      <c r="J1256" s="61">
        <v>32.1</v>
      </c>
      <c r="K1256" s="61">
        <v>8</v>
      </c>
      <c r="L1256" s="61">
        <v>45.9</v>
      </c>
      <c r="M1256" s="61">
        <v>47.6</v>
      </c>
      <c r="N1256" s="61">
        <v>85.1</v>
      </c>
      <c r="O1256" s="85">
        <v>37.799999999999997</v>
      </c>
      <c r="P1256" s="105"/>
      <c r="Q1256" s="87">
        <f t="shared" si="118"/>
        <v>1.0793580597587291E-2</v>
      </c>
      <c r="R1256" s="87">
        <f t="shared" si="117"/>
        <v>1.5920094482352768E-2</v>
      </c>
      <c r="S1256" s="87">
        <f t="shared" si="117"/>
        <v>9.9098214432378909E-4</v>
      </c>
      <c r="T1256" s="87">
        <f t="shared" si="116"/>
        <v>3.1104224143925518E-3</v>
      </c>
      <c r="U1256" s="87">
        <f t="shared" si="116"/>
        <v>0</v>
      </c>
      <c r="V1256" s="87">
        <f t="shared" si="116"/>
        <v>-2.6773777707164029E-3</v>
      </c>
      <c r="W1256" s="87">
        <f t="shared" si="116"/>
        <v>1.207258123426924E-2</v>
      </c>
      <c r="X1256" s="87">
        <f t="shared" si="116"/>
        <v>1.4528100562909808E-2</v>
      </c>
      <c r="Y1256" s="87">
        <f t="shared" si="116"/>
        <v>0</v>
      </c>
      <c r="Z1256" s="87">
        <f t="shared" si="116"/>
        <v>1.2578782206859965E-2</v>
      </c>
      <c r="AA1256" s="87">
        <f t="shared" si="116"/>
        <v>2.1810259463601461E-3</v>
      </c>
      <c r="AB1256" s="87">
        <f t="shared" si="116"/>
        <v>0</v>
      </c>
      <c r="AC1256" s="87">
        <f t="shared" si="116"/>
        <v>-1.2843142090319067E-2</v>
      </c>
      <c r="AD1256" s="87">
        <f t="shared" si="120"/>
        <v>0</v>
      </c>
      <c r="AE1256" s="90">
        <f t="shared" si="119"/>
        <v>5.0621486907015609E-3</v>
      </c>
    </row>
    <row r="1257" spans="1:31" ht="15.5" x14ac:dyDescent="0.35">
      <c r="A1257" s="82">
        <v>41589</v>
      </c>
      <c r="B1257" s="83">
        <v>10042.9</v>
      </c>
      <c r="C1257" s="84">
        <v>3919.8</v>
      </c>
      <c r="D1257" s="61">
        <v>504.5</v>
      </c>
      <c r="E1257" s="61">
        <v>33.299999999999997</v>
      </c>
      <c r="F1257" s="61">
        <v>73.5</v>
      </c>
      <c r="G1257" s="61">
        <v>37.4</v>
      </c>
      <c r="H1257" s="61">
        <v>25.4</v>
      </c>
      <c r="I1257" s="61">
        <v>20.9</v>
      </c>
      <c r="J1257" s="61">
        <v>32.700000000000003</v>
      </c>
      <c r="K1257" s="61">
        <v>8.3000000000000007</v>
      </c>
      <c r="L1257" s="61">
        <v>46.9</v>
      </c>
      <c r="M1257" s="61">
        <v>49.5</v>
      </c>
      <c r="N1257" s="61">
        <v>86.7</v>
      </c>
      <c r="O1257" s="85">
        <v>38.4</v>
      </c>
      <c r="P1257" s="105"/>
      <c r="Q1257" s="87">
        <f t="shared" si="118"/>
        <v>1.0759652345634471E-3</v>
      </c>
      <c r="R1257" s="87">
        <f t="shared" si="117"/>
        <v>1.5308075039481071E-4</v>
      </c>
      <c r="S1257" s="87">
        <f t="shared" si="117"/>
        <v>-5.9447143333973753E-4</v>
      </c>
      <c r="T1257" s="87">
        <f t="shared" si="116"/>
        <v>3.3590944436035421E-2</v>
      </c>
      <c r="U1257" s="87">
        <f t="shared" si="116"/>
        <v>4.0899852515250664E-3</v>
      </c>
      <c r="V1257" s="87">
        <f t="shared" si="116"/>
        <v>2.6773777707163942E-3</v>
      </c>
      <c r="W1257" s="87">
        <f t="shared" si="116"/>
        <v>1.5873349156290163E-2</v>
      </c>
      <c r="X1257" s="87">
        <f t="shared" si="116"/>
        <v>4.7961722634930135E-3</v>
      </c>
      <c r="Y1257" s="87">
        <f t="shared" si="116"/>
        <v>1.8519047767237531E-2</v>
      </c>
      <c r="Z1257" s="87">
        <f t="shared" si="116"/>
        <v>3.6813973122716399E-2</v>
      </c>
      <c r="AA1257" s="87">
        <f t="shared" si="116"/>
        <v>2.1552558385734281E-2</v>
      </c>
      <c r="AB1257" s="87">
        <f t="shared" si="116"/>
        <v>3.9139908337270164E-2</v>
      </c>
      <c r="AC1257" s="87">
        <f t="shared" si="116"/>
        <v>1.8626848207167871E-2</v>
      </c>
      <c r="AD1257" s="87">
        <f t="shared" si="120"/>
        <v>1.5748356968139112E-2</v>
      </c>
      <c r="AE1257" s="90">
        <f t="shared" si="119"/>
        <v>2.9555168724626404E-3</v>
      </c>
    </row>
    <row r="1258" spans="1:31" ht="15.5" x14ac:dyDescent="0.35">
      <c r="A1258" s="82">
        <v>41590</v>
      </c>
      <c r="B1258" s="83">
        <v>10009.799999999999</v>
      </c>
      <c r="C1258" s="84">
        <v>3919.9</v>
      </c>
      <c r="D1258" s="61">
        <v>503</v>
      </c>
      <c r="E1258" s="61">
        <v>33.9</v>
      </c>
      <c r="F1258" s="61">
        <v>73.900000000000006</v>
      </c>
      <c r="G1258" s="61">
        <v>37.200000000000003</v>
      </c>
      <c r="H1258" s="61">
        <v>25.7</v>
      </c>
      <c r="I1258" s="61">
        <v>20.8</v>
      </c>
      <c r="J1258" s="61">
        <v>32.1</v>
      </c>
      <c r="K1258" s="61">
        <v>8.3000000000000007</v>
      </c>
      <c r="L1258" s="61">
        <v>46.8</v>
      </c>
      <c r="M1258" s="61">
        <v>49</v>
      </c>
      <c r="N1258" s="61">
        <v>87.5</v>
      </c>
      <c r="O1258" s="85">
        <v>38.200000000000003</v>
      </c>
      <c r="P1258" s="105"/>
      <c r="Q1258" s="87">
        <f t="shared" si="118"/>
        <v>-3.3013040699746343E-3</v>
      </c>
      <c r="R1258" s="87">
        <f t="shared" si="117"/>
        <v>2.5511180276153025E-5</v>
      </c>
      <c r="S1258" s="87">
        <f t="shared" si="117"/>
        <v>-2.977669693924392E-3</v>
      </c>
      <c r="T1258" s="87">
        <f t="shared" si="116"/>
        <v>1.7857617400006472E-2</v>
      </c>
      <c r="U1258" s="87">
        <f t="shared" si="116"/>
        <v>5.4274217353652366E-3</v>
      </c>
      <c r="V1258" s="87">
        <f t="shared" si="116"/>
        <v>-5.3619431413852872E-3</v>
      </c>
      <c r="W1258" s="87">
        <f t="shared" si="116"/>
        <v>1.1741817876683195E-2</v>
      </c>
      <c r="X1258" s="87">
        <f t="shared" si="116"/>
        <v>-4.7961722634929441E-3</v>
      </c>
      <c r="Y1258" s="87">
        <f t="shared" si="116"/>
        <v>-1.8519047767237527E-2</v>
      </c>
      <c r="Z1258" s="87">
        <f t="shared" si="116"/>
        <v>0</v>
      </c>
      <c r="AA1258" s="87">
        <f t="shared" si="116"/>
        <v>-2.1344725286326811E-3</v>
      </c>
      <c r="AB1258" s="87">
        <f t="shared" si="116"/>
        <v>-1.0152371464017962E-2</v>
      </c>
      <c r="AC1258" s="87">
        <f t="shared" si="116"/>
        <v>9.1849095770725701E-3</v>
      </c>
      <c r="AD1258" s="87">
        <f t="shared" si="120"/>
        <v>-5.2219439811516007E-3</v>
      </c>
      <c r="AE1258" s="90">
        <f t="shared" si="119"/>
        <v>5.3084462878001996E-5</v>
      </c>
    </row>
    <row r="1259" spans="1:31" ht="15.5" x14ac:dyDescent="0.35">
      <c r="A1259" s="82">
        <v>41591</v>
      </c>
      <c r="B1259" s="83">
        <v>10079.9</v>
      </c>
      <c r="C1259" s="84">
        <v>3965.6</v>
      </c>
      <c r="D1259" s="61">
        <v>503.8</v>
      </c>
      <c r="E1259" s="61">
        <v>33.6</v>
      </c>
      <c r="F1259" s="61">
        <v>73.900000000000006</v>
      </c>
      <c r="G1259" s="61">
        <v>36.9</v>
      </c>
      <c r="H1259" s="61">
        <v>25.8</v>
      </c>
      <c r="I1259" s="61">
        <v>20.9</v>
      </c>
      <c r="J1259" s="61">
        <v>31.9</v>
      </c>
      <c r="K1259" s="61">
        <v>8.4</v>
      </c>
      <c r="L1259" s="61">
        <v>46.7</v>
      </c>
      <c r="M1259" s="61">
        <v>48.9</v>
      </c>
      <c r="N1259" s="61">
        <v>87.7</v>
      </c>
      <c r="O1259" s="85">
        <v>38.200000000000003</v>
      </c>
      <c r="P1259" s="105"/>
      <c r="Q1259" s="87">
        <f t="shared" si="118"/>
        <v>6.9787288515462354E-3</v>
      </c>
      <c r="R1259" s="87">
        <f t="shared" si="117"/>
        <v>1.1591024451328306E-2</v>
      </c>
      <c r="S1259" s="87">
        <f t="shared" si="117"/>
        <v>1.5891938187707205E-3</v>
      </c>
      <c r="T1259" s="87">
        <f t="shared" si="116"/>
        <v>-8.8889474172459283E-3</v>
      </c>
      <c r="U1259" s="87">
        <f t="shared" si="116"/>
        <v>0</v>
      </c>
      <c r="V1259" s="87">
        <f t="shared" si="116"/>
        <v>-8.0972102326194745E-3</v>
      </c>
      <c r="W1259" s="87">
        <f t="shared" si="116"/>
        <v>3.8835000263976122E-3</v>
      </c>
      <c r="X1259" s="87">
        <f t="shared" si="116"/>
        <v>4.7961722634930135E-3</v>
      </c>
      <c r="Y1259" s="87">
        <f t="shared" si="116"/>
        <v>-6.2500203451714056E-3</v>
      </c>
      <c r="Z1259" s="87">
        <f t="shared" si="116"/>
        <v>1.197619104671562E-2</v>
      </c>
      <c r="AA1259" s="87">
        <f t="shared" si="116"/>
        <v>-2.1390382487493074E-3</v>
      </c>
      <c r="AB1259" s="87">
        <f t="shared" si="116"/>
        <v>-2.0429016298002933E-3</v>
      </c>
      <c r="AC1259" s="87">
        <f t="shared" si="116"/>
        <v>2.2831060145685499E-3</v>
      </c>
      <c r="AD1259" s="87">
        <f t="shared" si="120"/>
        <v>0</v>
      </c>
      <c r="AE1259" s="90">
        <f t="shared" si="119"/>
        <v>3.9396514725957878E-3</v>
      </c>
    </row>
    <row r="1260" spans="1:31" ht="15.5" x14ac:dyDescent="0.35">
      <c r="A1260" s="82">
        <v>41592</v>
      </c>
      <c r="B1260" s="83">
        <v>10130.5</v>
      </c>
      <c r="C1260" s="84">
        <v>3972.7</v>
      </c>
      <c r="D1260" s="61">
        <v>515.70000000000005</v>
      </c>
      <c r="E1260" s="61">
        <v>34.799999999999997</v>
      </c>
      <c r="F1260" s="61">
        <v>74.599999999999994</v>
      </c>
      <c r="G1260" s="61">
        <v>37.700000000000003</v>
      </c>
      <c r="H1260" s="61">
        <v>25.7</v>
      </c>
      <c r="I1260" s="61">
        <v>21.2</v>
      </c>
      <c r="J1260" s="61">
        <v>32.1</v>
      </c>
      <c r="K1260" s="61">
        <v>8.5</v>
      </c>
      <c r="L1260" s="61">
        <v>47.5</v>
      </c>
      <c r="M1260" s="61">
        <v>50.2</v>
      </c>
      <c r="N1260" s="61">
        <v>89.6</v>
      </c>
      <c r="O1260" s="85">
        <v>38.9</v>
      </c>
      <c r="P1260" s="105"/>
      <c r="Q1260" s="87">
        <f t="shared" si="118"/>
        <v>5.0073334249769166E-3</v>
      </c>
      <c r="R1260" s="87">
        <f t="shared" si="117"/>
        <v>1.7887965668244024E-3</v>
      </c>
      <c r="S1260" s="87">
        <f t="shared" si="117"/>
        <v>2.3345837138403464E-2</v>
      </c>
      <c r="T1260" s="87">
        <f t="shared" si="116"/>
        <v>3.5091319811269978E-2</v>
      </c>
      <c r="U1260" s="87">
        <f t="shared" si="116"/>
        <v>9.4276792555588254E-3</v>
      </c>
      <c r="V1260" s="87">
        <f t="shared" si="116"/>
        <v>2.1448543407483693E-2</v>
      </c>
      <c r="W1260" s="87">
        <f t="shared" si="116"/>
        <v>-3.883500026397633E-3</v>
      </c>
      <c r="X1260" s="87">
        <f t="shared" si="116"/>
        <v>1.4252022707201413E-2</v>
      </c>
      <c r="Y1260" s="87">
        <f t="shared" si="116"/>
        <v>6.2500203451713258E-3</v>
      </c>
      <c r="Z1260" s="87">
        <f t="shared" si="116"/>
        <v>1.1834457647002798E-2</v>
      </c>
      <c r="AA1260" s="87">
        <f t="shared" si="116"/>
        <v>1.6985546365743807E-2</v>
      </c>
      <c r="AB1260" s="87">
        <f t="shared" si="116"/>
        <v>2.6237630216857308E-2</v>
      </c>
      <c r="AC1260" s="87">
        <f t="shared" si="116"/>
        <v>2.1433420602747246E-2</v>
      </c>
      <c r="AD1260" s="87">
        <f t="shared" si="120"/>
        <v>1.8158735011871048E-2</v>
      </c>
      <c r="AE1260" s="90">
        <f t="shared" si="119"/>
        <v>1.227392026426952E-2</v>
      </c>
    </row>
    <row r="1261" spans="1:31" ht="15.5" x14ac:dyDescent="0.35">
      <c r="A1261" s="82">
        <v>41593</v>
      </c>
      <c r="B1261" s="83">
        <v>10189.799999999999</v>
      </c>
      <c r="C1261" s="84">
        <v>3986</v>
      </c>
      <c r="D1261" s="61">
        <v>515.70000000000005</v>
      </c>
      <c r="E1261" s="61">
        <v>35.299999999999997</v>
      </c>
      <c r="F1261" s="61">
        <v>74.900000000000006</v>
      </c>
      <c r="G1261" s="61">
        <v>37.700000000000003</v>
      </c>
      <c r="H1261" s="61">
        <v>26</v>
      </c>
      <c r="I1261" s="61">
        <v>21.2</v>
      </c>
      <c r="J1261" s="61">
        <v>32.299999999999997</v>
      </c>
      <c r="K1261" s="61">
        <v>8.8000000000000007</v>
      </c>
      <c r="L1261" s="61">
        <v>47.6</v>
      </c>
      <c r="M1261" s="61">
        <v>51.3</v>
      </c>
      <c r="N1261" s="61">
        <v>89.9</v>
      </c>
      <c r="O1261" s="85">
        <v>39.1</v>
      </c>
      <c r="P1261" s="105"/>
      <c r="Q1261" s="87">
        <f t="shared" si="118"/>
        <v>5.8365445725728831E-3</v>
      </c>
      <c r="R1261" s="87">
        <f t="shared" si="117"/>
        <v>3.3422574995516192E-3</v>
      </c>
      <c r="S1261" s="87">
        <f t="shared" si="117"/>
        <v>0</v>
      </c>
      <c r="T1261" s="87">
        <f t="shared" si="116"/>
        <v>1.4265577158822439E-2</v>
      </c>
      <c r="U1261" s="87">
        <f t="shared" si="116"/>
        <v>4.0133833134587413E-3</v>
      </c>
      <c r="V1261" s="87">
        <f t="shared" si="116"/>
        <v>0</v>
      </c>
      <c r="W1261" s="87">
        <f t="shared" si="116"/>
        <v>1.160554612030789E-2</v>
      </c>
      <c r="X1261" s="87">
        <f t="shared" si="116"/>
        <v>0</v>
      </c>
      <c r="Y1261" s="87">
        <f t="shared" si="116"/>
        <v>6.2112000926404553E-3</v>
      </c>
      <c r="Z1261" s="87">
        <f t="shared" si="116"/>
        <v>3.4685557987890109E-2</v>
      </c>
      <c r="AA1261" s="87">
        <f t="shared" ref="AA1261:AD1324" si="121">+LN(L1261/L1260)</f>
        <v>2.10305019677889E-3</v>
      </c>
      <c r="AB1261" s="87">
        <f t="shared" si="121"/>
        <v>2.1675725479040321E-2</v>
      </c>
      <c r="AC1261" s="87">
        <f t="shared" si="121"/>
        <v>3.3426214966899284E-3</v>
      </c>
      <c r="AD1261" s="87">
        <f t="shared" si="120"/>
        <v>5.1282163669195292E-3</v>
      </c>
      <c r="AE1261" s="90">
        <f t="shared" si="119"/>
        <v>2.7727448967990202E-3</v>
      </c>
    </row>
    <row r="1262" spans="1:31" ht="15.5" x14ac:dyDescent="0.35">
      <c r="A1262" s="82">
        <v>41596</v>
      </c>
      <c r="B1262" s="83">
        <v>10167.200000000001</v>
      </c>
      <c r="C1262" s="84">
        <v>3949.1</v>
      </c>
      <c r="D1262" s="61">
        <v>515.1</v>
      </c>
      <c r="E1262" s="61">
        <v>34.5</v>
      </c>
      <c r="F1262" s="61">
        <v>74</v>
      </c>
      <c r="G1262" s="61">
        <v>37.1</v>
      </c>
      <c r="H1262" s="61">
        <v>25.1</v>
      </c>
      <c r="I1262" s="61">
        <v>21.4</v>
      </c>
      <c r="J1262" s="61">
        <v>32.4</v>
      </c>
      <c r="K1262" s="61">
        <v>8.5</v>
      </c>
      <c r="L1262" s="61">
        <v>47.8</v>
      </c>
      <c r="M1262" s="61">
        <v>51.9</v>
      </c>
      <c r="N1262" s="61">
        <v>90.4</v>
      </c>
      <c r="O1262" s="85">
        <v>39.200000000000003</v>
      </c>
      <c r="P1262" s="105"/>
      <c r="Q1262" s="87">
        <f t="shared" si="118"/>
        <v>-2.2203673709181512E-3</v>
      </c>
      <c r="R1262" s="87">
        <f t="shared" si="117"/>
        <v>-9.3005169401604998E-3</v>
      </c>
      <c r="S1262" s="87">
        <f t="shared" si="117"/>
        <v>-1.1641444853737134E-3</v>
      </c>
      <c r="T1262" s="87">
        <f t="shared" si="117"/>
        <v>-2.2923639901936965E-2</v>
      </c>
      <c r="U1262" s="87">
        <f t="shared" si="117"/>
        <v>-1.2088797319004073E-2</v>
      </c>
      <c r="V1262" s="87">
        <f t="shared" si="117"/>
        <v>-1.6043124840575691E-2</v>
      </c>
      <c r="W1262" s="87">
        <f t="shared" si="117"/>
        <v>-3.5228691883743828E-2</v>
      </c>
      <c r="X1262" s="87">
        <f t="shared" si="117"/>
        <v>9.3897403498389171E-3</v>
      </c>
      <c r="Y1262" s="87">
        <f t="shared" si="117"/>
        <v>3.0911925696728796E-3</v>
      </c>
      <c r="Z1262" s="87">
        <f t="shared" si="117"/>
        <v>-3.4685557987890102E-2</v>
      </c>
      <c r="AA1262" s="87">
        <f t="shared" si="121"/>
        <v>4.1928782600359578E-3</v>
      </c>
      <c r="AB1262" s="87">
        <f t="shared" si="121"/>
        <v>1.1628037995119214E-2</v>
      </c>
      <c r="AC1262" s="87">
        <f t="shared" si="121"/>
        <v>5.5463259205561352E-3</v>
      </c>
      <c r="AD1262" s="87">
        <f t="shared" si="120"/>
        <v>2.5542798050967007E-3</v>
      </c>
      <c r="AE1262" s="90">
        <f t="shared" si="119"/>
        <v>-6.2748254542142074E-3</v>
      </c>
    </row>
    <row r="1263" spans="1:31" ht="15.5" x14ac:dyDescent="0.35">
      <c r="A1263" s="82">
        <v>41597</v>
      </c>
      <c r="B1263" s="83">
        <v>10135.6</v>
      </c>
      <c r="C1263" s="84">
        <v>3931.6</v>
      </c>
      <c r="D1263" s="61">
        <v>512</v>
      </c>
      <c r="E1263" s="61">
        <v>34.5</v>
      </c>
      <c r="F1263" s="61">
        <v>74</v>
      </c>
      <c r="G1263" s="61">
        <v>36.700000000000003</v>
      </c>
      <c r="H1263" s="61">
        <v>24.9</v>
      </c>
      <c r="I1263" s="61">
        <v>21.2</v>
      </c>
      <c r="J1263" s="61">
        <v>32.299999999999997</v>
      </c>
      <c r="K1263" s="61">
        <v>8.6</v>
      </c>
      <c r="L1263" s="61">
        <v>47.7</v>
      </c>
      <c r="M1263" s="61">
        <v>51.9</v>
      </c>
      <c r="N1263" s="61">
        <v>88.9</v>
      </c>
      <c r="O1263" s="85">
        <v>38.799999999999997</v>
      </c>
      <c r="P1263" s="105"/>
      <c r="Q1263" s="87">
        <f t="shared" si="118"/>
        <v>-3.1128736447140161E-3</v>
      </c>
      <c r="R1263" s="87">
        <f t="shared" si="117"/>
        <v>-4.4412371401052432E-3</v>
      </c>
      <c r="S1263" s="87">
        <f t="shared" si="117"/>
        <v>-6.0364315320317946E-3</v>
      </c>
      <c r="T1263" s="87">
        <f t="shared" si="117"/>
        <v>0</v>
      </c>
      <c r="U1263" s="87">
        <f t="shared" si="117"/>
        <v>0</v>
      </c>
      <c r="V1263" s="87">
        <f t="shared" si="117"/>
        <v>-1.0840214552864833E-2</v>
      </c>
      <c r="W1263" s="87">
        <f t="shared" si="117"/>
        <v>-8.0000426670763757E-3</v>
      </c>
      <c r="X1263" s="87">
        <f t="shared" si="117"/>
        <v>-9.3897403498390316E-3</v>
      </c>
      <c r="Y1263" s="87">
        <f t="shared" si="117"/>
        <v>-3.0911925696728579E-3</v>
      </c>
      <c r="Z1263" s="87">
        <f t="shared" si="117"/>
        <v>1.1696039763191236E-2</v>
      </c>
      <c r="AA1263" s="87">
        <f t="shared" si="121"/>
        <v>-2.0942416031146257E-3</v>
      </c>
      <c r="AB1263" s="87">
        <f t="shared" si="121"/>
        <v>0</v>
      </c>
      <c r="AC1263" s="87">
        <f t="shared" si="121"/>
        <v>-1.6732124878271918E-2</v>
      </c>
      <c r="AD1263" s="87">
        <f t="shared" si="120"/>
        <v>-1.0256500167189221E-2</v>
      </c>
      <c r="AE1263" s="90">
        <f t="shared" si="119"/>
        <v>-4.3451656163799104E-3</v>
      </c>
    </row>
    <row r="1264" spans="1:31" ht="15.5" x14ac:dyDescent="0.35">
      <c r="A1264" s="82">
        <v>41598</v>
      </c>
      <c r="B1264" s="83">
        <v>10096.4</v>
      </c>
      <c r="C1264" s="84">
        <v>3921.3</v>
      </c>
      <c r="D1264" s="61">
        <v>510.7</v>
      </c>
      <c r="E1264" s="61">
        <v>35.200000000000003</v>
      </c>
      <c r="F1264" s="61">
        <v>73.5</v>
      </c>
      <c r="G1264" s="61">
        <v>36.9</v>
      </c>
      <c r="H1264" s="61">
        <v>25.7</v>
      </c>
      <c r="I1264" s="61">
        <v>21.2</v>
      </c>
      <c r="J1264" s="61">
        <v>31.9</v>
      </c>
      <c r="K1264" s="61">
        <v>9.1999999999999993</v>
      </c>
      <c r="L1264" s="61">
        <v>47.8</v>
      </c>
      <c r="M1264" s="61">
        <v>52</v>
      </c>
      <c r="N1264" s="61">
        <v>88.9</v>
      </c>
      <c r="O1264" s="85">
        <v>38.9</v>
      </c>
      <c r="P1264" s="105"/>
      <c r="Q1264" s="87">
        <f t="shared" si="118"/>
        <v>-3.8750542756429127E-3</v>
      </c>
      <c r="R1264" s="87">
        <f t="shared" si="117"/>
        <v>-2.6232362328583994E-3</v>
      </c>
      <c r="S1264" s="87">
        <f t="shared" si="117"/>
        <v>-2.5422913859095807E-3</v>
      </c>
      <c r="T1264" s="87">
        <f t="shared" si="117"/>
        <v>2.0086758566737511E-2</v>
      </c>
      <c r="U1264" s="87">
        <f t="shared" si="117"/>
        <v>-6.7796869853788038E-3</v>
      </c>
      <c r="V1264" s="87">
        <f t="shared" si="117"/>
        <v>5.4347959859567746E-3</v>
      </c>
      <c r="W1264" s="87">
        <f t="shared" si="117"/>
        <v>3.1623188430512143E-2</v>
      </c>
      <c r="X1264" s="87">
        <f t="shared" si="117"/>
        <v>0</v>
      </c>
      <c r="Y1264" s="87">
        <f t="shared" si="117"/>
        <v>-1.2461220437811889E-2</v>
      </c>
      <c r="Z1264" s="87">
        <f t="shared" si="117"/>
        <v>6.7441280795532479E-2</v>
      </c>
      <c r="AA1264" s="87">
        <f t="shared" si="121"/>
        <v>2.0942416031146851E-3</v>
      </c>
      <c r="AB1264" s="87">
        <f t="shared" si="121"/>
        <v>1.924928409584418E-3</v>
      </c>
      <c r="AC1264" s="87">
        <f t="shared" si="121"/>
        <v>0</v>
      </c>
      <c r="AD1264" s="87">
        <f t="shared" si="120"/>
        <v>2.5740039951728426E-3</v>
      </c>
      <c r="AE1264" s="90">
        <f t="shared" si="119"/>
        <v>-3.1563140803115659E-3</v>
      </c>
    </row>
    <row r="1265" spans="1:31" ht="15.5" x14ac:dyDescent="0.35">
      <c r="A1265" s="82">
        <v>41599</v>
      </c>
      <c r="B1265" s="83">
        <v>10162.4</v>
      </c>
      <c r="C1265" s="84">
        <v>3969.2</v>
      </c>
      <c r="D1265" s="61">
        <v>513.5</v>
      </c>
      <c r="E1265" s="61">
        <v>36.200000000000003</v>
      </c>
      <c r="F1265" s="61">
        <v>73.400000000000006</v>
      </c>
      <c r="G1265" s="61">
        <v>37.299999999999997</v>
      </c>
      <c r="H1265" s="61">
        <v>26</v>
      </c>
      <c r="I1265" s="61">
        <v>21.4</v>
      </c>
      <c r="J1265" s="61">
        <v>31.2</v>
      </c>
      <c r="K1265" s="61">
        <v>9.1</v>
      </c>
      <c r="L1265" s="61">
        <v>48.2</v>
      </c>
      <c r="M1265" s="61">
        <v>52</v>
      </c>
      <c r="N1265" s="61">
        <v>89.5</v>
      </c>
      <c r="O1265" s="85">
        <v>38.700000000000003</v>
      </c>
      <c r="P1265" s="105"/>
      <c r="Q1265" s="87">
        <f t="shared" si="118"/>
        <v>6.5157100617471266E-3</v>
      </c>
      <c r="R1265" s="87">
        <f t="shared" si="117"/>
        <v>1.2141331580470514E-2</v>
      </c>
      <c r="S1265" s="87">
        <f t="shared" si="117"/>
        <v>5.4676957150147226E-3</v>
      </c>
      <c r="T1265" s="87">
        <f t="shared" si="117"/>
        <v>2.8013036227673888E-2</v>
      </c>
      <c r="U1265" s="87">
        <f t="shared" si="117"/>
        <v>-1.3614705983209633E-3</v>
      </c>
      <c r="V1265" s="87">
        <f t="shared" si="117"/>
        <v>1.0781775603288413E-2</v>
      </c>
      <c r="W1265" s="87">
        <f t="shared" si="117"/>
        <v>1.160554612030789E-2</v>
      </c>
      <c r="X1265" s="87">
        <f t="shared" si="117"/>
        <v>9.3897403498389171E-3</v>
      </c>
      <c r="Y1265" s="87">
        <f t="shared" si="117"/>
        <v>-2.2187914975362218E-2</v>
      </c>
      <c r="Z1265" s="87">
        <f t="shared" si="117"/>
        <v>-1.0929070532190206E-2</v>
      </c>
      <c r="AA1265" s="87">
        <f t="shared" si="121"/>
        <v>8.3333815591444607E-3</v>
      </c>
      <c r="AB1265" s="87">
        <f t="shared" si="121"/>
        <v>0</v>
      </c>
      <c r="AC1265" s="87">
        <f t="shared" si="121"/>
        <v>6.7264827609508126E-3</v>
      </c>
      <c r="AD1265" s="87">
        <f t="shared" si="120"/>
        <v>-5.1546505886644264E-3</v>
      </c>
      <c r="AE1265" s="90">
        <f t="shared" si="119"/>
        <v>4.2242560219044609E-3</v>
      </c>
    </row>
    <row r="1266" spans="1:31" ht="15.5" x14ac:dyDescent="0.35">
      <c r="A1266" s="82">
        <v>41600</v>
      </c>
      <c r="B1266" s="83">
        <v>10205.700000000001</v>
      </c>
      <c r="C1266" s="84">
        <v>3991.6</v>
      </c>
      <c r="D1266" s="61">
        <v>515.1</v>
      </c>
      <c r="E1266" s="61">
        <v>36</v>
      </c>
      <c r="F1266" s="61">
        <v>74.099999999999994</v>
      </c>
      <c r="G1266" s="61">
        <v>37.299999999999997</v>
      </c>
      <c r="H1266" s="61">
        <v>25.8</v>
      </c>
      <c r="I1266" s="61">
        <v>21.4</v>
      </c>
      <c r="J1266" s="61">
        <v>31</v>
      </c>
      <c r="K1266" s="61">
        <v>8.8000000000000007</v>
      </c>
      <c r="L1266" s="61">
        <v>48.4</v>
      </c>
      <c r="M1266" s="61">
        <v>52.4</v>
      </c>
      <c r="N1266" s="61">
        <v>90.6</v>
      </c>
      <c r="O1266" s="85">
        <v>39</v>
      </c>
      <c r="P1266" s="105"/>
      <c r="Q1266" s="87">
        <f t="shared" si="118"/>
        <v>4.251753008801081E-3</v>
      </c>
      <c r="R1266" s="87">
        <f t="shared" si="117"/>
        <v>5.6275899700711307E-3</v>
      </c>
      <c r="S1266" s="87">
        <f t="shared" si="117"/>
        <v>3.1110272029266682E-3</v>
      </c>
      <c r="T1266" s="87">
        <f t="shared" si="117"/>
        <v>-5.540180375615468E-3</v>
      </c>
      <c r="U1266" s="87">
        <f t="shared" si="117"/>
        <v>9.4915966815711707E-3</v>
      </c>
      <c r="V1266" s="87">
        <f t="shared" si="117"/>
        <v>0</v>
      </c>
      <c r="W1266" s="87">
        <f t="shared" si="117"/>
        <v>-7.7220460939102778E-3</v>
      </c>
      <c r="X1266" s="87">
        <f t="shared" si="117"/>
        <v>0</v>
      </c>
      <c r="Y1266" s="87">
        <f t="shared" si="117"/>
        <v>-6.4308903302904025E-3</v>
      </c>
      <c r="Z1266" s="87">
        <f t="shared" si="117"/>
        <v>-3.3522692038643449E-2</v>
      </c>
      <c r="AA1266" s="87">
        <f t="shared" si="121"/>
        <v>4.1407926660313871E-3</v>
      </c>
      <c r="AB1266" s="87">
        <f t="shared" si="121"/>
        <v>7.6628727455690972E-3</v>
      </c>
      <c r="AC1266" s="87">
        <f t="shared" si="121"/>
        <v>1.2215587768123891E-2</v>
      </c>
      <c r="AD1266" s="87">
        <f t="shared" si="120"/>
        <v>7.7220460939103185E-3</v>
      </c>
      <c r="AE1266" s="90">
        <f t="shared" si="119"/>
        <v>6.2502775578006341E-3</v>
      </c>
    </row>
    <row r="1267" spans="1:31" ht="15.5" x14ac:dyDescent="0.35">
      <c r="A1267" s="82">
        <v>41603</v>
      </c>
      <c r="B1267" s="83">
        <v>10176.200000000001</v>
      </c>
      <c r="C1267" s="84">
        <v>3994.6</v>
      </c>
      <c r="D1267" s="61">
        <v>518</v>
      </c>
      <c r="E1267" s="61">
        <v>36</v>
      </c>
      <c r="F1267" s="61">
        <v>74.400000000000006</v>
      </c>
      <c r="G1267" s="61">
        <v>37.6</v>
      </c>
      <c r="H1267" s="61">
        <v>26.3</v>
      </c>
      <c r="I1267" s="61">
        <v>21.7</v>
      </c>
      <c r="J1267" s="61">
        <v>30.9</v>
      </c>
      <c r="K1267" s="61">
        <v>8.8000000000000007</v>
      </c>
      <c r="L1267" s="61">
        <v>48.9</v>
      </c>
      <c r="M1267" s="61">
        <v>52.2</v>
      </c>
      <c r="N1267" s="61">
        <v>91.3</v>
      </c>
      <c r="O1267" s="85">
        <v>39.4</v>
      </c>
      <c r="P1267" s="105"/>
      <c r="Q1267" s="87">
        <f t="shared" si="118"/>
        <v>-2.8947272432372217E-3</v>
      </c>
      <c r="R1267" s="87">
        <f t="shared" si="117"/>
        <v>7.5129602091383255E-4</v>
      </c>
      <c r="S1267" s="87">
        <f t="shared" si="117"/>
        <v>5.614185687943387E-3</v>
      </c>
      <c r="T1267" s="87">
        <f t="shared" si="117"/>
        <v>0</v>
      </c>
      <c r="U1267" s="87">
        <f t="shared" si="117"/>
        <v>4.040409537005127E-3</v>
      </c>
      <c r="V1267" s="87">
        <f t="shared" si="117"/>
        <v>8.010723746078979E-3</v>
      </c>
      <c r="W1267" s="87">
        <f t="shared" si="117"/>
        <v>1.9194447256147159E-2</v>
      </c>
      <c r="X1267" s="87">
        <f t="shared" si="117"/>
        <v>1.3921338518608014E-2</v>
      </c>
      <c r="Y1267" s="87">
        <f t="shared" si="117"/>
        <v>-3.2310205814465318E-3</v>
      </c>
      <c r="Z1267" s="87">
        <f t="shared" si="117"/>
        <v>0</v>
      </c>
      <c r="AA1267" s="87">
        <f t="shared" si="121"/>
        <v>1.027758275824023E-2</v>
      </c>
      <c r="AB1267" s="87">
        <f t="shared" si="121"/>
        <v>-3.8240964384033942E-3</v>
      </c>
      <c r="AC1267" s="87">
        <f t="shared" si="121"/>
        <v>7.6965745519890667E-3</v>
      </c>
      <c r="AD1267" s="87">
        <f t="shared" si="120"/>
        <v>1.0204170174241668E-2</v>
      </c>
      <c r="AE1267" s="90">
        <f t="shared" si="119"/>
        <v>4.264442508755904E-3</v>
      </c>
    </row>
    <row r="1268" spans="1:31" ht="15.5" x14ac:dyDescent="0.35">
      <c r="A1268" s="82">
        <v>41604</v>
      </c>
      <c r="B1268" s="83">
        <v>10167.9</v>
      </c>
      <c r="C1268" s="84">
        <v>4017.8</v>
      </c>
      <c r="D1268" s="61">
        <v>522</v>
      </c>
      <c r="E1268" s="61">
        <v>36.1</v>
      </c>
      <c r="F1268" s="61">
        <v>74.900000000000006</v>
      </c>
      <c r="G1268" s="61">
        <v>37.4</v>
      </c>
      <c r="H1268" s="61">
        <v>26</v>
      </c>
      <c r="I1268" s="61">
        <v>21.8</v>
      </c>
      <c r="J1268" s="61">
        <v>30.8</v>
      </c>
      <c r="K1268" s="61">
        <v>9.3000000000000007</v>
      </c>
      <c r="L1268" s="61">
        <v>49.2</v>
      </c>
      <c r="M1268" s="61">
        <v>52.5</v>
      </c>
      <c r="N1268" s="61">
        <v>91.6</v>
      </c>
      <c r="O1268" s="85">
        <v>39.6</v>
      </c>
      <c r="P1268" s="105"/>
      <c r="Q1268" s="87">
        <f t="shared" si="118"/>
        <v>-8.1596142965359821E-4</v>
      </c>
      <c r="R1268" s="87">
        <f t="shared" si="117"/>
        <v>5.7910400969775526E-3</v>
      </c>
      <c r="S1268" s="87">
        <f t="shared" si="117"/>
        <v>7.6923456231556449E-3</v>
      </c>
      <c r="T1268" s="87">
        <f t="shared" si="117"/>
        <v>2.7739268827252244E-3</v>
      </c>
      <c r="U1268" s="87">
        <f t="shared" si="117"/>
        <v>6.6979486841277176E-3</v>
      </c>
      <c r="V1268" s="87">
        <f t="shared" si="117"/>
        <v>-5.3333459753626168E-3</v>
      </c>
      <c r="W1268" s="87">
        <f t="shared" si="117"/>
        <v>-1.1472401162236807E-2</v>
      </c>
      <c r="X1268" s="87">
        <f t="shared" si="117"/>
        <v>4.5977092486295494E-3</v>
      </c>
      <c r="Y1268" s="87">
        <f t="shared" si="117"/>
        <v>-3.2414939241709557E-3</v>
      </c>
      <c r="Z1268" s="87">
        <f t="shared" si="117"/>
        <v>5.5262678675049519E-2</v>
      </c>
      <c r="AA1268" s="87">
        <f t="shared" si="121"/>
        <v>6.1162270174362739E-3</v>
      </c>
      <c r="AB1268" s="87">
        <f t="shared" si="121"/>
        <v>5.7306747089850745E-3</v>
      </c>
      <c r="AC1268" s="87">
        <f t="shared" si="121"/>
        <v>3.2804840791616796E-3</v>
      </c>
      <c r="AD1268" s="87">
        <f t="shared" si="120"/>
        <v>5.0633019565468548E-3</v>
      </c>
      <c r="AE1268" s="90">
        <f t="shared" si="119"/>
        <v>6.5185396986332054E-3</v>
      </c>
    </row>
    <row r="1269" spans="1:31" ht="15.5" x14ac:dyDescent="0.35">
      <c r="A1269" s="82">
        <v>41605</v>
      </c>
      <c r="B1269" s="83">
        <v>10183</v>
      </c>
      <c r="C1269" s="84">
        <v>4044.8</v>
      </c>
      <c r="D1269" s="61">
        <v>530.5</v>
      </c>
      <c r="E1269" s="61">
        <v>36.5</v>
      </c>
      <c r="F1269" s="61">
        <v>76.2</v>
      </c>
      <c r="G1269" s="61">
        <v>37.5</v>
      </c>
      <c r="H1269" s="61">
        <v>26.1</v>
      </c>
      <c r="I1269" s="61">
        <v>21.9</v>
      </c>
      <c r="J1269" s="61">
        <v>30.9</v>
      </c>
      <c r="K1269" s="61">
        <v>9.4</v>
      </c>
      <c r="L1269" s="61">
        <v>49.6</v>
      </c>
      <c r="M1269" s="61">
        <v>52.1</v>
      </c>
      <c r="N1269" s="61">
        <v>91.1</v>
      </c>
      <c r="O1269" s="85">
        <v>39.5</v>
      </c>
      <c r="P1269" s="105"/>
      <c r="Q1269" s="87">
        <f t="shared" si="118"/>
        <v>1.4839641265044128E-3</v>
      </c>
      <c r="R1269" s="87">
        <f t="shared" si="117"/>
        <v>6.6976163844346733E-3</v>
      </c>
      <c r="S1269" s="87">
        <f t="shared" si="117"/>
        <v>1.6152370171399134E-2</v>
      </c>
      <c r="T1269" s="87">
        <f t="shared" si="117"/>
        <v>1.1019395249610479E-2</v>
      </c>
      <c r="U1269" s="87">
        <f t="shared" si="117"/>
        <v>1.7207572169426782E-2</v>
      </c>
      <c r="V1269" s="87">
        <f t="shared" si="117"/>
        <v>2.6702285558788921E-3</v>
      </c>
      <c r="W1269" s="87">
        <f t="shared" si="117"/>
        <v>3.8387763071656669E-3</v>
      </c>
      <c r="X1269" s="87">
        <f t="shared" si="117"/>
        <v>4.5766670274116732E-3</v>
      </c>
      <c r="Y1269" s="87">
        <f t="shared" si="117"/>
        <v>3.2414939241710229E-3</v>
      </c>
      <c r="Z1269" s="87">
        <f t="shared" si="117"/>
        <v>1.069528911674795E-2</v>
      </c>
      <c r="AA1269" s="87">
        <f t="shared" si="121"/>
        <v>8.0972102326193028E-3</v>
      </c>
      <c r="AB1269" s="87">
        <f t="shared" si="121"/>
        <v>-7.6482208382568449E-3</v>
      </c>
      <c r="AC1269" s="87">
        <f t="shared" si="121"/>
        <v>-5.4734674141719312E-3</v>
      </c>
      <c r="AD1269" s="87">
        <f t="shared" si="120"/>
        <v>-2.5284463533587487E-3</v>
      </c>
      <c r="AE1269" s="90">
        <f t="shared" si="119"/>
        <v>1.1349424695631419E-2</v>
      </c>
    </row>
    <row r="1270" spans="1:31" ht="15.5" x14ac:dyDescent="0.35">
      <c r="A1270" s="82">
        <v>41607</v>
      </c>
      <c r="B1270" s="83">
        <v>10183.200000000001</v>
      </c>
      <c r="C1270" s="84">
        <v>4059.9</v>
      </c>
      <c r="D1270" s="61">
        <v>530.29999999999995</v>
      </c>
      <c r="E1270" s="61">
        <v>36.9</v>
      </c>
      <c r="F1270" s="61">
        <v>78.3</v>
      </c>
      <c r="G1270" s="61">
        <v>37.799999999999997</v>
      </c>
      <c r="H1270" s="61">
        <v>26</v>
      </c>
      <c r="I1270" s="61">
        <v>22.1</v>
      </c>
      <c r="J1270" s="61">
        <v>31.5</v>
      </c>
      <c r="K1270" s="61">
        <v>10</v>
      </c>
      <c r="L1270" s="61">
        <v>49.5</v>
      </c>
      <c r="M1270" s="61">
        <v>52.1</v>
      </c>
      <c r="N1270" s="61">
        <v>91.3</v>
      </c>
      <c r="O1270" s="85">
        <v>39.5</v>
      </c>
      <c r="P1270" s="105"/>
      <c r="Q1270" s="87">
        <f t="shared" si="118"/>
        <v>1.9640384559473256E-5</v>
      </c>
      <c r="R1270" s="87">
        <f t="shared" si="117"/>
        <v>3.7262372380859033E-3</v>
      </c>
      <c r="S1270" s="87">
        <f t="shared" si="117"/>
        <v>-3.7707391095359978E-4</v>
      </c>
      <c r="T1270" s="87">
        <f t="shared" si="117"/>
        <v>1.0899290458035638E-2</v>
      </c>
      <c r="U1270" s="87">
        <f t="shared" si="117"/>
        <v>2.7186140304156781E-2</v>
      </c>
      <c r="V1270" s="87">
        <f t="shared" si="117"/>
        <v>7.9681696491768813E-3</v>
      </c>
      <c r="W1270" s="87">
        <f t="shared" si="117"/>
        <v>-3.8387763071657129E-3</v>
      </c>
      <c r="X1270" s="87">
        <f t="shared" si="117"/>
        <v>9.0909717012521048E-3</v>
      </c>
      <c r="Y1270" s="87">
        <f t="shared" si="117"/>
        <v>1.9231361927887592E-2</v>
      </c>
      <c r="Z1270" s="87">
        <f t="shared" si="117"/>
        <v>6.1875403718087453E-2</v>
      </c>
      <c r="AA1270" s="87">
        <f t="shared" si="121"/>
        <v>-2.0181641562372361E-3</v>
      </c>
      <c r="AB1270" s="87">
        <f t="shared" si="121"/>
        <v>0</v>
      </c>
      <c r="AC1270" s="87">
        <f t="shared" si="121"/>
        <v>2.1929833350100864E-3</v>
      </c>
      <c r="AD1270" s="87">
        <f t="shared" si="120"/>
        <v>0</v>
      </c>
      <c r="AE1270" s="90">
        <f t="shared" si="119"/>
        <v>8.7801159358561615E-3</v>
      </c>
    </row>
    <row r="1271" spans="1:31" ht="15.5" x14ac:dyDescent="0.35">
      <c r="A1271" s="82">
        <v>41610</v>
      </c>
      <c r="B1271" s="83">
        <v>10137</v>
      </c>
      <c r="C1271" s="84">
        <v>4045.3</v>
      </c>
      <c r="D1271" s="61">
        <v>525.9</v>
      </c>
      <c r="E1271" s="61">
        <v>36.700000000000003</v>
      </c>
      <c r="F1271" s="61">
        <v>78.7</v>
      </c>
      <c r="G1271" s="61">
        <v>38.1</v>
      </c>
      <c r="H1271" s="61">
        <v>26.1</v>
      </c>
      <c r="I1271" s="61">
        <v>22.1</v>
      </c>
      <c r="J1271" s="61">
        <v>31.4</v>
      </c>
      <c r="K1271" s="61">
        <v>9.6</v>
      </c>
      <c r="L1271" s="61">
        <v>49.7</v>
      </c>
      <c r="M1271" s="61">
        <v>52.1</v>
      </c>
      <c r="N1271" s="61">
        <v>90.7</v>
      </c>
      <c r="O1271" s="85">
        <v>39.5</v>
      </c>
      <c r="P1271" s="105"/>
      <c r="Q1271" s="87">
        <f t="shared" si="118"/>
        <v>-4.5472071738252408E-3</v>
      </c>
      <c r="R1271" s="87">
        <f t="shared" si="117"/>
        <v>-3.6026293715240138E-3</v>
      </c>
      <c r="S1271" s="87">
        <f t="shared" si="117"/>
        <v>-8.3318035477858137E-3</v>
      </c>
      <c r="T1271" s="87">
        <f t="shared" si="117"/>
        <v>-5.4347959859568327E-3</v>
      </c>
      <c r="U1271" s="87">
        <f t="shared" si="117"/>
        <v>5.0955524266000952E-3</v>
      </c>
      <c r="V1271" s="87">
        <f t="shared" si="117"/>
        <v>7.9051795071134676E-3</v>
      </c>
      <c r="W1271" s="87">
        <f t="shared" si="117"/>
        <v>3.8387763071656669E-3</v>
      </c>
      <c r="X1271" s="87">
        <f t="shared" si="117"/>
        <v>0</v>
      </c>
      <c r="Y1271" s="87">
        <f t="shared" si="117"/>
        <v>-3.1796529173797957E-3</v>
      </c>
      <c r="Z1271" s="87">
        <f t="shared" si="117"/>
        <v>-4.0821994520255166E-2</v>
      </c>
      <c r="AA1271" s="87">
        <f t="shared" si="121"/>
        <v>4.0322635279384511E-3</v>
      </c>
      <c r="AB1271" s="87">
        <f t="shared" si="121"/>
        <v>0</v>
      </c>
      <c r="AC1271" s="87">
        <f t="shared" si="121"/>
        <v>-6.5934304798318452E-3</v>
      </c>
      <c r="AD1271" s="87">
        <f t="shared" si="120"/>
        <v>0</v>
      </c>
      <c r="AE1271" s="90">
        <f t="shared" si="119"/>
        <v>-2.0621208367846431E-3</v>
      </c>
    </row>
    <row r="1272" spans="1:31" ht="15.5" x14ac:dyDescent="0.35">
      <c r="A1272" s="82">
        <v>41611</v>
      </c>
      <c r="B1272" s="83">
        <v>10086.700000000001</v>
      </c>
      <c r="C1272" s="84">
        <v>4037.2</v>
      </c>
      <c r="D1272" s="61">
        <v>525</v>
      </c>
      <c r="E1272" s="61">
        <v>36.299999999999997</v>
      </c>
      <c r="F1272" s="61">
        <v>79.7</v>
      </c>
      <c r="G1272" s="61">
        <v>38.1</v>
      </c>
      <c r="H1272" s="61">
        <v>26.3</v>
      </c>
      <c r="I1272" s="61">
        <v>21.3</v>
      </c>
      <c r="J1272" s="61">
        <v>31.4</v>
      </c>
      <c r="K1272" s="61">
        <v>9.9</v>
      </c>
      <c r="L1272" s="61">
        <v>49.4</v>
      </c>
      <c r="M1272" s="61">
        <v>51.1</v>
      </c>
      <c r="N1272" s="61">
        <v>90.2</v>
      </c>
      <c r="O1272" s="85">
        <v>39.299999999999997</v>
      </c>
      <c r="P1272" s="105"/>
      <c r="Q1272" s="87">
        <f t="shared" si="118"/>
        <v>-4.9743720209592555E-3</v>
      </c>
      <c r="R1272" s="87">
        <f t="shared" si="117"/>
        <v>-2.0043310143412468E-3</v>
      </c>
      <c r="S1272" s="87">
        <f t="shared" si="117"/>
        <v>-1.7128180036747164E-3</v>
      </c>
      <c r="T1272" s="87">
        <f t="shared" si="117"/>
        <v>-1.0959013789719654E-2</v>
      </c>
      <c r="U1272" s="87">
        <f t="shared" si="117"/>
        <v>1.2626430372811755E-2</v>
      </c>
      <c r="V1272" s="87">
        <f t="shared" si="117"/>
        <v>0</v>
      </c>
      <c r="W1272" s="87">
        <f t="shared" si="117"/>
        <v>7.6336248550712051E-3</v>
      </c>
      <c r="X1272" s="87">
        <f t="shared" si="117"/>
        <v>-3.6870535808327685E-2</v>
      </c>
      <c r="Y1272" s="87">
        <f t="shared" si="117"/>
        <v>0</v>
      </c>
      <c r="Z1272" s="87">
        <f t="shared" si="117"/>
        <v>3.0771658666753687E-2</v>
      </c>
      <c r="AA1272" s="87">
        <f t="shared" si="121"/>
        <v>-6.0545089087062605E-3</v>
      </c>
      <c r="AB1272" s="87">
        <f t="shared" si="121"/>
        <v>-1.9380451549662461E-2</v>
      </c>
      <c r="AC1272" s="87">
        <f t="shared" si="121"/>
        <v>-5.5279300525129423E-3</v>
      </c>
      <c r="AD1272" s="87">
        <f t="shared" si="120"/>
        <v>-5.0761530318606607E-3</v>
      </c>
      <c r="AE1272" s="90">
        <f t="shared" si="119"/>
        <v>1.8911431748737922E-3</v>
      </c>
    </row>
    <row r="1273" spans="1:31" ht="15.5" x14ac:dyDescent="0.35">
      <c r="A1273" s="82">
        <v>41612</v>
      </c>
      <c r="B1273" s="83">
        <v>10064.9</v>
      </c>
      <c r="C1273" s="84">
        <v>4038</v>
      </c>
      <c r="D1273" s="61">
        <v>525.5</v>
      </c>
      <c r="E1273" s="61">
        <v>36.299999999999997</v>
      </c>
      <c r="F1273" s="61">
        <v>80.099999999999994</v>
      </c>
      <c r="G1273" s="61">
        <v>38.1</v>
      </c>
      <c r="H1273" s="61">
        <v>25.6</v>
      </c>
      <c r="I1273" s="61">
        <v>21.1</v>
      </c>
      <c r="J1273" s="61">
        <v>31.5</v>
      </c>
      <c r="K1273" s="61">
        <v>9.5</v>
      </c>
      <c r="L1273" s="61">
        <v>48.8</v>
      </c>
      <c r="M1273" s="61">
        <v>50.9</v>
      </c>
      <c r="N1273" s="61">
        <v>89.7</v>
      </c>
      <c r="O1273" s="85">
        <v>39.1</v>
      </c>
      <c r="P1273" s="105"/>
      <c r="Q1273" s="87">
        <f t="shared" si="118"/>
        <v>-2.1636007566766396E-3</v>
      </c>
      <c r="R1273" s="87">
        <f t="shared" si="117"/>
        <v>1.9813750807838536E-4</v>
      </c>
      <c r="S1273" s="87">
        <f t="shared" si="117"/>
        <v>9.519277253821558E-4</v>
      </c>
      <c r="T1273" s="87">
        <f t="shared" si="117"/>
        <v>0</v>
      </c>
      <c r="U1273" s="87">
        <f t="shared" si="117"/>
        <v>5.0062682781440012E-3</v>
      </c>
      <c r="V1273" s="87">
        <f t="shared" si="117"/>
        <v>0</v>
      </c>
      <c r="W1273" s="87">
        <f t="shared" si="117"/>
        <v>-2.6976587698202083E-2</v>
      </c>
      <c r="X1273" s="87">
        <f t="shared" si="117"/>
        <v>-9.4340322333585289E-3</v>
      </c>
      <c r="Y1273" s="87">
        <f t="shared" si="117"/>
        <v>3.1796529173798056E-3</v>
      </c>
      <c r="Z1273" s="87">
        <f t="shared" si="117"/>
        <v>-4.1242958534049134E-2</v>
      </c>
      <c r="AA1273" s="87">
        <f t="shared" si="121"/>
        <v>-1.2220111334775333E-2</v>
      </c>
      <c r="AB1273" s="87">
        <f t="shared" si="121"/>
        <v>-3.9215736531818023E-3</v>
      </c>
      <c r="AC1273" s="87">
        <f t="shared" si="121"/>
        <v>-5.5586580038274932E-3</v>
      </c>
      <c r="AD1273" s="87">
        <f t="shared" si="120"/>
        <v>-5.1020518838953985E-3</v>
      </c>
      <c r="AE1273" s="90">
        <f t="shared" si="119"/>
        <v>1.1494233968760783E-3</v>
      </c>
    </row>
    <row r="1274" spans="1:31" ht="15.5" x14ac:dyDescent="0.35">
      <c r="A1274" s="82">
        <v>41613</v>
      </c>
      <c r="B1274" s="83">
        <v>10016.700000000001</v>
      </c>
      <c r="C1274" s="84">
        <v>4033.2</v>
      </c>
      <c r="D1274" s="61">
        <v>526.1</v>
      </c>
      <c r="E1274" s="61">
        <v>38.1</v>
      </c>
      <c r="F1274" s="61">
        <v>80.900000000000006</v>
      </c>
      <c r="G1274" s="61">
        <v>37.200000000000003</v>
      </c>
      <c r="H1274" s="61">
        <v>25</v>
      </c>
      <c r="I1274" s="61">
        <v>21.3</v>
      </c>
      <c r="J1274" s="61">
        <v>31.6</v>
      </c>
      <c r="K1274" s="61">
        <v>8.6</v>
      </c>
      <c r="L1274" s="61">
        <v>48.8</v>
      </c>
      <c r="M1274" s="61">
        <v>51</v>
      </c>
      <c r="N1274" s="61">
        <v>90</v>
      </c>
      <c r="O1274" s="85">
        <v>39.299999999999997</v>
      </c>
      <c r="P1274" s="105"/>
      <c r="Q1274" s="87">
        <f t="shared" si="118"/>
        <v>-4.800423528035125E-3</v>
      </c>
      <c r="R1274" s="87">
        <f t="shared" si="117"/>
        <v>-1.1894143537225126E-3</v>
      </c>
      <c r="S1274" s="87">
        <f t="shared" si="117"/>
        <v>1.1411184197556803E-3</v>
      </c>
      <c r="T1274" s="87">
        <f t="shared" si="117"/>
        <v>4.8396540861850239E-2</v>
      </c>
      <c r="U1274" s="87">
        <f t="shared" si="117"/>
        <v>9.9379699901327116E-3</v>
      </c>
      <c r="V1274" s="87">
        <f t="shared" si="117"/>
        <v>-2.3905520853554366E-2</v>
      </c>
      <c r="W1274" s="87">
        <f t="shared" si="117"/>
        <v>-2.3716526617316044E-2</v>
      </c>
      <c r="X1274" s="87">
        <f t="shared" si="117"/>
        <v>9.4340322333584942E-3</v>
      </c>
      <c r="Y1274" s="87">
        <f t="shared" si="117"/>
        <v>3.1695747612790395E-3</v>
      </c>
      <c r="Z1274" s="87">
        <f t="shared" si="117"/>
        <v>-9.9529595347033178E-2</v>
      </c>
      <c r="AA1274" s="87">
        <f t="shared" si="121"/>
        <v>0</v>
      </c>
      <c r="AB1274" s="87">
        <f t="shared" si="121"/>
        <v>1.9627091678486889E-3</v>
      </c>
      <c r="AC1274" s="87">
        <f t="shared" si="121"/>
        <v>3.3389012655146303E-3</v>
      </c>
      <c r="AD1274" s="87">
        <f t="shared" si="120"/>
        <v>5.1020518838953309E-3</v>
      </c>
      <c r="AE1274" s="90">
        <f t="shared" si="119"/>
        <v>3.4393515038985438E-3</v>
      </c>
    </row>
    <row r="1275" spans="1:31" ht="15.5" x14ac:dyDescent="0.35">
      <c r="A1275" s="82">
        <v>41614</v>
      </c>
      <c r="B1275" s="83">
        <v>10131.200000000001</v>
      </c>
      <c r="C1275" s="84">
        <v>4062.5</v>
      </c>
      <c r="D1275" s="61">
        <v>530.6</v>
      </c>
      <c r="E1275" s="61">
        <v>38.5</v>
      </c>
      <c r="F1275" s="61">
        <v>79.900000000000006</v>
      </c>
      <c r="G1275" s="61">
        <v>38</v>
      </c>
      <c r="H1275" s="61">
        <v>24.2</v>
      </c>
      <c r="I1275" s="61">
        <v>22.1</v>
      </c>
      <c r="J1275" s="61">
        <v>31.4</v>
      </c>
      <c r="K1275" s="61">
        <v>8</v>
      </c>
      <c r="L1275" s="61">
        <v>49</v>
      </c>
      <c r="M1275" s="61">
        <v>51.4</v>
      </c>
      <c r="N1275" s="61">
        <v>92.1</v>
      </c>
      <c r="O1275" s="85">
        <v>39.6</v>
      </c>
      <c r="P1275" s="105"/>
      <c r="Q1275" s="87">
        <f t="shared" si="118"/>
        <v>1.1366071169909783E-2</v>
      </c>
      <c r="R1275" s="87">
        <f t="shared" si="117"/>
        <v>7.2384421189327433E-3</v>
      </c>
      <c r="S1275" s="87">
        <f t="shared" si="117"/>
        <v>8.5171329668778419E-3</v>
      </c>
      <c r="T1275" s="87">
        <f t="shared" si="117"/>
        <v>1.0443959161083314E-2</v>
      </c>
      <c r="U1275" s="87">
        <f t="shared" si="117"/>
        <v>-1.2437971292217059E-2</v>
      </c>
      <c r="V1275" s="87">
        <f t="shared" si="117"/>
        <v>2.1277398447284879E-2</v>
      </c>
      <c r="W1275" s="87">
        <f t="shared" si="117"/>
        <v>-3.2523191705560062E-2</v>
      </c>
      <c r="X1275" s="87">
        <f t="shared" si="117"/>
        <v>3.6870535808327796E-2</v>
      </c>
      <c r="Y1275" s="87">
        <f t="shared" si="117"/>
        <v>-6.3492276786588919E-3</v>
      </c>
      <c r="Z1275" s="87">
        <f t="shared" si="117"/>
        <v>-7.2320661579626133E-2</v>
      </c>
      <c r="AA1275" s="87">
        <f t="shared" si="121"/>
        <v>4.0899852515250664E-3</v>
      </c>
      <c r="AB1275" s="87">
        <f t="shared" si="121"/>
        <v>7.8125397367936247E-3</v>
      </c>
      <c r="AC1275" s="87">
        <f t="shared" si="121"/>
        <v>2.3065272930995969E-2</v>
      </c>
      <c r="AD1275" s="87">
        <f t="shared" si="120"/>
        <v>7.6045993852194328E-3</v>
      </c>
      <c r="AE1275" s="90">
        <f t="shared" si="119"/>
        <v>2.0310504868370502E-3</v>
      </c>
    </row>
    <row r="1276" spans="1:31" ht="15.5" x14ac:dyDescent="0.35">
      <c r="A1276" s="82">
        <v>41617</v>
      </c>
      <c r="B1276" s="83">
        <v>10146.299999999999</v>
      </c>
      <c r="C1276" s="84">
        <v>4068.8</v>
      </c>
      <c r="D1276" s="61">
        <v>534.5</v>
      </c>
      <c r="E1276" s="61">
        <v>38.6</v>
      </c>
      <c r="F1276" s="61">
        <v>80.099999999999994</v>
      </c>
      <c r="G1276" s="61">
        <v>38.4</v>
      </c>
      <c r="H1276" s="61">
        <v>24.4</v>
      </c>
      <c r="I1276" s="61">
        <v>22.4</v>
      </c>
      <c r="J1276" s="61">
        <v>31.1</v>
      </c>
      <c r="K1276" s="61">
        <v>8.1</v>
      </c>
      <c r="L1276" s="61">
        <v>49.2</v>
      </c>
      <c r="M1276" s="61">
        <v>51.5</v>
      </c>
      <c r="N1276" s="61">
        <v>93.2</v>
      </c>
      <c r="O1276" s="85">
        <v>39.799999999999997</v>
      </c>
      <c r="P1276" s="105"/>
      <c r="Q1276" s="87">
        <f t="shared" si="118"/>
        <v>1.4893357456426193E-3</v>
      </c>
      <c r="R1276" s="87">
        <f t="shared" ref="R1276:Z1304" si="122">+LN(C1276/C1275)</f>
        <v>1.5495680298622783E-3</v>
      </c>
      <c r="S1276" s="87">
        <f t="shared" si="122"/>
        <v>7.3232887614605282E-3</v>
      </c>
      <c r="T1276" s="87">
        <f t="shared" si="122"/>
        <v>2.594035177046749E-3</v>
      </c>
      <c r="U1276" s="87">
        <f t="shared" si="122"/>
        <v>2.5000013020844273E-3</v>
      </c>
      <c r="V1276" s="87">
        <f t="shared" si="122"/>
        <v>1.0471299867295437E-2</v>
      </c>
      <c r="W1276" s="87">
        <f t="shared" si="122"/>
        <v>8.2304991365154435E-3</v>
      </c>
      <c r="X1276" s="87">
        <f t="shared" si="122"/>
        <v>1.3483350337286988E-2</v>
      </c>
      <c r="Y1276" s="87">
        <f t="shared" si="122"/>
        <v>-9.6000737290191183E-3</v>
      </c>
      <c r="Z1276" s="87">
        <f t="shared" si="122"/>
        <v>1.242251999855711E-2</v>
      </c>
      <c r="AA1276" s="87">
        <f t="shared" si="121"/>
        <v>4.0733253876358688E-3</v>
      </c>
      <c r="AB1276" s="87">
        <f t="shared" si="121"/>
        <v>1.9436352085710307E-3</v>
      </c>
      <c r="AC1276" s="87">
        <f t="shared" si="121"/>
        <v>1.1872778430284345E-2</v>
      </c>
      <c r="AD1276" s="87">
        <f t="shared" si="120"/>
        <v>5.037794029957081E-3</v>
      </c>
      <c r="AE1276" s="90">
        <f t="shared" si="119"/>
        <v>3.9356611176301071E-3</v>
      </c>
    </row>
    <row r="1277" spans="1:31" ht="15.5" x14ac:dyDescent="0.35">
      <c r="A1277" s="82">
        <v>41618</v>
      </c>
      <c r="B1277" s="83">
        <v>10114.700000000001</v>
      </c>
      <c r="C1277" s="84">
        <v>4060.5</v>
      </c>
      <c r="D1277" s="61">
        <v>538.4</v>
      </c>
      <c r="E1277" s="61">
        <v>38.9</v>
      </c>
      <c r="F1277" s="61">
        <v>80.2</v>
      </c>
      <c r="G1277" s="61">
        <v>38</v>
      </c>
      <c r="H1277" s="61">
        <v>24.4</v>
      </c>
      <c r="I1277" s="61">
        <v>22.3</v>
      </c>
      <c r="J1277" s="61">
        <v>31</v>
      </c>
      <c r="K1277" s="61">
        <v>8.5</v>
      </c>
      <c r="L1277" s="61">
        <v>49.1</v>
      </c>
      <c r="M1277" s="61">
        <v>51.2</v>
      </c>
      <c r="N1277" s="61">
        <v>93</v>
      </c>
      <c r="O1277" s="85">
        <v>39.6</v>
      </c>
      <c r="P1277" s="105"/>
      <c r="Q1277" s="87">
        <f t="shared" si="118"/>
        <v>-3.1192957526620549E-3</v>
      </c>
      <c r="R1277" s="87">
        <f t="shared" si="122"/>
        <v>-2.0419969453896948E-3</v>
      </c>
      <c r="S1277" s="87">
        <f t="shared" si="122"/>
        <v>7.2700478654179812E-3</v>
      </c>
      <c r="T1277" s="87">
        <f t="shared" si="122"/>
        <v>7.7419741536154593E-3</v>
      </c>
      <c r="U1277" s="87">
        <f t="shared" si="122"/>
        <v>1.2476607981552772E-3</v>
      </c>
      <c r="V1277" s="87">
        <f t="shared" si="122"/>
        <v>-1.0471299867295366E-2</v>
      </c>
      <c r="W1277" s="87">
        <f t="shared" si="122"/>
        <v>0</v>
      </c>
      <c r="X1277" s="87">
        <f t="shared" si="122"/>
        <v>-4.4742803949209663E-3</v>
      </c>
      <c r="Y1277" s="87">
        <f t="shared" si="122"/>
        <v>-3.2206147000422834E-3</v>
      </c>
      <c r="Z1277" s="87">
        <f t="shared" si="122"/>
        <v>4.8202101817877686E-2</v>
      </c>
      <c r="AA1277" s="87">
        <f t="shared" si="121"/>
        <v>-2.0345886977875742E-3</v>
      </c>
      <c r="AB1277" s="87">
        <f t="shared" si="121"/>
        <v>-5.8422756242282907E-3</v>
      </c>
      <c r="AC1277" s="87">
        <f t="shared" si="121"/>
        <v>-2.1482285382896063E-3</v>
      </c>
      <c r="AD1277" s="87">
        <f t="shared" si="120"/>
        <v>-5.0377940299570698E-3</v>
      </c>
      <c r="AE1277" s="90">
        <f t="shared" si="119"/>
        <v>1.2607448918691413E-3</v>
      </c>
    </row>
    <row r="1278" spans="1:31" ht="15.5" x14ac:dyDescent="0.35">
      <c r="A1278" s="82">
        <v>41619</v>
      </c>
      <c r="B1278" s="83">
        <v>9991.5</v>
      </c>
      <c r="C1278" s="84">
        <v>4003.8</v>
      </c>
      <c r="D1278" s="61">
        <v>538.1</v>
      </c>
      <c r="E1278" s="61">
        <v>38.9</v>
      </c>
      <c r="F1278" s="61">
        <v>80</v>
      </c>
      <c r="G1278" s="61">
        <v>37.4</v>
      </c>
      <c r="H1278" s="61">
        <v>24.6</v>
      </c>
      <c r="I1278" s="61">
        <v>22.1</v>
      </c>
      <c r="J1278" s="61">
        <v>30.8</v>
      </c>
      <c r="K1278" s="61">
        <v>8.4</v>
      </c>
      <c r="L1278" s="61">
        <v>48.8</v>
      </c>
      <c r="M1278" s="61">
        <v>51.3</v>
      </c>
      <c r="N1278" s="61">
        <v>93.9</v>
      </c>
      <c r="O1278" s="85">
        <v>38.4</v>
      </c>
      <c r="P1278" s="105"/>
      <c r="Q1278" s="87">
        <f t="shared" si="118"/>
        <v>-1.2255079718275072E-2</v>
      </c>
      <c r="R1278" s="87">
        <f t="shared" si="122"/>
        <v>-1.4062208584849684E-2</v>
      </c>
      <c r="S1278" s="87">
        <f t="shared" si="122"/>
        <v>-5.5736183514397484E-4</v>
      </c>
      <c r="T1278" s="87">
        <f t="shared" si="122"/>
        <v>0</v>
      </c>
      <c r="U1278" s="87">
        <f t="shared" si="122"/>
        <v>-2.4968801985872659E-3</v>
      </c>
      <c r="V1278" s="87">
        <f t="shared" si="122"/>
        <v>-1.5915455305899568E-2</v>
      </c>
      <c r="W1278" s="87">
        <f t="shared" si="122"/>
        <v>8.1633106391610557E-3</v>
      </c>
      <c r="X1278" s="87">
        <f t="shared" si="122"/>
        <v>-9.009069942365857E-3</v>
      </c>
      <c r="Y1278" s="87">
        <f t="shared" si="122"/>
        <v>-6.4725145056174788E-3</v>
      </c>
      <c r="Z1278" s="87">
        <f t="shared" si="122"/>
        <v>-1.1834457647002796E-2</v>
      </c>
      <c r="AA1278" s="87">
        <f t="shared" si="121"/>
        <v>-6.1287219413734993E-3</v>
      </c>
      <c r="AB1278" s="87">
        <f t="shared" si="121"/>
        <v>1.9512201312615277E-3</v>
      </c>
      <c r="AC1278" s="87">
        <f t="shared" si="121"/>
        <v>9.6308930609613659E-3</v>
      </c>
      <c r="AD1278" s="87">
        <f t="shared" si="120"/>
        <v>-3.0771658666753774E-2</v>
      </c>
      <c r="AE1278" s="90">
        <f t="shared" si="119"/>
        <v>-8.8324980480048252E-3</v>
      </c>
    </row>
    <row r="1279" spans="1:31" ht="15.5" x14ac:dyDescent="0.35">
      <c r="A1279" s="82">
        <v>41620</v>
      </c>
      <c r="B1279" s="83">
        <v>9949.6</v>
      </c>
      <c r="C1279" s="84">
        <v>3998.4</v>
      </c>
      <c r="D1279" s="61">
        <v>535</v>
      </c>
      <c r="E1279" s="61">
        <v>39</v>
      </c>
      <c r="F1279" s="61">
        <v>80</v>
      </c>
      <c r="G1279" s="61">
        <v>37.200000000000003</v>
      </c>
      <c r="H1279" s="61">
        <v>24.5</v>
      </c>
      <c r="I1279" s="61">
        <v>22.2</v>
      </c>
      <c r="J1279" s="61">
        <v>30.4</v>
      </c>
      <c r="K1279" s="61">
        <v>8.1999999999999993</v>
      </c>
      <c r="L1279" s="61">
        <v>48</v>
      </c>
      <c r="M1279" s="61">
        <v>51.1</v>
      </c>
      <c r="N1279" s="61">
        <v>93.2</v>
      </c>
      <c r="O1279" s="85">
        <v>37.700000000000003</v>
      </c>
      <c r="P1279" s="105"/>
      <c r="Q1279" s="87">
        <f t="shared" si="118"/>
        <v>-4.2023821818124836E-3</v>
      </c>
      <c r="R1279" s="87">
        <f t="shared" si="122"/>
        <v>-1.3496290569279322E-3</v>
      </c>
      <c r="S1279" s="87">
        <f t="shared" si="122"/>
        <v>-5.7776695993674385E-3</v>
      </c>
      <c r="T1279" s="87">
        <f t="shared" si="122"/>
        <v>2.5673955052459545E-3</v>
      </c>
      <c r="U1279" s="87">
        <f t="shared" si="122"/>
        <v>0</v>
      </c>
      <c r="V1279" s="87">
        <f t="shared" si="122"/>
        <v>-5.3619431413852872E-3</v>
      </c>
      <c r="W1279" s="87">
        <f t="shared" si="122"/>
        <v>-4.0733253876358982E-3</v>
      </c>
      <c r="X1279" s="87">
        <f t="shared" si="122"/>
        <v>4.514680354526613E-3</v>
      </c>
      <c r="Y1279" s="87">
        <f t="shared" si="122"/>
        <v>-1.3072081567352888E-2</v>
      </c>
      <c r="Z1279" s="87">
        <f t="shared" si="122"/>
        <v>-2.4097551579060641E-2</v>
      </c>
      <c r="AA1279" s="87">
        <f t="shared" si="121"/>
        <v>-1.6529301951210471E-2</v>
      </c>
      <c r="AB1279" s="87">
        <f t="shared" si="121"/>
        <v>-3.9062549670649885E-3</v>
      </c>
      <c r="AC1279" s="87">
        <f t="shared" si="121"/>
        <v>-7.482664522671747E-3</v>
      </c>
      <c r="AD1279" s="87">
        <f t="shared" si="120"/>
        <v>-1.8397365139715943E-2</v>
      </c>
      <c r="AE1279" s="90">
        <f t="shared" si="119"/>
        <v>-4.3322123352121421E-3</v>
      </c>
    </row>
    <row r="1280" spans="1:31" ht="15.5" x14ac:dyDescent="0.35">
      <c r="A1280" s="82">
        <v>41621</v>
      </c>
      <c r="B1280" s="83">
        <v>9954.7999999999993</v>
      </c>
      <c r="C1280" s="84">
        <v>4001</v>
      </c>
      <c r="D1280" s="61">
        <v>529.5</v>
      </c>
      <c r="E1280" s="61">
        <v>39.6</v>
      </c>
      <c r="F1280" s="61">
        <v>79.099999999999994</v>
      </c>
      <c r="G1280" s="61">
        <v>36.6</v>
      </c>
      <c r="H1280" s="61">
        <v>24.9</v>
      </c>
      <c r="I1280" s="61">
        <v>22.3</v>
      </c>
      <c r="J1280" s="61">
        <v>30.6</v>
      </c>
      <c r="K1280" s="61">
        <v>8.5</v>
      </c>
      <c r="L1280" s="61">
        <v>48.1</v>
      </c>
      <c r="M1280" s="61">
        <v>50.9</v>
      </c>
      <c r="N1280" s="61">
        <v>92.8</v>
      </c>
      <c r="O1280" s="85">
        <v>38.1</v>
      </c>
      <c r="P1280" s="105"/>
      <c r="Q1280" s="87">
        <f t="shared" si="118"/>
        <v>5.224975501195953E-4</v>
      </c>
      <c r="R1280" s="87">
        <f t="shared" si="122"/>
        <v>6.5004877654715348E-4</v>
      </c>
      <c r="S1280" s="87">
        <f t="shared" si="122"/>
        <v>-1.0333581854545412E-2</v>
      </c>
      <c r="T1280" s="87">
        <f t="shared" si="122"/>
        <v>1.5267472130788381E-2</v>
      </c>
      <c r="U1280" s="87">
        <f t="shared" si="122"/>
        <v>-1.1313759900273517E-2</v>
      </c>
      <c r="V1280" s="87">
        <f t="shared" si="122"/>
        <v>-1.6260520871780291E-2</v>
      </c>
      <c r="W1280" s="87">
        <f t="shared" si="122"/>
        <v>1.6194685919980606E-2</v>
      </c>
      <c r="X1280" s="87">
        <f t="shared" si="122"/>
        <v>4.4943895878392674E-3</v>
      </c>
      <c r="Y1280" s="87">
        <f t="shared" si="122"/>
        <v>6.5574005461592607E-3</v>
      </c>
      <c r="Z1280" s="87">
        <f t="shared" si="122"/>
        <v>3.593200922606337E-2</v>
      </c>
      <c r="AA1280" s="87">
        <f t="shared" si="121"/>
        <v>2.0811662038246709E-3</v>
      </c>
      <c r="AB1280" s="87">
        <f t="shared" si="121"/>
        <v>-3.9215736531818023E-3</v>
      </c>
      <c r="AC1280" s="87">
        <f t="shared" si="121"/>
        <v>-4.3010818993906973E-3</v>
      </c>
      <c r="AD1280" s="87">
        <f t="shared" si="120"/>
        <v>1.0554187678690171E-2</v>
      </c>
      <c r="AE1280" s="90">
        <f t="shared" si="119"/>
        <v>-4.782654295886847E-3</v>
      </c>
    </row>
    <row r="1281" spans="1:31" ht="15.5" x14ac:dyDescent="0.35">
      <c r="A1281" s="82">
        <v>41624</v>
      </c>
      <c r="B1281" s="83">
        <v>10025</v>
      </c>
      <c r="C1281" s="84">
        <v>4029.5</v>
      </c>
      <c r="D1281" s="61">
        <v>531.5</v>
      </c>
      <c r="E1281" s="61">
        <v>39.6</v>
      </c>
      <c r="F1281" s="61">
        <v>79.3</v>
      </c>
      <c r="G1281" s="61">
        <v>36.5</v>
      </c>
      <c r="H1281" s="61">
        <v>25.2</v>
      </c>
      <c r="I1281" s="61">
        <v>22.6</v>
      </c>
      <c r="J1281" s="61">
        <v>30.6</v>
      </c>
      <c r="K1281" s="61">
        <v>8.4</v>
      </c>
      <c r="L1281" s="61">
        <v>47.9</v>
      </c>
      <c r="M1281" s="61">
        <v>51.2</v>
      </c>
      <c r="N1281" s="61">
        <v>91.6</v>
      </c>
      <c r="O1281" s="85">
        <v>38.1</v>
      </c>
      <c r="P1281" s="105"/>
      <c r="Q1281" s="87">
        <f t="shared" si="118"/>
        <v>7.0271262851189465E-3</v>
      </c>
      <c r="R1281" s="87">
        <f t="shared" si="122"/>
        <v>7.0979689073308741E-3</v>
      </c>
      <c r="S1281" s="87">
        <f t="shared" si="122"/>
        <v>3.7700327405413886E-3</v>
      </c>
      <c r="T1281" s="87">
        <f t="shared" si="122"/>
        <v>0</v>
      </c>
      <c r="U1281" s="87">
        <f t="shared" si="122"/>
        <v>2.52525386719421E-3</v>
      </c>
      <c r="V1281" s="87">
        <f t="shared" si="122"/>
        <v>-2.7359798188747488E-3</v>
      </c>
      <c r="W1281" s="87">
        <f t="shared" si="122"/>
        <v>1.197619104671562E-2</v>
      </c>
      <c r="X1281" s="87">
        <f t="shared" si="122"/>
        <v>1.3363227812167158E-2</v>
      </c>
      <c r="Y1281" s="87">
        <f t="shared" si="122"/>
        <v>0</v>
      </c>
      <c r="Z1281" s="87">
        <f t="shared" si="122"/>
        <v>-1.1834457647002796E-2</v>
      </c>
      <c r="AA1281" s="87">
        <f t="shared" si="121"/>
        <v>-4.1666726948460572E-3</v>
      </c>
      <c r="AB1281" s="87">
        <f t="shared" si="121"/>
        <v>5.8766084889851911E-3</v>
      </c>
      <c r="AC1281" s="87">
        <f t="shared" si="121"/>
        <v>-1.3015368112070361E-2</v>
      </c>
      <c r="AD1281" s="87">
        <f t="shared" si="120"/>
        <v>0</v>
      </c>
      <c r="AE1281" s="90">
        <f t="shared" si="119"/>
        <v>3.953405015807516E-3</v>
      </c>
    </row>
    <row r="1282" spans="1:31" ht="15.5" x14ac:dyDescent="0.35">
      <c r="A1282" s="82">
        <v>41625</v>
      </c>
      <c r="B1282" s="83">
        <v>9989.1</v>
      </c>
      <c r="C1282" s="84">
        <v>4023.7</v>
      </c>
      <c r="D1282" s="61">
        <v>534.70000000000005</v>
      </c>
      <c r="E1282" s="61">
        <v>39.4</v>
      </c>
      <c r="F1282" s="61">
        <v>79.099999999999994</v>
      </c>
      <c r="G1282" s="61">
        <v>36.299999999999997</v>
      </c>
      <c r="H1282" s="61">
        <v>25.4</v>
      </c>
      <c r="I1282" s="61">
        <v>22.6</v>
      </c>
      <c r="J1282" s="61">
        <v>30.7</v>
      </c>
      <c r="K1282" s="61">
        <v>8.1</v>
      </c>
      <c r="L1282" s="61">
        <v>47.6</v>
      </c>
      <c r="M1282" s="61">
        <v>50.6</v>
      </c>
      <c r="N1282" s="61">
        <v>91.7</v>
      </c>
      <c r="O1282" s="85">
        <v>38.200000000000003</v>
      </c>
      <c r="P1282" s="105"/>
      <c r="Q1282" s="87">
        <f t="shared" si="118"/>
        <v>-3.5874746806166774E-3</v>
      </c>
      <c r="R1282" s="87">
        <f t="shared" si="122"/>
        <v>-1.4404214480769739E-3</v>
      </c>
      <c r="S1282" s="87">
        <f t="shared" si="122"/>
        <v>6.0026441726833387E-3</v>
      </c>
      <c r="T1282" s="87">
        <f t="shared" si="122"/>
        <v>-5.063301956546762E-3</v>
      </c>
      <c r="U1282" s="87">
        <f t="shared" si="122"/>
        <v>-2.5252538671941822E-3</v>
      </c>
      <c r="V1282" s="87">
        <f t="shared" si="122"/>
        <v>-5.4945193176408128E-3</v>
      </c>
      <c r="W1282" s="87">
        <f t="shared" si="122"/>
        <v>7.9051795071132473E-3</v>
      </c>
      <c r="X1282" s="87">
        <f t="shared" si="122"/>
        <v>0</v>
      </c>
      <c r="Y1282" s="87">
        <f t="shared" si="122"/>
        <v>3.2626456348163694E-3</v>
      </c>
      <c r="Z1282" s="87">
        <f t="shared" si="122"/>
        <v>-3.6367644170874951E-2</v>
      </c>
      <c r="AA1282" s="87">
        <f t="shared" si="121"/>
        <v>-6.2827431794951804E-3</v>
      </c>
      <c r="AB1282" s="87">
        <f t="shared" si="121"/>
        <v>-1.178795575204224E-2</v>
      </c>
      <c r="AC1282" s="87">
        <f t="shared" si="121"/>
        <v>1.0911075823347785E-3</v>
      </c>
      <c r="AD1282" s="87">
        <f t="shared" si="120"/>
        <v>2.6212334798742872E-3</v>
      </c>
      <c r="AE1282" s="90">
        <f t="shared" si="119"/>
        <v>9.221338726006867E-4</v>
      </c>
    </row>
    <row r="1283" spans="1:31" ht="15.5" x14ac:dyDescent="0.35">
      <c r="A1283" s="82">
        <v>41626</v>
      </c>
      <c r="B1283" s="83">
        <v>10154.200000000001</v>
      </c>
      <c r="C1283" s="84">
        <v>4070.1</v>
      </c>
      <c r="D1283" s="61">
        <v>530.1</v>
      </c>
      <c r="E1283" s="61">
        <v>38.799999999999997</v>
      </c>
      <c r="F1283" s="61">
        <v>77</v>
      </c>
      <c r="G1283" s="61">
        <v>35.5</v>
      </c>
      <c r="H1283" s="61">
        <v>25.6</v>
      </c>
      <c r="I1283" s="61">
        <v>22</v>
      </c>
      <c r="J1283" s="61">
        <v>31.1</v>
      </c>
      <c r="K1283" s="61">
        <v>8.1</v>
      </c>
      <c r="L1283" s="61">
        <v>47.7</v>
      </c>
      <c r="M1283" s="61">
        <v>50.1</v>
      </c>
      <c r="N1283" s="61">
        <v>92.3</v>
      </c>
      <c r="O1283" s="85">
        <v>38.5</v>
      </c>
      <c r="P1283" s="105"/>
      <c r="Q1283" s="87">
        <f t="shared" si="118"/>
        <v>1.6392914490472244E-2</v>
      </c>
      <c r="R1283" s="87">
        <f t="shared" si="122"/>
        <v>1.1465691842883529E-2</v>
      </c>
      <c r="S1283" s="87">
        <f t="shared" si="122"/>
        <v>-8.6401739609254773E-3</v>
      </c>
      <c r="T1283" s="87">
        <f t="shared" si="122"/>
        <v>-1.5345569674660421E-2</v>
      </c>
      <c r="U1283" s="87">
        <f t="shared" si="122"/>
        <v>-2.6907452919924271E-2</v>
      </c>
      <c r="V1283" s="87">
        <f t="shared" si="122"/>
        <v>-2.2285044789434872E-2</v>
      </c>
      <c r="W1283" s="87">
        <f t="shared" si="122"/>
        <v>7.843177461026099E-3</v>
      </c>
      <c r="X1283" s="87">
        <f t="shared" si="122"/>
        <v>-2.6907452919924382E-2</v>
      </c>
      <c r="Y1283" s="87">
        <f t="shared" si="122"/>
        <v>1.2945164592036986E-2</v>
      </c>
      <c r="Z1283" s="87">
        <f t="shared" si="122"/>
        <v>0</v>
      </c>
      <c r="AA1283" s="87">
        <f t="shared" si="121"/>
        <v>2.0986366569212054E-3</v>
      </c>
      <c r="AB1283" s="87">
        <f t="shared" si="121"/>
        <v>-9.9305682026007997E-3</v>
      </c>
      <c r="AC1283" s="87">
        <f t="shared" si="121"/>
        <v>6.5217622463872244E-3</v>
      </c>
      <c r="AD1283" s="87">
        <f t="shared" si="120"/>
        <v>7.8227256812088575E-3</v>
      </c>
      <c r="AE1283" s="90">
        <f t="shared" si="119"/>
        <v>-5.835760285349963E-3</v>
      </c>
    </row>
    <row r="1284" spans="1:31" ht="15.5" x14ac:dyDescent="0.35">
      <c r="A1284" s="82">
        <v>41627</v>
      </c>
      <c r="B1284" s="83">
        <v>10151.5</v>
      </c>
      <c r="C1284" s="84">
        <v>4058.1</v>
      </c>
      <c r="D1284" s="61">
        <v>540.1</v>
      </c>
      <c r="E1284" s="61">
        <v>39.9</v>
      </c>
      <c r="F1284" s="61">
        <v>77.7</v>
      </c>
      <c r="G1284" s="61">
        <v>36.1</v>
      </c>
      <c r="H1284" s="61">
        <v>25.9</v>
      </c>
      <c r="I1284" s="61">
        <v>22.4</v>
      </c>
      <c r="J1284" s="61">
        <v>31.1</v>
      </c>
      <c r="K1284" s="61">
        <v>7.8</v>
      </c>
      <c r="L1284" s="61">
        <v>48.5</v>
      </c>
      <c r="M1284" s="61">
        <v>51.7</v>
      </c>
      <c r="N1284" s="61">
        <v>94.2</v>
      </c>
      <c r="O1284" s="85">
        <v>38.9</v>
      </c>
      <c r="P1284" s="105"/>
      <c r="Q1284" s="87">
        <f t="shared" si="118"/>
        <v>-2.659351823294049E-4</v>
      </c>
      <c r="R1284" s="87">
        <f t="shared" si="122"/>
        <v>-2.9526853961147049E-3</v>
      </c>
      <c r="S1284" s="87">
        <f t="shared" si="122"/>
        <v>1.8688639605084992E-2</v>
      </c>
      <c r="T1284" s="87">
        <f t="shared" si="122"/>
        <v>2.7956077266590135E-2</v>
      </c>
      <c r="U1284" s="87">
        <f t="shared" si="122"/>
        <v>9.0498355199178562E-3</v>
      </c>
      <c r="V1284" s="87">
        <f t="shared" si="122"/>
        <v>1.6760168857465101E-2</v>
      </c>
      <c r="W1284" s="87">
        <f t="shared" si="122"/>
        <v>1.1650617219975054E-2</v>
      </c>
      <c r="X1284" s="87">
        <f t="shared" si="122"/>
        <v>1.8018505502678212E-2</v>
      </c>
      <c r="Y1284" s="87">
        <f t="shared" si="122"/>
        <v>0</v>
      </c>
      <c r="Z1284" s="87">
        <f t="shared" si="122"/>
        <v>-3.7740327982846968E-2</v>
      </c>
      <c r="AA1284" s="87">
        <f t="shared" si="121"/>
        <v>1.6632400049141832E-2</v>
      </c>
      <c r="AB1284" s="87">
        <f t="shared" si="121"/>
        <v>3.1436773423564289E-2</v>
      </c>
      <c r="AC1284" s="87">
        <f t="shared" si="121"/>
        <v>2.0376040073510925E-2</v>
      </c>
      <c r="AD1284" s="87">
        <f t="shared" si="120"/>
        <v>1.0336009330662073E-2</v>
      </c>
      <c r="AE1284" s="90">
        <f t="shared" si="119"/>
        <v>8.4303280183531306E-3</v>
      </c>
    </row>
    <row r="1285" spans="1:31" ht="15.5" x14ac:dyDescent="0.35">
      <c r="A1285" s="82">
        <v>41628</v>
      </c>
      <c r="B1285" s="83">
        <v>10196.1</v>
      </c>
      <c r="C1285" s="84">
        <v>4104.7</v>
      </c>
      <c r="D1285" s="61">
        <v>544.5</v>
      </c>
      <c r="E1285" s="61">
        <v>40.1</v>
      </c>
      <c r="F1285" s="61">
        <v>77.8</v>
      </c>
      <c r="G1285" s="61">
        <v>36.200000000000003</v>
      </c>
      <c r="H1285" s="61">
        <v>26.3</v>
      </c>
      <c r="I1285" s="61">
        <v>22.5</v>
      </c>
      <c r="J1285" s="61">
        <v>31.3</v>
      </c>
      <c r="K1285" s="61">
        <v>8.1</v>
      </c>
      <c r="L1285" s="61">
        <v>48.6</v>
      </c>
      <c r="M1285" s="61">
        <v>52.1</v>
      </c>
      <c r="N1285" s="61">
        <v>94.7</v>
      </c>
      <c r="O1285" s="85">
        <v>38.299999999999997</v>
      </c>
      <c r="P1285" s="105"/>
      <c r="Q1285" s="87">
        <f t="shared" si="118"/>
        <v>4.3838164133664283E-3</v>
      </c>
      <c r="R1285" s="87">
        <f t="shared" si="122"/>
        <v>1.1417774844884456E-2</v>
      </c>
      <c r="S1285" s="87">
        <f t="shared" si="122"/>
        <v>8.113634774169631E-3</v>
      </c>
      <c r="T1285" s="87">
        <f t="shared" si="122"/>
        <v>5.0000104167058392E-3</v>
      </c>
      <c r="U1285" s="87">
        <f t="shared" si="122"/>
        <v>1.286173810744085E-3</v>
      </c>
      <c r="V1285" s="87">
        <f t="shared" si="122"/>
        <v>2.76625349289011E-3</v>
      </c>
      <c r="W1285" s="87">
        <f t="shared" si="122"/>
        <v>1.5325970478226991E-2</v>
      </c>
      <c r="X1285" s="87">
        <f t="shared" si="122"/>
        <v>4.4543503493803746E-3</v>
      </c>
      <c r="Y1285" s="87">
        <f t="shared" si="122"/>
        <v>6.4102783609190188E-3</v>
      </c>
      <c r="Z1285" s="87">
        <f t="shared" si="122"/>
        <v>3.7740327982847113E-2</v>
      </c>
      <c r="AA1285" s="87">
        <f t="shared" si="121"/>
        <v>2.0597329630105622E-3</v>
      </c>
      <c r="AB1285" s="87">
        <f t="shared" si="121"/>
        <v>7.7071672449377385E-3</v>
      </c>
      <c r="AC1285" s="87">
        <f t="shared" si="121"/>
        <v>5.2938186097152952E-3</v>
      </c>
      <c r="AD1285" s="87">
        <f t="shared" si="120"/>
        <v>-1.5544354437800344E-2</v>
      </c>
      <c r="AE1285" s="90">
        <f t="shared" si="119"/>
        <v>4.2762218359163745E-3</v>
      </c>
    </row>
    <row r="1286" spans="1:31" ht="15.5" x14ac:dyDescent="0.35">
      <c r="A1286" s="82">
        <v>41631</v>
      </c>
      <c r="B1286" s="83">
        <v>10246.700000000001</v>
      </c>
      <c r="C1286" s="84">
        <v>4148.8999999999996</v>
      </c>
      <c r="D1286" s="61">
        <v>553.1</v>
      </c>
      <c r="E1286" s="61">
        <v>40.1</v>
      </c>
      <c r="F1286" s="61">
        <v>80.400000000000006</v>
      </c>
      <c r="G1286" s="61">
        <v>36.6</v>
      </c>
      <c r="H1286" s="61">
        <v>26.5</v>
      </c>
      <c r="I1286" s="61">
        <v>23</v>
      </c>
      <c r="J1286" s="61">
        <v>31.8</v>
      </c>
      <c r="K1286" s="61">
        <v>8.4</v>
      </c>
      <c r="L1286" s="61">
        <v>49.3</v>
      </c>
      <c r="M1286" s="61">
        <v>53</v>
      </c>
      <c r="N1286" s="61">
        <v>95.6</v>
      </c>
      <c r="O1286" s="85">
        <v>38.299999999999997</v>
      </c>
      <c r="P1286" s="105"/>
      <c r="Q1286" s="87">
        <f t="shared" si="118"/>
        <v>4.9504082939594417E-3</v>
      </c>
      <c r="R1286" s="87">
        <f t="shared" si="122"/>
        <v>1.0710580240963236E-2</v>
      </c>
      <c r="S1286" s="87">
        <f t="shared" si="122"/>
        <v>1.5670874627617213E-2</v>
      </c>
      <c r="T1286" s="87">
        <f t="shared" si="122"/>
        <v>0</v>
      </c>
      <c r="U1286" s="87">
        <f t="shared" si="122"/>
        <v>3.2872745000574979E-2</v>
      </c>
      <c r="V1286" s="87">
        <f t="shared" si="122"/>
        <v>1.0989121575595165E-2</v>
      </c>
      <c r="W1286" s="87">
        <f t="shared" si="122"/>
        <v>7.5757938084577226E-3</v>
      </c>
      <c r="X1286" s="87">
        <f t="shared" si="122"/>
        <v>2.1978906718775167E-2</v>
      </c>
      <c r="Y1286" s="87">
        <f t="shared" si="122"/>
        <v>1.5848192240023713E-2</v>
      </c>
      <c r="Z1286" s="87">
        <f t="shared" si="122"/>
        <v>3.6367644170875006E-2</v>
      </c>
      <c r="AA1286" s="87">
        <f t="shared" si="121"/>
        <v>1.4300550142196332E-2</v>
      </c>
      <c r="AB1286" s="87">
        <f t="shared" si="121"/>
        <v>1.7126964792800636E-2</v>
      </c>
      <c r="AC1286" s="87">
        <f t="shared" si="121"/>
        <v>9.4588198653228692E-3</v>
      </c>
      <c r="AD1286" s="87">
        <f t="shared" si="120"/>
        <v>0</v>
      </c>
      <c r="AE1286" s="90">
        <f t="shared" si="119"/>
        <v>1.719795076245783E-2</v>
      </c>
    </row>
    <row r="1287" spans="1:31" ht="15.5" x14ac:dyDescent="0.35">
      <c r="A1287" s="82">
        <v>41632</v>
      </c>
      <c r="B1287" s="83">
        <v>10284.4</v>
      </c>
      <c r="C1287" s="84">
        <v>4155.3999999999996</v>
      </c>
      <c r="D1287" s="61">
        <v>554.6</v>
      </c>
      <c r="E1287" s="61">
        <v>40.700000000000003</v>
      </c>
      <c r="F1287" s="61">
        <v>80.900000000000006</v>
      </c>
      <c r="G1287" s="61">
        <v>36.6</v>
      </c>
      <c r="H1287" s="61">
        <v>26.4</v>
      </c>
      <c r="I1287" s="61">
        <v>23.2</v>
      </c>
      <c r="J1287" s="61">
        <v>32.4</v>
      </c>
      <c r="K1287" s="61">
        <v>8.5</v>
      </c>
      <c r="L1287" s="61">
        <v>49.2</v>
      </c>
      <c r="M1287" s="61">
        <v>53.1</v>
      </c>
      <c r="N1287" s="61">
        <v>95.6</v>
      </c>
      <c r="O1287" s="85">
        <v>38.6</v>
      </c>
      <c r="P1287" s="105"/>
      <c r="Q1287" s="87">
        <f t="shared" si="118"/>
        <v>3.6724814912035943E-3</v>
      </c>
      <c r="R1287" s="87">
        <f t="shared" si="122"/>
        <v>1.5654543615799695E-3</v>
      </c>
      <c r="S1287" s="87">
        <f t="shared" si="122"/>
        <v>2.7083161810453993E-3</v>
      </c>
      <c r="T1287" s="87">
        <f t="shared" si="122"/>
        <v>1.485175813602576E-2</v>
      </c>
      <c r="U1287" s="87">
        <f t="shared" si="122"/>
        <v>6.199647879525429E-3</v>
      </c>
      <c r="V1287" s="87">
        <f t="shared" si="122"/>
        <v>0</v>
      </c>
      <c r="W1287" s="87">
        <f t="shared" si="122"/>
        <v>-3.7807228399060443E-3</v>
      </c>
      <c r="X1287" s="87">
        <f t="shared" si="122"/>
        <v>8.6580627431145311E-3</v>
      </c>
      <c r="Y1287" s="87">
        <f t="shared" si="122"/>
        <v>1.8692133012152546E-2</v>
      </c>
      <c r="Z1287" s="87">
        <f t="shared" si="122"/>
        <v>1.1834457647002798E-2</v>
      </c>
      <c r="AA1287" s="87">
        <f t="shared" si="121"/>
        <v>-2.0304575503818402E-3</v>
      </c>
      <c r="AB1287" s="87">
        <f t="shared" si="121"/>
        <v>1.8850146957714257E-3</v>
      </c>
      <c r="AC1287" s="87">
        <f t="shared" si="121"/>
        <v>0</v>
      </c>
      <c r="AD1287" s="87">
        <f t="shared" si="120"/>
        <v>7.8023802841850204E-3</v>
      </c>
      <c r="AE1287" s="90">
        <f t="shared" si="119"/>
        <v>3.9832272566613933E-3</v>
      </c>
    </row>
    <row r="1288" spans="1:31" ht="15.5" x14ac:dyDescent="0.35">
      <c r="A1288" s="82">
        <v>41634</v>
      </c>
      <c r="B1288" s="83">
        <v>10331.700000000001</v>
      </c>
      <c r="C1288" s="84">
        <v>4167.2</v>
      </c>
      <c r="D1288" s="61">
        <v>554.9</v>
      </c>
      <c r="E1288" s="61">
        <v>40.200000000000003</v>
      </c>
      <c r="F1288" s="61">
        <v>80.5</v>
      </c>
      <c r="G1288" s="61">
        <v>37.200000000000003</v>
      </c>
      <c r="H1288" s="61">
        <v>26.8</v>
      </c>
      <c r="I1288" s="61">
        <v>23.5</v>
      </c>
      <c r="J1288" s="61">
        <v>32.700000000000003</v>
      </c>
      <c r="K1288" s="61">
        <v>8.6999999999999993</v>
      </c>
      <c r="L1288" s="61">
        <v>49.4</v>
      </c>
      <c r="M1288" s="61">
        <v>53.6</v>
      </c>
      <c r="N1288" s="61">
        <v>95.2</v>
      </c>
      <c r="O1288" s="85">
        <v>38.9</v>
      </c>
      <c r="P1288" s="105"/>
      <c r="Q1288" s="87">
        <f t="shared" si="118"/>
        <v>4.5886547887069619E-3</v>
      </c>
      <c r="R1288" s="87">
        <f t="shared" si="122"/>
        <v>2.8356542202962456E-3</v>
      </c>
      <c r="S1288" s="87">
        <f t="shared" si="122"/>
        <v>5.4078415017775217E-4</v>
      </c>
      <c r="T1288" s="87">
        <f t="shared" si="122"/>
        <v>-1.2361096823573975E-2</v>
      </c>
      <c r="U1288" s="87">
        <f t="shared" si="122"/>
        <v>-4.9566396399284007E-3</v>
      </c>
      <c r="V1288" s="87">
        <f t="shared" si="122"/>
        <v>1.6260520871780326E-2</v>
      </c>
      <c r="W1288" s="87">
        <f t="shared" si="122"/>
        <v>1.5037877364540502E-2</v>
      </c>
      <c r="X1288" s="87">
        <f t="shared" si="122"/>
        <v>1.2848142477849059E-2</v>
      </c>
      <c r="Y1288" s="87">
        <f t="shared" si="122"/>
        <v>9.2166551049240476E-3</v>
      </c>
      <c r="Z1288" s="87">
        <f t="shared" si="122"/>
        <v>2.3256862164267183E-2</v>
      </c>
      <c r="AA1288" s="87">
        <f t="shared" si="121"/>
        <v>4.0568006956142478E-3</v>
      </c>
      <c r="AB1288" s="87">
        <f t="shared" si="121"/>
        <v>9.3721398288632522E-3</v>
      </c>
      <c r="AC1288" s="87">
        <f t="shared" si="121"/>
        <v>-4.1928782600359274E-3</v>
      </c>
      <c r="AD1288" s="87">
        <f t="shared" si="120"/>
        <v>7.7419741536154593E-3</v>
      </c>
      <c r="AE1288" s="90">
        <f t="shared" si="119"/>
        <v>5.320326015044696E-4</v>
      </c>
    </row>
    <row r="1289" spans="1:31" ht="15.5" x14ac:dyDescent="0.35">
      <c r="A1289" s="82">
        <v>41635</v>
      </c>
      <c r="B1289" s="83">
        <v>10353.200000000001</v>
      </c>
      <c r="C1289" s="84">
        <v>4156.6000000000004</v>
      </c>
      <c r="D1289" s="61">
        <v>557</v>
      </c>
      <c r="E1289" s="61">
        <v>40.299999999999997</v>
      </c>
      <c r="F1289" s="61">
        <v>79.900000000000006</v>
      </c>
      <c r="G1289" s="61">
        <v>37.200000000000003</v>
      </c>
      <c r="H1289" s="61">
        <v>27</v>
      </c>
      <c r="I1289" s="61">
        <v>23</v>
      </c>
      <c r="J1289" s="61">
        <v>32.799999999999997</v>
      </c>
      <c r="K1289" s="61">
        <v>8.9</v>
      </c>
      <c r="L1289" s="61">
        <v>49.5</v>
      </c>
      <c r="M1289" s="61">
        <v>53.9</v>
      </c>
      <c r="N1289" s="61">
        <v>94.4</v>
      </c>
      <c r="O1289" s="85">
        <v>39</v>
      </c>
      <c r="P1289" s="105"/>
      <c r="Q1289" s="87">
        <f t="shared" si="118"/>
        <v>2.0788118620456639E-3</v>
      </c>
      <c r="R1289" s="87">
        <f t="shared" si="122"/>
        <v>-2.5469150460088897E-3</v>
      </c>
      <c r="S1289" s="87">
        <f t="shared" si="122"/>
        <v>3.7773225954285546E-3</v>
      </c>
      <c r="T1289" s="87">
        <f t="shared" si="122"/>
        <v>2.4844733276617442E-3</v>
      </c>
      <c r="U1289" s="87">
        <f t="shared" si="122"/>
        <v>-7.4813316522886284E-3</v>
      </c>
      <c r="V1289" s="87">
        <f t="shared" si="122"/>
        <v>0</v>
      </c>
      <c r="W1289" s="87">
        <f t="shared" si="122"/>
        <v>7.4349784875179905E-3</v>
      </c>
      <c r="X1289" s="87">
        <f t="shared" si="122"/>
        <v>-2.1506205220963619E-2</v>
      </c>
      <c r="Y1289" s="87">
        <f t="shared" si="122"/>
        <v>3.0534374868902482E-3</v>
      </c>
      <c r="Z1289" s="87">
        <f t="shared" si="122"/>
        <v>2.272825107755631E-2</v>
      </c>
      <c r="AA1289" s="87">
        <f t="shared" si="121"/>
        <v>2.0222453807678706E-3</v>
      </c>
      <c r="AB1289" s="87">
        <f t="shared" si="121"/>
        <v>5.5814098381950445E-3</v>
      </c>
      <c r="AC1289" s="87">
        <f t="shared" si="121"/>
        <v>-8.4388686458645949E-3</v>
      </c>
      <c r="AD1289" s="87">
        <f t="shared" si="120"/>
        <v>2.5673955052459545E-3</v>
      </c>
      <c r="AE1289" s="90">
        <f t="shared" si="119"/>
        <v>-1.4847101577017102E-3</v>
      </c>
    </row>
    <row r="1290" spans="1:31" ht="15.5" x14ac:dyDescent="0.35">
      <c r="A1290" s="82">
        <v>41638</v>
      </c>
      <c r="B1290" s="83">
        <v>10357.799999999999</v>
      </c>
      <c r="C1290" s="84">
        <v>4154.2</v>
      </c>
      <c r="D1290" s="61">
        <v>555.1</v>
      </c>
      <c r="E1290" s="61">
        <v>39.9</v>
      </c>
      <c r="F1290" s="61">
        <v>78.900000000000006</v>
      </c>
      <c r="G1290" s="61">
        <v>36.9</v>
      </c>
      <c r="H1290" s="61">
        <v>26.9</v>
      </c>
      <c r="I1290" s="61">
        <v>23.1</v>
      </c>
      <c r="J1290" s="61">
        <v>32.799999999999997</v>
      </c>
      <c r="K1290" s="61">
        <v>8.9</v>
      </c>
      <c r="L1290" s="61">
        <v>49.3</v>
      </c>
      <c r="M1290" s="61">
        <v>53.3</v>
      </c>
      <c r="N1290" s="61">
        <v>94.5</v>
      </c>
      <c r="O1290" s="85">
        <v>39</v>
      </c>
      <c r="P1290" s="105"/>
      <c r="Q1290" s="87">
        <f t="shared" si="118"/>
        <v>4.4420839898001501E-4</v>
      </c>
      <c r="R1290" s="87">
        <f t="shared" si="122"/>
        <v>-5.775617429647805E-4</v>
      </c>
      <c r="S1290" s="87">
        <f t="shared" si="122"/>
        <v>-3.4169622311684086E-3</v>
      </c>
      <c r="T1290" s="87">
        <f t="shared" si="122"/>
        <v>-9.9751450568195087E-3</v>
      </c>
      <c r="U1290" s="87">
        <f t="shared" si="122"/>
        <v>-1.2594624920400456E-2</v>
      </c>
      <c r="V1290" s="87">
        <f t="shared" si="122"/>
        <v>-8.0972102326194745E-3</v>
      </c>
      <c r="W1290" s="87">
        <f t="shared" si="122"/>
        <v>-3.710579396535713E-3</v>
      </c>
      <c r="X1290" s="87">
        <f t="shared" si="122"/>
        <v>4.3384015985981411E-3</v>
      </c>
      <c r="Y1290" s="87">
        <f t="shared" si="122"/>
        <v>0</v>
      </c>
      <c r="Z1290" s="87">
        <f t="shared" si="122"/>
        <v>0</v>
      </c>
      <c r="AA1290" s="87">
        <f t="shared" si="121"/>
        <v>-4.0485885260002205E-3</v>
      </c>
      <c r="AB1290" s="87">
        <f t="shared" si="121"/>
        <v>-1.1194146743152587E-2</v>
      </c>
      <c r="AC1290" s="87">
        <f t="shared" si="121"/>
        <v>1.0587613482418963E-3</v>
      </c>
      <c r="AD1290" s="87">
        <f t="shared" si="120"/>
        <v>0</v>
      </c>
      <c r="AE1290" s="90">
        <f t="shared" si="119"/>
        <v>-4.7747814073122062E-3</v>
      </c>
    </row>
    <row r="1291" spans="1:31" ht="15.5" x14ac:dyDescent="0.35">
      <c r="A1291" s="82">
        <v>41639</v>
      </c>
      <c r="B1291" s="83">
        <v>10400.299999999999</v>
      </c>
      <c r="C1291" s="84">
        <v>4176.6000000000004</v>
      </c>
      <c r="D1291" s="61">
        <v>553.70000000000005</v>
      </c>
      <c r="E1291" s="61">
        <v>40</v>
      </c>
      <c r="F1291" s="61">
        <v>79.099999999999994</v>
      </c>
      <c r="G1291" s="61">
        <v>37.200000000000003</v>
      </c>
      <c r="H1291" s="61">
        <v>27.1</v>
      </c>
      <c r="I1291" s="61">
        <v>23.7</v>
      </c>
      <c r="J1291" s="61">
        <v>32.9</v>
      </c>
      <c r="K1291" s="61">
        <v>8.9</v>
      </c>
      <c r="L1291" s="61">
        <v>49.5</v>
      </c>
      <c r="M1291" s="61">
        <v>53.5</v>
      </c>
      <c r="N1291" s="61">
        <v>94.3</v>
      </c>
      <c r="O1291" s="85">
        <v>39.200000000000003</v>
      </c>
      <c r="P1291" s="105"/>
      <c r="Q1291" s="87">
        <f t="shared" si="118"/>
        <v>4.0947928167097986E-3</v>
      </c>
      <c r="R1291" s="87">
        <f t="shared" si="122"/>
        <v>5.3776477606679429E-3</v>
      </c>
      <c r="S1291" s="87">
        <f t="shared" si="122"/>
        <v>-2.5252538671940712E-3</v>
      </c>
      <c r="T1291" s="87">
        <f t="shared" si="122"/>
        <v>2.5031302181184748E-3</v>
      </c>
      <c r="U1291" s="87">
        <f t="shared" si="122"/>
        <v>2.531646921779505E-3</v>
      </c>
      <c r="V1291" s="87">
        <f t="shared" si="122"/>
        <v>8.0972102326195231E-3</v>
      </c>
      <c r="W1291" s="87">
        <f t="shared" si="122"/>
        <v>7.4074412778618176E-3</v>
      </c>
      <c r="X1291" s="87">
        <f t="shared" si="122"/>
        <v>2.5642430613337652E-2</v>
      </c>
      <c r="Y1291" s="87">
        <f t="shared" si="122"/>
        <v>3.044142381228273E-3</v>
      </c>
      <c r="Z1291" s="87">
        <f t="shared" si="122"/>
        <v>0</v>
      </c>
      <c r="AA1291" s="87">
        <f t="shared" si="121"/>
        <v>4.0485885260003324E-3</v>
      </c>
      <c r="AB1291" s="87">
        <f t="shared" si="121"/>
        <v>3.7453227301621132E-3</v>
      </c>
      <c r="AC1291" s="87">
        <f t="shared" si="121"/>
        <v>-2.1186448602853259E-3</v>
      </c>
      <c r="AD1291" s="87">
        <f t="shared" si="120"/>
        <v>5.1151006667704089E-3</v>
      </c>
      <c r="AE1291" s="90">
        <f t="shared" si="119"/>
        <v>2.2182655307326463E-3</v>
      </c>
    </row>
    <row r="1292" spans="1:31" ht="15.5" x14ac:dyDescent="0.35">
      <c r="A1292" s="82">
        <v>41641</v>
      </c>
      <c r="B1292" s="83">
        <v>10283.4</v>
      </c>
      <c r="C1292" s="84">
        <v>4143.1000000000004</v>
      </c>
      <c r="D1292" s="61">
        <v>554.70000000000005</v>
      </c>
      <c r="E1292" s="61">
        <v>39.299999999999997</v>
      </c>
      <c r="F1292" s="61">
        <v>78.900000000000006</v>
      </c>
      <c r="G1292" s="61">
        <v>37.1</v>
      </c>
      <c r="H1292" s="61">
        <v>26.7</v>
      </c>
      <c r="I1292" s="61">
        <v>23.3</v>
      </c>
      <c r="J1292" s="61">
        <v>32.700000000000003</v>
      </c>
      <c r="K1292" s="61">
        <v>8.8000000000000007</v>
      </c>
      <c r="L1292" s="61">
        <v>49.3</v>
      </c>
      <c r="M1292" s="61">
        <v>52.9</v>
      </c>
      <c r="N1292" s="61">
        <v>92.3</v>
      </c>
      <c r="O1292" s="85">
        <v>39</v>
      </c>
      <c r="P1292" s="105"/>
      <c r="Q1292" s="87">
        <f t="shared" si="118"/>
        <v>-1.1303707240686285E-2</v>
      </c>
      <c r="R1292" s="87">
        <f t="shared" si="122"/>
        <v>-8.0532185178483241E-3</v>
      </c>
      <c r="S1292" s="87">
        <f t="shared" si="122"/>
        <v>1.8044032322674301E-3</v>
      </c>
      <c r="T1292" s="87">
        <f t="shared" si="122"/>
        <v>-1.7654935238720824E-2</v>
      </c>
      <c r="U1292" s="87">
        <f t="shared" si="122"/>
        <v>-2.531646921779508E-3</v>
      </c>
      <c r="V1292" s="87">
        <f t="shared" si="122"/>
        <v>-2.6917916657114146E-3</v>
      </c>
      <c r="W1292" s="87">
        <f t="shared" si="122"/>
        <v>-1.4870162479451506E-2</v>
      </c>
      <c r="X1292" s="87">
        <f t="shared" si="122"/>
        <v>-1.7021687569430524E-2</v>
      </c>
      <c r="Y1292" s="87">
        <f t="shared" si="122"/>
        <v>-6.0975798681183338E-3</v>
      </c>
      <c r="Z1292" s="87">
        <f t="shared" si="122"/>
        <v>-1.1299555253933282E-2</v>
      </c>
      <c r="AA1292" s="87">
        <f t="shared" si="121"/>
        <v>-4.0485885260002205E-3</v>
      </c>
      <c r="AB1292" s="87">
        <f t="shared" si="121"/>
        <v>-1.127831503770719E-2</v>
      </c>
      <c r="AC1292" s="87">
        <f t="shared" si="121"/>
        <v>-2.1437048130605294E-2</v>
      </c>
      <c r="AD1292" s="87">
        <f t="shared" si="120"/>
        <v>-5.1151006667704887E-3</v>
      </c>
      <c r="AE1292" s="90">
        <f t="shared" si="119"/>
        <v>-3.2313032075967679E-3</v>
      </c>
    </row>
    <row r="1293" spans="1:31" ht="15.5" x14ac:dyDescent="0.35">
      <c r="A1293" s="82">
        <v>41642</v>
      </c>
      <c r="B1293" s="83">
        <v>10296.799999999999</v>
      </c>
      <c r="C1293" s="84">
        <v>4131.8999999999996</v>
      </c>
      <c r="D1293" s="61">
        <v>553</v>
      </c>
      <c r="E1293" s="61">
        <v>39.799999999999997</v>
      </c>
      <c r="F1293" s="61">
        <v>77.2</v>
      </c>
      <c r="G1293" s="61">
        <v>36.6</v>
      </c>
      <c r="H1293" s="61">
        <v>26.7</v>
      </c>
      <c r="I1293" s="61">
        <v>23.2</v>
      </c>
      <c r="J1293" s="61">
        <v>32.6</v>
      </c>
      <c r="K1293" s="61">
        <v>8.6</v>
      </c>
      <c r="L1293" s="61">
        <v>49.5</v>
      </c>
      <c r="M1293" s="61">
        <v>53.4</v>
      </c>
      <c r="N1293" s="61">
        <v>92.1</v>
      </c>
      <c r="O1293" s="85">
        <v>39</v>
      </c>
      <c r="P1293" s="105"/>
      <c r="Q1293" s="87">
        <f t="shared" si="118"/>
        <v>1.3022227085863023E-3</v>
      </c>
      <c r="R1293" s="87">
        <f t="shared" si="122"/>
        <v>-2.7069502934318822E-3</v>
      </c>
      <c r="S1293" s="87">
        <f t="shared" si="122"/>
        <v>-3.0694255388541408E-3</v>
      </c>
      <c r="T1293" s="87">
        <f t="shared" si="122"/>
        <v>1.2642393415176527E-2</v>
      </c>
      <c r="U1293" s="87">
        <f t="shared" si="122"/>
        <v>-2.1781770821098109E-2</v>
      </c>
      <c r="V1293" s="87">
        <f t="shared" si="122"/>
        <v>-1.3568729206068903E-2</v>
      </c>
      <c r="W1293" s="87">
        <f t="shared" si="122"/>
        <v>0</v>
      </c>
      <c r="X1293" s="87">
        <f t="shared" si="122"/>
        <v>-4.3010818993906973E-3</v>
      </c>
      <c r="Y1293" s="87">
        <f t="shared" si="122"/>
        <v>-3.0627895305457668E-3</v>
      </c>
      <c r="Z1293" s="87">
        <f t="shared" si="122"/>
        <v>-2.2989518224698833E-2</v>
      </c>
      <c r="AA1293" s="87">
        <f t="shared" si="121"/>
        <v>4.0485885260003324E-3</v>
      </c>
      <c r="AB1293" s="87">
        <f t="shared" si="121"/>
        <v>9.4074071018955471E-3</v>
      </c>
      <c r="AC1293" s="87">
        <f t="shared" si="121"/>
        <v>-2.1691982475453265E-3</v>
      </c>
      <c r="AD1293" s="87">
        <f t="shared" si="120"/>
        <v>0</v>
      </c>
      <c r="AE1293" s="90">
        <f t="shared" si="119"/>
        <v>-7.938278699393014E-3</v>
      </c>
    </row>
    <row r="1294" spans="1:31" ht="15.5" x14ac:dyDescent="0.35">
      <c r="A1294" s="82">
        <v>41645</v>
      </c>
      <c r="B1294" s="83">
        <v>10270</v>
      </c>
      <c r="C1294" s="84">
        <v>4113.7</v>
      </c>
      <c r="D1294" s="61">
        <v>553.79999999999995</v>
      </c>
      <c r="E1294" s="61">
        <v>39.799999999999997</v>
      </c>
      <c r="F1294" s="61">
        <v>76.2</v>
      </c>
      <c r="G1294" s="61">
        <v>36.1</v>
      </c>
      <c r="H1294" s="61">
        <v>26.6</v>
      </c>
      <c r="I1294" s="61">
        <v>23.3</v>
      </c>
      <c r="J1294" s="61">
        <v>32.6</v>
      </c>
      <c r="K1294" s="61">
        <v>8.6</v>
      </c>
      <c r="L1294" s="61">
        <v>49.5</v>
      </c>
      <c r="M1294" s="61">
        <v>53.3</v>
      </c>
      <c r="N1294" s="61">
        <v>91.9</v>
      </c>
      <c r="O1294" s="85">
        <v>38.700000000000003</v>
      </c>
      <c r="P1294" s="105"/>
      <c r="Q1294" s="87">
        <f t="shared" ref="Q1294:Q1357" si="123">+LN(B1294/B1293)</f>
        <v>-2.6061434125640493E-3</v>
      </c>
      <c r="R1294" s="87">
        <f t="shared" si="122"/>
        <v>-4.4144827680876056E-3</v>
      </c>
      <c r="S1294" s="87">
        <f t="shared" si="122"/>
        <v>1.4456092145266192E-3</v>
      </c>
      <c r="T1294" s="87">
        <f t="shared" si="122"/>
        <v>0</v>
      </c>
      <c r="U1294" s="87">
        <f t="shared" si="122"/>
        <v>-1.3037994338129943E-2</v>
      </c>
      <c r="V1294" s="87">
        <f t="shared" si="122"/>
        <v>-1.3755375068485344E-2</v>
      </c>
      <c r="W1294" s="87">
        <f t="shared" si="122"/>
        <v>-3.7523496185503527E-3</v>
      </c>
      <c r="X1294" s="87">
        <f t="shared" si="122"/>
        <v>4.3010818993907017E-3</v>
      </c>
      <c r="Y1294" s="87">
        <f t="shared" si="122"/>
        <v>0</v>
      </c>
      <c r="Z1294" s="87">
        <f t="shared" si="122"/>
        <v>0</v>
      </c>
      <c r="AA1294" s="87">
        <f t="shared" si="121"/>
        <v>0</v>
      </c>
      <c r="AB1294" s="87">
        <f t="shared" si="121"/>
        <v>-1.8744147943503039E-3</v>
      </c>
      <c r="AC1294" s="87">
        <f t="shared" si="121"/>
        <v>-2.1739138996196851E-3</v>
      </c>
      <c r="AD1294" s="87">
        <f t="shared" si="120"/>
        <v>-7.7220460939102778E-3</v>
      </c>
      <c r="AE1294" s="90">
        <f t="shared" si="119"/>
        <v>-5.5666830271864217E-3</v>
      </c>
    </row>
    <row r="1295" spans="1:31" ht="15.5" x14ac:dyDescent="0.35">
      <c r="A1295" s="82">
        <v>41646</v>
      </c>
      <c r="B1295" s="83">
        <v>10327.299999999999</v>
      </c>
      <c r="C1295" s="84">
        <v>4153.2</v>
      </c>
      <c r="D1295" s="61">
        <v>561.1</v>
      </c>
      <c r="E1295" s="61">
        <v>40.1</v>
      </c>
      <c r="F1295" s="61">
        <v>76.900000000000006</v>
      </c>
      <c r="G1295" s="61">
        <v>36.200000000000003</v>
      </c>
      <c r="H1295" s="61">
        <v>26.8</v>
      </c>
      <c r="I1295" s="61">
        <v>23.8</v>
      </c>
      <c r="J1295" s="61">
        <v>32.200000000000003</v>
      </c>
      <c r="K1295" s="61">
        <v>8.1999999999999993</v>
      </c>
      <c r="L1295" s="61">
        <v>49.9</v>
      </c>
      <c r="M1295" s="61">
        <v>53.2</v>
      </c>
      <c r="N1295" s="61">
        <v>91.1</v>
      </c>
      <c r="O1295" s="85">
        <v>38.700000000000003</v>
      </c>
      <c r="P1295" s="105"/>
      <c r="Q1295" s="87">
        <f t="shared" si="123"/>
        <v>5.5638503897969885E-3</v>
      </c>
      <c r="R1295" s="87">
        <f t="shared" si="122"/>
        <v>9.5562546059907195E-3</v>
      </c>
      <c r="S1295" s="87">
        <f t="shared" si="122"/>
        <v>1.3095532020065047E-2</v>
      </c>
      <c r="T1295" s="87">
        <f t="shared" si="122"/>
        <v>7.5094220221315683E-3</v>
      </c>
      <c r="U1295" s="87">
        <f t="shared" si="122"/>
        <v>9.1444138189978319E-3</v>
      </c>
      <c r="V1295" s="87">
        <f t="shared" si="122"/>
        <v>2.76625349289011E-3</v>
      </c>
      <c r="W1295" s="87">
        <f t="shared" si="122"/>
        <v>7.4906717291576587E-3</v>
      </c>
      <c r="X1295" s="87">
        <f t="shared" si="122"/>
        <v>2.1232220105774118E-2</v>
      </c>
      <c r="Y1295" s="87">
        <f t="shared" si="122"/>
        <v>-1.2345835822299266E-2</v>
      </c>
      <c r="Z1295" s="87">
        <f t="shared" si="122"/>
        <v>-4.7628048989254705E-2</v>
      </c>
      <c r="AA1295" s="87">
        <f t="shared" si="121"/>
        <v>8.0483331828284151E-3</v>
      </c>
      <c r="AB1295" s="87">
        <f t="shared" si="121"/>
        <v>-1.8779348242000977E-3</v>
      </c>
      <c r="AC1295" s="87">
        <f t="shared" si="121"/>
        <v>-8.7432250957288626E-3</v>
      </c>
      <c r="AD1295" s="87">
        <f t="shared" si="120"/>
        <v>0</v>
      </c>
      <c r="AE1295" s="90">
        <f t="shared" ref="AE1295:AE1358" si="124">+SUMPRODUCT(Q1295:AD1295,$Q$8:$AD$8)</f>
        <v>9.3131214608731354E-3</v>
      </c>
    </row>
    <row r="1296" spans="1:31" ht="15.5" x14ac:dyDescent="0.35">
      <c r="A1296" s="82">
        <v>41647</v>
      </c>
      <c r="B1296" s="83">
        <v>10320.9</v>
      </c>
      <c r="C1296" s="84">
        <v>4165.6000000000004</v>
      </c>
      <c r="D1296" s="61">
        <v>567.20000000000005</v>
      </c>
      <c r="E1296" s="61">
        <v>41</v>
      </c>
      <c r="F1296" s="61">
        <v>77</v>
      </c>
      <c r="G1296" s="61">
        <v>35.6</v>
      </c>
      <c r="H1296" s="61">
        <v>29.5</v>
      </c>
      <c r="I1296" s="61">
        <v>24</v>
      </c>
      <c r="J1296" s="61">
        <v>32.700000000000003</v>
      </c>
      <c r="K1296" s="61">
        <v>7.4</v>
      </c>
      <c r="L1296" s="61">
        <v>49.6</v>
      </c>
      <c r="M1296" s="61">
        <v>53.5</v>
      </c>
      <c r="N1296" s="61">
        <v>89.7</v>
      </c>
      <c r="O1296" s="85">
        <v>38.5</v>
      </c>
      <c r="P1296" s="105"/>
      <c r="Q1296" s="87">
        <f t="shared" si="123"/>
        <v>-6.1990877703169145E-4</v>
      </c>
      <c r="R1296" s="87">
        <f t="shared" si="122"/>
        <v>2.9812014193905862E-3</v>
      </c>
      <c r="S1296" s="87">
        <f t="shared" si="122"/>
        <v>1.0812832460991418E-2</v>
      </c>
      <c r="T1296" s="87">
        <f t="shared" si="122"/>
        <v>2.2195732391784347E-2</v>
      </c>
      <c r="U1296" s="87">
        <f t="shared" si="122"/>
        <v>1.2995453420854258E-3</v>
      </c>
      <c r="V1296" s="87">
        <f t="shared" si="122"/>
        <v>-1.6713480973740667E-2</v>
      </c>
      <c r="W1296" s="87">
        <f t="shared" si="122"/>
        <v>9.5988375828963163E-2</v>
      </c>
      <c r="X1296" s="87">
        <f t="shared" si="122"/>
        <v>8.3682496705165792E-3</v>
      </c>
      <c r="Y1296" s="87">
        <f t="shared" si="122"/>
        <v>1.5408625352845061E-2</v>
      </c>
      <c r="Z1296" s="87">
        <f t="shared" si="122"/>
        <v>-0.10265415406008321</v>
      </c>
      <c r="AA1296" s="87">
        <f t="shared" si="121"/>
        <v>-6.0301690265910758E-3</v>
      </c>
      <c r="AB1296" s="87">
        <f t="shared" si="121"/>
        <v>5.6232575543620393E-3</v>
      </c>
      <c r="AC1296" s="87">
        <f t="shared" si="121"/>
        <v>-1.5487035201162113E-2</v>
      </c>
      <c r="AD1296" s="87">
        <f t="shared" si="120"/>
        <v>-5.1813587419976288E-3</v>
      </c>
      <c r="AE1296" s="90">
        <f t="shared" si="124"/>
        <v>3.8010277945042027E-3</v>
      </c>
    </row>
    <row r="1297" spans="1:31" ht="15.5" x14ac:dyDescent="0.35">
      <c r="A1297" s="82">
        <v>41648</v>
      </c>
      <c r="B1297" s="83">
        <v>10325.700000000001</v>
      </c>
      <c r="C1297" s="84">
        <v>4156.2</v>
      </c>
      <c r="D1297" s="61">
        <v>563.29999999999995</v>
      </c>
      <c r="E1297" s="61">
        <v>40.6</v>
      </c>
      <c r="F1297" s="61">
        <v>76.5</v>
      </c>
      <c r="G1297" s="61">
        <v>35.4</v>
      </c>
      <c r="H1297" s="61">
        <v>30.4</v>
      </c>
      <c r="I1297" s="61">
        <v>24.8</v>
      </c>
      <c r="J1297" s="61">
        <v>33</v>
      </c>
      <c r="K1297" s="61">
        <v>7.6</v>
      </c>
      <c r="L1297" s="61">
        <v>49.3</v>
      </c>
      <c r="M1297" s="61">
        <v>54.1</v>
      </c>
      <c r="N1297" s="61">
        <v>89.6</v>
      </c>
      <c r="O1297" s="85">
        <v>38.4</v>
      </c>
      <c r="P1297" s="105"/>
      <c r="Q1297" s="87">
        <f t="shared" si="123"/>
        <v>4.6496760594758827E-4</v>
      </c>
      <c r="R1297" s="87">
        <f t="shared" si="122"/>
        <v>-2.2591275920750874E-3</v>
      </c>
      <c r="S1297" s="87">
        <f t="shared" si="122"/>
        <v>-6.8996293172495886E-3</v>
      </c>
      <c r="T1297" s="87">
        <f t="shared" si="122"/>
        <v>-9.8040000966208556E-3</v>
      </c>
      <c r="U1297" s="87">
        <f t="shared" si="122"/>
        <v>-6.5146810211936419E-3</v>
      </c>
      <c r="V1297" s="87">
        <f t="shared" si="122"/>
        <v>-5.633817718256131E-3</v>
      </c>
      <c r="W1297" s="87">
        <f t="shared" si="122"/>
        <v>3.0052345066401837E-2</v>
      </c>
      <c r="X1297" s="87">
        <f t="shared" si="122"/>
        <v>3.278982282299097E-2</v>
      </c>
      <c r="Y1297" s="87">
        <f t="shared" si="122"/>
        <v>9.1324835632724723E-3</v>
      </c>
      <c r="Z1297" s="87">
        <f t="shared" si="122"/>
        <v>2.6668247082161273E-2</v>
      </c>
      <c r="AA1297" s="87">
        <f t="shared" si="121"/>
        <v>-6.0667526822374262E-3</v>
      </c>
      <c r="AB1297" s="87">
        <f t="shared" si="121"/>
        <v>1.1152531950475107E-2</v>
      </c>
      <c r="AC1297" s="87">
        <f t="shared" si="121"/>
        <v>-1.1154490838657205E-3</v>
      </c>
      <c r="AD1297" s="87">
        <f t="shared" si="120"/>
        <v>-2.6007817000573675E-3</v>
      </c>
      <c r="AE1297" s="90">
        <f t="shared" si="124"/>
        <v>-4.8760567803894025E-3</v>
      </c>
    </row>
    <row r="1298" spans="1:31" ht="15.5" x14ac:dyDescent="0.35">
      <c r="A1298" s="82">
        <v>41649</v>
      </c>
      <c r="B1298" s="83">
        <v>10371.1</v>
      </c>
      <c r="C1298" s="84">
        <v>4174.7</v>
      </c>
      <c r="D1298" s="61">
        <v>561.70000000000005</v>
      </c>
      <c r="E1298" s="61">
        <v>40.799999999999997</v>
      </c>
      <c r="F1298" s="61">
        <v>75.900000000000006</v>
      </c>
      <c r="G1298" s="61">
        <v>35.799999999999997</v>
      </c>
      <c r="H1298" s="61">
        <v>30.2</v>
      </c>
      <c r="I1298" s="61">
        <v>25.3</v>
      </c>
      <c r="J1298" s="61">
        <v>33.1</v>
      </c>
      <c r="K1298" s="61">
        <v>7.3</v>
      </c>
      <c r="L1298" s="61">
        <v>49.5</v>
      </c>
      <c r="M1298" s="61">
        <v>53.6</v>
      </c>
      <c r="N1298" s="61">
        <v>89.5</v>
      </c>
      <c r="O1298" s="85">
        <v>38.4</v>
      </c>
      <c r="P1298" s="105"/>
      <c r="Q1298" s="87">
        <f t="shared" si="123"/>
        <v>4.3871586736503633E-3</v>
      </c>
      <c r="R1298" s="87">
        <f t="shared" si="122"/>
        <v>4.4413041591296106E-3</v>
      </c>
      <c r="S1298" s="87">
        <f t="shared" si="122"/>
        <v>-2.8444463622810511E-3</v>
      </c>
      <c r="T1298" s="87">
        <f t="shared" si="122"/>
        <v>4.9140148024289414E-3</v>
      </c>
      <c r="U1298" s="87">
        <f t="shared" si="122"/>
        <v>-7.874056430905883E-3</v>
      </c>
      <c r="V1298" s="87">
        <f t="shared" si="122"/>
        <v>1.1236073266925752E-2</v>
      </c>
      <c r="W1298" s="87">
        <f t="shared" si="122"/>
        <v>-6.6006840313520242E-3</v>
      </c>
      <c r="X1298" s="87">
        <f t="shared" si="122"/>
        <v>1.9960742562538152E-2</v>
      </c>
      <c r="Y1298" s="87">
        <f t="shared" si="122"/>
        <v>3.0257209165371114E-3</v>
      </c>
      <c r="Z1298" s="87">
        <f t="shared" si="122"/>
        <v>-4.027389913793996E-2</v>
      </c>
      <c r="AA1298" s="87">
        <f t="shared" si="121"/>
        <v>4.0485885260003324E-3</v>
      </c>
      <c r="AB1298" s="87">
        <f t="shared" si="121"/>
        <v>-9.2851177756795404E-3</v>
      </c>
      <c r="AC1298" s="87">
        <f t="shared" si="121"/>
        <v>-1.1166947000750686E-3</v>
      </c>
      <c r="AD1298" s="87">
        <f t="shared" si="120"/>
        <v>0</v>
      </c>
      <c r="AE1298" s="90">
        <f t="shared" si="124"/>
        <v>-1.7529773765276625E-3</v>
      </c>
    </row>
    <row r="1299" spans="1:31" ht="15.5" x14ac:dyDescent="0.35">
      <c r="A1299" s="82">
        <v>41652</v>
      </c>
      <c r="B1299" s="83">
        <v>10256.200000000001</v>
      </c>
      <c r="C1299" s="84">
        <v>4113.3</v>
      </c>
      <c r="D1299" s="61">
        <v>559.1</v>
      </c>
      <c r="E1299" s="61">
        <v>39.799999999999997</v>
      </c>
      <c r="F1299" s="61">
        <v>75.7</v>
      </c>
      <c r="G1299" s="61">
        <v>34.799999999999997</v>
      </c>
      <c r="H1299" s="61">
        <v>30.3</v>
      </c>
      <c r="I1299" s="61">
        <v>25.2</v>
      </c>
      <c r="J1299" s="61">
        <v>33.5</v>
      </c>
      <c r="K1299" s="61">
        <v>6.7</v>
      </c>
      <c r="L1299" s="61">
        <v>50.8</v>
      </c>
      <c r="M1299" s="61">
        <v>52.9</v>
      </c>
      <c r="N1299" s="61">
        <v>88.9</v>
      </c>
      <c r="O1299" s="85">
        <v>37.5</v>
      </c>
      <c r="P1299" s="105"/>
      <c r="Q1299" s="87">
        <f t="shared" si="123"/>
        <v>-1.114069106462229E-2</v>
      </c>
      <c r="R1299" s="87">
        <f t="shared" si="122"/>
        <v>-1.4816873385024892E-2</v>
      </c>
      <c r="S1299" s="87">
        <f t="shared" si="122"/>
        <v>-4.6395515057874211E-3</v>
      </c>
      <c r="T1299" s="87">
        <f t="shared" si="122"/>
        <v>-2.481516911972402E-2</v>
      </c>
      <c r="U1299" s="87">
        <f t="shared" si="122"/>
        <v>-2.6385239581811718E-3</v>
      </c>
      <c r="V1299" s="87">
        <f t="shared" si="122"/>
        <v>-2.8330506626225996E-2</v>
      </c>
      <c r="W1299" s="87">
        <f t="shared" si="122"/>
        <v>3.3057881344996315E-3</v>
      </c>
      <c r="X1299" s="87">
        <f t="shared" si="122"/>
        <v>-3.9604012160970167E-3</v>
      </c>
      <c r="Y1299" s="87">
        <f t="shared" si="122"/>
        <v>1.2012156448003434E-2</v>
      </c>
      <c r="Z1299" s="87">
        <f t="shared" si="122"/>
        <v>-8.576682175742506E-2</v>
      </c>
      <c r="AA1299" s="87">
        <f t="shared" si="121"/>
        <v>2.5923685009791538E-2</v>
      </c>
      <c r="AB1299" s="87">
        <f t="shared" si="121"/>
        <v>-1.3145729212502616E-2</v>
      </c>
      <c r="AC1299" s="87">
        <f t="shared" si="121"/>
        <v>-6.7264827609506738E-3</v>
      </c>
      <c r="AD1299" s="87">
        <f t="shared" si="120"/>
        <v>-2.3716526617316044E-2</v>
      </c>
      <c r="AE1299" s="90">
        <f t="shared" si="124"/>
        <v>-9.4367897272016402E-3</v>
      </c>
    </row>
    <row r="1300" spans="1:31" ht="15.5" x14ac:dyDescent="0.35">
      <c r="A1300" s="82">
        <v>41653</v>
      </c>
      <c r="B1300" s="83">
        <v>10343.1</v>
      </c>
      <c r="C1300" s="84">
        <v>4183</v>
      </c>
      <c r="D1300" s="61">
        <v>564.6</v>
      </c>
      <c r="E1300" s="61">
        <v>40</v>
      </c>
      <c r="F1300" s="61">
        <v>76.8</v>
      </c>
      <c r="G1300" s="61">
        <v>34.6</v>
      </c>
      <c r="H1300" s="61">
        <v>30.1</v>
      </c>
      <c r="I1300" s="61">
        <v>25.2</v>
      </c>
      <c r="J1300" s="61">
        <v>33.4</v>
      </c>
      <c r="K1300" s="61">
        <v>6.8</v>
      </c>
      <c r="L1300" s="61">
        <v>52.2</v>
      </c>
      <c r="M1300" s="61">
        <v>52.9</v>
      </c>
      <c r="N1300" s="61">
        <v>88.9</v>
      </c>
      <c r="O1300" s="85">
        <v>37.299999999999997</v>
      </c>
      <c r="P1300" s="105"/>
      <c r="Q1300" s="87">
        <f t="shared" si="123"/>
        <v>8.4372299554666026E-3</v>
      </c>
      <c r="R1300" s="87">
        <f t="shared" si="122"/>
        <v>1.6803066411479373E-2</v>
      </c>
      <c r="S1300" s="87">
        <f t="shared" si="122"/>
        <v>9.7891677867892254E-3</v>
      </c>
      <c r="T1300" s="87">
        <f t="shared" si="122"/>
        <v>5.0125418235444138E-3</v>
      </c>
      <c r="U1300" s="87">
        <f t="shared" si="122"/>
        <v>1.4426479710223344E-2</v>
      </c>
      <c r="V1300" s="87">
        <f t="shared" si="122"/>
        <v>-5.7637047167499065E-3</v>
      </c>
      <c r="W1300" s="87">
        <f t="shared" si="122"/>
        <v>-6.6225407604933824E-3</v>
      </c>
      <c r="X1300" s="87">
        <f t="shared" si="122"/>
        <v>0</v>
      </c>
      <c r="Y1300" s="87">
        <f t="shared" si="122"/>
        <v>-2.9895388483660483E-3</v>
      </c>
      <c r="Z1300" s="87">
        <f t="shared" si="122"/>
        <v>1.4815085785140682E-2</v>
      </c>
      <c r="AA1300" s="87">
        <f t="shared" si="121"/>
        <v>2.7186140304156996E-2</v>
      </c>
      <c r="AB1300" s="87">
        <f t="shared" si="121"/>
        <v>0</v>
      </c>
      <c r="AC1300" s="87">
        <f t="shared" si="121"/>
        <v>0</v>
      </c>
      <c r="AD1300" s="87">
        <f t="shared" si="120"/>
        <v>-5.3476063265953527E-3</v>
      </c>
      <c r="AE1300" s="90">
        <f t="shared" si="124"/>
        <v>1.1377713000551827E-2</v>
      </c>
    </row>
    <row r="1301" spans="1:31" ht="15.5" x14ac:dyDescent="0.35">
      <c r="A1301" s="82">
        <v>41654</v>
      </c>
      <c r="B1301" s="83">
        <v>10385.4</v>
      </c>
      <c r="C1301" s="84">
        <v>4214.8999999999996</v>
      </c>
      <c r="D1301" s="61">
        <v>572.5</v>
      </c>
      <c r="E1301" s="61">
        <v>40.799999999999997</v>
      </c>
      <c r="F1301" s="61">
        <v>78.8</v>
      </c>
      <c r="G1301" s="61">
        <v>35.9</v>
      </c>
      <c r="H1301" s="61">
        <v>31.2</v>
      </c>
      <c r="I1301" s="61">
        <v>25.1</v>
      </c>
      <c r="J1301" s="61">
        <v>34.5</v>
      </c>
      <c r="K1301" s="61">
        <v>6.8</v>
      </c>
      <c r="L1301" s="61">
        <v>52.4</v>
      </c>
      <c r="M1301" s="61">
        <v>53.7</v>
      </c>
      <c r="N1301" s="61">
        <v>89.7</v>
      </c>
      <c r="O1301" s="85">
        <v>37.6</v>
      </c>
      <c r="P1301" s="105"/>
      <c r="Q1301" s="87">
        <f t="shared" si="123"/>
        <v>4.0813429545966682E-3</v>
      </c>
      <c r="R1301" s="87">
        <f t="shared" si="122"/>
        <v>7.5971739199119266E-3</v>
      </c>
      <c r="S1301" s="87">
        <f t="shared" si="122"/>
        <v>1.3895219609005787E-2</v>
      </c>
      <c r="T1301" s="87">
        <f t="shared" si="122"/>
        <v>1.980262729617973E-2</v>
      </c>
      <c r="U1301" s="87">
        <f t="shared" si="122"/>
        <v>2.570835671020703E-2</v>
      </c>
      <c r="V1301" s="87">
        <f t="shared" si="122"/>
        <v>3.6883613430554622E-2</v>
      </c>
      <c r="W1301" s="87">
        <f t="shared" si="122"/>
        <v>3.5892923060606534E-2</v>
      </c>
      <c r="X1301" s="87">
        <f t="shared" si="122"/>
        <v>-3.9761483796392945E-3</v>
      </c>
      <c r="Y1301" s="87">
        <f t="shared" si="122"/>
        <v>3.240342405465943E-2</v>
      </c>
      <c r="Z1301" s="87">
        <f t="shared" si="122"/>
        <v>0</v>
      </c>
      <c r="AA1301" s="87">
        <f t="shared" si="121"/>
        <v>3.8240964384032546E-3</v>
      </c>
      <c r="AB1301" s="87">
        <f t="shared" si="121"/>
        <v>1.5009662650565449E-2</v>
      </c>
      <c r="AC1301" s="87">
        <f t="shared" si="121"/>
        <v>8.9586265448914921E-3</v>
      </c>
      <c r="AD1301" s="87">
        <f t="shared" si="120"/>
        <v>8.010723746078979E-3</v>
      </c>
      <c r="AE1301" s="90">
        <f t="shared" si="124"/>
        <v>1.466997539496824E-2</v>
      </c>
    </row>
    <row r="1302" spans="1:31" ht="15.5" x14ac:dyDescent="0.35">
      <c r="A1302" s="82">
        <v>41655</v>
      </c>
      <c r="B1302" s="83">
        <v>10376.200000000001</v>
      </c>
      <c r="C1302" s="84">
        <v>4218.7</v>
      </c>
      <c r="D1302" s="61">
        <v>574.6</v>
      </c>
      <c r="E1302" s="61">
        <v>40.1</v>
      </c>
      <c r="F1302" s="61">
        <v>78.8</v>
      </c>
      <c r="G1302" s="61">
        <v>36.299999999999997</v>
      </c>
      <c r="H1302" s="61">
        <v>31.7</v>
      </c>
      <c r="I1302" s="61">
        <v>24.9</v>
      </c>
      <c r="J1302" s="61">
        <v>34.700000000000003</v>
      </c>
      <c r="K1302" s="61">
        <v>6.4</v>
      </c>
      <c r="L1302" s="61">
        <v>52.1</v>
      </c>
      <c r="M1302" s="61">
        <v>53.4</v>
      </c>
      <c r="N1302" s="61">
        <v>90.2</v>
      </c>
      <c r="O1302" s="85">
        <v>37.200000000000003</v>
      </c>
      <c r="P1302" s="105"/>
      <c r="Q1302" s="87">
        <f t="shared" si="123"/>
        <v>-8.8625159931515762E-4</v>
      </c>
      <c r="R1302" s="87">
        <f t="shared" si="122"/>
        <v>9.0115733664402568E-4</v>
      </c>
      <c r="S1302" s="87">
        <f t="shared" si="122"/>
        <v>3.66141111679453E-3</v>
      </c>
      <c r="T1302" s="87">
        <f t="shared" si="122"/>
        <v>-1.7305747097592451E-2</v>
      </c>
      <c r="U1302" s="87">
        <f t="shared" si="122"/>
        <v>0</v>
      </c>
      <c r="V1302" s="87">
        <f t="shared" si="122"/>
        <v>1.1080445776571959E-2</v>
      </c>
      <c r="W1302" s="87">
        <f t="shared" si="122"/>
        <v>1.5898586067798204E-2</v>
      </c>
      <c r="X1302" s="87">
        <f t="shared" si="122"/>
        <v>-8.0000426670763757E-3</v>
      </c>
      <c r="Y1302" s="87">
        <f t="shared" si="122"/>
        <v>5.7803629154995493E-3</v>
      </c>
      <c r="Z1302" s="87">
        <f t="shared" si="122"/>
        <v>-6.0624621816434736E-2</v>
      </c>
      <c r="AA1302" s="87">
        <f t="shared" si="121"/>
        <v>-5.7416425676751707E-3</v>
      </c>
      <c r="AB1302" s="87">
        <f t="shared" si="121"/>
        <v>-5.6022555486698981E-3</v>
      </c>
      <c r="AC1302" s="87">
        <f t="shared" si="121"/>
        <v>5.558658003827462E-3</v>
      </c>
      <c r="AD1302" s="87">
        <f t="shared" si="120"/>
        <v>-1.0695289116747919E-2</v>
      </c>
      <c r="AE1302" s="90">
        <f t="shared" si="124"/>
        <v>4.2057470076632859E-5</v>
      </c>
    </row>
    <row r="1303" spans="1:31" ht="15.5" x14ac:dyDescent="0.35">
      <c r="A1303" s="82">
        <v>41656</v>
      </c>
      <c r="B1303" s="83">
        <v>10343.5</v>
      </c>
      <c r="C1303" s="84">
        <v>4197.6000000000004</v>
      </c>
      <c r="D1303" s="61">
        <v>572.70000000000005</v>
      </c>
      <c r="E1303" s="61">
        <v>39.5</v>
      </c>
      <c r="F1303" s="61">
        <v>77.099999999999994</v>
      </c>
      <c r="G1303" s="61">
        <v>36.200000000000003</v>
      </c>
      <c r="H1303" s="61">
        <v>32.700000000000003</v>
      </c>
      <c r="I1303" s="61">
        <v>24.5</v>
      </c>
      <c r="J1303" s="61">
        <v>34</v>
      </c>
      <c r="K1303" s="61">
        <v>6.5</v>
      </c>
      <c r="L1303" s="61">
        <v>51.7</v>
      </c>
      <c r="M1303" s="61">
        <v>52.8</v>
      </c>
      <c r="N1303" s="61">
        <v>89.9</v>
      </c>
      <c r="O1303" s="85">
        <v>36.700000000000003</v>
      </c>
      <c r="P1303" s="105"/>
      <c r="Q1303" s="87">
        <f t="shared" si="123"/>
        <v>-3.1564189779888932E-3</v>
      </c>
      <c r="R1303" s="87">
        <f t="shared" si="122"/>
        <v>-5.0140903262522567E-3</v>
      </c>
      <c r="S1303" s="87">
        <f t="shared" si="122"/>
        <v>-3.3121271453775271E-3</v>
      </c>
      <c r="T1303" s="87">
        <f t="shared" si="122"/>
        <v>-1.5075662405447386E-2</v>
      </c>
      <c r="U1303" s="87">
        <f t="shared" si="122"/>
        <v>-2.1809716294549617E-2</v>
      </c>
      <c r="V1303" s="87">
        <f t="shared" si="122"/>
        <v>-2.7586224390795284E-3</v>
      </c>
      <c r="W1303" s="87">
        <f t="shared" si="122"/>
        <v>3.1058397019972803E-2</v>
      </c>
      <c r="X1303" s="87">
        <f t="shared" si="122"/>
        <v>-1.6194685919980606E-2</v>
      </c>
      <c r="Y1303" s="87">
        <f t="shared" si="122"/>
        <v>-2.0379162336652254E-2</v>
      </c>
      <c r="Z1303" s="87">
        <f t="shared" si="122"/>
        <v>1.5504186535965254E-2</v>
      </c>
      <c r="AA1303" s="87">
        <f t="shared" si="121"/>
        <v>-7.7071672449377784E-3</v>
      </c>
      <c r="AB1303" s="87">
        <f t="shared" si="121"/>
        <v>-1.1299555253933394E-2</v>
      </c>
      <c r="AC1303" s="87">
        <f t="shared" si="121"/>
        <v>-3.3314855910033568E-3</v>
      </c>
      <c r="AD1303" s="87">
        <f t="shared" si="120"/>
        <v>-1.3532006218576273E-2</v>
      </c>
      <c r="AE1303" s="90">
        <f t="shared" si="124"/>
        <v>-1.0353677184053552E-2</v>
      </c>
    </row>
    <row r="1304" spans="1:31" ht="15.5" x14ac:dyDescent="0.35">
      <c r="A1304" s="82">
        <v>41660</v>
      </c>
      <c r="B1304" s="83">
        <v>10366</v>
      </c>
      <c r="C1304" s="84">
        <v>4225.8</v>
      </c>
      <c r="D1304" s="61">
        <v>576.20000000000005</v>
      </c>
      <c r="E1304" s="61">
        <v>38.9</v>
      </c>
      <c r="F1304" s="61">
        <v>77.2</v>
      </c>
      <c r="G1304" s="61">
        <v>36.1</v>
      </c>
      <c r="H1304" s="61">
        <v>33.299999999999997</v>
      </c>
      <c r="I1304" s="61">
        <v>24.1</v>
      </c>
      <c r="J1304" s="61">
        <v>33.5</v>
      </c>
      <c r="K1304" s="61">
        <v>6.3</v>
      </c>
      <c r="L1304" s="61">
        <v>51.7</v>
      </c>
      <c r="M1304" s="61">
        <v>52.6</v>
      </c>
      <c r="N1304" s="61">
        <v>88.4</v>
      </c>
      <c r="O1304" s="85">
        <v>36.700000000000003</v>
      </c>
      <c r="P1304" s="105"/>
      <c r="Q1304" s="87">
        <f t="shared" si="123"/>
        <v>2.1729166665478911E-3</v>
      </c>
      <c r="R1304" s="87">
        <f t="shared" si="122"/>
        <v>6.6956586069175823E-3</v>
      </c>
      <c r="S1304" s="87">
        <f t="shared" si="122"/>
        <v>6.0928032506164954E-3</v>
      </c>
      <c r="T1304" s="87">
        <f t="shared" si="122"/>
        <v>-1.5306421282675658E-2</v>
      </c>
      <c r="U1304" s="87">
        <f t="shared" ref="U1304:AD1337" si="125">+LN(F1304/F1303)</f>
        <v>1.2961764614468981E-3</v>
      </c>
      <c r="V1304" s="87">
        <f t="shared" si="125"/>
        <v>-2.766253492890185E-3</v>
      </c>
      <c r="W1304" s="87">
        <f t="shared" si="125"/>
        <v>1.8182319083190328E-2</v>
      </c>
      <c r="X1304" s="87">
        <f t="shared" si="125"/>
        <v>-1.6461277054071962E-2</v>
      </c>
      <c r="Y1304" s="87">
        <f t="shared" si="125"/>
        <v>-1.4815085785140587E-2</v>
      </c>
      <c r="Z1304" s="87">
        <f t="shared" si="125"/>
        <v>-3.1252543504104426E-2</v>
      </c>
      <c r="AA1304" s="87">
        <f t="shared" si="121"/>
        <v>0</v>
      </c>
      <c r="AB1304" s="87">
        <f t="shared" si="121"/>
        <v>-3.7950709685514979E-3</v>
      </c>
      <c r="AC1304" s="87">
        <f t="shared" si="121"/>
        <v>-1.6825971833976792E-2</v>
      </c>
      <c r="AD1304" s="87">
        <f t="shared" si="120"/>
        <v>0</v>
      </c>
      <c r="AE1304" s="90">
        <f t="shared" si="124"/>
        <v>4.1613963800469604E-3</v>
      </c>
    </row>
    <row r="1305" spans="1:31" ht="15.5" x14ac:dyDescent="0.35">
      <c r="A1305" s="82">
        <v>41661</v>
      </c>
      <c r="B1305" s="83">
        <v>10368.9</v>
      </c>
      <c r="C1305" s="84">
        <v>4243</v>
      </c>
      <c r="D1305" s="61">
        <v>580</v>
      </c>
      <c r="E1305" s="61">
        <v>39.299999999999997</v>
      </c>
      <c r="F1305" s="61">
        <v>78.3</v>
      </c>
      <c r="G1305" s="61">
        <v>35.799999999999997</v>
      </c>
      <c r="H1305" s="61">
        <v>35</v>
      </c>
      <c r="I1305" s="61">
        <v>24</v>
      </c>
      <c r="J1305" s="61">
        <v>33.1</v>
      </c>
      <c r="K1305" s="61">
        <v>6.5</v>
      </c>
      <c r="L1305" s="61">
        <v>51.3</v>
      </c>
      <c r="M1305" s="61">
        <v>52.3</v>
      </c>
      <c r="N1305" s="61">
        <v>88.8</v>
      </c>
      <c r="O1305" s="85">
        <v>36.799999999999997</v>
      </c>
      <c r="P1305" s="105"/>
      <c r="Q1305" s="87">
        <f t="shared" si="123"/>
        <v>2.7972163057542123E-4</v>
      </c>
      <c r="R1305" s="87">
        <f t="shared" ref="R1305:AC1340" si="126">+LN(C1305/C1304)</f>
        <v>4.0619742229052475E-3</v>
      </c>
      <c r="S1305" s="87">
        <f t="shared" si="126"/>
        <v>6.5732808900367361E-3</v>
      </c>
      <c r="T1305" s="87">
        <f t="shared" si="126"/>
        <v>1.0230268250814823E-2</v>
      </c>
      <c r="U1305" s="87">
        <f t="shared" si="125"/>
        <v>1.4148145966026761E-2</v>
      </c>
      <c r="V1305" s="87">
        <f t="shared" si="125"/>
        <v>-8.3449719321807576E-3</v>
      </c>
      <c r="W1305" s="87">
        <f t="shared" si="125"/>
        <v>4.9790664503015607E-2</v>
      </c>
      <c r="X1305" s="87">
        <f t="shared" si="125"/>
        <v>-4.1580101486637881E-3</v>
      </c>
      <c r="Y1305" s="87">
        <f t="shared" si="125"/>
        <v>-1.2012156448003545E-2</v>
      </c>
      <c r="Z1305" s="87">
        <f t="shared" si="125"/>
        <v>3.125254350410453E-2</v>
      </c>
      <c r="AA1305" s="87">
        <f t="shared" si="121"/>
        <v>-7.7670293376596589E-3</v>
      </c>
      <c r="AB1305" s="87">
        <f t="shared" si="121"/>
        <v>-5.719748672787065E-3</v>
      </c>
      <c r="AC1305" s="87">
        <f t="shared" si="121"/>
        <v>4.514680354526613E-3</v>
      </c>
      <c r="AD1305" s="87">
        <f t="shared" si="120"/>
        <v>2.7210901143605863E-3</v>
      </c>
      <c r="AE1305" s="90">
        <f t="shared" si="124"/>
        <v>7.5182422062259873E-3</v>
      </c>
    </row>
    <row r="1306" spans="1:31" ht="15.5" x14ac:dyDescent="0.35">
      <c r="A1306" s="82">
        <v>41662</v>
      </c>
      <c r="B1306" s="83">
        <v>10269.4</v>
      </c>
      <c r="C1306" s="84">
        <v>4218.8999999999996</v>
      </c>
      <c r="D1306" s="61">
        <v>577.79999999999995</v>
      </c>
      <c r="E1306" s="61">
        <v>39.1</v>
      </c>
      <c r="F1306" s="61">
        <v>77.8</v>
      </c>
      <c r="G1306" s="61">
        <v>35.5</v>
      </c>
      <c r="H1306" s="61">
        <v>34.5</v>
      </c>
      <c r="I1306" s="61">
        <v>23.7</v>
      </c>
      <c r="J1306" s="61">
        <v>32.799999999999997</v>
      </c>
      <c r="K1306" s="61">
        <v>6.6</v>
      </c>
      <c r="L1306" s="61">
        <v>50.9</v>
      </c>
      <c r="M1306" s="61">
        <v>51.2</v>
      </c>
      <c r="N1306" s="61">
        <v>87.6</v>
      </c>
      <c r="O1306" s="85">
        <v>36</v>
      </c>
      <c r="P1306" s="105"/>
      <c r="Q1306" s="87">
        <f t="shared" si="123"/>
        <v>-9.6423417543575508E-3</v>
      </c>
      <c r="R1306" s="87">
        <f t="shared" si="126"/>
        <v>-5.6961356580131932E-3</v>
      </c>
      <c r="S1306" s="87">
        <f t="shared" si="126"/>
        <v>-3.8003155083302779E-3</v>
      </c>
      <c r="T1306" s="87">
        <f t="shared" si="126"/>
        <v>-5.1020518838953985E-3</v>
      </c>
      <c r="U1306" s="87">
        <f t="shared" si="125"/>
        <v>-6.4061718124115161E-3</v>
      </c>
      <c r="V1306" s="87">
        <f t="shared" si="125"/>
        <v>-8.4151969252844721E-3</v>
      </c>
      <c r="W1306" s="87">
        <f t="shared" si="125"/>
        <v>-1.4388737452099556E-2</v>
      </c>
      <c r="X1306" s="87">
        <f t="shared" si="125"/>
        <v>-1.2578782206860185E-2</v>
      </c>
      <c r="Y1306" s="87">
        <f t="shared" si="125"/>
        <v>-9.1047669929193165E-3</v>
      </c>
      <c r="Z1306" s="87">
        <f t="shared" si="125"/>
        <v>1.5267472130788381E-2</v>
      </c>
      <c r="AA1306" s="87">
        <f t="shared" si="121"/>
        <v>-7.8278286202467916E-3</v>
      </c>
      <c r="AB1306" s="87">
        <f t="shared" si="121"/>
        <v>-2.1256839025415038E-2</v>
      </c>
      <c r="AC1306" s="87">
        <f t="shared" si="121"/>
        <v>-1.3605652055778709E-2</v>
      </c>
      <c r="AD1306" s="87">
        <f t="shared" si="120"/>
        <v>-2.1978906718775115E-2</v>
      </c>
      <c r="AE1306" s="90">
        <f t="shared" si="124"/>
        <v>-7.3232764139661653E-3</v>
      </c>
    </row>
    <row r="1307" spans="1:31" ht="15.5" x14ac:dyDescent="0.35">
      <c r="A1307" s="82">
        <v>41663</v>
      </c>
      <c r="B1307" s="83">
        <v>10034.4</v>
      </c>
      <c r="C1307" s="84">
        <v>4128.2</v>
      </c>
      <c r="D1307" s="61">
        <v>562.1</v>
      </c>
      <c r="E1307" s="61">
        <v>37.6</v>
      </c>
      <c r="F1307" s="61">
        <v>77.8</v>
      </c>
      <c r="G1307" s="61">
        <v>36.5</v>
      </c>
      <c r="H1307" s="61">
        <v>33.4</v>
      </c>
      <c r="I1307" s="61">
        <v>23</v>
      </c>
      <c r="J1307" s="61">
        <v>31.7</v>
      </c>
      <c r="K1307" s="61">
        <v>6.6</v>
      </c>
      <c r="L1307" s="61">
        <v>51.1</v>
      </c>
      <c r="M1307" s="61">
        <v>49.5</v>
      </c>
      <c r="N1307" s="61">
        <v>80.5</v>
      </c>
      <c r="O1307" s="85">
        <v>35.799999999999997</v>
      </c>
      <c r="P1307" s="105"/>
      <c r="Q1307" s="87">
        <f t="shared" si="123"/>
        <v>-2.3149409915404873E-2</v>
      </c>
      <c r="R1307" s="87">
        <f t="shared" si="126"/>
        <v>-2.1732953944154473E-2</v>
      </c>
      <c r="S1307" s="87">
        <f t="shared" si="126"/>
        <v>-2.7548018024105423E-2</v>
      </c>
      <c r="T1307" s="87">
        <f t="shared" si="126"/>
        <v>-3.9118416595471252E-2</v>
      </c>
      <c r="U1307" s="87">
        <f t="shared" si="125"/>
        <v>0</v>
      </c>
      <c r="V1307" s="87">
        <f t="shared" si="125"/>
        <v>2.7779564107075671E-2</v>
      </c>
      <c r="W1307" s="87">
        <f t="shared" si="125"/>
        <v>-3.2403424054659416E-2</v>
      </c>
      <c r="X1307" s="87">
        <f t="shared" si="125"/>
        <v>-2.9980832211935784E-2</v>
      </c>
      <c r="Y1307" s="87">
        <f t="shared" si="125"/>
        <v>-3.4111834506863031E-2</v>
      </c>
      <c r="Z1307" s="87">
        <f t="shared" si="125"/>
        <v>0</v>
      </c>
      <c r="AA1307" s="87">
        <f t="shared" si="121"/>
        <v>3.9215736531816436E-3</v>
      </c>
      <c r="AB1307" s="87">
        <f t="shared" si="121"/>
        <v>-3.3766862470817484E-2</v>
      </c>
      <c r="AC1307" s="87">
        <f t="shared" si="121"/>
        <v>-8.452381351782802E-2</v>
      </c>
      <c r="AD1307" s="87">
        <f t="shared" si="120"/>
        <v>-5.571045049455472E-3</v>
      </c>
      <c r="AE1307" s="90">
        <f t="shared" si="124"/>
        <v>-1.5256648099129782E-2</v>
      </c>
    </row>
    <row r="1308" spans="1:31" ht="15.5" x14ac:dyDescent="0.35">
      <c r="A1308" s="82">
        <v>41666</v>
      </c>
      <c r="B1308" s="83">
        <v>9981.2999999999993</v>
      </c>
      <c r="C1308" s="84">
        <v>4083.6</v>
      </c>
      <c r="D1308" s="61">
        <v>541.70000000000005</v>
      </c>
      <c r="E1308" s="61">
        <v>36.6</v>
      </c>
      <c r="F1308" s="61">
        <v>78</v>
      </c>
      <c r="G1308" s="61">
        <v>36</v>
      </c>
      <c r="H1308" s="61">
        <v>32.5</v>
      </c>
      <c r="I1308" s="61">
        <v>22.6</v>
      </c>
      <c r="J1308" s="61">
        <v>31.8</v>
      </c>
      <c r="K1308" s="61">
        <v>6.5</v>
      </c>
      <c r="L1308" s="61">
        <v>52.5</v>
      </c>
      <c r="M1308" s="61">
        <v>48.3</v>
      </c>
      <c r="N1308" s="61">
        <v>79.3</v>
      </c>
      <c r="O1308" s="85">
        <v>35.9</v>
      </c>
      <c r="P1308" s="105"/>
      <c r="Q1308" s="87">
        <f t="shared" si="123"/>
        <v>-5.3058473670782886E-3</v>
      </c>
      <c r="R1308" s="87">
        <f t="shared" si="126"/>
        <v>-1.0862524305296876E-2</v>
      </c>
      <c r="S1308" s="87">
        <f t="shared" si="126"/>
        <v>-3.6967427344176011E-2</v>
      </c>
      <c r="T1308" s="87">
        <f t="shared" si="126"/>
        <v>-2.6955809988528218E-2</v>
      </c>
      <c r="U1308" s="87">
        <f t="shared" si="125"/>
        <v>2.5673955052459545E-3</v>
      </c>
      <c r="V1308" s="87">
        <f t="shared" si="125"/>
        <v>-1.3793322132335873E-2</v>
      </c>
      <c r="W1308" s="87">
        <f t="shared" si="125"/>
        <v>-2.7315810646962865E-2</v>
      </c>
      <c r="X1308" s="87">
        <f t="shared" si="125"/>
        <v>-1.7544309650909393E-2</v>
      </c>
      <c r="Y1308" s="87">
        <f t="shared" si="125"/>
        <v>3.1496089028962013E-3</v>
      </c>
      <c r="Z1308" s="87">
        <f t="shared" si="125"/>
        <v>-1.5267472130788421E-2</v>
      </c>
      <c r="AA1308" s="87">
        <f t="shared" si="121"/>
        <v>2.70286723879192E-2</v>
      </c>
      <c r="AB1308" s="87">
        <f t="shared" si="121"/>
        <v>-2.454110891611766E-2</v>
      </c>
      <c r="AC1308" s="87">
        <f t="shared" si="121"/>
        <v>-1.5019055783715459E-2</v>
      </c>
      <c r="AD1308" s="87">
        <f t="shared" si="120"/>
        <v>2.7894020875785922E-3</v>
      </c>
      <c r="AE1308" s="90">
        <f t="shared" si="124"/>
        <v>-1.3005604120402432E-2</v>
      </c>
    </row>
    <row r="1309" spans="1:31" ht="15.5" x14ac:dyDescent="0.35">
      <c r="A1309" s="82">
        <v>41667</v>
      </c>
      <c r="B1309" s="83">
        <v>10066.799999999999</v>
      </c>
      <c r="C1309" s="84">
        <v>4098</v>
      </c>
      <c r="D1309" s="61">
        <v>555.5</v>
      </c>
      <c r="E1309" s="61">
        <v>36.5</v>
      </c>
      <c r="F1309" s="61">
        <v>71.7</v>
      </c>
      <c r="G1309" s="61">
        <v>35.799999999999997</v>
      </c>
      <c r="H1309" s="61">
        <v>32.799999999999997</v>
      </c>
      <c r="I1309" s="61">
        <v>23.1</v>
      </c>
      <c r="J1309" s="61">
        <v>31.8</v>
      </c>
      <c r="K1309" s="61">
        <v>6.4</v>
      </c>
      <c r="L1309" s="61">
        <v>52.2</v>
      </c>
      <c r="M1309" s="61">
        <v>49.3</v>
      </c>
      <c r="N1309" s="61">
        <v>81.2</v>
      </c>
      <c r="O1309" s="85">
        <v>36.1</v>
      </c>
      <c r="P1309" s="105"/>
      <c r="Q1309" s="87">
        <f t="shared" si="123"/>
        <v>8.529538296862536E-3</v>
      </c>
      <c r="R1309" s="87">
        <f t="shared" si="126"/>
        <v>3.5200975039847058E-3</v>
      </c>
      <c r="S1309" s="87">
        <f t="shared" si="126"/>
        <v>2.5156266415831515E-2</v>
      </c>
      <c r="T1309" s="87">
        <f t="shared" si="126"/>
        <v>-2.7359798188747488E-3</v>
      </c>
      <c r="U1309" s="87">
        <f t="shared" si="125"/>
        <v>-8.4218079084016989E-2</v>
      </c>
      <c r="V1309" s="87">
        <f t="shared" si="125"/>
        <v>-5.571045049455472E-3</v>
      </c>
      <c r="W1309" s="87">
        <f t="shared" si="125"/>
        <v>9.1884260544061701E-3</v>
      </c>
      <c r="X1309" s="87">
        <f t="shared" si="125"/>
        <v>2.1882711249507587E-2</v>
      </c>
      <c r="Y1309" s="87">
        <f t="shared" si="125"/>
        <v>0</v>
      </c>
      <c r="Z1309" s="87">
        <f t="shared" si="125"/>
        <v>-1.5504186535965199E-2</v>
      </c>
      <c r="AA1309" s="87">
        <f t="shared" si="121"/>
        <v>-5.7306747089849834E-3</v>
      </c>
      <c r="AB1309" s="87">
        <f t="shared" si="121"/>
        <v>2.0492520390117386E-2</v>
      </c>
      <c r="AC1309" s="87">
        <f t="shared" si="121"/>
        <v>2.3677118526829976E-2</v>
      </c>
      <c r="AD1309" s="87">
        <f t="shared" si="120"/>
        <v>5.555569844602184E-3</v>
      </c>
      <c r="AE1309" s="90">
        <f t="shared" si="124"/>
        <v>-1.4985955748907097E-2</v>
      </c>
    </row>
    <row r="1310" spans="1:31" ht="15.5" x14ac:dyDescent="0.35">
      <c r="A1310" s="82">
        <v>41668</v>
      </c>
      <c r="B1310" s="83">
        <v>9962.9</v>
      </c>
      <c r="C1310" s="84">
        <v>4051.4</v>
      </c>
      <c r="D1310" s="61">
        <v>550.29999999999995</v>
      </c>
      <c r="E1310" s="61">
        <v>34.799999999999997</v>
      </c>
      <c r="F1310" s="61">
        <v>71.2</v>
      </c>
      <c r="G1310" s="61">
        <v>35.9</v>
      </c>
      <c r="H1310" s="61">
        <v>31.6</v>
      </c>
      <c r="I1310" s="61">
        <v>22.8</v>
      </c>
      <c r="J1310" s="61">
        <v>31.6</v>
      </c>
      <c r="K1310" s="61">
        <v>6.3</v>
      </c>
      <c r="L1310" s="61">
        <v>51.8</v>
      </c>
      <c r="M1310" s="61">
        <v>48.7</v>
      </c>
      <c r="N1310" s="61">
        <v>78</v>
      </c>
      <c r="O1310" s="85">
        <v>35.799999999999997</v>
      </c>
      <c r="P1310" s="105"/>
      <c r="Q1310" s="87">
        <f t="shared" si="123"/>
        <v>-1.0374686783173687E-2</v>
      </c>
      <c r="R1310" s="87">
        <f t="shared" si="126"/>
        <v>-1.1436549419139084E-2</v>
      </c>
      <c r="S1310" s="87">
        <f t="shared" si="126"/>
        <v>-9.4050250139716494E-3</v>
      </c>
      <c r="T1310" s="87">
        <f t="shared" si="126"/>
        <v>-4.7694873808017201E-2</v>
      </c>
      <c r="U1310" s="87">
        <f t="shared" si="125"/>
        <v>-6.9979291876445544E-3</v>
      </c>
      <c r="V1310" s="87">
        <f t="shared" si="125"/>
        <v>2.7894020875785922E-3</v>
      </c>
      <c r="W1310" s="87">
        <f t="shared" si="125"/>
        <v>-3.7271394797231537E-2</v>
      </c>
      <c r="X1310" s="87">
        <f t="shared" si="125"/>
        <v>-1.3072081567352775E-2</v>
      </c>
      <c r="Y1310" s="87">
        <f t="shared" si="125"/>
        <v>-6.309169193264721E-3</v>
      </c>
      <c r="Z1310" s="87">
        <f t="shared" si="125"/>
        <v>-1.5748356968139282E-2</v>
      </c>
      <c r="AA1310" s="87">
        <f t="shared" si="121"/>
        <v>-7.6923456231557255E-3</v>
      </c>
      <c r="AB1310" s="87">
        <f t="shared" si="121"/>
        <v>-1.2245050960100177E-2</v>
      </c>
      <c r="AC1310" s="87">
        <f t="shared" si="121"/>
        <v>-4.0206420478040593E-2</v>
      </c>
      <c r="AD1310" s="87">
        <f t="shared" si="120"/>
        <v>-8.3449719321807576E-3</v>
      </c>
      <c r="AE1310" s="90">
        <f t="shared" si="124"/>
        <v>-9.1968414265961636E-3</v>
      </c>
    </row>
    <row r="1311" spans="1:31" ht="15.5" x14ac:dyDescent="0.35">
      <c r="A1311" s="82">
        <v>41669</v>
      </c>
      <c r="B1311" s="83">
        <v>10048.700000000001</v>
      </c>
      <c r="C1311" s="84">
        <v>4123.1000000000004</v>
      </c>
      <c r="D1311" s="61">
        <v>564.20000000000005</v>
      </c>
      <c r="E1311" s="61">
        <v>34.5</v>
      </c>
      <c r="F1311" s="61">
        <v>71</v>
      </c>
      <c r="G1311" s="61">
        <v>36.200000000000003</v>
      </c>
      <c r="H1311" s="61">
        <v>31.6</v>
      </c>
      <c r="I1311" s="61">
        <v>23.1</v>
      </c>
      <c r="J1311" s="61">
        <v>30.1</v>
      </c>
      <c r="K1311" s="61">
        <v>5.7</v>
      </c>
      <c r="L1311" s="61">
        <v>52.4</v>
      </c>
      <c r="M1311" s="61">
        <v>49.2</v>
      </c>
      <c r="N1311" s="61">
        <v>78.2</v>
      </c>
      <c r="O1311" s="85">
        <v>36.200000000000003</v>
      </c>
      <c r="P1311" s="105"/>
      <c r="Q1311" s="87">
        <f t="shared" si="123"/>
        <v>8.5750790294646176E-3</v>
      </c>
      <c r="R1311" s="87">
        <f t="shared" si="126"/>
        <v>1.7542807216912783E-2</v>
      </c>
      <c r="S1311" s="87">
        <f t="shared" si="126"/>
        <v>2.4945214502182868E-2</v>
      </c>
      <c r="T1311" s="87">
        <f t="shared" si="126"/>
        <v>-8.6580627431145415E-3</v>
      </c>
      <c r="U1311" s="87">
        <f t="shared" si="125"/>
        <v>-2.8129413766147236E-3</v>
      </c>
      <c r="V1311" s="87">
        <f t="shared" si="125"/>
        <v>8.3218233374922779E-3</v>
      </c>
      <c r="W1311" s="87">
        <f t="shared" si="125"/>
        <v>0</v>
      </c>
      <c r="X1311" s="87">
        <f t="shared" si="125"/>
        <v>1.3072081567352701E-2</v>
      </c>
      <c r="Y1311" s="87">
        <f t="shared" si="125"/>
        <v>-4.8631948838036419E-2</v>
      </c>
      <c r="Z1311" s="87">
        <f t="shared" si="125"/>
        <v>-0.10008345855698253</v>
      </c>
      <c r="AA1311" s="87">
        <f t="shared" si="121"/>
        <v>1.1516442061559081E-2</v>
      </c>
      <c r="AB1311" s="87">
        <f t="shared" si="121"/>
        <v>1.021459340971842E-2</v>
      </c>
      <c r="AC1311" s="87">
        <f t="shared" si="121"/>
        <v>2.5608208616736505E-3</v>
      </c>
      <c r="AD1311" s="87">
        <f t="shared" si="120"/>
        <v>1.1111225425070849E-2</v>
      </c>
      <c r="AE1311" s="90">
        <f t="shared" si="124"/>
        <v>1.3107719662203922E-2</v>
      </c>
    </row>
    <row r="1312" spans="1:31" ht="15.5" x14ac:dyDescent="0.35">
      <c r="A1312" s="82">
        <v>41670</v>
      </c>
      <c r="B1312" s="83">
        <v>9967.7000000000007</v>
      </c>
      <c r="C1312" s="84">
        <v>4103.8999999999996</v>
      </c>
      <c r="D1312" s="61">
        <v>576.1</v>
      </c>
      <c r="E1312" s="61">
        <v>34.6</v>
      </c>
      <c r="F1312" s="61">
        <v>70.5</v>
      </c>
      <c r="G1312" s="61">
        <v>36.6</v>
      </c>
      <c r="H1312" s="61">
        <v>32</v>
      </c>
      <c r="I1312" s="61">
        <v>23.1</v>
      </c>
      <c r="J1312" s="61">
        <v>30.7</v>
      </c>
      <c r="K1312" s="61">
        <v>5.7</v>
      </c>
      <c r="L1312" s="61">
        <v>52.8</v>
      </c>
      <c r="M1312" s="61">
        <v>48.5</v>
      </c>
      <c r="N1312" s="61">
        <v>76.900000000000006</v>
      </c>
      <c r="O1312" s="85">
        <v>36.200000000000003</v>
      </c>
      <c r="P1312" s="105"/>
      <c r="Q1312" s="87">
        <f t="shared" si="123"/>
        <v>-8.0934076203946805E-3</v>
      </c>
      <c r="R1312" s="87">
        <f t="shared" si="126"/>
        <v>-4.667566514615697E-3</v>
      </c>
      <c r="S1312" s="87">
        <f t="shared" si="126"/>
        <v>2.0872458170441553E-2</v>
      </c>
      <c r="T1312" s="87">
        <f t="shared" si="126"/>
        <v>2.8943580263645565E-3</v>
      </c>
      <c r="U1312" s="87">
        <f t="shared" si="125"/>
        <v>-7.067167223092443E-3</v>
      </c>
      <c r="V1312" s="87">
        <f t="shared" si="125"/>
        <v>1.0989121575595165E-2</v>
      </c>
      <c r="W1312" s="87">
        <f t="shared" si="125"/>
        <v>1.2578782206859965E-2</v>
      </c>
      <c r="X1312" s="87">
        <f t="shared" si="125"/>
        <v>0</v>
      </c>
      <c r="Y1312" s="87">
        <f t="shared" si="125"/>
        <v>1.9737482838321337E-2</v>
      </c>
      <c r="Z1312" s="87">
        <f t="shared" si="125"/>
        <v>0</v>
      </c>
      <c r="AA1312" s="87">
        <f t="shared" si="121"/>
        <v>7.6045993852192125E-3</v>
      </c>
      <c r="AB1312" s="87">
        <f t="shared" si="121"/>
        <v>-1.4329825554824968E-2</v>
      </c>
      <c r="AC1312" s="87">
        <f t="shared" si="121"/>
        <v>-1.6763771039667114E-2</v>
      </c>
      <c r="AD1312" s="87">
        <f t="shared" si="120"/>
        <v>0</v>
      </c>
      <c r="AE1312" s="90">
        <f t="shared" si="124"/>
        <v>2.6908369044349304E-3</v>
      </c>
    </row>
    <row r="1313" spans="1:31" ht="15.5" x14ac:dyDescent="0.35">
      <c r="A1313" s="82">
        <v>41673</v>
      </c>
      <c r="B1313" s="83">
        <v>9741.6</v>
      </c>
      <c r="C1313" s="84">
        <v>3997</v>
      </c>
      <c r="D1313" s="61">
        <v>566.6</v>
      </c>
      <c r="E1313" s="61">
        <v>34.700000000000003</v>
      </c>
      <c r="F1313" s="61">
        <v>71.3</v>
      </c>
      <c r="G1313" s="61">
        <v>36.4</v>
      </c>
      <c r="H1313" s="61">
        <v>31.2</v>
      </c>
      <c r="I1313" s="61">
        <v>22.4</v>
      </c>
      <c r="J1313" s="61">
        <v>31.5</v>
      </c>
      <c r="K1313" s="61">
        <v>5.6</v>
      </c>
      <c r="L1313" s="61">
        <v>51.9</v>
      </c>
      <c r="M1313" s="61">
        <v>47</v>
      </c>
      <c r="N1313" s="61">
        <v>74.900000000000006</v>
      </c>
      <c r="O1313" s="85">
        <v>35.4</v>
      </c>
      <c r="P1313" s="105"/>
      <c r="Q1313" s="87">
        <f t="shared" si="123"/>
        <v>-2.2944490073347628E-2</v>
      </c>
      <c r="R1313" s="87">
        <f t="shared" si="126"/>
        <v>-2.6393661370679659E-2</v>
      </c>
      <c r="S1313" s="87">
        <f t="shared" si="126"/>
        <v>-1.6627669341921253E-2</v>
      </c>
      <c r="T1313" s="87">
        <f t="shared" si="126"/>
        <v>2.886004889135073E-3</v>
      </c>
      <c r="U1313" s="87">
        <f t="shared" si="125"/>
        <v>1.1283617602027301E-2</v>
      </c>
      <c r="V1313" s="87">
        <f t="shared" si="125"/>
        <v>-5.4794657646257076E-3</v>
      </c>
      <c r="W1313" s="87">
        <f t="shared" si="125"/>
        <v>-2.5317807984289897E-2</v>
      </c>
      <c r="X1313" s="87">
        <f t="shared" si="125"/>
        <v>-3.0771658666753774E-2</v>
      </c>
      <c r="Y1313" s="87">
        <f t="shared" si="125"/>
        <v>2.572489123843592E-2</v>
      </c>
      <c r="Z1313" s="87">
        <f t="shared" si="125"/>
        <v>-1.7699577099400975E-2</v>
      </c>
      <c r="AA1313" s="87">
        <f t="shared" si="121"/>
        <v>-1.7192400540372764E-2</v>
      </c>
      <c r="AB1313" s="87">
        <f t="shared" si="121"/>
        <v>-3.1416196233378928E-2</v>
      </c>
      <c r="AC1313" s="87">
        <f t="shared" si="121"/>
        <v>-2.63519859884245E-2</v>
      </c>
      <c r="AD1313" s="87">
        <f t="shared" si="120"/>
        <v>-2.2347298691996774E-2</v>
      </c>
      <c r="AE1313" s="90">
        <f t="shared" si="124"/>
        <v>-1.2269298401763148E-2</v>
      </c>
    </row>
    <row r="1314" spans="1:31" ht="15.5" x14ac:dyDescent="0.35">
      <c r="A1314" s="82">
        <v>41674</v>
      </c>
      <c r="B1314" s="83">
        <v>9817</v>
      </c>
      <c r="C1314" s="84">
        <v>4031.5</v>
      </c>
      <c r="D1314" s="61">
        <v>569.1</v>
      </c>
      <c r="E1314" s="61">
        <v>34.9</v>
      </c>
      <c r="F1314" s="61">
        <v>71.8</v>
      </c>
      <c r="G1314" s="61">
        <v>36.299999999999997</v>
      </c>
      <c r="H1314" s="61">
        <v>31.4</v>
      </c>
      <c r="I1314" s="61">
        <v>22.4</v>
      </c>
      <c r="J1314" s="61">
        <v>31.4</v>
      </c>
      <c r="K1314" s="61">
        <v>4.9000000000000004</v>
      </c>
      <c r="L1314" s="61">
        <v>52.4</v>
      </c>
      <c r="M1314" s="61">
        <v>47.1</v>
      </c>
      <c r="N1314" s="61">
        <v>75.3</v>
      </c>
      <c r="O1314" s="85">
        <v>35.200000000000003</v>
      </c>
      <c r="P1314" s="105"/>
      <c r="Q1314" s="87">
        <f t="shared" si="123"/>
        <v>7.7102014997237718E-3</v>
      </c>
      <c r="R1314" s="87">
        <f t="shared" si="126"/>
        <v>8.5944354137532999E-3</v>
      </c>
      <c r="S1314" s="87">
        <f t="shared" si="126"/>
        <v>4.4025782126621386E-3</v>
      </c>
      <c r="T1314" s="87">
        <f t="shared" si="126"/>
        <v>5.747142255567851E-3</v>
      </c>
      <c r="U1314" s="87">
        <f t="shared" si="125"/>
        <v>6.988148633928163E-3</v>
      </c>
      <c r="V1314" s="87">
        <f t="shared" si="125"/>
        <v>-2.7510333718898708E-3</v>
      </c>
      <c r="W1314" s="87">
        <f t="shared" si="125"/>
        <v>6.3897980987709883E-3</v>
      </c>
      <c r="X1314" s="87">
        <f t="shared" si="125"/>
        <v>0</v>
      </c>
      <c r="Y1314" s="87">
        <f t="shared" si="125"/>
        <v>-3.1796529173797957E-3</v>
      </c>
      <c r="Z1314" s="87">
        <f t="shared" si="125"/>
        <v>-0.13353139262452249</v>
      </c>
      <c r="AA1314" s="87">
        <f t="shared" si="121"/>
        <v>9.5878011551536121E-3</v>
      </c>
      <c r="AB1314" s="87">
        <f t="shared" si="121"/>
        <v>2.1253993123135366E-3</v>
      </c>
      <c r="AC1314" s="87">
        <f t="shared" si="121"/>
        <v>5.3262442826739424E-3</v>
      </c>
      <c r="AD1314" s="87">
        <f t="shared" si="120"/>
        <v>-5.6657375356771959E-3</v>
      </c>
      <c r="AE1314" s="90">
        <f t="shared" si="124"/>
        <v>5.1746102142409996E-3</v>
      </c>
    </row>
    <row r="1315" spans="1:31" ht="15.5" x14ac:dyDescent="0.35">
      <c r="A1315" s="82">
        <v>41675</v>
      </c>
      <c r="B1315" s="83">
        <v>9809</v>
      </c>
      <c r="C1315" s="84">
        <v>4011.6</v>
      </c>
      <c r="D1315" s="61">
        <v>564.6</v>
      </c>
      <c r="E1315" s="61">
        <v>35</v>
      </c>
      <c r="F1315" s="61">
        <v>72.3</v>
      </c>
      <c r="G1315" s="61">
        <v>35.799999999999997</v>
      </c>
      <c r="H1315" s="61">
        <v>31.7</v>
      </c>
      <c r="I1315" s="61">
        <v>22.3</v>
      </c>
      <c r="J1315" s="61">
        <v>31.4</v>
      </c>
      <c r="K1315" s="61">
        <v>4.9000000000000004</v>
      </c>
      <c r="L1315" s="61">
        <v>53.1</v>
      </c>
      <c r="M1315" s="61">
        <v>47.1</v>
      </c>
      <c r="N1315" s="61">
        <v>75.400000000000006</v>
      </c>
      <c r="O1315" s="85">
        <v>34.9</v>
      </c>
      <c r="P1315" s="105"/>
      <c r="Q1315" s="87">
        <f t="shared" si="123"/>
        <v>-8.1524512820578847E-4</v>
      </c>
      <c r="R1315" s="87">
        <f t="shared" si="126"/>
        <v>-4.9483509110235394E-3</v>
      </c>
      <c r="S1315" s="87">
        <f t="shared" si="126"/>
        <v>-7.9386497896892175E-3</v>
      </c>
      <c r="T1315" s="87">
        <f t="shared" si="126"/>
        <v>2.8612322810321949E-3</v>
      </c>
      <c r="U1315" s="87">
        <f t="shared" si="125"/>
        <v>6.9396531105404002E-3</v>
      </c>
      <c r="V1315" s="87">
        <f t="shared" si="125"/>
        <v>-1.3869847864150502E-2</v>
      </c>
      <c r="W1315" s="87">
        <f t="shared" si="125"/>
        <v>9.5087879690273561E-3</v>
      </c>
      <c r="X1315" s="87">
        <f t="shared" si="125"/>
        <v>-4.4742803949209663E-3</v>
      </c>
      <c r="Y1315" s="87">
        <f t="shared" si="125"/>
        <v>0</v>
      </c>
      <c r="Z1315" s="87">
        <f t="shared" si="125"/>
        <v>0</v>
      </c>
      <c r="AA1315" s="87">
        <f t="shared" si="121"/>
        <v>1.327033692089683E-2</v>
      </c>
      <c r="AB1315" s="87">
        <f t="shared" si="121"/>
        <v>0</v>
      </c>
      <c r="AC1315" s="87">
        <f t="shared" si="121"/>
        <v>1.3271402080627156E-3</v>
      </c>
      <c r="AD1315" s="87">
        <f t="shared" si="120"/>
        <v>-8.5592533956700603E-3</v>
      </c>
      <c r="AE1315" s="90">
        <f t="shared" si="124"/>
        <v>-2.8634595450789816E-3</v>
      </c>
    </row>
    <row r="1316" spans="1:31" ht="15.5" x14ac:dyDescent="0.35">
      <c r="A1316" s="82">
        <v>41676</v>
      </c>
      <c r="B1316" s="83">
        <v>9940.2000000000007</v>
      </c>
      <c r="C1316" s="84">
        <v>4057.1</v>
      </c>
      <c r="D1316" s="61">
        <v>574.4</v>
      </c>
      <c r="E1316" s="61">
        <v>35.6</v>
      </c>
      <c r="F1316" s="61">
        <v>72.5</v>
      </c>
      <c r="G1316" s="61">
        <v>35.700000000000003</v>
      </c>
      <c r="H1316" s="61">
        <v>32.299999999999997</v>
      </c>
      <c r="I1316" s="61">
        <v>22.7</v>
      </c>
      <c r="J1316" s="61">
        <v>32.5</v>
      </c>
      <c r="K1316" s="61">
        <v>5.2</v>
      </c>
      <c r="L1316" s="61">
        <v>52.8</v>
      </c>
      <c r="M1316" s="61">
        <v>47.4</v>
      </c>
      <c r="N1316" s="61">
        <v>74.7</v>
      </c>
      <c r="O1316" s="85">
        <v>35.299999999999997</v>
      </c>
      <c r="P1316" s="105"/>
      <c r="Q1316" s="87">
        <f t="shared" si="123"/>
        <v>1.3286809608231207E-2</v>
      </c>
      <c r="R1316" s="87">
        <f t="shared" si="126"/>
        <v>1.1278268443856368E-2</v>
      </c>
      <c r="S1316" s="87">
        <f t="shared" si="126"/>
        <v>1.7208501914625404E-2</v>
      </c>
      <c r="T1316" s="87">
        <f t="shared" si="126"/>
        <v>1.6997576368571077E-2</v>
      </c>
      <c r="U1316" s="87">
        <f t="shared" si="125"/>
        <v>2.7624326959100796E-3</v>
      </c>
      <c r="V1316" s="87">
        <f t="shared" si="125"/>
        <v>-2.7972046210610309E-3</v>
      </c>
      <c r="W1316" s="87">
        <f t="shared" si="125"/>
        <v>1.875054934537581E-2</v>
      </c>
      <c r="X1316" s="87">
        <f t="shared" si="125"/>
        <v>1.777824602128375E-2</v>
      </c>
      <c r="Y1316" s="87">
        <f t="shared" si="125"/>
        <v>3.4432196421484221E-2</v>
      </c>
      <c r="Z1316" s="87">
        <f t="shared" si="125"/>
        <v>5.9423420470800806E-2</v>
      </c>
      <c r="AA1316" s="87">
        <f t="shared" si="121"/>
        <v>-5.6657375356774196E-3</v>
      </c>
      <c r="AB1316" s="87">
        <f t="shared" si="121"/>
        <v>6.3492276786587445E-3</v>
      </c>
      <c r="AC1316" s="87">
        <f t="shared" si="121"/>
        <v>-9.3271828751387686E-3</v>
      </c>
      <c r="AD1316" s="87">
        <f t="shared" si="120"/>
        <v>1.1396134730869582E-2</v>
      </c>
      <c r="AE1316" s="90">
        <f t="shared" si="124"/>
        <v>1.0593746786421658E-2</v>
      </c>
    </row>
    <row r="1317" spans="1:31" ht="15.5" x14ac:dyDescent="0.35">
      <c r="A1317" s="82">
        <v>41677</v>
      </c>
      <c r="B1317" s="83">
        <v>10055.299999999999</v>
      </c>
      <c r="C1317" s="84">
        <v>4125.8999999999996</v>
      </c>
      <c r="D1317" s="61">
        <v>580.9</v>
      </c>
      <c r="E1317" s="61">
        <v>36.200000000000003</v>
      </c>
      <c r="F1317" s="61">
        <v>73.900000000000006</v>
      </c>
      <c r="G1317" s="61">
        <v>36</v>
      </c>
      <c r="H1317" s="61">
        <v>33.1</v>
      </c>
      <c r="I1317" s="61">
        <v>23.1</v>
      </c>
      <c r="J1317" s="61">
        <v>33.4</v>
      </c>
      <c r="K1317" s="61">
        <v>5.5</v>
      </c>
      <c r="L1317" s="61">
        <v>53.4</v>
      </c>
      <c r="M1317" s="61">
        <v>48.4</v>
      </c>
      <c r="N1317" s="61">
        <v>76.099999999999994</v>
      </c>
      <c r="O1317" s="85">
        <v>35.9</v>
      </c>
      <c r="P1317" s="105"/>
      <c r="Q1317" s="87">
        <f t="shared" si="123"/>
        <v>1.1512717491659859E-2</v>
      </c>
      <c r="R1317" s="87">
        <f t="shared" si="126"/>
        <v>1.681574513086213E-2</v>
      </c>
      <c r="S1317" s="87">
        <f t="shared" si="126"/>
        <v>1.1252607264472386E-2</v>
      </c>
      <c r="T1317" s="87">
        <f t="shared" si="126"/>
        <v>1.6713480973740532E-2</v>
      </c>
      <c r="U1317" s="87">
        <f t="shared" si="125"/>
        <v>1.9126266093526991E-2</v>
      </c>
      <c r="V1317" s="87">
        <f t="shared" si="125"/>
        <v>8.3682496705165792E-3</v>
      </c>
      <c r="W1317" s="87">
        <f t="shared" si="125"/>
        <v>2.4466052154406424E-2</v>
      </c>
      <c r="X1317" s="87">
        <f t="shared" si="125"/>
        <v>1.7467693040390999E-2</v>
      </c>
      <c r="Y1317" s="87">
        <f t="shared" si="125"/>
        <v>2.7315810646962924E-2</v>
      </c>
      <c r="Z1317" s="87">
        <f t="shared" si="125"/>
        <v>5.6089466651043578E-2</v>
      </c>
      <c r="AA1317" s="87">
        <f t="shared" si="121"/>
        <v>1.1299555253933466E-2</v>
      </c>
      <c r="AB1317" s="87">
        <f t="shared" si="121"/>
        <v>2.0877585021555178E-2</v>
      </c>
      <c r="AC1317" s="87">
        <f t="shared" si="121"/>
        <v>1.8568172728868324E-2</v>
      </c>
      <c r="AD1317" s="87">
        <f t="shared" si="120"/>
        <v>1.6854331554982182E-2</v>
      </c>
      <c r="AE1317" s="90">
        <f t="shared" si="124"/>
        <v>1.5852414808253282E-2</v>
      </c>
    </row>
    <row r="1318" spans="1:31" ht="15.5" x14ac:dyDescent="0.35">
      <c r="A1318" s="82">
        <v>41680</v>
      </c>
      <c r="B1318" s="83">
        <v>10050.4</v>
      </c>
      <c r="C1318" s="84">
        <v>4148.2</v>
      </c>
      <c r="D1318" s="61">
        <v>585.1</v>
      </c>
      <c r="E1318" s="61">
        <v>37.299999999999997</v>
      </c>
      <c r="F1318" s="61">
        <v>74</v>
      </c>
      <c r="G1318" s="61">
        <v>36.299999999999997</v>
      </c>
      <c r="H1318" s="61">
        <v>31.8</v>
      </c>
      <c r="I1318" s="61">
        <v>23.3</v>
      </c>
      <c r="J1318" s="61">
        <v>33.4</v>
      </c>
      <c r="K1318" s="61">
        <v>5.3</v>
      </c>
      <c r="L1318" s="61">
        <v>54.2</v>
      </c>
      <c r="M1318" s="61">
        <v>48.3</v>
      </c>
      <c r="N1318" s="61">
        <v>76.400000000000006</v>
      </c>
      <c r="O1318" s="85">
        <v>36.1</v>
      </c>
      <c r="P1318" s="105"/>
      <c r="Q1318" s="87">
        <f t="shared" si="123"/>
        <v>-4.8742397399864206E-4</v>
      </c>
      <c r="R1318" s="87">
        <f t="shared" si="126"/>
        <v>5.3903274060064822E-3</v>
      </c>
      <c r="S1318" s="87">
        <f t="shared" si="126"/>
        <v>7.2041477957036706E-3</v>
      </c>
      <c r="T1318" s="87">
        <f t="shared" si="126"/>
        <v>2.9934207818044248E-2</v>
      </c>
      <c r="U1318" s="87">
        <f t="shared" si="125"/>
        <v>1.3522652500135325E-3</v>
      </c>
      <c r="V1318" s="87">
        <f t="shared" si="125"/>
        <v>8.2988028146950641E-3</v>
      </c>
      <c r="W1318" s="87">
        <f t="shared" si="125"/>
        <v>-4.0066992596886071E-2</v>
      </c>
      <c r="X1318" s="87">
        <f t="shared" si="125"/>
        <v>8.6207430439069546E-3</v>
      </c>
      <c r="Y1318" s="87">
        <f t="shared" si="125"/>
        <v>0</v>
      </c>
      <c r="Z1318" s="87">
        <f t="shared" si="125"/>
        <v>-3.7041271680349097E-2</v>
      </c>
      <c r="AA1318" s="87">
        <f t="shared" si="121"/>
        <v>1.4870162479451407E-2</v>
      </c>
      <c r="AB1318" s="87">
        <f t="shared" si="121"/>
        <v>-2.0682530640590683E-3</v>
      </c>
      <c r="AC1318" s="87">
        <f t="shared" si="121"/>
        <v>3.9344313048347429E-3</v>
      </c>
      <c r="AD1318" s="87">
        <f t="shared" si="120"/>
        <v>5.555569844602184E-3</v>
      </c>
      <c r="AE1318" s="90">
        <f t="shared" si="124"/>
        <v>4.7867950936823075E-3</v>
      </c>
    </row>
    <row r="1319" spans="1:31" ht="15.5" x14ac:dyDescent="0.35">
      <c r="A1319" s="82">
        <v>41681</v>
      </c>
      <c r="B1319" s="83">
        <v>10170.4</v>
      </c>
      <c r="C1319" s="84">
        <v>4191</v>
      </c>
      <c r="D1319" s="61">
        <v>586.70000000000005</v>
      </c>
      <c r="E1319" s="61">
        <v>38.1</v>
      </c>
      <c r="F1319" s="61">
        <v>75.599999999999994</v>
      </c>
      <c r="G1319" s="61">
        <v>36.9</v>
      </c>
      <c r="H1319" s="61">
        <v>31.4</v>
      </c>
      <c r="I1319" s="61">
        <v>23.5</v>
      </c>
      <c r="J1319" s="61">
        <v>33.5</v>
      </c>
      <c r="K1319" s="61">
        <v>5.8</v>
      </c>
      <c r="L1319" s="61">
        <v>54.4</v>
      </c>
      <c r="M1319" s="61">
        <v>48.5</v>
      </c>
      <c r="N1319" s="61">
        <v>77.2</v>
      </c>
      <c r="O1319" s="85">
        <v>36.200000000000003</v>
      </c>
      <c r="P1319" s="105"/>
      <c r="Q1319" s="87">
        <f t="shared" si="123"/>
        <v>1.1869105945704688E-2</v>
      </c>
      <c r="R1319" s="87">
        <f t="shared" si="126"/>
        <v>1.0264863730293316E-2</v>
      </c>
      <c r="S1319" s="87">
        <f t="shared" si="126"/>
        <v>2.7308431376238981E-3</v>
      </c>
      <c r="T1319" s="87">
        <f t="shared" si="126"/>
        <v>2.1220955482885436E-2</v>
      </c>
      <c r="U1319" s="87">
        <f t="shared" si="125"/>
        <v>2.139118998131756E-2</v>
      </c>
      <c r="V1319" s="87">
        <f t="shared" si="125"/>
        <v>1.6393809775676352E-2</v>
      </c>
      <c r="W1319" s="87">
        <f t="shared" si="125"/>
        <v>-1.2658396871923577E-2</v>
      </c>
      <c r="X1319" s="87">
        <f t="shared" si="125"/>
        <v>8.5470605784583476E-3</v>
      </c>
      <c r="Y1319" s="87">
        <f t="shared" si="125"/>
        <v>2.9895388483659859E-3</v>
      </c>
      <c r="Z1319" s="87">
        <f t="shared" si="125"/>
        <v>9.0151096994297478E-2</v>
      </c>
      <c r="AA1319" s="87">
        <f t="shared" si="121"/>
        <v>3.683245416296368E-3</v>
      </c>
      <c r="AB1319" s="87">
        <f t="shared" si="121"/>
        <v>4.1322372849105912E-3</v>
      </c>
      <c r="AC1319" s="87">
        <f t="shared" si="121"/>
        <v>1.041676085825558E-2</v>
      </c>
      <c r="AD1319" s="87">
        <f t="shared" si="121"/>
        <v>2.76625349289011E-3</v>
      </c>
      <c r="AE1319" s="90">
        <f t="shared" si="124"/>
        <v>1.03291780806325E-2</v>
      </c>
    </row>
    <row r="1320" spans="1:31" ht="15.5" x14ac:dyDescent="0.35">
      <c r="A1320" s="82">
        <v>41682</v>
      </c>
      <c r="B1320" s="83">
        <v>10173.799999999999</v>
      </c>
      <c r="C1320" s="84">
        <v>4201.3</v>
      </c>
      <c r="D1320" s="61">
        <v>591.29999999999995</v>
      </c>
      <c r="E1320" s="61">
        <v>38</v>
      </c>
      <c r="F1320" s="61">
        <v>76.2</v>
      </c>
      <c r="G1320" s="61">
        <v>37.299999999999997</v>
      </c>
      <c r="H1320" s="61">
        <v>31.9</v>
      </c>
      <c r="I1320" s="61">
        <v>24.1</v>
      </c>
      <c r="J1320" s="61">
        <v>33.5</v>
      </c>
      <c r="K1320" s="61">
        <v>5.9</v>
      </c>
      <c r="L1320" s="61">
        <v>54.9</v>
      </c>
      <c r="M1320" s="61">
        <v>49.5</v>
      </c>
      <c r="N1320" s="61">
        <v>77.400000000000006</v>
      </c>
      <c r="O1320" s="85">
        <v>36.9</v>
      </c>
      <c r="P1320" s="105"/>
      <c r="Q1320" s="87">
        <f t="shared" si="123"/>
        <v>3.342476019360819E-4</v>
      </c>
      <c r="R1320" s="87">
        <f t="shared" si="126"/>
        <v>2.4546322633001269E-3</v>
      </c>
      <c r="S1320" s="87">
        <f t="shared" si="126"/>
        <v>7.8098868949698476E-3</v>
      </c>
      <c r="T1320" s="87">
        <f t="shared" si="126"/>
        <v>-2.6281224062695806E-3</v>
      </c>
      <c r="U1320" s="87">
        <f t="shared" si="125"/>
        <v>7.9051795071134676E-3</v>
      </c>
      <c r="V1320" s="87">
        <f t="shared" si="125"/>
        <v>1.0781775603288413E-2</v>
      </c>
      <c r="W1320" s="87">
        <f t="shared" si="125"/>
        <v>1.5798116876591311E-2</v>
      </c>
      <c r="X1320" s="87">
        <f t="shared" si="125"/>
        <v>2.521141934649607E-2</v>
      </c>
      <c r="Y1320" s="87">
        <f t="shared" si="125"/>
        <v>0</v>
      </c>
      <c r="Z1320" s="87">
        <f t="shared" si="125"/>
        <v>1.7094433359300255E-2</v>
      </c>
      <c r="AA1320" s="87">
        <f t="shared" si="121"/>
        <v>9.1491946535880823E-3</v>
      </c>
      <c r="AB1320" s="87">
        <f t="shared" si="121"/>
        <v>2.0408871631207033E-2</v>
      </c>
      <c r="AC1320" s="87">
        <f t="shared" si="121"/>
        <v>2.5873235649509544E-3</v>
      </c>
      <c r="AD1320" s="87">
        <f t="shared" si="121"/>
        <v>1.9152432214755918E-2</v>
      </c>
      <c r="AE1320" s="90">
        <f t="shared" si="124"/>
        <v>7.6105717183713745E-3</v>
      </c>
    </row>
    <row r="1321" spans="1:31" ht="15.5" x14ac:dyDescent="0.35">
      <c r="A1321" s="82">
        <v>41683</v>
      </c>
      <c r="B1321" s="83">
        <v>10228.6</v>
      </c>
      <c r="C1321" s="84">
        <v>4240.7</v>
      </c>
      <c r="D1321" s="61">
        <v>590.4</v>
      </c>
      <c r="E1321" s="61">
        <v>37.799999999999997</v>
      </c>
      <c r="F1321" s="61">
        <v>76.3</v>
      </c>
      <c r="G1321" s="61">
        <v>37.299999999999997</v>
      </c>
      <c r="H1321" s="61">
        <v>31.7</v>
      </c>
      <c r="I1321" s="61">
        <v>24.7</v>
      </c>
      <c r="J1321" s="61">
        <v>33.299999999999997</v>
      </c>
      <c r="K1321" s="61">
        <v>5.8</v>
      </c>
      <c r="L1321" s="61">
        <v>54.4</v>
      </c>
      <c r="M1321" s="61">
        <v>48.9</v>
      </c>
      <c r="N1321" s="61">
        <v>77.099999999999994</v>
      </c>
      <c r="O1321" s="85">
        <v>36.9</v>
      </c>
      <c r="P1321" s="105"/>
      <c r="Q1321" s="87">
        <f t="shared" si="123"/>
        <v>5.3719299477630791E-3</v>
      </c>
      <c r="R1321" s="87">
        <f t="shared" si="126"/>
        <v>9.3343487506837453E-3</v>
      </c>
      <c r="S1321" s="87">
        <f t="shared" si="126"/>
        <v>-1.5232295405214146E-3</v>
      </c>
      <c r="T1321" s="87">
        <f t="shared" si="126"/>
        <v>-5.2770571008438931E-3</v>
      </c>
      <c r="U1321" s="87">
        <f t="shared" si="125"/>
        <v>1.3114755978106555E-3</v>
      </c>
      <c r="V1321" s="87">
        <f t="shared" si="125"/>
        <v>0</v>
      </c>
      <c r="W1321" s="87">
        <f t="shared" si="125"/>
        <v>-6.2893289075639904E-3</v>
      </c>
      <c r="X1321" s="87">
        <f t="shared" si="125"/>
        <v>2.4591403137322113E-2</v>
      </c>
      <c r="Y1321" s="87">
        <f t="shared" si="125"/>
        <v>-5.9880418446226691E-3</v>
      </c>
      <c r="Z1321" s="87">
        <f t="shared" si="125"/>
        <v>-1.7094433359300183E-2</v>
      </c>
      <c r="AA1321" s="87">
        <f t="shared" si="121"/>
        <v>-9.1491946535879765E-3</v>
      </c>
      <c r="AB1321" s="87">
        <f t="shared" si="121"/>
        <v>-1.2195273093818355E-2</v>
      </c>
      <c r="AC1321" s="87">
        <f t="shared" si="121"/>
        <v>-3.8835000263977445E-3</v>
      </c>
      <c r="AD1321" s="87">
        <f t="shared" si="121"/>
        <v>0</v>
      </c>
      <c r="AE1321" s="90">
        <f t="shared" si="124"/>
        <v>2.7270117036964671E-3</v>
      </c>
    </row>
    <row r="1322" spans="1:31" ht="15.5" x14ac:dyDescent="0.35">
      <c r="A1322" s="82">
        <v>41684</v>
      </c>
      <c r="B1322" s="83">
        <v>10282.5</v>
      </c>
      <c r="C1322" s="84">
        <v>4244</v>
      </c>
      <c r="D1322" s="61">
        <v>597</v>
      </c>
      <c r="E1322" s="61">
        <v>38.1</v>
      </c>
      <c r="F1322" s="61">
        <v>77.3</v>
      </c>
      <c r="G1322" s="61">
        <v>37.299999999999997</v>
      </c>
      <c r="H1322" s="61">
        <v>31.5</v>
      </c>
      <c r="I1322" s="61">
        <v>26.6</v>
      </c>
      <c r="J1322" s="61">
        <v>33.299999999999997</v>
      </c>
      <c r="K1322" s="61">
        <v>6</v>
      </c>
      <c r="L1322" s="61">
        <v>55</v>
      </c>
      <c r="M1322" s="61">
        <v>49.6</v>
      </c>
      <c r="N1322" s="61">
        <v>76.900000000000006</v>
      </c>
      <c r="O1322" s="85">
        <v>37.1</v>
      </c>
      <c r="P1322" s="105"/>
      <c r="Q1322" s="87">
        <f t="shared" si="123"/>
        <v>5.255702918967345E-3</v>
      </c>
      <c r="R1322" s="87">
        <f t="shared" si="126"/>
        <v>7.7787079481845644E-4</v>
      </c>
      <c r="S1322" s="87">
        <f t="shared" si="126"/>
        <v>1.1116840106339393E-2</v>
      </c>
      <c r="T1322" s="87">
        <f t="shared" si="126"/>
        <v>7.9051795071134676E-3</v>
      </c>
      <c r="U1322" s="87">
        <f t="shared" si="125"/>
        <v>1.3021017302964972E-2</v>
      </c>
      <c r="V1322" s="87">
        <f t="shared" si="125"/>
        <v>0</v>
      </c>
      <c r="W1322" s="87">
        <f t="shared" si="125"/>
        <v>-6.3291350516475123E-3</v>
      </c>
      <c r="X1322" s="87">
        <f t="shared" si="125"/>
        <v>7.4107972153722043E-2</v>
      </c>
      <c r="Y1322" s="87">
        <f t="shared" si="125"/>
        <v>0</v>
      </c>
      <c r="Z1322" s="87">
        <f t="shared" si="125"/>
        <v>3.3901551675681416E-2</v>
      </c>
      <c r="AA1322" s="87">
        <f t="shared" si="121"/>
        <v>1.0969031370573937E-2</v>
      </c>
      <c r="AB1322" s="87">
        <f t="shared" si="121"/>
        <v>1.4213437250055449E-2</v>
      </c>
      <c r="AC1322" s="87">
        <f t="shared" si="121"/>
        <v>-2.5974040576853949E-3</v>
      </c>
      <c r="AD1322" s="87">
        <f t="shared" si="121"/>
        <v>5.4054185669079819E-3</v>
      </c>
      <c r="AE1322" s="90">
        <f t="shared" si="124"/>
        <v>7.8680146418691824E-3</v>
      </c>
    </row>
    <row r="1323" spans="1:31" ht="15.5" x14ac:dyDescent="0.35">
      <c r="A1323" s="82">
        <v>41688</v>
      </c>
      <c r="B1323" s="83">
        <v>10319.1</v>
      </c>
      <c r="C1323" s="84">
        <v>4272.8</v>
      </c>
      <c r="D1323" s="61">
        <v>600.6</v>
      </c>
      <c r="E1323" s="61">
        <v>38.1</v>
      </c>
      <c r="F1323" s="61">
        <v>77.900000000000006</v>
      </c>
      <c r="G1323" s="61">
        <v>37.4</v>
      </c>
      <c r="H1323" s="61">
        <v>32</v>
      </c>
      <c r="I1323" s="61">
        <v>26.4</v>
      </c>
      <c r="J1323" s="61">
        <v>33.4</v>
      </c>
      <c r="K1323" s="61">
        <v>6</v>
      </c>
      <c r="L1323" s="61">
        <v>55.1</v>
      </c>
      <c r="M1323" s="61">
        <v>50.3</v>
      </c>
      <c r="N1323" s="61">
        <v>77.3</v>
      </c>
      <c r="O1323" s="85">
        <v>37.5</v>
      </c>
      <c r="P1323" s="105"/>
      <c r="Q1323" s="87">
        <f t="shared" si="123"/>
        <v>3.5531258256968185E-3</v>
      </c>
      <c r="R1323" s="87">
        <f t="shared" si="126"/>
        <v>6.763129291686952E-3</v>
      </c>
      <c r="S1323" s="87">
        <f t="shared" si="126"/>
        <v>6.0120421566277529E-3</v>
      </c>
      <c r="T1323" s="87">
        <f t="shared" si="126"/>
        <v>0</v>
      </c>
      <c r="U1323" s="87">
        <f t="shared" si="125"/>
        <v>7.7319972833264049E-3</v>
      </c>
      <c r="V1323" s="87">
        <f t="shared" si="125"/>
        <v>2.6773777707163942E-3</v>
      </c>
      <c r="W1323" s="87">
        <f t="shared" si="125"/>
        <v>1.5748356968139112E-2</v>
      </c>
      <c r="X1323" s="87">
        <f t="shared" si="125"/>
        <v>-7.5472056353829663E-3</v>
      </c>
      <c r="Y1323" s="87">
        <f t="shared" si="125"/>
        <v>2.9985029962566329E-3</v>
      </c>
      <c r="Z1323" s="87">
        <f t="shared" si="125"/>
        <v>0</v>
      </c>
      <c r="AA1323" s="87">
        <f t="shared" si="121"/>
        <v>1.8165309263980069E-3</v>
      </c>
      <c r="AB1323" s="87">
        <f t="shared" si="121"/>
        <v>1.4014243374811546E-2</v>
      </c>
      <c r="AC1323" s="87">
        <f t="shared" si="121"/>
        <v>5.1880790817778995E-3</v>
      </c>
      <c r="AD1323" s="87">
        <f t="shared" si="121"/>
        <v>1.0723963362975642E-2</v>
      </c>
      <c r="AE1323" s="90">
        <f t="shared" si="124"/>
        <v>7.3017072841733786E-3</v>
      </c>
    </row>
    <row r="1324" spans="1:31" ht="15.5" x14ac:dyDescent="0.35">
      <c r="A1324" s="82">
        <v>41689</v>
      </c>
      <c r="B1324" s="83">
        <v>10254.200000000001</v>
      </c>
      <c r="C1324" s="84">
        <v>4238</v>
      </c>
      <c r="D1324" s="61">
        <v>599.4</v>
      </c>
      <c r="E1324" s="61">
        <v>37.700000000000003</v>
      </c>
      <c r="F1324" s="61">
        <v>76.3</v>
      </c>
      <c r="G1324" s="61">
        <v>37.200000000000003</v>
      </c>
      <c r="H1324" s="61">
        <v>32.6</v>
      </c>
      <c r="I1324" s="61">
        <v>26.2</v>
      </c>
      <c r="J1324" s="61">
        <v>33.4</v>
      </c>
      <c r="K1324" s="61">
        <v>6</v>
      </c>
      <c r="L1324" s="61">
        <v>55</v>
      </c>
      <c r="M1324" s="61">
        <v>50.6</v>
      </c>
      <c r="N1324" s="61">
        <v>77</v>
      </c>
      <c r="O1324" s="85">
        <v>37.299999999999997</v>
      </c>
      <c r="P1324" s="105"/>
      <c r="Q1324" s="87">
        <f t="shared" si="123"/>
        <v>-6.309169193264721E-3</v>
      </c>
      <c r="R1324" s="87">
        <f t="shared" si="126"/>
        <v>-8.1778901973161653E-3</v>
      </c>
      <c r="S1324" s="87">
        <f t="shared" si="126"/>
        <v>-2.00000066666711E-3</v>
      </c>
      <c r="T1324" s="87">
        <f t="shared" si="126"/>
        <v>-1.0554187678690145E-2</v>
      </c>
      <c r="U1324" s="87">
        <f t="shared" si="125"/>
        <v>-2.0753014586291384E-2</v>
      </c>
      <c r="V1324" s="87">
        <f t="shared" si="125"/>
        <v>-5.3619431413852872E-3</v>
      </c>
      <c r="W1324" s="87">
        <f t="shared" si="125"/>
        <v>1.8576385572935457E-2</v>
      </c>
      <c r="X1324" s="87">
        <f t="shared" si="125"/>
        <v>-7.6045993852193036E-3</v>
      </c>
      <c r="Y1324" s="87">
        <f t="shared" si="125"/>
        <v>0</v>
      </c>
      <c r="Z1324" s="87">
        <f t="shared" si="125"/>
        <v>0</v>
      </c>
      <c r="AA1324" s="87">
        <f t="shared" si="121"/>
        <v>-1.816530926397894E-3</v>
      </c>
      <c r="AB1324" s="87">
        <f t="shared" si="121"/>
        <v>5.9464991877265236E-3</v>
      </c>
      <c r="AC1324" s="87">
        <f t="shared" si="121"/>
        <v>-3.888533739692369E-3</v>
      </c>
      <c r="AD1324" s="87">
        <f t="shared" si="121"/>
        <v>-5.3476063265953527E-3</v>
      </c>
      <c r="AE1324" s="90">
        <f t="shared" si="124"/>
        <v>-9.6209260151555367E-3</v>
      </c>
    </row>
    <row r="1325" spans="1:31" ht="15.5" x14ac:dyDescent="0.35">
      <c r="A1325" s="82">
        <v>41690</v>
      </c>
      <c r="B1325" s="83">
        <v>10316.9</v>
      </c>
      <c r="C1325" s="84">
        <v>4267.5</v>
      </c>
      <c r="D1325" s="61">
        <v>600.70000000000005</v>
      </c>
      <c r="E1325" s="61">
        <v>37.299999999999997</v>
      </c>
      <c r="F1325" s="61">
        <v>75.599999999999994</v>
      </c>
      <c r="G1325" s="61">
        <v>37.4</v>
      </c>
      <c r="H1325" s="61">
        <v>32.5</v>
      </c>
      <c r="I1325" s="61">
        <v>26.6</v>
      </c>
      <c r="J1325" s="61">
        <v>33.299999999999997</v>
      </c>
      <c r="K1325" s="61">
        <v>5.6</v>
      </c>
      <c r="L1325" s="61">
        <v>55</v>
      </c>
      <c r="M1325" s="61">
        <v>50.1</v>
      </c>
      <c r="N1325" s="61">
        <v>76.900000000000006</v>
      </c>
      <c r="O1325" s="85">
        <v>37.4</v>
      </c>
      <c r="P1325" s="105"/>
      <c r="Q1325" s="87">
        <f t="shared" si="123"/>
        <v>6.0959495762522332E-3</v>
      </c>
      <c r="R1325" s="87">
        <f t="shared" si="126"/>
        <v>6.9367158403513002E-3</v>
      </c>
      <c r="S1325" s="87">
        <f t="shared" si="126"/>
        <v>2.1664869735530255E-3</v>
      </c>
      <c r="T1325" s="87">
        <f t="shared" si="126"/>
        <v>-1.0666767804195416E-2</v>
      </c>
      <c r="U1325" s="87">
        <f t="shared" si="125"/>
        <v>-9.2166551049240632E-3</v>
      </c>
      <c r="V1325" s="87">
        <f t="shared" si="125"/>
        <v>5.3619431413853731E-3</v>
      </c>
      <c r="W1325" s="87">
        <f t="shared" si="125"/>
        <v>-3.0721990369702518E-3</v>
      </c>
      <c r="X1325" s="87">
        <f t="shared" si="125"/>
        <v>1.5151805020602246E-2</v>
      </c>
      <c r="Y1325" s="87">
        <f t="shared" si="125"/>
        <v>-2.9985029962566689E-3</v>
      </c>
      <c r="Z1325" s="87">
        <f t="shared" si="125"/>
        <v>-6.899287148695156E-2</v>
      </c>
      <c r="AA1325" s="87">
        <f t="shared" si="125"/>
        <v>0</v>
      </c>
      <c r="AB1325" s="87">
        <f t="shared" si="125"/>
        <v>-9.9305682026007997E-3</v>
      </c>
      <c r="AC1325" s="87">
        <f t="shared" si="125"/>
        <v>-1.2995453420855034E-3</v>
      </c>
      <c r="AD1325" s="87">
        <f t="shared" si="125"/>
        <v>2.6773777707163942E-3</v>
      </c>
      <c r="AE1325" s="90">
        <f t="shared" si="124"/>
        <v>4.0357041779045058E-4</v>
      </c>
    </row>
    <row r="1326" spans="1:31" ht="15.5" x14ac:dyDescent="0.35">
      <c r="A1326" s="82">
        <v>41691</v>
      </c>
      <c r="B1326" s="83">
        <v>10306.9</v>
      </c>
      <c r="C1326" s="84">
        <v>4263.3999999999996</v>
      </c>
      <c r="D1326" s="61">
        <v>602</v>
      </c>
      <c r="E1326" s="61">
        <v>37.200000000000003</v>
      </c>
      <c r="F1326" s="61">
        <v>74.900000000000006</v>
      </c>
      <c r="G1326" s="61">
        <v>37.9</v>
      </c>
      <c r="H1326" s="61">
        <v>33.700000000000003</v>
      </c>
      <c r="I1326" s="61">
        <v>26.4</v>
      </c>
      <c r="J1326" s="61">
        <v>33.299999999999997</v>
      </c>
      <c r="K1326" s="61">
        <v>5.6</v>
      </c>
      <c r="L1326" s="61">
        <v>55.8</v>
      </c>
      <c r="M1326" s="61">
        <v>50.5</v>
      </c>
      <c r="N1326" s="61">
        <v>77.5</v>
      </c>
      <c r="O1326" s="85">
        <v>37.700000000000003</v>
      </c>
      <c r="P1326" s="105"/>
      <c r="Q1326" s="87">
        <f t="shared" si="123"/>
        <v>-9.6975346771058539E-4</v>
      </c>
      <c r="R1326" s="87">
        <f t="shared" si="126"/>
        <v>-9.6121166950164164E-4</v>
      </c>
      <c r="S1326" s="87">
        <f t="shared" si="126"/>
        <v>2.1618034527053093E-3</v>
      </c>
      <c r="T1326" s="87">
        <f t="shared" si="126"/>
        <v>-2.6845653706688757E-3</v>
      </c>
      <c r="U1326" s="87">
        <f t="shared" si="125"/>
        <v>-9.3023926623133375E-3</v>
      </c>
      <c r="V1326" s="87">
        <f t="shared" si="125"/>
        <v>1.3280407667894466E-2</v>
      </c>
      <c r="W1326" s="87">
        <f t="shared" si="125"/>
        <v>3.6257748022624367E-2</v>
      </c>
      <c r="X1326" s="87">
        <f t="shared" si="125"/>
        <v>-7.5472056353829663E-3</v>
      </c>
      <c r="Y1326" s="87">
        <f t="shared" si="125"/>
        <v>0</v>
      </c>
      <c r="Z1326" s="87">
        <f t="shared" si="125"/>
        <v>0</v>
      </c>
      <c r="AA1326" s="87">
        <f t="shared" si="125"/>
        <v>1.4440684154794209E-2</v>
      </c>
      <c r="AB1326" s="87">
        <f t="shared" si="125"/>
        <v>7.9523281904950154E-3</v>
      </c>
      <c r="AC1326" s="87">
        <f t="shared" si="125"/>
        <v>7.7720598477028892E-3</v>
      </c>
      <c r="AD1326" s="87">
        <f t="shared" si="125"/>
        <v>7.989390033478861E-3</v>
      </c>
      <c r="AE1326" s="90">
        <f t="shared" si="124"/>
        <v>-1.344042610835637E-3</v>
      </c>
    </row>
    <row r="1327" spans="1:31" ht="15.5" x14ac:dyDescent="0.35">
      <c r="A1327" s="82">
        <v>41694</v>
      </c>
      <c r="B1327" s="83">
        <v>10369.5</v>
      </c>
      <c r="C1327" s="84">
        <v>4293</v>
      </c>
      <c r="D1327" s="61">
        <v>603.20000000000005</v>
      </c>
      <c r="E1327" s="61">
        <v>36.799999999999997</v>
      </c>
      <c r="F1327" s="61">
        <v>74.599999999999994</v>
      </c>
      <c r="G1327" s="61">
        <v>37.5</v>
      </c>
      <c r="H1327" s="61">
        <v>34.299999999999997</v>
      </c>
      <c r="I1327" s="61">
        <v>26.2</v>
      </c>
      <c r="J1327" s="61">
        <v>33</v>
      </c>
      <c r="K1327" s="61">
        <v>5.2</v>
      </c>
      <c r="L1327" s="61">
        <v>55.9</v>
      </c>
      <c r="M1327" s="61">
        <v>50.5</v>
      </c>
      <c r="N1327" s="61">
        <v>77.5</v>
      </c>
      <c r="O1327" s="85">
        <v>38.200000000000003</v>
      </c>
      <c r="P1327" s="105"/>
      <c r="Q1327" s="87">
        <f t="shared" si="123"/>
        <v>6.0552312078766095E-3</v>
      </c>
      <c r="R1327" s="87">
        <f t="shared" si="126"/>
        <v>6.9188252254664736E-3</v>
      </c>
      <c r="S1327" s="87">
        <f t="shared" si="126"/>
        <v>1.991371384925447E-3</v>
      </c>
      <c r="T1327" s="87">
        <f t="shared" si="126"/>
        <v>-1.081091610421573E-2</v>
      </c>
      <c r="U1327" s="87">
        <f t="shared" si="125"/>
        <v>-4.0133833134587873E-3</v>
      </c>
      <c r="V1327" s="87">
        <f t="shared" si="125"/>
        <v>-1.0610179112015459E-2</v>
      </c>
      <c r="W1327" s="87">
        <f t="shared" si="125"/>
        <v>1.7647516813577922E-2</v>
      </c>
      <c r="X1327" s="87">
        <f t="shared" si="125"/>
        <v>-7.6045993852193036E-3</v>
      </c>
      <c r="Y1327" s="87">
        <f t="shared" si="125"/>
        <v>-9.0498355199178145E-3</v>
      </c>
      <c r="Z1327" s="87">
        <f t="shared" si="125"/>
        <v>-7.4107972153721724E-2</v>
      </c>
      <c r="AA1327" s="87">
        <f t="shared" si="125"/>
        <v>1.7905107737882938E-3</v>
      </c>
      <c r="AB1327" s="87">
        <f t="shared" si="125"/>
        <v>0</v>
      </c>
      <c r="AC1327" s="87">
        <f t="shared" si="125"/>
        <v>0</v>
      </c>
      <c r="AD1327" s="87">
        <f t="shared" si="125"/>
        <v>1.3175421158564328E-2</v>
      </c>
      <c r="AE1327" s="90">
        <f t="shared" si="124"/>
        <v>3.1107768499498622E-3</v>
      </c>
    </row>
    <row r="1328" spans="1:31" ht="15.5" x14ac:dyDescent="0.35">
      <c r="A1328" s="82">
        <v>41695</v>
      </c>
      <c r="B1328" s="83">
        <v>10353.799999999999</v>
      </c>
      <c r="C1328" s="84">
        <v>4287.6000000000004</v>
      </c>
      <c r="D1328" s="61">
        <v>605.79999999999995</v>
      </c>
      <c r="E1328" s="61">
        <v>37</v>
      </c>
      <c r="F1328" s="61">
        <v>74.400000000000006</v>
      </c>
      <c r="G1328" s="61">
        <v>37.4</v>
      </c>
      <c r="H1328" s="61">
        <v>34.1</v>
      </c>
      <c r="I1328" s="61">
        <v>26.3</v>
      </c>
      <c r="J1328" s="61">
        <v>33.1</v>
      </c>
      <c r="K1328" s="61">
        <v>5.2</v>
      </c>
      <c r="L1328" s="61">
        <v>55.8</v>
      </c>
      <c r="M1328" s="61">
        <v>50.3</v>
      </c>
      <c r="N1328" s="61">
        <v>77</v>
      </c>
      <c r="O1328" s="85">
        <v>38.799999999999997</v>
      </c>
      <c r="P1328" s="105"/>
      <c r="Q1328" s="87">
        <f t="shared" si="123"/>
        <v>-1.5152029844401934E-3</v>
      </c>
      <c r="R1328" s="87">
        <f t="shared" si="126"/>
        <v>-1.2586534071960661E-3</v>
      </c>
      <c r="S1328" s="87">
        <f t="shared" si="126"/>
        <v>4.3010818993904805E-3</v>
      </c>
      <c r="T1328" s="87">
        <f t="shared" si="126"/>
        <v>5.4200674693393345E-3</v>
      </c>
      <c r="U1328" s="87">
        <f t="shared" si="125"/>
        <v>-2.6845653706688757E-3</v>
      </c>
      <c r="V1328" s="87">
        <f t="shared" si="125"/>
        <v>-2.6702285558789208E-3</v>
      </c>
      <c r="W1328" s="87">
        <f t="shared" si="125"/>
        <v>-5.8479698824229886E-3</v>
      </c>
      <c r="X1328" s="87">
        <f t="shared" si="125"/>
        <v>3.8095284166676487E-3</v>
      </c>
      <c r="Y1328" s="87">
        <f t="shared" si="125"/>
        <v>3.0257209165371114E-3</v>
      </c>
      <c r="Z1328" s="87">
        <f t="shared" si="125"/>
        <v>0</v>
      </c>
      <c r="AA1328" s="87">
        <f t="shared" si="125"/>
        <v>-1.7905107737882331E-3</v>
      </c>
      <c r="AB1328" s="87">
        <f t="shared" si="125"/>
        <v>-3.9682591756206222E-3</v>
      </c>
      <c r="AC1328" s="87">
        <f t="shared" si="125"/>
        <v>-6.4725145056174788E-3</v>
      </c>
      <c r="AD1328" s="87">
        <f t="shared" si="125"/>
        <v>1.5584731016698111E-2</v>
      </c>
      <c r="AE1328" s="90">
        <f t="shared" si="124"/>
        <v>2.0085988885033784E-3</v>
      </c>
    </row>
    <row r="1329" spans="1:31" ht="15.5" x14ac:dyDescent="0.35">
      <c r="A1329" s="82">
        <v>41696</v>
      </c>
      <c r="B1329" s="83">
        <v>10350</v>
      </c>
      <c r="C1329" s="84">
        <v>4292.1000000000004</v>
      </c>
      <c r="D1329" s="61">
        <v>607.5</v>
      </c>
      <c r="E1329" s="61">
        <v>37.299999999999997</v>
      </c>
      <c r="F1329" s="61">
        <v>73.7</v>
      </c>
      <c r="G1329" s="61">
        <v>37.200000000000003</v>
      </c>
      <c r="H1329" s="61">
        <v>33.9</v>
      </c>
      <c r="I1329" s="61">
        <v>26.1</v>
      </c>
      <c r="J1329" s="61">
        <v>33.1</v>
      </c>
      <c r="K1329" s="61">
        <v>5.2</v>
      </c>
      <c r="L1329" s="61">
        <v>55.9</v>
      </c>
      <c r="M1329" s="61">
        <v>49.3</v>
      </c>
      <c r="N1329" s="61">
        <v>77.3</v>
      </c>
      <c r="O1329" s="85">
        <v>39.200000000000003</v>
      </c>
      <c r="P1329" s="105"/>
      <c r="Q1329" s="87">
        <f t="shared" si="123"/>
        <v>-3.6708237547409682E-4</v>
      </c>
      <c r="R1329" s="87">
        <f t="shared" si="126"/>
        <v>1.0489878230335633E-3</v>
      </c>
      <c r="S1329" s="87">
        <f t="shared" si="126"/>
        <v>2.8022766215666435E-3</v>
      </c>
      <c r="T1329" s="87">
        <f t="shared" si="126"/>
        <v>8.0754140055453311E-3</v>
      </c>
      <c r="U1329" s="87">
        <f t="shared" si="125"/>
        <v>-9.4531426437552534E-3</v>
      </c>
      <c r="V1329" s="87">
        <f t="shared" si="125"/>
        <v>-5.3619431413852872E-3</v>
      </c>
      <c r="W1329" s="87">
        <f t="shared" si="125"/>
        <v>-5.8823699030666364E-3</v>
      </c>
      <c r="X1329" s="87">
        <f t="shared" si="125"/>
        <v>-7.633624855071095E-3</v>
      </c>
      <c r="Y1329" s="87">
        <f t="shared" si="125"/>
        <v>0</v>
      </c>
      <c r="Z1329" s="87">
        <f t="shared" si="125"/>
        <v>0</v>
      </c>
      <c r="AA1329" s="87">
        <f t="shared" si="125"/>
        <v>1.7905107737882938E-3</v>
      </c>
      <c r="AB1329" s="87">
        <f t="shared" si="125"/>
        <v>-2.0080996057049133E-2</v>
      </c>
      <c r="AC1329" s="87">
        <f t="shared" si="125"/>
        <v>3.8885337396923746E-3</v>
      </c>
      <c r="AD1329" s="87">
        <f t="shared" si="125"/>
        <v>1.0256500167189282E-2</v>
      </c>
      <c r="AE1329" s="90">
        <f t="shared" si="124"/>
        <v>-3.2152265154235336E-4</v>
      </c>
    </row>
    <row r="1330" spans="1:31" ht="15.5" x14ac:dyDescent="0.35">
      <c r="A1330" s="82">
        <v>41697</v>
      </c>
      <c r="B1330" s="83">
        <v>10397.799999999999</v>
      </c>
      <c r="C1330" s="84">
        <v>4318.8999999999996</v>
      </c>
      <c r="D1330" s="61">
        <v>609.1</v>
      </c>
      <c r="E1330" s="61">
        <v>37.700000000000003</v>
      </c>
      <c r="F1330" s="61">
        <v>73.7</v>
      </c>
      <c r="G1330" s="61">
        <v>37.200000000000003</v>
      </c>
      <c r="H1330" s="61">
        <v>33.1</v>
      </c>
      <c r="I1330" s="61">
        <v>26.1</v>
      </c>
      <c r="J1330" s="61">
        <v>33.200000000000003</v>
      </c>
      <c r="K1330" s="61">
        <v>6.9</v>
      </c>
      <c r="L1330" s="61">
        <v>56</v>
      </c>
      <c r="M1330" s="61">
        <v>49.3</v>
      </c>
      <c r="N1330" s="61">
        <v>77.7</v>
      </c>
      <c r="O1330" s="85">
        <v>38.700000000000003</v>
      </c>
      <c r="P1330" s="105"/>
      <c r="Q1330" s="87">
        <f t="shared" si="123"/>
        <v>4.6077255969941425E-3</v>
      </c>
      <c r="R1330" s="87">
        <f t="shared" si="126"/>
        <v>6.2246165444999101E-3</v>
      </c>
      <c r="S1330" s="87">
        <f t="shared" si="126"/>
        <v>2.6302826277353514E-3</v>
      </c>
      <c r="T1330" s="87">
        <f t="shared" si="126"/>
        <v>1.0666767804195449E-2</v>
      </c>
      <c r="U1330" s="87">
        <f t="shared" si="125"/>
        <v>0</v>
      </c>
      <c r="V1330" s="87">
        <f t="shared" si="125"/>
        <v>0</v>
      </c>
      <c r="W1330" s="87">
        <f t="shared" si="125"/>
        <v>-2.3881732003387245E-2</v>
      </c>
      <c r="X1330" s="87">
        <f t="shared" si="125"/>
        <v>0</v>
      </c>
      <c r="Y1330" s="87">
        <f t="shared" si="125"/>
        <v>3.0165935394257273E-3</v>
      </c>
      <c r="Z1330" s="87">
        <f t="shared" si="125"/>
        <v>0.28286278601583198</v>
      </c>
      <c r="AA1330" s="87">
        <f t="shared" si="125"/>
        <v>1.7873105740958803E-3</v>
      </c>
      <c r="AB1330" s="87">
        <f t="shared" si="125"/>
        <v>0</v>
      </c>
      <c r="AC1330" s="87">
        <f t="shared" si="125"/>
        <v>5.1613017802255474E-3</v>
      </c>
      <c r="AD1330" s="87">
        <f t="shared" si="125"/>
        <v>-1.2837146760680719E-2</v>
      </c>
      <c r="AE1330" s="90">
        <f t="shared" si="124"/>
        <v>1.0755397107590785E-3</v>
      </c>
    </row>
    <row r="1331" spans="1:31" ht="15.5" x14ac:dyDescent="0.35">
      <c r="A1331" s="82">
        <v>41698</v>
      </c>
      <c r="B1331" s="83">
        <v>10425.9</v>
      </c>
      <c r="C1331" s="84">
        <v>4308.1000000000004</v>
      </c>
      <c r="D1331" s="61">
        <v>603.70000000000005</v>
      </c>
      <c r="E1331" s="61">
        <v>38.200000000000003</v>
      </c>
      <c r="F1331" s="61">
        <v>74.599999999999994</v>
      </c>
      <c r="G1331" s="61">
        <v>37.799999999999997</v>
      </c>
      <c r="H1331" s="61">
        <v>33.200000000000003</v>
      </c>
      <c r="I1331" s="61">
        <v>26.6</v>
      </c>
      <c r="J1331" s="61">
        <v>33.200000000000003</v>
      </c>
      <c r="K1331" s="61">
        <v>7.3</v>
      </c>
      <c r="L1331" s="61">
        <v>56.7</v>
      </c>
      <c r="M1331" s="61">
        <v>50.3</v>
      </c>
      <c r="N1331" s="61">
        <v>77.7</v>
      </c>
      <c r="O1331" s="85">
        <v>38.799999999999997</v>
      </c>
      <c r="P1331" s="105"/>
      <c r="Q1331" s="87">
        <f t="shared" si="123"/>
        <v>2.6988495854438801E-3</v>
      </c>
      <c r="R1331" s="87">
        <f t="shared" si="126"/>
        <v>-2.5037685503581731E-3</v>
      </c>
      <c r="S1331" s="87">
        <f t="shared" si="126"/>
        <v>-8.90507204005846E-3</v>
      </c>
      <c r="T1331" s="87">
        <f t="shared" si="126"/>
        <v>1.3175421158564328E-2</v>
      </c>
      <c r="U1331" s="87">
        <f t="shared" si="125"/>
        <v>1.2137708014424082E-2</v>
      </c>
      <c r="V1331" s="87">
        <f t="shared" si="125"/>
        <v>1.6000341346440902E-2</v>
      </c>
      <c r="W1331" s="87">
        <f t="shared" si="125"/>
        <v>3.0165935394257273E-3</v>
      </c>
      <c r="X1331" s="87">
        <f t="shared" si="125"/>
        <v>1.8975901459005604E-2</v>
      </c>
      <c r="Y1331" s="87">
        <f t="shared" si="125"/>
        <v>0</v>
      </c>
      <c r="Z1331" s="87">
        <f t="shared" si="125"/>
        <v>5.635293655113157E-2</v>
      </c>
      <c r="AA1331" s="87">
        <f t="shared" si="125"/>
        <v>1.242251999855711E-2</v>
      </c>
      <c r="AB1331" s="87">
        <f t="shared" si="125"/>
        <v>2.0080996057049126E-2</v>
      </c>
      <c r="AC1331" s="87">
        <f t="shared" si="125"/>
        <v>0</v>
      </c>
      <c r="AD1331" s="87">
        <f t="shared" si="125"/>
        <v>2.5806465934914914E-3</v>
      </c>
      <c r="AE1331" s="90">
        <f t="shared" si="124"/>
        <v>4.2672794431387949E-4</v>
      </c>
    </row>
    <row r="1332" spans="1:31" ht="15.5" x14ac:dyDescent="0.35">
      <c r="A1332" s="82">
        <v>41701</v>
      </c>
      <c r="B1332" s="83">
        <v>10329.799999999999</v>
      </c>
      <c r="C1332" s="84">
        <v>4277.3</v>
      </c>
      <c r="D1332" s="61">
        <v>596.70000000000005</v>
      </c>
      <c r="E1332" s="61">
        <v>37.4</v>
      </c>
      <c r="F1332" s="61">
        <v>74.7</v>
      </c>
      <c r="G1332" s="61">
        <v>37.5</v>
      </c>
      <c r="H1332" s="61">
        <v>32.5</v>
      </c>
      <c r="I1332" s="61">
        <v>26.1</v>
      </c>
      <c r="J1332" s="61">
        <v>32.9</v>
      </c>
      <c r="K1332" s="61">
        <v>7</v>
      </c>
      <c r="L1332" s="61">
        <v>56</v>
      </c>
      <c r="M1332" s="61">
        <v>49.7</v>
      </c>
      <c r="N1332" s="61">
        <v>77.7</v>
      </c>
      <c r="O1332" s="85">
        <v>38.299999999999997</v>
      </c>
      <c r="P1332" s="105"/>
      <c r="Q1332" s="87">
        <f t="shared" si="123"/>
        <v>-9.2601730339179796E-3</v>
      </c>
      <c r="R1332" s="87">
        <f t="shared" si="126"/>
        <v>-7.17500224417582E-3</v>
      </c>
      <c r="S1332" s="87">
        <f t="shared" si="126"/>
        <v>-1.1662911274344316E-2</v>
      </c>
      <c r="T1332" s="87">
        <f t="shared" si="126"/>
        <v>-2.1164811192043383E-2</v>
      </c>
      <c r="U1332" s="87">
        <f t="shared" si="125"/>
        <v>1.3395849290565674E-3</v>
      </c>
      <c r="V1332" s="87">
        <f t="shared" si="125"/>
        <v>-7.9681696491768449E-3</v>
      </c>
      <c r="W1332" s="87">
        <f t="shared" si="125"/>
        <v>-2.1309786586751096E-2</v>
      </c>
      <c r="X1332" s="87">
        <f t="shared" si="125"/>
        <v>-1.8975901459005691E-2</v>
      </c>
      <c r="Y1332" s="87">
        <f t="shared" si="125"/>
        <v>-9.0772181511167629E-3</v>
      </c>
      <c r="Z1332" s="87">
        <f t="shared" si="125"/>
        <v>-4.1964199099032082E-2</v>
      </c>
      <c r="AA1332" s="87">
        <f t="shared" si="125"/>
        <v>-1.2422519998557209E-2</v>
      </c>
      <c r="AB1332" s="87">
        <f t="shared" si="125"/>
        <v>-1.2000144003110409E-2</v>
      </c>
      <c r="AC1332" s="87">
        <f t="shared" si="125"/>
        <v>0</v>
      </c>
      <c r="AD1332" s="87">
        <f t="shared" si="125"/>
        <v>-1.2970350442627404E-2</v>
      </c>
      <c r="AE1332" s="90">
        <f t="shared" si="124"/>
        <v>-6.7586644373988265E-3</v>
      </c>
    </row>
    <row r="1333" spans="1:31" ht="15.5" x14ac:dyDescent="0.35">
      <c r="A1333" s="82">
        <v>41702</v>
      </c>
      <c r="B1333" s="83">
        <v>10490</v>
      </c>
      <c r="C1333" s="84">
        <v>4352</v>
      </c>
      <c r="D1333" s="61">
        <v>605.4</v>
      </c>
      <c r="E1333" s="61">
        <v>38.700000000000003</v>
      </c>
      <c r="F1333" s="61">
        <v>75.400000000000006</v>
      </c>
      <c r="G1333" s="61">
        <v>38.1</v>
      </c>
      <c r="H1333" s="61">
        <v>32.700000000000003</v>
      </c>
      <c r="I1333" s="61">
        <v>26.8</v>
      </c>
      <c r="J1333" s="61">
        <v>33.4</v>
      </c>
      <c r="K1333" s="61">
        <v>8.1999999999999993</v>
      </c>
      <c r="L1333" s="61">
        <v>56.9</v>
      </c>
      <c r="M1333" s="61">
        <v>50.8</v>
      </c>
      <c r="N1333" s="61">
        <v>79.5</v>
      </c>
      <c r="O1333" s="85">
        <v>39.200000000000003</v>
      </c>
      <c r="P1333" s="105"/>
      <c r="Q1333" s="87">
        <f t="shared" si="123"/>
        <v>1.5389500548307579E-2</v>
      </c>
      <c r="R1333" s="87">
        <f t="shared" si="126"/>
        <v>1.7313540145414648E-2</v>
      </c>
      <c r="S1333" s="87">
        <f t="shared" si="126"/>
        <v>1.4474922059582016E-2</v>
      </c>
      <c r="T1333" s="87">
        <f t="shared" si="126"/>
        <v>3.4168895615250008E-2</v>
      </c>
      <c r="U1333" s="87">
        <f t="shared" si="125"/>
        <v>9.3271828751388813E-3</v>
      </c>
      <c r="V1333" s="87">
        <f t="shared" si="125"/>
        <v>1.5873349156290163E-2</v>
      </c>
      <c r="W1333" s="87">
        <f t="shared" si="125"/>
        <v>6.1349885675159293E-3</v>
      </c>
      <c r="X1333" s="87">
        <f t="shared" si="125"/>
        <v>2.6466573188163273E-2</v>
      </c>
      <c r="Y1333" s="87">
        <f t="shared" si="125"/>
        <v>1.50832422113285E-2</v>
      </c>
      <c r="Z1333" s="87">
        <f t="shared" si="125"/>
        <v>0.15822400521489399</v>
      </c>
      <c r="AA1333" s="87">
        <f t="shared" si="125"/>
        <v>1.5943650397135946E-2</v>
      </c>
      <c r="AB1333" s="87">
        <f t="shared" si="125"/>
        <v>2.1891421481852982E-2</v>
      </c>
      <c r="AC1333" s="87">
        <f t="shared" si="125"/>
        <v>2.2901764286684414E-2</v>
      </c>
      <c r="AD1333" s="87">
        <f t="shared" si="125"/>
        <v>2.322685060981677E-2</v>
      </c>
      <c r="AE1333" s="90">
        <f t="shared" si="124"/>
        <v>1.4917636156928496E-2</v>
      </c>
    </row>
    <row r="1334" spans="1:31" ht="15.5" x14ac:dyDescent="0.35">
      <c r="A1334" s="82">
        <v>41703</v>
      </c>
      <c r="B1334" s="83">
        <v>10482.799999999999</v>
      </c>
      <c r="C1334" s="84">
        <v>4358</v>
      </c>
      <c r="D1334" s="61">
        <v>606.29999999999995</v>
      </c>
      <c r="E1334" s="61">
        <v>39.200000000000003</v>
      </c>
      <c r="F1334" s="61">
        <v>75.599999999999994</v>
      </c>
      <c r="G1334" s="61">
        <v>37.9</v>
      </c>
      <c r="H1334" s="61">
        <v>32.5</v>
      </c>
      <c r="I1334" s="61">
        <v>27.2</v>
      </c>
      <c r="J1334" s="61">
        <v>33.4</v>
      </c>
      <c r="K1334" s="61">
        <v>8.1</v>
      </c>
      <c r="L1334" s="61">
        <v>56.5</v>
      </c>
      <c r="M1334" s="61">
        <v>51</v>
      </c>
      <c r="N1334" s="61">
        <v>79.599999999999994</v>
      </c>
      <c r="O1334" s="85">
        <v>38.700000000000003</v>
      </c>
      <c r="P1334" s="105"/>
      <c r="Q1334" s="87">
        <f t="shared" si="123"/>
        <v>-6.8660362782800414E-4</v>
      </c>
      <c r="R1334" s="87">
        <f t="shared" si="126"/>
        <v>1.3777269687867074E-3</v>
      </c>
      <c r="S1334" s="87">
        <f t="shared" si="126"/>
        <v>1.4855164900666093E-3</v>
      </c>
      <c r="T1334" s="87">
        <f t="shared" si="126"/>
        <v>1.2837146760680682E-2</v>
      </c>
      <c r="U1334" s="87">
        <f t="shared" si="125"/>
        <v>2.6490081715768625E-3</v>
      </c>
      <c r="V1334" s="87">
        <f t="shared" si="125"/>
        <v>-5.263170044274644E-3</v>
      </c>
      <c r="W1334" s="87">
        <f t="shared" si="125"/>
        <v>-6.134988567515944E-3</v>
      </c>
      <c r="X1334" s="87">
        <f t="shared" si="125"/>
        <v>1.4815085785140682E-2</v>
      </c>
      <c r="Y1334" s="87">
        <f t="shared" si="125"/>
        <v>0</v>
      </c>
      <c r="Z1334" s="87">
        <f t="shared" si="125"/>
        <v>-1.2270092591814359E-2</v>
      </c>
      <c r="AA1334" s="87">
        <f t="shared" si="125"/>
        <v>-7.0547029798899265E-3</v>
      </c>
      <c r="AB1334" s="87">
        <f t="shared" si="125"/>
        <v>3.929278139889557E-3</v>
      </c>
      <c r="AC1334" s="87">
        <f t="shared" si="125"/>
        <v>1.2570711900511137E-3</v>
      </c>
      <c r="AD1334" s="87">
        <f t="shared" si="125"/>
        <v>-1.2837146760680719E-2</v>
      </c>
      <c r="AE1334" s="90">
        <f t="shared" si="124"/>
        <v>4.4999679482264285E-5</v>
      </c>
    </row>
    <row r="1335" spans="1:31" ht="15.5" x14ac:dyDescent="0.35">
      <c r="A1335" s="82">
        <v>41704</v>
      </c>
      <c r="B1335" s="83">
        <v>10525.5</v>
      </c>
      <c r="C1335" s="84">
        <v>4352.1000000000004</v>
      </c>
      <c r="D1335" s="61">
        <v>609.9</v>
      </c>
      <c r="E1335" s="61">
        <v>39.5</v>
      </c>
      <c r="F1335" s="61">
        <v>75.400000000000006</v>
      </c>
      <c r="G1335" s="61">
        <v>37.9</v>
      </c>
      <c r="H1335" s="61">
        <v>32.299999999999997</v>
      </c>
      <c r="I1335" s="61">
        <v>27.5</v>
      </c>
      <c r="J1335" s="61">
        <v>35</v>
      </c>
      <c r="K1335" s="61">
        <v>8.1999999999999993</v>
      </c>
      <c r="L1335" s="61">
        <v>57</v>
      </c>
      <c r="M1335" s="61">
        <v>52.4</v>
      </c>
      <c r="N1335" s="61">
        <v>80</v>
      </c>
      <c r="O1335" s="85">
        <v>38.700000000000003</v>
      </c>
      <c r="P1335" s="105"/>
      <c r="Q1335" s="87">
        <f t="shared" si="123"/>
        <v>4.0650655979381283E-3</v>
      </c>
      <c r="R1335" s="87">
        <f t="shared" si="126"/>
        <v>-1.3547492915989483E-3</v>
      </c>
      <c r="S1335" s="87">
        <f t="shared" si="126"/>
        <v>5.9200962247257646E-3</v>
      </c>
      <c r="T1335" s="87">
        <f t="shared" si="126"/>
        <v>7.6239251106593664E-3</v>
      </c>
      <c r="U1335" s="87">
        <f t="shared" si="125"/>
        <v>-2.6490081715767307E-3</v>
      </c>
      <c r="V1335" s="87">
        <f t="shared" si="125"/>
        <v>0</v>
      </c>
      <c r="W1335" s="87">
        <f t="shared" si="125"/>
        <v>-6.1728591070810794E-3</v>
      </c>
      <c r="X1335" s="87">
        <f t="shared" si="125"/>
        <v>1.0969031370573937E-2</v>
      </c>
      <c r="Y1335" s="87">
        <f t="shared" si="125"/>
        <v>4.6792161506758884E-2</v>
      </c>
      <c r="Z1335" s="87">
        <f t="shared" si="125"/>
        <v>1.2270092591814401E-2</v>
      </c>
      <c r="AA1335" s="87">
        <f t="shared" si="125"/>
        <v>8.8106296821549059E-3</v>
      </c>
      <c r="AB1335" s="87">
        <f t="shared" si="125"/>
        <v>2.7080958602670614E-2</v>
      </c>
      <c r="AC1335" s="87">
        <f t="shared" si="125"/>
        <v>5.0125418235444138E-3</v>
      </c>
      <c r="AD1335" s="87">
        <f t="shared" si="125"/>
        <v>0</v>
      </c>
      <c r="AE1335" s="90">
        <f t="shared" si="124"/>
        <v>5.6965436957950421E-4</v>
      </c>
    </row>
    <row r="1336" spans="1:31" ht="15.5" x14ac:dyDescent="0.35">
      <c r="A1336" s="82">
        <v>41705</v>
      </c>
      <c r="B1336" s="83">
        <v>10511.9</v>
      </c>
      <c r="C1336" s="84">
        <v>4336.2</v>
      </c>
      <c r="D1336" s="61">
        <v>606.29999999999995</v>
      </c>
      <c r="E1336" s="61">
        <v>38.5</v>
      </c>
      <c r="F1336" s="61">
        <v>75.2</v>
      </c>
      <c r="G1336" s="61">
        <v>37.700000000000003</v>
      </c>
      <c r="H1336" s="61">
        <v>32.799999999999997</v>
      </c>
      <c r="I1336" s="61">
        <v>27.5</v>
      </c>
      <c r="J1336" s="61">
        <v>34.5</v>
      </c>
      <c r="K1336" s="61">
        <v>8.6</v>
      </c>
      <c r="L1336" s="61">
        <v>57.1</v>
      </c>
      <c r="M1336" s="61">
        <v>52.9</v>
      </c>
      <c r="N1336" s="61">
        <v>80.5</v>
      </c>
      <c r="O1336" s="85">
        <v>39.5</v>
      </c>
      <c r="P1336" s="105"/>
      <c r="Q1336" s="87">
        <f t="shared" si="123"/>
        <v>-1.2929356189047903E-3</v>
      </c>
      <c r="R1336" s="87">
        <f t="shared" si="126"/>
        <v>-3.6600986959759636E-3</v>
      </c>
      <c r="S1336" s="87">
        <f t="shared" si="126"/>
        <v>-5.9200962247256709E-3</v>
      </c>
      <c r="T1336" s="87">
        <f t="shared" si="126"/>
        <v>-2.564243061333767E-2</v>
      </c>
      <c r="U1336" s="87">
        <f t="shared" si="125"/>
        <v>-2.6560440581162963E-3</v>
      </c>
      <c r="V1336" s="87">
        <f t="shared" si="125"/>
        <v>-5.2910176344154363E-3</v>
      </c>
      <c r="W1336" s="87">
        <f t="shared" si="125"/>
        <v>1.5361285161487149E-2</v>
      </c>
      <c r="X1336" s="87">
        <f t="shared" si="125"/>
        <v>0</v>
      </c>
      <c r="Y1336" s="87">
        <f t="shared" si="125"/>
        <v>-1.4388737452099556E-2</v>
      </c>
      <c r="Z1336" s="87">
        <f t="shared" si="125"/>
        <v>4.7628048989254664E-2</v>
      </c>
      <c r="AA1336" s="87">
        <f t="shared" si="125"/>
        <v>1.7528488274143868E-3</v>
      </c>
      <c r="AB1336" s="87">
        <f t="shared" si="125"/>
        <v>9.4967475372572073E-3</v>
      </c>
      <c r="AC1336" s="87">
        <f t="shared" si="125"/>
        <v>6.2305497506361628E-3</v>
      </c>
      <c r="AD1336" s="87">
        <f t="shared" si="125"/>
        <v>2.0461071871340025E-2</v>
      </c>
      <c r="AE1336" s="90">
        <f t="shared" si="124"/>
        <v>-1.1027610308649723E-3</v>
      </c>
    </row>
    <row r="1337" spans="1:31" ht="15.5" x14ac:dyDescent="0.35">
      <c r="A1337" s="82">
        <v>41708</v>
      </c>
      <c r="B1337" s="83">
        <v>10486.2</v>
      </c>
      <c r="C1337" s="84">
        <v>4334.5</v>
      </c>
      <c r="D1337" s="61">
        <v>602.70000000000005</v>
      </c>
      <c r="E1337" s="61">
        <v>37.9</v>
      </c>
      <c r="F1337" s="61">
        <v>75.5</v>
      </c>
      <c r="G1337" s="61">
        <v>37.700000000000003</v>
      </c>
      <c r="H1337" s="61">
        <v>32.700000000000003</v>
      </c>
      <c r="I1337" s="61">
        <v>27.4</v>
      </c>
      <c r="J1337" s="61">
        <v>34.5</v>
      </c>
      <c r="K1337" s="61">
        <v>8.3000000000000007</v>
      </c>
      <c r="L1337" s="61">
        <v>57</v>
      </c>
      <c r="M1337" s="61">
        <v>53</v>
      </c>
      <c r="N1337" s="61">
        <v>80.2</v>
      </c>
      <c r="O1337" s="85">
        <v>39.200000000000003</v>
      </c>
      <c r="P1337" s="105"/>
      <c r="Q1337" s="87">
        <f t="shared" si="123"/>
        <v>-2.4478417411777395E-3</v>
      </c>
      <c r="R1337" s="87">
        <f t="shared" si="126"/>
        <v>-3.921252082952851E-4</v>
      </c>
      <c r="S1337" s="87">
        <f t="shared" si="126"/>
        <v>-5.9553525886864049E-3</v>
      </c>
      <c r="T1337" s="87">
        <f t="shared" si="126"/>
        <v>-1.570712920535788E-2</v>
      </c>
      <c r="U1337" s="87">
        <f t="shared" si="125"/>
        <v>3.9814252991848221E-3</v>
      </c>
      <c r="V1337" s="87">
        <f t="shared" si="125"/>
        <v>0</v>
      </c>
      <c r="W1337" s="87">
        <f t="shared" si="125"/>
        <v>-3.0534374868901202E-3</v>
      </c>
      <c r="X1337" s="87">
        <f t="shared" si="125"/>
        <v>-3.6429912785010919E-3</v>
      </c>
      <c r="Y1337" s="87">
        <f t="shared" si="125"/>
        <v>0</v>
      </c>
      <c r="Z1337" s="87">
        <f t="shared" si="125"/>
        <v>-3.5506688456909644E-2</v>
      </c>
      <c r="AA1337" s="87">
        <f t="shared" si="125"/>
        <v>-1.7528488274143605E-3</v>
      </c>
      <c r="AB1337" s="87">
        <f t="shared" si="125"/>
        <v>1.8885746878681546E-3</v>
      </c>
      <c r="AC1337" s="87">
        <f t="shared" si="125"/>
        <v>-3.7336695520488379E-3</v>
      </c>
      <c r="AD1337" s="87">
        <f t="shared" ref="AD1337:AD1400" si="127">+LN(O1337/O1336)</f>
        <v>-7.6239251106592588E-3</v>
      </c>
      <c r="AE1337" s="90">
        <f t="shared" si="124"/>
        <v>-1.6492840088689596E-3</v>
      </c>
    </row>
    <row r="1338" spans="1:31" ht="15.5" x14ac:dyDescent="0.35">
      <c r="A1338" s="82">
        <v>41709</v>
      </c>
      <c r="B1338" s="83">
        <v>10425.6</v>
      </c>
      <c r="C1338" s="84">
        <v>4307.2</v>
      </c>
      <c r="D1338" s="61">
        <v>598.9</v>
      </c>
      <c r="E1338" s="61">
        <v>37.4</v>
      </c>
      <c r="F1338" s="61">
        <v>76.099999999999994</v>
      </c>
      <c r="G1338" s="61">
        <v>37.700000000000003</v>
      </c>
      <c r="H1338" s="61">
        <v>32.200000000000003</v>
      </c>
      <c r="I1338" s="61">
        <v>27.1</v>
      </c>
      <c r="J1338" s="61">
        <v>33.9</v>
      </c>
      <c r="K1338" s="61">
        <v>8.6</v>
      </c>
      <c r="L1338" s="61">
        <v>56.6</v>
      </c>
      <c r="M1338" s="61">
        <v>52.8</v>
      </c>
      <c r="N1338" s="61">
        <v>79.5</v>
      </c>
      <c r="O1338" s="85">
        <v>39.299999999999997</v>
      </c>
      <c r="P1338" s="105"/>
      <c r="Q1338" s="87">
        <f t="shared" si="123"/>
        <v>-5.7957870326991881E-3</v>
      </c>
      <c r="R1338" s="87">
        <f t="shared" si="126"/>
        <v>-6.3182222983411106E-3</v>
      </c>
      <c r="S1338" s="87">
        <f t="shared" si="126"/>
        <v>-6.324921218581794E-3</v>
      </c>
      <c r="T1338" s="87">
        <f t="shared" si="126"/>
        <v>-1.3280407667894378E-2</v>
      </c>
      <c r="U1338" s="87">
        <f t="shared" si="126"/>
        <v>7.9156086126609976E-3</v>
      </c>
      <c r="V1338" s="87">
        <f t="shared" si="126"/>
        <v>0</v>
      </c>
      <c r="W1338" s="87">
        <f t="shared" si="126"/>
        <v>-1.5408625352845068E-2</v>
      </c>
      <c r="X1338" s="87">
        <f t="shared" si="126"/>
        <v>-1.1009285508369255E-2</v>
      </c>
      <c r="Y1338" s="87">
        <f t="shared" si="126"/>
        <v>-1.7544309650909508E-2</v>
      </c>
      <c r="Z1338" s="87">
        <f t="shared" si="126"/>
        <v>3.5506688456909602E-2</v>
      </c>
      <c r="AA1338" s="87">
        <f t="shared" si="126"/>
        <v>-7.0422826254129232E-3</v>
      </c>
      <c r="AB1338" s="87">
        <f t="shared" si="126"/>
        <v>-3.7807228399060443E-3</v>
      </c>
      <c r="AC1338" s="87">
        <f t="shared" si="126"/>
        <v>-8.7664932121826623E-3</v>
      </c>
      <c r="AD1338" s="87">
        <f t="shared" si="127"/>
        <v>2.5477720787985617E-3</v>
      </c>
      <c r="AE1338" s="90">
        <f t="shared" si="124"/>
        <v>-1.1725311319409108E-3</v>
      </c>
    </row>
    <row r="1339" spans="1:31" ht="15.5" x14ac:dyDescent="0.35">
      <c r="A1339" s="82">
        <v>41710</v>
      </c>
      <c r="B1339" s="83">
        <v>10419</v>
      </c>
      <c r="C1339" s="84">
        <v>4323.3</v>
      </c>
      <c r="D1339" s="61">
        <v>592.70000000000005</v>
      </c>
      <c r="E1339" s="61">
        <v>36.5</v>
      </c>
      <c r="F1339" s="61">
        <v>76</v>
      </c>
      <c r="G1339" s="61">
        <v>37.799999999999997</v>
      </c>
      <c r="H1339" s="61">
        <v>31.9</v>
      </c>
      <c r="I1339" s="61">
        <v>26.8</v>
      </c>
      <c r="J1339" s="61">
        <v>33.700000000000003</v>
      </c>
      <c r="K1339" s="61">
        <v>8.6999999999999993</v>
      </c>
      <c r="L1339" s="61">
        <v>56.3</v>
      </c>
      <c r="M1339" s="61">
        <v>52.2</v>
      </c>
      <c r="N1339" s="61">
        <v>79.8</v>
      </c>
      <c r="O1339" s="85">
        <v>39</v>
      </c>
      <c r="P1339" s="105"/>
      <c r="Q1339" s="87">
        <f t="shared" si="123"/>
        <v>-6.3325755548759995E-4</v>
      </c>
      <c r="R1339" s="87">
        <f t="shared" si="126"/>
        <v>3.7309585020716611E-3</v>
      </c>
      <c r="S1339" s="87">
        <f t="shared" si="126"/>
        <v>-1.0406270476624117E-2</v>
      </c>
      <c r="T1339" s="87">
        <f t="shared" si="126"/>
        <v>-2.4358443832040416E-2</v>
      </c>
      <c r="U1339" s="87">
        <f t="shared" si="126"/>
        <v>-1.3149245813090288E-3</v>
      </c>
      <c r="V1339" s="87">
        <f t="shared" si="126"/>
        <v>2.6490081715768625E-3</v>
      </c>
      <c r="W1339" s="87">
        <f t="shared" si="126"/>
        <v>-9.3604427595639205E-3</v>
      </c>
      <c r="X1339" s="87">
        <f t="shared" si="126"/>
        <v>-1.1131840368844294E-2</v>
      </c>
      <c r="Y1339" s="87">
        <f t="shared" si="126"/>
        <v>-5.9171770280883962E-3</v>
      </c>
      <c r="Z1339" s="87">
        <f t="shared" si="126"/>
        <v>1.1560822401076006E-2</v>
      </c>
      <c r="AA1339" s="87">
        <f t="shared" si="126"/>
        <v>-5.3144500634925897E-3</v>
      </c>
      <c r="AB1339" s="87">
        <f t="shared" si="126"/>
        <v>-1.1428695823622631E-2</v>
      </c>
      <c r="AC1339" s="87">
        <f t="shared" si="126"/>
        <v>3.7664827954768648E-3</v>
      </c>
      <c r="AD1339" s="87">
        <f t="shared" si="127"/>
        <v>-7.6628727455690252E-3</v>
      </c>
      <c r="AE1339" s="90">
        <f t="shared" si="124"/>
        <v>-3.2356324231321582E-3</v>
      </c>
    </row>
    <row r="1340" spans="1:31" ht="15.5" x14ac:dyDescent="0.35">
      <c r="A1340" s="82">
        <v>41711</v>
      </c>
      <c r="B1340" s="83">
        <v>10297.700000000001</v>
      </c>
      <c r="C1340" s="84">
        <v>4260.3999999999996</v>
      </c>
      <c r="D1340" s="61">
        <v>593</v>
      </c>
      <c r="E1340" s="61">
        <v>36.799999999999997</v>
      </c>
      <c r="F1340" s="61">
        <v>75.599999999999994</v>
      </c>
      <c r="G1340" s="61">
        <v>37.6</v>
      </c>
      <c r="H1340" s="61">
        <v>31.9</v>
      </c>
      <c r="I1340" s="61">
        <v>26.5</v>
      </c>
      <c r="J1340" s="61">
        <v>33.9</v>
      </c>
      <c r="K1340" s="61">
        <v>8.6999999999999993</v>
      </c>
      <c r="L1340" s="61">
        <v>55.7</v>
      </c>
      <c r="M1340" s="61">
        <v>51.7</v>
      </c>
      <c r="N1340" s="61">
        <v>80.2</v>
      </c>
      <c r="O1340" s="85">
        <v>39.200000000000003</v>
      </c>
      <c r="P1340" s="105"/>
      <c r="Q1340" s="87">
        <f t="shared" si="123"/>
        <v>-1.1710493100704216E-2</v>
      </c>
      <c r="R1340" s="87">
        <f t="shared" si="126"/>
        <v>-1.4655946943415134E-2</v>
      </c>
      <c r="S1340" s="87">
        <f t="shared" si="126"/>
        <v>5.0603020393288857E-4</v>
      </c>
      <c r="T1340" s="87">
        <f t="shared" si="126"/>
        <v>8.1855845864392818E-3</v>
      </c>
      <c r="U1340" s="87">
        <f t="shared" si="126"/>
        <v>-5.2770571008438931E-3</v>
      </c>
      <c r="V1340" s="87">
        <f t="shared" si="126"/>
        <v>-5.3050522296930061E-3</v>
      </c>
      <c r="W1340" s="87">
        <f t="shared" si="126"/>
        <v>0</v>
      </c>
      <c r="X1340" s="87">
        <f t="shared" si="126"/>
        <v>-1.1257154524634447E-2</v>
      </c>
      <c r="Y1340" s="87">
        <f t="shared" si="126"/>
        <v>5.9171770280885185E-3</v>
      </c>
      <c r="Z1340" s="87">
        <f t="shared" si="126"/>
        <v>0</v>
      </c>
      <c r="AA1340" s="87">
        <f t="shared" si="126"/>
        <v>-1.0714388212406258E-2</v>
      </c>
      <c r="AB1340" s="87">
        <f t="shared" si="126"/>
        <v>-9.6247133742095575E-3</v>
      </c>
      <c r="AC1340" s="87">
        <f t="shared" si="126"/>
        <v>5.0000104167058392E-3</v>
      </c>
      <c r="AD1340" s="87">
        <f t="shared" si="127"/>
        <v>5.1151006667704089E-3</v>
      </c>
      <c r="AE1340" s="90">
        <f t="shared" si="124"/>
        <v>-5.1321350514116695E-3</v>
      </c>
    </row>
    <row r="1341" spans="1:31" ht="15.5" x14ac:dyDescent="0.35">
      <c r="A1341" s="82">
        <v>41712</v>
      </c>
      <c r="B1341" s="83">
        <v>10285.1</v>
      </c>
      <c r="C1341" s="84">
        <v>4245.3999999999996</v>
      </c>
      <c r="D1341" s="61">
        <v>586.9</v>
      </c>
      <c r="E1341" s="61">
        <v>36.5</v>
      </c>
      <c r="F1341" s="61">
        <v>74.7</v>
      </c>
      <c r="G1341" s="61">
        <v>37.5</v>
      </c>
      <c r="H1341" s="61">
        <v>31.9</v>
      </c>
      <c r="I1341" s="61">
        <v>26.7</v>
      </c>
      <c r="J1341" s="61">
        <v>33.799999999999997</v>
      </c>
      <c r="K1341" s="61">
        <v>8.6</v>
      </c>
      <c r="L1341" s="61">
        <v>55.3</v>
      </c>
      <c r="M1341" s="61">
        <v>51.4</v>
      </c>
      <c r="N1341" s="61">
        <v>80.599999999999994</v>
      </c>
      <c r="O1341" s="85">
        <v>38.9</v>
      </c>
      <c r="P1341" s="105"/>
      <c r="Q1341" s="87">
        <f t="shared" si="123"/>
        <v>-1.2243233742655806E-3</v>
      </c>
      <c r="R1341" s="87">
        <f t="shared" ref="R1341:AC1360" si="128">+LN(C1341/C1340)</f>
        <v>-3.5270087586670496E-3</v>
      </c>
      <c r="S1341" s="87">
        <f t="shared" si="128"/>
        <v>-1.03399514334367E-2</v>
      </c>
      <c r="T1341" s="87">
        <f t="shared" si="128"/>
        <v>-8.1855845864392939E-3</v>
      </c>
      <c r="U1341" s="87">
        <f t="shared" si="128"/>
        <v>-1.1976191046715537E-2</v>
      </c>
      <c r="V1341" s="87">
        <f t="shared" si="128"/>
        <v>-2.6631174194837732E-3</v>
      </c>
      <c r="W1341" s="87">
        <f t="shared" si="128"/>
        <v>0</v>
      </c>
      <c r="X1341" s="87">
        <f t="shared" si="128"/>
        <v>7.518832414027319E-3</v>
      </c>
      <c r="Y1341" s="87">
        <f t="shared" si="128"/>
        <v>-2.9542118974315201E-3</v>
      </c>
      <c r="Z1341" s="87">
        <f t="shared" si="128"/>
        <v>-1.1560822401075971E-2</v>
      </c>
      <c r="AA1341" s="87">
        <f t="shared" si="128"/>
        <v>-7.2072384049492715E-3</v>
      </c>
      <c r="AB1341" s="87">
        <f t="shared" si="128"/>
        <v>-5.8196090532641534E-3</v>
      </c>
      <c r="AC1341" s="87">
        <f t="shared" si="128"/>
        <v>4.9751346401137077E-3</v>
      </c>
      <c r="AD1341" s="87">
        <f t="shared" si="127"/>
        <v>-7.6824961720163938E-3</v>
      </c>
      <c r="AE1341" s="90">
        <f t="shared" si="124"/>
        <v>-8.4426376366097747E-3</v>
      </c>
    </row>
    <row r="1342" spans="1:31" ht="15.5" x14ac:dyDescent="0.35">
      <c r="A1342" s="82">
        <v>41715</v>
      </c>
      <c r="B1342" s="83">
        <v>10377</v>
      </c>
      <c r="C1342" s="84">
        <v>4280</v>
      </c>
      <c r="D1342" s="61">
        <v>589.6</v>
      </c>
      <c r="E1342" s="61">
        <v>38.6</v>
      </c>
      <c r="F1342" s="61">
        <v>75.099999999999994</v>
      </c>
      <c r="G1342" s="61">
        <v>37.799999999999997</v>
      </c>
      <c r="H1342" s="61">
        <v>32.200000000000003</v>
      </c>
      <c r="I1342" s="61">
        <v>27.2</v>
      </c>
      <c r="J1342" s="61">
        <v>34.1</v>
      </c>
      <c r="K1342" s="61">
        <v>8.6999999999999993</v>
      </c>
      <c r="L1342" s="61">
        <v>56</v>
      </c>
      <c r="M1342" s="61">
        <v>51.7</v>
      </c>
      <c r="N1342" s="61">
        <v>80.7</v>
      </c>
      <c r="O1342" s="85">
        <v>39.299999999999997</v>
      </c>
      <c r="P1342" s="105"/>
      <c r="Q1342" s="87">
        <f t="shared" si="123"/>
        <v>8.8955726680644432E-3</v>
      </c>
      <c r="R1342" s="87">
        <f t="shared" si="128"/>
        <v>8.1169657654989753E-3</v>
      </c>
      <c r="S1342" s="87">
        <f t="shared" si="128"/>
        <v>4.589893310838057E-3</v>
      </c>
      <c r="T1342" s="87">
        <f t="shared" si="128"/>
        <v>5.5940015882339447E-2</v>
      </c>
      <c r="U1342" s="87">
        <f t="shared" si="128"/>
        <v>5.3404666313172835E-3</v>
      </c>
      <c r="V1342" s="87">
        <f t="shared" si="128"/>
        <v>7.9681696491768813E-3</v>
      </c>
      <c r="W1342" s="87">
        <f t="shared" si="128"/>
        <v>9.3604427595638928E-3</v>
      </c>
      <c r="X1342" s="87">
        <f t="shared" si="128"/>
        <v>1.8553407895747834E-2</v>
      </c>
      <c r="Y1342" s="87">
        <f t="shared" si="128"/>
        <v>8.8365818004981639E-3</v>
      </c>
      <c r="Z1342" s="87">
        <f t="shared" si="128"/>
        <v>1.1560822401076006E-2</v>
      </c>
      <c r="AA1342" s="87">
        <f t="shared" si="128"/>
        <v>1.2578782206860185E-2</v>
      </c>
      <c r="AB1342" s="87">
        <f t="shared" si="128"/>
        <v>5.8196090532640025E-3</v>
      </c>
      <c r="AC1342" s="87">
        <f t="shared" si="128"/>
        <v>1.2399257633205734E-3</v>
      </c>
      <c r="AD1342" s="87">
        <f t="shared" si="127"/>
        <v>1.0230268250814823E-2</v>
      </c>
      <c r="AE1342" s="90">
        <f t="shared" si="124"/>
        <v>6.5473238133494233E-3</v>
      </c>
    </row>
    <row r="1343" spans="1:31" ht="15.5" x14ac:dyDescent="0.35">
      <c r="A1343" s="82">
        <v>41716</v>
      </c>
      <c r="B1343" s="83">
        <v>10441.5</v>
      </c>
      <c r="C1343" s="84">
        <v>4333.3</v>
      </c>
      <c r="D1343" s="61">
        <v>597.1</v>
      </c>
      <c r="E1343" s="61">
        <v>38.799999999999997</v>
      </c>
      <c r="F1343" s="61">
        <v>75</v>
      </c>
      <c r="G1343" s="61">
        <v>38.200000000000003</v>
      </c>
      <c r="H1343" s="61">
        <v>32.299999999999997</v>
      </c>
      <c r="I1343" s="61">
        <v>27.3</v>
      </c>
      <c r="J1343" s="61">
        <v>34.200000000000003</v>
      </c>
      <c r="K1343" s="61">
        <v>8.3000000000000007</v>
      </c>
      <c r="L1343" s="61">
        <v>56.2</v>
      </c>
      <c r="M1343" s="61">
        <v>51.8</v>
      </c>
      <c r="N1343" s="61">
        <v>81.099999999999994</v>
      </c>
      <c r="O1343" s="85">
        <v>39.5</v>
      </c>
      <c r="P1343" s="105"/>
      <c r="Q1343" s="87">
        <f t="shared" si="123"/>
        <v>6.1964316715523542E-3</v>
      </c>
      <c r="R1343" s="87">
        <f t="shared" si="128"/>
        <v>1.2376366862443373E-2</v>
      </c>
      <c r="S1343" s="87">
        <f t="shared" si="128"/>
        <v>1.2640262677819874E-2</v>
      </c>
      <c r="T1343" s="87">
        <f t="shared" si="128"/>
        <v>5.1679701584423773E-3</v>
      </c>
      <c r="U1343" s="87">
        <f t="shared" si="128"/>
        <v>-1.3324452337784896E-3</v>
      </c>
      <c r="V1343" s="87">
        <f t="shared" si="128"/>
        <v>1.0526412986987603E-2</v>
      </c>
      <c r="W1343" s="87">
        <f t="shared" si="128"/>
        <v>3.1007776782479642E-3</v>
      </c>
      <c r="X1343" s="87">
        <f t="shared" si="128"/>
        <v>3.6697288889624017E-3</v>
      </c>
      <c r="Y1343" s="87">
        <f t="shared" si="128"/>
        <v>2.9282597790883597E-3</v>
      </c>
      <c r="Z1343" s="87">
        <f t="shared" si="128"/>
        <v>-4.706751085798562E-2</v>
      </c>
      <c r="AA1343" s="87">
        <f t="shared" si="128"/>
        <v>3.5650661644961446E-3</v>
      </c>
      <c r="AB1343" s="87">
        <f t="shared" si="128"/>
        <v>1.9323677510538603E-3</v>
      </c>
      <c r="AC1343" s="87">
        <f t="shared" si="128"/>
        <v>4.9443858454640659E-3</v>
      </c>
      <c r="AD1343" s="87">
        <f t="shared" si="127"/>
        <v>5.0761530318607891E-3</v>
      </c>
      <c r="AE1343" s="90">
        <f t="shared" si="124"/>
        <v>7.6464149685492909E-3</v>
      </c>
    </row>
    <row r="1344" spans="1:31" ht="15.5" x14ac:dyDescent="0.35">
      <c r="A1344" s="82">
        <v>41717</v>
      </c>
      <c r="B1344" s="83">
        <v>10359.5</v>
      </c>
      <c r="C1344" s="84">
        <v>4307.6000000000004</v>
      </c>
      <c r="D1344" s="61">
        <v>597.79999999999995</v>
      </c>
      <c r="E1344" s="61">
        <v>38.5</v>
      </c>
      <c r="F1344" s="61">
        <v>75.599999999999994</v>
      </c>
      <c r="G1344" s="61">
        <v>38.9</v>
      </c>
      <c r="H1344" s="61">
        <v>32.5</v>
      </c>
      <c r="I1344" s="61">
        <v>27.2</v>
      </c>
      <c r="J1344" s="61">
        <v>34.299999999999997</v>
      </c>
      <c r="K1344" s="61">
        <v>8.1</v>
      </c>
      <c r="L1344" s="61">
        <v>55.6</v>
      </c>
      <c r="M1344" s="61">
        <v>52.3</v>
      </c>
      <c r="N1344" s="61">
        <v>81.599999999999994</v>
      </c>
      <c r="O1344" s="85">
        <v>39.299999999999997</v>
      </c>
      <c r="P1344" s="105"/>
      <c r="Q1344" s="87">
        <f t="shared" si="123"/>
        <v>-7.8842771762935807E-3</v>
      </c>
      <c r="R1344" s="87">
        <f t="shared" si="128"/>
        <v>-5.948471983559897E-3</v>
      </c>
      <c r="S1344" s="87">
        <f t="shared" si="128"/>
        <v>1.171646296890536E-3</v>
      </c>
      <c r="T1344" s="87">
        <f t="shared" si="128"/>
        <v>-7.7620053354891892E-3</v>
      </c>
      <c r="U1344" s="87">
        <f t="shared" si="128"/>
        <v>7.9681696491768813E-3</v>
      </c>
      <c r="V1344" s="87">
        <f t="shared" si="128"/>
        <v>1.8158735011871048E-2</v>
      </c>
      <c r="W1344" s="87">
        <f t="shared" si="128"/>
        <v>6.1728591070810161E-3</v>
      </c>
      <c r="X1344" s="87">
        <f t="shared" si="128"/>
        <v>-3.6697288889625131E-3</v>
      </c>
      <c r="Y1344" s="87">
        <f t="shared" si="128"/>
        <v>2.9197101033346246E-3</v>
      </c>
      <c r="Z1344" s="87">
        <f t="shared" si="128"/>
        <v>-2.4391453124159239E-2</v>
      </c>
      <c r="AA1344" s="87">
        <f t="shared" si="128"/>
        <v>-1.0733555643108777E-2</v>
      </c>
      <c r="AB1344" s="87">
        <f t="shared" si="128"/>
        <v>9.6062218054399334E-3</v>
      </c>
      <c r="AC1344" s="87">
        <f t="shared" si="128"/>
        <v>6.1463008486940043E-3</v>
      </c>
      <c r="AD1344" s="87">
        <f t="shared" si="127"/>
        <v>-5.0761530318606607E-3</v>
      </c>
      <c r="AE1344" s="90">
        <f t="shared" si="124"/>
        <v>2.2138301992101299E-4</v>
      </c>
    </row>
    <row r="1345" spans="1:31" ht="15.5" x14ac:dyDescent="0.35">
      <c r="A1345" s="82">
        <v>41718</v>
      </c>
      <c r="B1345" s="83">
        <v>10400.700000000001</v>
      </c>
      <c r="C1345" s="84">
        <v>4319.3</v>
      </c>
      <c r="D1345" s="61">
        <v>598.29999999999995</v>
      </c>
      <c r="E1345" s="61">
        <v>37.4</v>
      </c>
      <c r="F1345" s="61">
        <v>75.3</v>
      </c>
      <c r="G1345" s="61">
        <v>39.200000000000003</v>
      </c>
      <c r="H1345" s="61">
        <v>32.5</v>
      </c>
      <c r="I1345" s="61">
        <v>26.9</v>
      </c>
      <c r="J1345" s="61">
        <v>34.200000000000003</v>
      </c>
      <c r="K1345" s="61">
        <v>8.1</v>
      </c>
      <c r="L1345" s="61">
        <v>55.3</v>
      </c>
      <c r="M1345" s="61">
        <v>53</v>
      </c>
      <c r="N1345" s="61">
        <v>81.400000000000006</v>
      </c>
      <c r="O1345" s="85">
        <v>38.9</v>
      </c>
      <c r="P1345" s="105"/>
      <c r="Q1345" s="87">
        <f t="shared" si="123"/>
        <v>3.9691384561735456E-3</v>
      </c>
      <c r="R1345" s="87">
        <f t="shared" si="128"/>
        <v>2.7124476169739994E-3</v>
      </c>
      <c r="S1345" s="87">
        <f t="shared" si="128"/>
        <v>8.3605054614851939E-4</v>
      </c>
      <c r="T1345" s="87">
        <f t="shared" si="128"/>
        <v>-2.8987536873252298E-2</v>
      </c>
      <c r="U1345" s="87">
        <f t="shared" si="128"/>
        <v>-3.9761483796394064E-3</v>
      </c>
      <c r="V1345" s="87">
        <f t="shared" si="128"/>
        <v>7.6824961720164311E-3</v>
      </c>
      <c r="W1345" s="87">
        <f t="shared" si="128"/>
        <v>0</v>
      </c>
      <c r="X1345" s="87">
        <f t="shared" si="128"/>
        <v>-1.1090686694158284E-2</v>
      </c>
      <c r="Y1345" s="87">
        <f t="shared" si="128"/>
        <v>-2.9197101033346393E-3</v>
      </c>
      <c r="Z1345" s="87">
        <f t="shared" si="128"/>
        <v>0</v>
      </c>
      <c r="AA1345" s="87">
        <f t="shared" si="128"/>
        <v>-5.4102927282476546E-3</v>
      </c>
      <c r="AB1345" s="87">
        <f t="shared" si="128"/>
        <v>1.329554248124472E-2</v>
      </c>
      <c r="AC1345" s="87">
        <f t="shared" si="128"/>
        <v>-2.4539889615665914E-3</v>
      </c>
      <c r="AD1345" s="87">
        <f t="shared" si="127"/>
        <v>-1.0230268250814922E-2</v>
      </c>
      <c r="AE1345" s="90">
        <f t="shared" si="124"/>
        <v>-1.3225888835479485E-3</v>
      </c>
    </row>
    <row r="1346" spans="1:31" ht="15.5" x14ac:dyDescent="0.35">
      <c r="A1346" s="82">
        <v>41719</v>
      </c>
      <c r="B1346" s="83">
        <v>10392.200000000001</v>
      </c>
      <c r="C1346" s="84">
        <v>4276.8</v>
      </c>
      <c r="D1346" s="61">
        <v>591.79999999999995</v>
      </c>
      <c r="E1346" s="61">
        <v>37.700000000000003</v>
      </c>
      <c r="F1346" s="61">
        <v>75.2</v>
      </c>
      <c r="G1346" s="61">
        <v>40</v>
      </c>
      <c r="H1346" s="61">
        <v>33.4</v>
      </c>
      <c r="I1346" s="61">
        <v>26.9</v>
      </c>
      <c r="J1346" s="61">
        <v>34.200000000000003</v>
      </c>
      <c r="K1346" s="61">
        <v>8.3000000000000007</v>
      </c>
      <c r="L1346" s="61">
        <v>54.6</v>
      </c>
      <c r="M1346" s="61">
        <v>53.4</v>
      </c>
      <c r="N1346" s="61">
        <v>82</v>
      </c>
      <c r="O1346" s="85">
        <v>37.5</v>
      </c>
      <c r="P1346" s="105"/>
      <c r="Q1346" s="87">
        <f t="shared" si="123"/>
        <v>-8.1758681795071056E-4</v>
      </c>
      <c r="R1346" s="87">
        <f t="shared" si="128"/>
        <v>-9.8882856870454328E-3</v>
      </c>
      <c r="S1346" s="87">
        <f t="shared" si="128"/>
        <v>-1.0923560429876782E-2</v>
      </c>
      <c r="T1346" s="87">
        <f t="shared" si="128"/>
        <v>7.989390033478861E-3</v>
      </c>
      <c r="U1346" s="87">
        <f t="shared" si="128"/>
        <v>-1.3289038500536407E-3</v>
      </c>
      <c r="V1346" s="87">
        <f t="shared" si="128"/>
        <v>2.0202707317519469E-2</v>
      </c>
      <c r="W1346" s="87">
        <f t="shared" si="128"/>
        <v>2.7315810646962924E-2</v>
      </c>
      <c r="X1346" s="87">
        <f t="shared" si="128"/>
        <v>0</v>
      </c>
      <c r="Y1346" s="87">
        <f t="shared" si="128"/>
        <v>0</v>
      </c>
      <c r="Z1346" s="87">
        <f t="shared" si="128"/>
        <v>2.4391453124159263E-2</v>
      </c>
      <c r="AA1346" s="87">
        <f t="shared" si="128"/>
        <v>-1.2739025777429714E-2</v>
      </c>
      <c r="AB1346" s="87">
        <f t="shared" si="128"/>
        <v>7.518832414027319E-3</v>
      </c>
      <c r="AC1346" s="87">
        <f t="shared" si="128"/>
        <v>7.3439742557585052E-3</v>
      </c>
      <c r="AD1346" s="87">
        <f t="shared" si="127"/>
        <v>-3.6653317648035387E-2</v>
      </c>
      <c r="AE1346" s="90">
        <f t="shared" si="124"/>
        <v>-1.099715950826859E-2</v>
      </c>
    </row>
    <row r="1347" spans="1:31" ht="15.5" x14ac:dyDescent="0.35">
      <c r="A1347" s="82">
        <v>41722</v>
      </c>
      <c r="B1347" s="83">
        <v>10362.1</v>
      </c>
      <c r="C1347" s="84">
        <v>4226.3999999999996</v>
      </c>
      <c r="D1347" s="61">
        <v>573.6</v>
      </c>
      <c r="E1347" s="61">
        <v>36.299999999999997</v>
      </c>
      <c r="F1347" s="61">
        <v>76.400000000000006</v>
      </c>
      <c r="G1347" s="61">
        <v>39.9</v>
      </c>
      <c r="H1347" s="61">
        <v>33</v>
      </c>
      <c r="I1347" s="61">
        <v>26.5</v>
      </c>
      <c r="J1347" s="61">
        <v>34.200000000000003</v>
      </c>
      <c r="K1347" s="61">
        <v>8.4</v>
      </c>
      <c r="L1347" s="61">
        <v>53.6</v>
      </c>
      <c r="M1347" s="61">
        <v>53.1</v>
      </c>
      <c r="N1347" s="61">
        <v>81.5</v>
      </c>
      <c r="O1347" s="85">
        <v>37.299999999999997</v>
      </c>
      <c r="P1347" s="105"/>
      <c r="Q1347" s="87">
        <f t="shared" si="123"/>
        <v>-2.9006057640002221E-3</v>
      </c>
      <c r="R1347" s="87">
        <f t="shared" si="128"/>
        <v>-1.1854499534548594E-2</v>
      </c>
      <c r="S1347" s="87">
        <f t="shared" si="128"/>
        <v>-3.1236450680698566E-2</v>
      </c>
      <c r="T1347" s="87">
        <f t="shared" si="128"/>
        <v>-3.7842353183160107E-2</v>
      </c>
      <c r="U1347" s="87">
        <f t="shared" si="128"/>
        <v>1.5831465216680662E-2</v>
      </c>
      <c r="V1347" s="87">
        <f t="shared" si="128"/>
        <v>-2.5031302181185884E-3</v>
      </c>
      <c r="W1347" s="87">
        <f t="shared" si="128"/>
        <v>-1.204833851617448E-2</v>
      </c>
      <c r="X1347" s="87">
        <f t="shared" si="128"/>
        <v>-1.4981553615616833E-2</v>
      </c>
      <c r="Y1347" s="87">
        <f t="shared" si="128"/>
        <v>0</v>
      </c>
      <c r="Z1347" s="87">
        <f t="shared" si="128"/>
        <v>1.197619104671562E-2</v>
      </c>
      <c r="AA1347" s="87">
        <f t="shared" si="128"/>
        <v>-1.8484814674103102E-2</v>
      </c>
      <c r="AB1347" s="87">
        <f t="shared" si="128"/>
        <v>-5.633817718255908E-3</v>
      </c>
      <c r="AC1347" s="87">
        <f t="shared" si="128"/>
        <v>-6.1162270174360944E-3</v>
      </c>
      <c r="AD1347" s="87">
        <f t="shared" si="127"/>
        <v>-5.3476063265953527E-3</v>
      </c>
      <c r="AE1347" s="90">
        <f t="shared" si="124"/>
        <v>-8.8214469840124446E-3</v>
      </c>
    </row>
    <row r="1348" spans="1:31" ht="15.5" x14ac:dyDescent="0.35">
      <c r="A1348" s="82">
        <v>41723</v>
      </c>
      <c r="B1348" s="83">
        <v>10417.1</v>
      </c>
      <c r="C1348" s="84">
        <v>4234.3</v>
      </c>
      <c r="D1348" s="61">
        <v>574.1</v>
      </c>
      <c r="E1348" s="61">
        <v>35.9</v>
      </c>
      <c r="F1348" s="61">
        <v>77.099999999999994</v>
      </c>
      <c r="G1348" s="61">
        <v>40</v>
      </c>
      <c r="H1348" s="61">
        <v>32.9</v>
      </c>
      <c r="I1348" s="61">
        <v>25.9</v>
      </c>
      <c r="J1348" s="61">
        <v>34.5</v>
      </c>
      <c r="K1348" s="61">
        <v>8.5</v>
      </c>
      <c r="L1348" s="61">
        <v>53.8</v>
      </c>
      <c r="M1348" s="61">
        <v>53.5</v>
      </c>
      <c r="N1348" s="61">
        <v>80.7</v>
      </c>
      <c r="O1348" s="85">
        <v>36.799999999999997</v>
      </c>
      <c r="P1348" s="105"/>
      <c r="Q1348" s="87">
        <f t="shared" si="123"/>
        <v>5.2937676564221341E-3</v>
      </c>
      <c r="R1348" s="87">
        <f t="shared" si="128"/>
        <v>1.8674583180758213E-3</v>
      </c>
      <c r="S1348" s="87">
        <f t="shared" si="128"/>
        <v>8.71307888180587E-4</v>
      </c>
      <c r="T1348" s="87">
        <f t="shared" si="128"/>
        <v>-1.1080445776571907E-2</v>
      </c>
      <c r="U1348" s="87">
        <f t="shared" si="128"/>
        <v>9.1205843968088559E-3</v>
      </c>
      <c r="V1348" s="87">
        <f t="shared" si="128"/>
        <v>2.5031302181184748E-3</v>
      </c>
      <c r="W1348" s="87">
        <f t="shared" si="128"/>
        <v>-3.034903695154047E-3</v>
      </c>
      <c r="X1348" s="87">
        <f t="shared" si="128"/>
        <v>-2.2901764286684567E-2</v>
      </c>
      <c r="Y1348" s="87">
        <f t="shared" si="128"/>
        <v>8.7336799687544112E-3</v>
      </c>
      <c r="Z1348" s="87">
        <f t="shared" si="128"/>
        <v>1.1834457647002798E-2</v>
      </c>
      <c r="AA1348" s="87">
        <f t="shared" si="128"/>
        <v>3.7243990909822727E-3</v>
      </c>
      <c r="AB1348" s="87">
        <f t="shared" si="128"/>
        <v>7.5047256540677924E-3</v>
      </c>
      <c r="AC1348" s="87">
        <f t="shared" si="128"/>
        <v>-9.8644449709138545E-3</v>
      </c>
      <c r="AD1348" s="87">
        <f t="shared" si="127"/>
        <v>-1.3495481474884621E-2</v>
      </c>
      <c r="AE1348" s="90">
        <f t="shared" si="124"/>
        <v>1.7824336589051981E-3</v>
      </c>
    </row>
    <row r="1349" spans="1:31" ht="15.5" x14ac:dyDescent="0.35">
      <c r="A1349" s="82">
        <v>41724</v>
      </c>
      <c r="B1349" s="83">
        <v>10359.4</v>
      </c>
      <c r="C1349" s="84">
        <v>4173.6000000000004</v>
      </c>
      <c r="D1349" s="61">
        <v>566.29999999999995</v>
      </c>
      <c r="E1349" s="61">
        <v>35.5</v>
      </c>
      <c r="F1349" s="61">
        <v>77</v>
      </c>
      <c r="G1349" s="61">
        <v>39.6</v>
      </c>
      <c r="H1349" s="61">
        <v>33.200000000000003</v>
      </c>
      <c r="I1349" s="61">
        <v>25.3</v>
      </c>
      <c r="J1349" s="61">
        <v>35.1</v>
      </c>
      <c r="K1349" s="61">
        <v>8.6</v>
      </c>
      <c r="L1349" s="61">
        <v>55.4</v>
      </c>
      <c r="M1349" s="61">
        <v>53.5</v>
      </c>
      <c r="N1349" s="61">
        <v>82</v>
      </c>
      <c r="O1349" s="85">
        <v>36.6</v>
      </c>
      <c r="P1349" s="105"/>
      <c r="Q1349" s="87">
        <f t="shared" si="123"/>
        <v>-5.5543665527646412E-3</v>
      </c>
      <c r="R1349" s="87">
        <f t="shared" si="128"/>
        <v>-1.443905245999887E-2</v>
      </c>
      <c r="S1349" s="87">
        <f t="shared" si="128"/>
        <v>-1.3679624053831923E-2</v>
      </c>
      <c r="T1349" s="87">
        <f t="shared" si="128"/>
        <v>-1.1204599012863019E-2</v>
      </c>
      <c r="U1349" s="87">
        <f t="shared" si="128"/>
        <v>-1.2978587155998407E-3</v>
      </c>
      <c r="V1349" s="87">
        <f t="shared" si="128"/>
        <v>-1.0050335853501451E-2</v>
      </c>
      <c r="W1349" s="87">
        <f t="shared" si="128"/>
        <v>9.0772181511166797E-3</v>
      </c>
      <c r="X1349" s="87">
        <f t="shared" si="128"/>
        <v>-2.3438572972017468E-2</v>
      </c>
      <c r="Y1349" s="87">
        <f t="shared" si="128"/>
        <v>1.7241806434506173E-2</v>
      </c>
      <c r="Z1349" s="87">
        <f t="shared" si="128"/>
        <v>1.1696039763191236E-2</v>
      </c>
      <c r="AA1349" s="87">
        <f t="shared" si="128"/>
        <v>2.9306126585499487E-2</v>
      </c>
      <c r="AB1349" s="87">
        <f t="shared" si="128"/>
        <v>0</v>
      </c>
      <c r="AC1349" s="87">
        <f t="shared" si="128"/>
        <v>1.5980671988349869E-2</v>
      </c>
      <c r="AD1349" s="87">
        <f t="shared" si="127"/>
        <v>-5.4496047675645911E-3</v>
      </c>
      <c r="AE1349" s="90">
        <f t="shared" si="124"/>
        <v>-9.3664885038620676E-3</v>
      </c>
    </row>
    <row r="1350" spans="1:31" ht="15.5" x14ac:dyDescent="0.35">
      <c r="A1350" s="82">
        <v>41725</v>
      </c>
      <c r="B1350" s="83">
        <v>10373.4</v>
      </c>
      <c r="C1350" s="84">
        <v>4151.2</v>
      </c>
      <c r="D1350" s="61">
        <v>551.6</v>
      </c>
      <c r="E1350" s="61">
        <v>35.1</v>
      </c>
      <c r="F1350" s="61">
        <v>76.5</v>
      </c>
      <c r="G1350" s="61">
        <v>39.299999999999997</v>
      </c>
      <c r="H1350" s="61">
        <v>32.200000000000003</v>
      </c>
      <c r="I1350" s="61">
        <v>25</v>
      </c>
      <c r="J1350" s="61">
        <v>35</v>
      </c>
      <c r="K1350" s="61">
        <v>8.8000000000000007</v>
      </c>
      <c r="L1350" s="61">
        <v>55.3</v>
      </c>
      <c r="M1350" s="61">
        <v>52.2</v>
      </c>
      <c r="N1350" s="61">
        <v>81.5</v>
      </c>
      <c r="O1350" s="85">
        <v>36.5</v>
      </c>
      <c r="P1350" s="105"/>
      <c r="Q1350" s="87">
        <f t="shared" si="123"/>
        <v>1.3505172603681405E-3</v>
      </c>
      <c r="R1350" s="87">
        <f t="shared" si="128"/>
        <v>-5.3815236546532474E-3</v>
      </c>
      <c r="S1350" s="87">
        <f t="shared" si="128"/>
        <v>-2.630082720061246E-2</v>
      </c>
      <c r="T1350" s="87">
        <f t="shared" si="128"/>
        <v>-1.133156600954997E-2</v>
      </c>
      <c r="U1350" s="87">
        <f t="shared" si="128"/>
        <v>-6.5146810211936419E-3</v>
      </c>
      <c r="V1350" s="87">
        <f t="shared" si="128"/>
        <v>-7.6045993852194155E-3</v>
      </c>
      <c r="W1350" s="87">
        <f t="shared" si="128"/>
        <v>-3.0583423372080278E-2</v>
      </c>
      <c r="X1350" s="87">
        <f t="shared" si="128"/>
        <v>-1.1928570865273845E-2</v>
      </c>
      <c r="Y1350" s="87">
        <f t="shared" si="128"/>
        <v>-2.8530689824065106E-3</v>
      </c>
      <c r="Z1350" s="87">
        <f t="shared" si="128"/>
        <v>2.2989518224698781E-2</v>
      </c>
      <c r="AA1350" s="87">
        <f t="shared" si="128"/>
        <v>-1.8066852249490357E-3</v>
      </c>
      <c r="AB1350" s="87">
        <f t="shared" si="128"/>
        <v>-2.4599159013367785E-2</v>
      </c>
      <c r="AC1350" s="87">
        <f t="shared" si="128"/>
        <v>-6.1162270174360944E-3</v>
      </c>
      <c r="AD1350" s="87">
        <f t="shared" si="127"/>
        <v>-2.7359798188747488E-3</v>
      </c>
      <c r="AE1350" s="90">
        <f t="shared" si="124"/>
        <v>-1.1508402052682193E-2</v>
      </c>
    </row>
    <row r="1351" spans="1:31" ht="15.5" x14ac:dyDescent="0.35">
      <c r="A1351" s="82">
        <v>41726</v>
      </c>
      <c r="B1351" s="83">
        <v>10434.9</v>
      </c>
      <c r="C1351" s="84">
        <v>4155.8</v>
      </c>
      <c r="D1351" s="61">
        <v>559.4</v>
      </c>
      <c r="E1351" s="61">
        <v>35.5</v>
      </c>
      <c r="F1351" s="61">
        <v>76.3</v>
      </c>
      <c r="G1351" s="61">
        <v>39.700000000000003</v>
      </c>
      <c r="H1351" s="61">
        <v>32.4</v>
      </c>
      <c r="I1351" s="61">
        <v>25.5</v>
      </c>
      <c r="J1351" s="61">
        <v>35.299999999999997</v>
      </c>
      <c r="K1351" s="61">
        <v>8.6</v>
      </c>
      <c r="L1351" s="61">
        <v>55.8</v>
      </c>
      <c r="M1351" s="61">
        <v>52.1</v>
      </c>
      <c r="N1351" s="61">
        <v>81.900000000000006</v>
      </c>
      <c r="O1351" s="85">
        <v>36.6</v>
      </c>
      <c r="P1351" s="105"/>
      <c r="Q1351" s="87">
        <f t="shared" si="123"/>
        <v>5.9111199929126491E-3</v>
      </c>
      <c r="R1351" s="87">
        <f t="shared" si="128"/>
        <v>1.1074998122500286E-3</v>
      </c>
      <c r="S1351" s="87">
        <f t="shared" si="128"/>
        <v>1.4041634848712608E-2</v>
      </c>
      <c r="T1351" s="87">
        <f t="shared" si="128"/>
        <v>1.1331566009550018E-2</v>
      </c>
      <c r="U1351" s="87">
        <f t="shared" si="128"/>
        <v>-2.617802542078823E-3</v>
      </c>
      <c r="V1351" s="87">
        <f t="shared" si="128"/>
        <v>1.0126668817929268E-2</v>
      </c>
      <c r="W1351" s="87">
        <f t="shared" si="128"/>
        <v>6.1919702479209804E-3</v>
      </c>
      <c r="X1351" s="87">
        <f t="shared" si="128"/>
        <v>1.980262729617973E-2</v>
      </c>
      <c r="Y1351" s="87">
        <f t="shared" si="128"/>
        <v>8.5349024498372859E-3</v>
      </c>
      <c r="Z1351" s="87">
        <f t="shared" si="128"/>
        <v>-2.2989518224698833E-2</v>
      </c>
      <c r="AA1351" s="87">
        <f t="shared" si="128"/>
        <v>9.0009608589761234E-3</v>
      </c>
      <c r="AB1351" s="87">
        <f t="shared" si="128"/>
        <v>-1.9175461292718174E-3</v>
      </c>
      <c r="AC1351" s="87">
        <f t="shared" si="128"/>
        <v>4.8959706122066867E-3</v>
      </c>
      <c r="AD1351" s="87">
        <f t="shared" si="127"/>
        <v>2.7359798188748455E-3</v>
      </c>
      <c r="AE1351" s="90">
        <f t="shared" si="124"/>
        <v>4.0268830939713431E-3</v>
      </c>
    </row>
    <row r="1352" spans="1:31" ht="15.5" x14ac:dyDescent="0.35">
      <c r="A1352" s="82">
        <v>41729</v>
      </c>
      <c r="B1352" s="83">
        <v>10527.8</v>
      </c>
      <c r="C1352" s="84">
        <v>4199</v>
      </c>
      <c r="D1352" s="61">
        <v>557</v>
      </c>
      <c r="E1352" s="61">
        <v>35.700000000000003</v>
      </c>
      <c r="F1352" s="61">
        <v>76.599999999999994</v>
      </c>
      <c r="G1352" s="61">
        <v>40.4</v>
      </c>
      <c r="H1352" s="61">
        <v>32.6</v>
      </c>
      <c r="I1352" s="61">
        <v>26</v>
      </c>
      <c r="J1352" s="61">
        <v>35.6</v>
      </c>
      <c r="K1352" s="61">
        <v>8.4</v>
      </c>
      <c r="L1352" s="61">
        <v>56</v>
      </c>
      <c r="M1352" s="61">
        <v>52.7</v>
      </c>
      <c r="N1352" s="61">
        <v>82.3</v>
      </c>
      <c r="O1352" s="85">
        <v>36.700000000000003</v>
      </c>
      <c r="P1352" s="105"/>
      <c r="Q1352" s="87">
        <f t="shared" si="123"/>
        <v>8.863420092469685E-3</v>
      </c>
      <c r="R1352" s="87">
        <f t="shared" si="128"/>
        <v>1.0341452818413461E-2</v>
      </c>
      <c r="S1352" s="87">
        <f t="shared" si="128"/>
        <v>-4.299540840575336E-3</v>
      </c>
      <c r="T1352" s="87">
        <f t="shared" si="128"/>
        <v>5.6179923042232738E-3</v>
      </c>
      <c r="U1352" s="87">
        <f t="shared" si="128"/>
        <v>3.9241384561343653E-3</v>
      </c>
      <c r="V1352" s="87">
        <f t="shared" si="128"/>
        <v>1.7478597273959545E-2</v>
      </c>
      <c r="W1352" s="87">
        <f t="shared" si="128"/>
        <v>6.1538655743782859E-3</v>
      </c>
      <c r="X1352" s="87">
        <f t="shared" si="128"/>
        <v>1.9418085857101516E-2</v>
      </c>
      <c r="Y1352" s="87">
        <f t="shared" si="128"/>
        <v>8.4626739187337284E-3</v>
      </c>
      <c r="Z1352" s="87">
        <f t="shared" si="128"/>
        <v>-2.3530497410194046E-2</v>
      </c>
      <c r="AA1352" s="87">
        <f t="shared" si="128"/>
        <v>3.5778213478841235E-3</v>
      </c>
      <c r="AB1352" s="87">
        <f t="shared" si="128"/>
        <v>1.1450506787995505E-2</v>
      </c>
      <c r="AC1352" s="87">
        <f t="shared" si="128"/>
        <v>4.8721168240003707E-3</v>
      </c>
      <c r="AD1352" s="87">
        <f t="shared" si="127"/>
        <v>2.7285146532041358E-3</v>
      </c>
      <c r="AE1352" s="90">
        <f t="shared" si="124"/>
        <v>3.2947929113854198E-3</v>
      </c>
    </row>
    <row r="1353" spans="1:31" ht="15.5" x14ac:dyDescent="0.35">
      <c r="A1353" s="82">
        <v>41730</v>
      </c>
      <c r="B1353" s="83">
        <v>10584.3</v>
      </c>
      <c r="C1353" s="84">
        <v>4268</v>
      </c>
      <c r="D1353" s="61">
        <v>559.6</v>
      </c>
      <c r="E1353" s="61">
        <v>36.200000000000003</v>
      </c>
      <c r="F1353" s="61">
        <v>76.7</v>
      </c>
      <c r="G1353" s="61">
        <v>41.1</v>
      </c>
      <c r="H1353" s="61">
        <v>33.9</v>
      </c>
      <c r="I1353" s="61">
        <v>26.3</v>
      </c>
      <c r="J1353" s="61">
        <v>35</v>
      </c>
      <c r="K1353" s="61">
        <v>8.6</v>
      </c>
      <c r="L1353" s="61">
        <v>56</v>
      </c>
      <c r="M1353" s="61">
        <v>53.2</v>
      </c>
      <c r="N1353" s="61">
        <v>83.2</v>
      </c>
      <c r="O1353" s="85">
        <v>37</v>
      </c>
      <c r="P1353" s="105"/>
      <c r="Q1353" s="87">
        <f t="shared" si="123"/>
        <v>5.3523936401231979E-3</v>
      </c>
      <c r="R1353" s="87">
        <f t="shared" si="128"/>
        <v>1.6298931737450777E-2</v>
      </c>
      <c r="S1353" s="87">
        <f t="shared" si="128"/>
        <v>4.6570028640421368E-3</v>
      </c>
      <c r="T1353" s="87">
        <f t="shared" si="128"/>
        <v>1.3908430046131931E-2</v>
      </c>
      <c r="U1353" s="87">
        <f t="shared" si="128"/>
        <v>1.3046316266649492E-3</v>
      </c>
      <c r="V1353" s="87">
        <f t="shared" si="128"/>
        <v>1.7178336535084552E-2</v>
      </c>
      <c r="W1353" s="87">
        <f t="shared" si="128"/>
        <v>3.9102726013742609E-2</v>
      </c>
      <c r="X1353" s="87">
        <f t="shared" si="128"/>
        <v>1.1472401162236781E-2</v>
      </c>
      <c r="Y1353" s="87">
        <f t="shared" si="128"/>
        <v>-1.6997576368571136E-2</v>
      </c>
      <c r="Z1353" s="87">
        <f t="shared" si="128"/>
        <v>2.3530497410194036E-2</v>
      </c>
      <c r="AA1353" s="87">
        <f t="shared" si="128"/>
        <v>0</v>
      </c>
      <c r="AB1353" s="87">
        <f t="shared" si="128"/>
        <v>9.4429408002820875E-3</v>
      </c>
      <c r="AC1353" s="87">
        <f t="shared" si="128"/>
        <v>1.0876240144138953E-2</v>
      </c>
      <c r="AD1353" s="87">
        <f t="shared" si="127"/>
        <v>8.1411575836998658E-3</v>
      </c>
      <c r="AE1353" s="90">
        <f t="shared" si="124"/>
        <v>7.6115730806106622E-3</v>
      </c>
    </row>
    <row r="1354" spans="1:31" ht="15.5" x14ac:dyDescent="0.35">
      <c r="A1354" s="82">
        <v>41731</v>
      </c>
      <c r="B1354" s="83">
        <v>10616.9</v>
      </c>
      <c r="C1354" s="84">
        <v>4276.5</v>
      </c>
      <c r="D1354" s="61">
        <v>562.6</v>
      </c>
      <c r="E1354" s="61">
        <v>36.6</v>
      </c>
      <c r="F1354" s="61">
        <v>77.2</v>
      </c>
      <c r="G1354" s="61">
        <v>41.2</v>
      </c>
      <c r="H1354" s="61">
        <v>31.6</v>
      </c>
      <c r="I1354" s="61">
        <v>26.5</v>
      </c>
      <c r="J1354" s="61">
        <v>34.5</v>
      </c>
      <c r="K1354" s="61">
        <v>8.9</v>
      </c>
      <c r="L1354" s="61">
        <v>56.1</v>
      </c>
      <c r="M1354" s="61">
        <v>53.3</v>
      </c>
      <c r="N1354" s="61">
        <v>84.2</v>
      </c>
      <c r="O1354" s="85">
        <v>37.200000000000003</v>
      </c>
      <c r="P1354" s="105"/>
      <c r="Q1354" s="87">
        <f t="shared" si="123"/>
        <v>3.0753000483737972E-3</v>
      </c>
      <c r="R1354" s="87">
        <f t="shared" si="128"/>
        <v>1.9895845991924027E-3</v>
      </c>
      <c r="S1354" s="87">
        <f t="shared" si="128"/>
        <v>5.3466532644304661E-3</v>
      </c>
      <c r="T1354" s="87">
        <f t="shared" si="128"/>
        <v>1.0989121575595165E-2</v>
      </c>
      <c r="U1354" s="87">
        <f t="shared" si="128"/>
        <v>6.4977486575199502E-3</v>
      </c>
      <c r="V1354" s="87">
        <f t="shared" si="128"/>
        <v>2.4301348532918907E-3</v>
      </c>
      <c r="W1354" s="87">
        <f t="shared" si="128"/>
        <v>-7.0257893793538098E-2</v>
      </c>
      <c r="X1354" s="87">
        <f t="shared" si="128"/>
        <v>7.5757938084577226E-3</v>
      </c>
      <c r="Y1354" s="87">
        <f t="shared" si="128"/>
        <v>-1.4388737452099556E-2</v>
      </c>
      <c r="Z1354" s="87">
        <f t="shared" si="128"/>
        <v>3.4289073478632165E-2</v>
      </c>
      <c r="AA1354" s="87">
        <f t="shared" si="128"/>
        <v>1.784121793501392E-3</v>
      </c>
      <c r="AB1354" s="87">
        <f t="shared" si="128"/>
        <v>1.8779348242001143E-3</v>
      </c>
      <c r="AC1354" s="87">
        <f t="shared" si="128"/>
        <v>1.1947573421118202E-2</v>
      </c>
      <c r="AD1354" s="87">
        <f t="shared" si="127"/>
        <v>5.3908486348765933E-3</v>
      </c>
      <c r="AE1354" s="90">
        <f t="shared" si="124"/>
        <v>4.6748918089303633E-3</v>
      </c>
    </row>
    <row r="1355" spans="1:31" ht="15.5" x14ac:dyDescent="0.35">
      <c r="A1355" s="82">
        <v>41732</v>
      </c>
      <c r="B1355" s="83">
        <v>10598.5</v>
      </c>
      <c r="C1355" s="84">
        <v>4237.7</v>
      </c>
      <c r="D1355" s="61">
        <v>566</v>
      </c>
      <c r="E1355" s="61">
        <v>35.5</v>
      </c>
      <c r="F1355" s="61">
        <v>76.8</v>
      </c>
      <c r="G1355" s="61">
        <v>40.700000000000003</v>
      </c>
      <c r="H1355" s="61">
        <v>31.6</v>
      </c>
      <c r="I1355" s="61">
        <v>25.7</v>
      </c>
      <c r="J1355" s="61">
        <v>34.5</v>
      </c>
      <c r="K1355" s="61">
        <v>8.8000000000000007</v>
      </c>
      <c r="L1355" s="61">
        <v>55.9</v>
      </c>
      <c r="M1355" s="61">
        <v>53.4</v>
      </c>
      <c r="N1355" s="61">
        <v>83.3</v>
      </c>
      <c r="O1355" s="85">
        <v>36.9</v>
      </c>
      <c r="P1355" s="105"/>
      <c r="Q1355" s="87">
        <f t="shared" si="123"/>
        <v>-1.7345894598729051E-3</v>
      </c>
      <c r="R1355" s="87">
        <f t="shared" si="128"/>
        <v>-9.1142488057863492E-3</v>
      </c>
      <c r="S1355" s="87">
        <f t="shared" si="128"/>
        <v>6.02518214742643E-3</v>
      </c>
      <c r="T1355" s="87">
        <f t="shared" si="128"/>
        <v>-3.0515543925950489E-2</v>
      </c>
      <c r="U1355" s="87">
        <f t="shared" si="128"/>
        <v>-5.1948168771040228E-3</v>
      </c>
      <c r="V1355" s="87">
        <f t="shared" si="128"/>
        <v>-1.2210163906931396E-2</v>
      </c>
      <c r="W1355" s="87">
        <f t="shared" si="128"/>
        <v>0</v>
      </c>
      <c r="X1355" s="87">
        <f t="shared" si="128"/>
        <v>-3.0653741091002402E-2</v>
      </c>
      <c r="Y1355" s="87">
        <f t="shared" si="128"/>
        <v>0</v>
      </c>
      <c r="Z1355" s="87">
        <f t="shared" si="128"/>
        <v>-1.1299555253933282E-2</v>
      </c>
      <c r="AA1355" s="87">
        <f t="shared" si="128"/>
        <v>-3.5714323675972446E-3</v>
      </c>
      <c r="AB1355" s="87">
        <f t="shared" si="128"/>
        <v>1.874414794350352E-3</v>
      </c>
      <c r="AC1355" s="87">
        <f t="shared" si="128"/>
        <v>-1.0746372075484073E-2</v>
      </c>
      <c r="AD1355" s="87">
        <f t="shared" si="127"/>
        <v>-8.0972102326194745E-3</v>
      </c>
      <c r="AE1355" s="90">
        <f t="shared" si="124"/>
        <v>-3.4376260924347964E-3</v>
      </c>
    </row>
    <row r="1356" spans="1:31" ht="15.5" x14ac:dyDescent="0.35">
      <c r="A1356" s="82">
        <v>41733</v>
      </c>
      <c r="B1356" s="83">
        <v>10517</v>
      </c>
      <c r="C1356" s="84">
        <v>4127.7</v>
      </c>
      <c r="D1356" s="61">
        <v>544.5</v>
      </c>
      <c r="E1356" s="61">
        <v>33.799999999999997</v>
      </c>
      <c r="F1356" s="61">
        <v>75.8</v>
      </c>
      <c r="G1356" s="61">
        <v>39.6</v>
      </c>
      <c r="H1356" s="61">
        <v>31.4</v>
      </c>
      <c r="I1356" s="61">
        <v>25.2</v>
      </c>
      <c r="J1356" s="61">
        <v>34.299999999999997</v>
      </c>
      <c r="K1356" s="61">
        <v>8.8000000000000007</v>
      </c>
      <c r="L1356" s="61">
        <v>56.1</v>
      </c>
      <c r="M1356" s="61">
        <v>52.8</v>
      </c>
      <c r="N1356" s="61">
        <v>82.5</v>
      </c>
      <c r="O1356" s="85">
        <v>36.299999999999997</v>
      </c>
      <c r="P1356" s="105"/>
      <c r="Q1356" s="87">
        <f t="shared" si="123"/>
        <v>-7.7194861327631792E-3</v>
      </c>
      <c r="R1356" s="87">
        <f t="shared" si="128"/>
        <v>-2.6300318113169664E-2</v>
      </c>
      <c r="S1356" s="87">
        <f t="shared" si="128"/>
        <v>-3.8726135830167825E-2</v>
      </c>
      <c r="T1356" s="87">
        <f t="shared" si="128"/>
        <v>-4.9071893992397066E-2</v>
      </c>
      <c r="U1356" s="87">
        <f t="shared" si="128"/>
        <v>-1.3106347505300547E-2</v>
      </c>
      <c r="V1356" s="87">
        <f t="shared" si="128"/>
        <v>-2.7398974188114503E-2</v>
      </c>
      <c r="W1356" s="87">
        <f t="shared" si="128"/>
        <v>-6.3492276786588919E-3</v>
      </c>
      <c r="X1356" s="87">
        <f t="shared" si="128"/>
        <v>-1.9646997383796536E-2</v>
      </c>
      <c r="Y1356" s="87">
        <f t="shared" si="128"/>
        <v>-5.8139698654199566E-3</v>
      </c>
      <c r="Z1356" s="87">
        <f t="shared" si="128"/>
        <v>0</v>
      </c>
      <c r="AA1356" s="87">
        <f t="shared" si="128"/>
        <v>3.5714323675971795E-3</v>
      </c>
      <c r="AB1356" s="87">
        <f t="shared" si="128"/>
        <v>-1.1299555253933394E-2</v>
      </c>
      <c r="AC1356" s="87">
        <f t="shared" si="128"/>
        <v>-9.6502558321617041E-3</v>
      </c>
      <c r="AD1356" s="87">
        <f t="shared" si="127"/>
        <v>-1.6393809775676497E-2</v>
      </c>
      <c r="AE1356" s="90">
        <f t="shared" si="124"/>
        <v>-2.4961365786851812E-2</v>
      </c>
    </row>
    <row r="1357" spans="1:31" ht="15.5" x14ac:dyDescent="0.35">
      <c r="A1357" s="82">
        <v>41736</v>
      </c>
      <c r="B1357" s="83">
        <v>10407.4</v>
      </c>
      <c r="C1357" s="84">
        <v>4079.8</v>
      </c>
      <c r="D1357" s="61">
        <v>530.5</v>
      </c>
      <c r="E1357" s="61">
        <v>32.5</v>
      </c>
      <c r="F1357" s="61">
        <v>74.599999999999994</v>
      </c>
      <c r="G1357" s="61">
        <v>39.700000000000003</v>
      </c>
      <c r="H1357" s="61">
        <v>30.2</v>
      </c>
      <c r="I1357" s="61">
        <v>25</v>
      </c>
      <c r="J1357" s="61">
        <v>33.6</v>
      </c>
      <c r="K1357" s="61">
        <v>8.8000000000000007</v>
      </c>
      <c r="L1357" s="61">
        <v>55</v>
      </c>
      <c r="M1357" s="61">
        <v>51.1</v>
      </c>
      <c r="N1357" s="61">
        <v>81.099999999999994</v>
      </c>
      <c r="O1357" s="85">
        <v>35.299999999999997</v>
      </c>
      <c r="P1357" s="105"/>
      <c r="Q1357" s="87">
        <f t="shared" si="123"/>
        <v>-1.0475903952500289E-2</v>
      </c>
      <c r="R1357" s="87">
        <f t="shared" si="128"/>
        <v>-1.1672383513016405E-2</v>
      </c>
      <c r="S1357" s="87">
        <f t="shared" si="128"/>
        <v>-2.6047984318977299E-2</v>
      </c>
      <c r="T1357" s="87">
        <f t="shared" si="128"/>
        <v>-3.9220713153281267E-2</v>
      </c>
      <c r="U1357" s="87">
        <f t="shared" si="128"/>
        <v>-1.5957785438610806E-2</v>
      </c>
      <c r="V1357" s="87">
        <f t="shared" si="128"/>
        <v>2.5220694327099391E-3</v>
      </c>
      <c r="W1357" s="87">
        <f t="shared" si="128"/>
        <v>-3.8965968533383723E-2</v>
      </c>
      <c r="X1357" s="87">
        <f t="shared" si="128"/>
        <v>-7.9681696491768449E-3</v>
      </c>
      <c r="Y1357" s="87">
        <f t="shared" si="128"/>
        <v>-2.0619287202735592E-2</v>
      </c>
      <c r="Z1357" s="87">
        <f t="shared" si="128"/>
        <v>0</v>
      </c>
      <c r="AA1357" s="87">
        <f t="shared" si="128"/>
        <v>-1.9802627296179754E-2</v>
      </c>
      <c r="AB1357" s="87">
        <f t="shared" si="128"/>
        <v>-3.2726693502556949E-2</v>
      </c>
      <c r="AC1357" s="87">
        <f t="shared" si="128"/>
        <v>-1.7115332219268174E-2</v>
      </c>
      <c r="AD1357" s="87">
        <f t="shared" si="127"/>
        <v>-2.793477733155407E-2</v>
      </c>
      <c r="AE1357" s="90">
        <f t="shared" si="124"/>
        <v>-1.9083075291900609E-2</v>
      </c>
    </row>
    <row r="1358" spans="1:31" ht="15.5" x14ac:dyDescent="0.35">
      <c r="A1358" s="82">
        <v>41737</v>
      </c>
      <c r="B1358" s="83">
        <v>10452</v>
      </c>
      <c r="C1358" s="84">
        <v>4113</v>
      </c>
      <c r="D1358" s="61">
        <v>544.70000000000005</v>
      </c>
      <c r="E1358" s="61">
        <v>33</v>
      </c>
      <c r="F1358" s="61">
        <v>74.099999999999994</v>
      </c>
      <c r="G1358" s="61">
        <v>39.200000000000003</v>
      </c>
      <c r="H1358" s="61">
        <v>29.7</v>
      </c>
      <c r="I1358" s="61">
        <v>24.7</v>
      </c>
      <c r="J1358" s="61">
        <v>33.4</v>
      </c>
      <c r="K1358" s="61">
        <v>8.8000000000000007</v>
      </c>
      <c r="L1358" s="61">
        <v>54.7</v>
      </c>
      <c r="M1358" s="61">
        <v>50.7</v>
      </c>
      <c r="N1358" s="61">
        <v>81.7</v>
      </c>
      <c r="O1358" s="85">
        <v>36</v>
      </c>
      <c r="P1358" s="105"/>
      <c r="Q1358" s="87">
        <f t="shared" ref="Q1358:Q1421" si="129">+LN(B1358/B1357)</f>
        <v>4.2762560729750114E-3</v>
      </c>
      <c r="R1358" s="87">
        <f t="shared" si="128"/>
        <v>8.1047216415601059E-3</v>
      </c>
      <c r="S1358" s="87">
        <f t="shared" si="128"/>
        <v>2.6415226335591145E-2</v>
      </c>
      <c r="T1358" s="87">
        <f t="shared" si="128"/>
        <v>1.5267472130788381E-2</v>
      </c>
      <c r="U1358" s="87">
        <f t="shared" si="128"/>
        <v>-6.724974907673968E-3</v>
      </c>
      <c r="V1358" s="87">
        <f t="shared" si="128"/>
        <v>-1.2674440896727824E-2</v>
      </c>
      <c r="W1358" s="87">
        <f t="shared" si="128"/>
        <v>-1.6694878572169992E-2</v>
      </c>
      <c r="X1358" s="87">
        <f t="shared" si="128"/>
        <v>-1.2072581234269249E-2</v>
      </c>
      <c r="Y1358" s="87">
        <f t="shared" si="128"/>
        <v>-5.9701669865039079E-3</v>
      </c>
      <c r="Z1358" s="87">
        <f t="shared" si="128"/>
        <v>0</v>
      </c>
      <c r="AA1358" s="87">
        <f t="shared" si="128"/>
        <v>-5.4694758045353209E-3</v>
      </c>
      <c r="AB1358" s="87">
        <f t="shared" si="128"/>
        <v>-7.8585866125212706E-3</v>
      </c>
      <c r="AC1358" s="87">
        <f t="shared" si="128"/>
        <v>7.3710407445901705E-3</v>
      </c>
      <c r="AD1358" s="87">
        <f t="shared" si="127"/>
        <v>1.9635974516858935E-2</v>
      </c>
      <c r="AE1358" s="90">
        <f t="shared" si="124"/>
        <v>1.0626600333431862E-2</v>
      </c>
    </row>
    <row r="1359" spans="1:31" ht="15.5" x14ac:dyDescent="0.35">
      <c r="A1359" s="82">
        <v>41738</v>
      </c>
      <c r="B1359" s="83">
        <v>10554.9</v>
      </c>
      <c r="C1359" s="84">
        <v>4183.8999999999996</v>
      </c>
      <c r="D1359" s="61">
        <v>555.4</v>
      </c>
      <c r="E1359" s="61">
        <v>34</v>
      </c>
      <c r="F1359" s="61">
        <v>74.599999999999994</v>
      </c>
      <c r="G1359" s="61">
        <v>39.9</v>
      </c>
      <c r="H1359" s="61">
        <v>28.2</v>
      </c>
      <c r="I1359" s="61">
        <v>25.2</v>
      </c>
      <c r="J1359" s="61">
        <v>33.9</v>
      </c>
      <c r="K1359" s="61">
        <v>8.6</v>
      </c>
      <c r="L1359" s="61">
        <v>55.2</v>
      </c>
      <c r="M1359" s="61">
        <v>51.2</v>
      </c>
      <c r="N1359" s="61">
        <v>83.7</v>
      </c>
      <c r="O1359" s="85">
        <v>36.299999999999997</v>
      </c>
      <c r="P1359" s="105"/>
      <c r="Q1359" s="87">
        <f t="shared" si="129"/>
        <v>9.7968594141858226E-3</v>
      </c>
      <c r="R1359" s="87">
        <f t="shared" si="128"/>
        <v>1.7091136655097545E-2</v>
      </c>
      <c r="S1359" s="87">
        <f t="shared" si="128"/>
        <v>1.9453390483070262E-2</v>
      </c>
      <c r="T1359" s="87">
        <f t="shared" si="128"/>
        <v>2.9852963149681128E-2</v>
      </c>
      <c r="U1359" s="87">
        <f t="shared" si="128"/>
        <v>6.7249749076739159E-3</v>
      </c>
      <c r="V1359" s="87">
        <f t="shared" si="128"/>
        <v>1.7699577099400857E-2</v>
      </c>
      <c r="W1359" s="87">
        <f t="shared" si="128"/>
        <v>-5.1825067864586023E-2</v>
      </c>
      <c r="X1359" s="87">
        <f t="shared" si="128"/>
        <v>2.0040750883446191E-2</v>
      </c>
      <c r="Y1359" s="87">
        <f t="shared" si="128"/>
        <v>1.4859114403749905E-2</v>
      </c>
      <c r="Z1359" s="87">
        <f t="shared" si="128"/>
        <v>-2.2989518224698833E-2</v>
      </c>
      <c r="AA1359" s="87">
        <f t="shared" si="128"/>
        <v>9.0992438551140888E-3</v>
      </c>
      <c r="AB1359" s="87">
        <f t="shared" si="128"/>
        <v>9.8136214483246706E-3</v>
      </c>
      <c r="AC1359" s="87">
        <f t="shared" si="128"/>
        <v>2.4184975629472538E-2</v>
      </c>
      <c r="AD1359" s="87">
        <f t="shared" si="127"/>
        <v>8.2988028146950641E-3</v>
      </c>
      <c r="AE1359" s="90">
        <f t="shared" ref="AE1359:AE1422" si="130">+SUMPRODUCT(Q1359:AD1359,$Q$8:$AD$8)</f>
        <v>1.3749938402024856E-2</v>
      </c>
    </row>
    <row r="1360" spans="1:31" ht="15.5" x14ac:dyDescent="0.35">
      <c r="A1360" s="82">
        <v>41739</v>
      </c>
      <c r="B1360" s="83">
        <v>10366.799999999999</v>
      </c>
      <c r="C1360" s="84">
        <v>4054.1</v>
      </c>
      <c r="D1360" s="61">
        <v>545.5</v>
      </c>
      <c r="E1360" s="61">
        <v>33.1</v>
      </c>
      <c r="F1360" s="61">
        <v>74.7</v>
      </c>
      <c r="G1360" s="61">
        <v>39.1</v>
      </c>
      <c r="H1360" s="61">
        <v>27.6</v>
      </c>
      <c r="I1360" s="61">
        <v>25.4</v>
      </c>
      <c r="J1360" s="61">
        <v>33.6</v>
      </c>
      <c r="K1360" s="61">
        <v>8.5</v>
      </c>
      <c r="L1360" s="61">
        <v>55.8</v>
      </c>
      <c r="M1360" s="61">
        <v>50.4</v>
      </c>
      <c r="N1360" s="61">
        <v>83.3</v>
      </c>
      <c r="O1360" s="85">
        <v>36.1</v>
      </c>
      <c r="P1360" s="105"/>
      <c r="Q1360" s="87">
        <f t="shared" si="129"/>
        <v>-1.7981814901850132E-2</v>
      </c>
      <c r="R1360" s="87">
        <f t="shared" si="128"/>
        <v>-3.1515111182241748E-2</v>
      </c>
      <c r="S1360" s="87">
        <f t="shared" si="128"/>
        <v>-1.7985769599573619E-2</v>
      </c>
      <c r="T1360" s="87">
        <f t="shared" si="128"/>
        <v>-2.6827242233144075E-2</v>
      </c>
      <c r="U1360" s="87">
        <f t="shared" si="128"/>
        <v>1.3395849290565674E-3</v>
      </c>
      <c r="V1360" s="87">
        <f t="shared" si="128"/>
        <v>-2.0253856904497571E-2</v>
      </c>
      <c r="W1360" s="87">
        <f t="shared" si="128"/>
        <v>-2.1506205220963505E-2</v>
      </c>
      <c r="X1360" s="87">
        <f t="shared" si="128"/>
        <v>7.9051795071132473E-3</v>
      </c>
      <c r="Y1360" s="87">
        <f t="shared" ref="Y1360:AD1409" si="131">+LN(J1360/J1359)</f>
        <v>-8.8889474172459283E-3</v>
      </c>
      <c r="Z1360" s="87">
        <f t="shared" si="131"/>
        <v>-1.1696039763191187E-2</v>
      </c>
      <c r="AA1360" s="87">
        <f t="shared" si="131"/>
        <v>1.0810916104215456E-2</v>
      </c>
      <c r="AB1360" s="87">
        <f t="shared" si="131"/>
        <v>-1.5748356968139282E-2</v>
      </c>
      <c r="AC1360" s="87">
        <f t="shared" si="131"/>
        <v>-4.7904283226327124E-3</v>
      </c>
      <c r="AD1360" s="87">
        <f t="shared" si="127"/>
        <v>-5.5248759319696918E-3</v>
      </c>
      <c r="AE1360" s="90">
        <f t="shared" si="130"/>
        <v>-1.5000698606141925E-2</v>
      </c>
    </row>
    <row r="1361" spans="1:31" ht="15.5" x14ac:dyDescent="0.35">
      <c r="A1361" s="82">
        <v>41740</v>
      </c>
      <c r="B1361" s="83">
        <v>10280.9</v>
      </c>
      <c r="C1361" s="84">
        <v>3999.7</v>
      </c>
      <c r="D1361" s="61">
        <v>533.4</v>
      </c>
      <c r="E1361" s="61">
        <v>32.200000000000003</v>
      </c>
      <c r="F1361" s="61">
        <v>73.900000000000006</v>
      </c>
      <c r="G1361" s="61">
        <v>39</v>
      </c>
      <c r="H1361" s="61">
        <v>27</v>
      </c>
      <c r="I1361" s="61">
        <v>25.2</v>
      </c>
      <c r="J1361" s="61">
        <v>33.299999999999997</v>
      </c>
      <c r="K1361" s="61">
        <v>7.5</v>
      </c>
      <c r="L1361" s="61">
        <v>55.3</v>
      </c>
      <c r="M1361" s="61">
        <v>49.2</v>
      </c>
      <c r="N1361" s="61">
        <v>83.5</v>
      </c>
      <c r="O1361" s="85">
        <v>35.6</v>
      </c>
      <c r="P1361" s="105"/>
      <c r="Q1361" s="87">
        <f t="shared" si="129"/>
        <v>-8.3205873377087316E-3</v>
      </c>
      <c r="R1361" s="87">
        <f t="shared" ref="R1361:X1392" si="132">+LN(C1361/C1360)</f>
        <v>-1.3509356413892901E-2</v>
      </c>
      <c r="S1361" s="87">
        <f t="shared" si="132"/>
        <v>-2.2431193525211675E-2</v>
      </c>
      <c r="T1361" s="87">
        <f t="shared" si="132"/>
        <v>-2.7566829832654592E-2</v>
      </c>
      <c r="U1361" s="87">
        <f t="shared" si="132"/>
        <v>-1.0767264184615443E-2</v>
      </c>
      <c r="V1361" s="87">
        <f t="shared" si="132"/>
        <v>-2.5608208616737039E-3</v>
      </c>
      <c r="W1361" s="87">
        <f t="shared" si="132"/>
        <v>-2.1978906718775341E-2</v>
      </c>
      <c r="X1361" s="87">
        <f t="shared" si="132"/>
        <v>-7.9051795071132611E-3</v>
      </c>
      <c r="Y1361" s="87">
        <f t="shared" si="131"/>
        <v>-8.9686699827604879E-3</v>
      </c>
      <c r="Z1361" s="87">
        <f t="shared" si="131"/>
        <v>-0.12516314295400605</v>
      </c>
      <c r="AA1361" s="87">
        <f t="shared" si="131"/>
        <v>-9.0009608589761685E-3</v>
      </c>
      <c r="AB1361" s="87">
        <f t="shared" si="131"/>
        <v>-2.4097551579060416E-2</v>
      </c>
      <c r="AC1361" s="87">
        <f t="shared" si="131"/>
        <v>2.3980826840128461E-3</v>
      </c>
      <c r="AD1361" s="87">
        <f t="shared" si="127"/>
        <v>-1.3947227480850441E-2</v>
      </c>
      <c r="AE1361" s="90">
        <f t="shared" si="130"/>
        <v>-1.5390503609358383E-2</v>
      </c>
    </row>
    <row r="1362" spans="1:31" ht="15.5" x14ac:dyDescent="0.35">
      <c r="A1362" s="82">
        <v>41743</v>
      </c>
      <c r="B1362" s="83">
        <v>10359.4</v>
      </c>
      <c r="C1362" s="84">
        <v>4022.7</v>
      </c>
      <c r="D1362" s="61">
        <v>540.5</v>
      </c>
      <c r="E1362" s="61">
        <v>33</v>
      </c>
      <c r="F1362" s="61">
        <v>73.900000000000006</v>
      </c>
      <c r="G1362" s="61">
        <v>38.9</v>
      </c>
      <c r="H1362" s="61">
        <v>26.9</v>
      </c>
      <c r="I1362" s="61">
        <v>25.1</v>
      </c>
      <c r="J1362" s="61">
        <v>33.4</v>
      </c>
      <c r="K1362" s="61">
        <v>7.5</v>
      </c>
      <c r="L1362" s="61">
        <v>55</v>
      </c>
      <c r="M1362" s="61">
        <v>48.8</v>
      </c>
      <c r="N1362" s="61">
        <v>83.7</v>
      </c>
      <c r="O1362" s="85">
        <v>35.700000000000003</v>
      </c>
      <c r="P1362" s="105"/>
      <c r="Q1362" s="87">
        <f t="shared" si="129"/>
        <v>7.6065152632872812E-3</v>
      </c>
      <c r="R1362" s="87">
        <f t="shared" si="132"/>
        <v>5.7339606643190648E-3</v>
      </c>
      <c r="S1362" s="87">
        <f t="shared" si="132"/>
        <v>1.3223025331349154E-2</v>
      </c>
      <c r="T1362" s="87">
        <f t="shared" si="132"/>
        <v>2.4541108916117445E-2</v>
      </c>
      <c r="U1362" s="87">
        <f t="shared" si="132"/>
        <v>0</v>
      </c>
      <c r="V1362" s="87">
        <f t="shared" si="132"/>
        <v>-2.5673955052458097E-3</v>
      </c>
      <c r="W1362" s="87">
        <f t="shared" si="132"/>
        <v>-3.710579396535713E-3</v>
      </c>
      <c r="X1362" s="87">
        <f t="shared" si="132"/>
        <v>-3.9761483796392945E-3</v>
      </c>
      <c r="Y1362" s="87">
        <f t="shared" si="131"/>
        <v>2.9985029962566329E-3</v>
      </c>
      <c r="Z1362" s="87">
        <f t="shared" si="131"/>
        <v>0</v>
      </c>
      <c r="AA1362" s="87">
        <f t="shared" si="131"/>
        <v>-5.4397232958180979E-3</v>
      </c>
      <c r="AB1362" s="87">
        <f t="shared" si="131"/>
        <v>-8.1633106391610939E-3</v>
      </c>
      <c r="AC1362" s="87">
        <f t="shared" si="131"/>
        <v>2.3923456386199015E-3</v>
      </c>
      <c r="AD1362" s="87">
        <f t="shared" si="127"/>
        <v>2.8050509276086816E-3</v>
      </c>
      <c r="AE1362" s="90">
        <f t="shared" si="130"/>
        <v>5.9309252524212559E-3</v>
      </c>
    </row>
    <row r="1363" spans="1:31" ht="15.5" x14ac:dyDescent="0.35">
      <c r="A1363" s="82">
        <v>41744</v>
      </c>
      <c r="B1363" s="83">
        <v>10402</v>
      </c>
      <c r="C1363" s="84">
        <v>4034.2</v>
      </c>
      <c r="D1363" s="61">
        <v>530.6</v>
      </c>
      <c r="E1363" s="61">
        <v>32.6</v>
      </c>
      <c r="F1363" s="61">
        <v>73.099999999999994</v>
      </c>
      <c r="G1363" s="61">
        <v>39.1</v>
      </c>
      <c r="H1363" s="61">
        <v>26.6</v>
      </c>
      <c r="I1363" s="61">
        <v>25.3</v>
      </c>
      <c r="J1363" s="61">
        <v>34.299999999999997</v>
      </c>
      <c r="K1363" s="61">
        <v>7</v>
      </c>
      <c r="L1363" s="61">
        <v>55.1</v>
      </c>
      <c r="M1363" s="61">
        <v>48.9</v>
      </c>
      <c r="N1363" s="61">
        <v>84.5</v>
      </c>
      <c r="O1363" s="85">
        <v>35.9</v>
      </c>
      <c r="P1363" s="105"/>
      <c r="Q1363" s="87">
        <f t="shared" si="129"/>
        <v>4.103775254600546E-3</v>
      </c>
      <c r="R1363" s="87">
        <f t="shared" si="132"/>
        <v>2.8546979135262189E-3</v>
      </c>
      <c r="S1363" s="87">
        <f t="shared" si="132"/>
        <v>-1.8486195375623609E-2</v>
      </c>
      <c r="T1363" s="87">
        <f t="shared" si="132"/>
        <v>-1.2195273093818243E-2</v>
      </c>
      <c r="U1363" s="87">
        <f t="shared" si="132"/>
        <v>-1.0884461198423442E-2</v>
      </c>
      <c r="V1363" s="87">
        <f t="shared" si="132"/>
        <v>5.1282163669195292E-3</v>
      </c>
      <c r="W1363" s="87">
        <f t="shared" si="132"/>
        <v>-1.1215070820139957E-2</v>
      </c>
      <c r="X1363" s="87">
        <f t="shared" si="132"/>
        <v>7.9365495957363415E-3</v>
      </c>
      <c r="Y1363" s="87">
        <f t="shared" si="131"/>
        <v>2.6589454189239435E-2</v>
      </c>
      <c r="Z1363" s="87">
        <f t="shared" si="131"/>
        <v>-6.8992871486951435E-2</v>
      </c>
      <c r="AA1363" s="87">
        <f t="shared" si="131"/>
        <v>1.8165309263980069E-3</v>
      </c>
      <c r="AB1363" s="87">
        <f t="shared" si="131"/>
        <v>2.047083621724823E-3</v>
      </c>
      <c r="AC1363" s="87">
        <f t="shared" si="131"/>
        <v>9.5125568676984688E-3</v>
      </c>
      <c r="AD1363" s="87">
        <f t="shared" si="127"/>
        <v>5.5866067086397762E-3</v>
      </c>
      <c r="AE1363" s="90">
        <f t="shared" si="130"/>
        <v>-6.9896559825316021E-3</v>
      </c>
    </row>
    <row r="1364" spans="1:31" ht="15.5" x14ac:dyDescent="0.35">
      <c r="A1364" s="82">
        <v>41745</v>
      </c>
      <c r="B1364" s="83">
        <v>10505.8</v>
      </c>
      <c r="C1364" s="84">
        <v>4086.2</v>
      </c>
      <c r="D1364" s="61">
        <v>553.1</v>
      </c>
      <c r="E1364" s="61">
        <v>35.799999999999997</v>
      </c>
      <c r="F1364" s="61">
        <v>73.5</v>
      </c>
      <c r="G1364" s="61">
        <v>39.9</v>
      </c>
      <c r="H1364" s="61">
        <v>26.6</v>
      </c>
      <c r="I1364" s="61">
        <v>26.2</v>
      </c>
      <c r="J1364" s="61">
        <v>34.799999999999997</v>
      </c>
      <c r="K1364" s="61">
        <v>7.1</v>
      </c>
      <c r="L1364" s="61">
        <v>55.9</v>
      </c>
      <c r="M1364" s="61">
        <v>49.7</v>
      </c>
      <c r="N1364" s="61">
        <v>85.2</v>
      </c>
      <c r="O1364" s="85">
        <v>36.299999999999997</v>
      </c>
      <c r="P1364" s="105"/>
      <c r="Q1364" s="87">
        <f t="shared" si="129"/>
        <v>9.9293902587780751E-3</v>
      </c>
      <c r="R1364" s="87">
        <f t="shared" si="132"/>
        <v>1.2807425938479144E-2</v>
      </c>
      <c r="S1364" s="87">
        <f t="shared" si="132"/>
        <v>4.1530375296992952E-2</v>
      </c>
      <c r="T1364" s="87">
        <f t="shared" si="132"/>
        <v>9.3635605033992556E-2</v>
      </c>
      <c r="U1364" s="87">
        <f t="shared" si="132"/>
        <v>5.4570394630583377E-3</v>
      </c>
      <c r="V1364" s="87">
        <f t="shared" si="132"/>
        <v>2.0253856904497596E-2</v>
      </c>
      <c r="W1364" s="87">
        <f t="shared" si="132"/>
        <v>0</v>
      </c>
      <c r="X1364" s="87">
        <f t="shared" si="132"/>
        <v>3.4955015033576634E-2</v>
      </c>
      <c r="Y1364" s="87">
        <f t="shared" si="131"/>
        <v>1.4472032608534469E-2</v>
      </c>
      <c r="Z1364" s="87">
        <f t="shared" si="131"/>
        <v>1.4184634991956381E-2</v>
      </c>
      <c r="AA1364" s="87">
        <f t="shared" si="131"/>
        <v>1.4414664002184528E-2</v>
      </c>
      <c r="AB1364" s="87">
        <f t="shared" si="131"/>
        <v>1.6227536621756754E-2</v>
      </c>
      <c r="AC1364" s="87">
        <f t="shared" si="131"/>
        <v>8.2498994721418393E-3</v>
      </c>
      <c r="AD1364" s="87">
        <f t="shared" si="127"/>
        <v>1.1080445776571959E-2</v>
      </c>
      <c r="AE1364" s="90">
        <f t="shared" si="130"/>
        <v>1.8904807859224639E-2</v>
      </c>
    </row>
    <row r="1365" spans="1:31" ht="15.5" x14ac:dyDescent="0.35">
      <c r="A1365" s="82">
        <v>41746</v>
      </c>
      <c r="B1365" s="83">
        <v>10532.8</v>
      </c>
      <c r="C1365" s="84">
        <v>4095.5</v>
      </c>
      <c r="D1365" s="61">
        <v>539.4</v>
      </c>
      <c r="E1365" s="61">
        <v>35.6</v>
      </c>
      <c r="F1365" s="61">
        <v>74.2</v>
      </c>
      <c r="G1365" s="61">
        <v>39.5</v>
      </c>
      <c r="H1365" s="61">
        <v>27.4</v>
      </c>
      <c r="I1365" s="61">
        <v>26.8</v>
      </c>
      <c r="J1365" s="61">
        <v>34.700000000000003</v>
      </c>
      <c r="K1365" s="61">
        <v>7.2</v>
      </c>
      <c r="L1365" s="61">
        <v>56.3</v>
      </c>
      <c r="M1365" s="61">
        <v>50.4</v>
      </c>
      <c r="N1365" s="61">
        <v>85.5</v>
      </c>
      <c r="O1365" s="85">
        <v>36.6</v>
      </c>
      <c r="P1365" s="105"/>
      <c r="Q1365" s="87">
        <f t="shared" si="129"/>
        <v>2.5667121218163834E-3</v>
      </c>
      <c r="R1365" s="87">
        <f t="shared" si="132"/>
        <v>2.2733671499451662E-3</v>
      </c>
      <c r="S1365" s="87">
        <f t="shared" si="132"/>
        <v>-2.5081406295002856E-2</v>
      </c>
      <c r="T1365" s="87">
        <f t="shared" si="132"/>
        <v>-5.6022555486696752E-3</v>
      </c>
      <c r="U1365" s="87">
        <f t="shared" si="132"/>
        <v>9.4787439545437387E-3</v>
      </c>
      <c r="V1365" s="87">
        <f t="shared" si="132"/>
        <v>-1.0075651988741587E-2</v>
      </c>
      <c r="W1365" s="87">
        <f t="shared" si="132"/>
        <v>2.9631797606371149E-2</v>
      </c>
      <c r="X1365" s="87">
        <f t="shared" si="132"/>
        <v>2.2642476749759971E-2</v>
      </c>
      <c r="Y1365" s="87">
        <f t="shared" si="131"/>
        <v>-2.8776998276149467E-3</v>
      </c>
      <c r="Z1365" s="87">
        <f t="shared" si="131"/>
        <v>1.398624197473987E-2</v>
      </c>
      <c r="AA1365" s="87">
        <f t="shared" si="131"/>
        <v>7.1301549845912693E-3</v>
      </c>
      <c r="AB1365" s="87">
        <f t="shared" si="131"/>
        <v>1.398624197473987E-2</v>
      </c>
      <c r="AC1365" s="87">
        <f t="shared" si="131"/>
        <v>3.5149421074443707E-3</v>
      </c>
      <c r="AD1365" s="87">
        <f t="shared" si="127"/>
        <v>8.2304991365156621E-3</v>
      </c>
      <c r="AE1365" s="90">
        <f t="shared" si="130"/>
        <v>-2.950758037557016E-3</v>
      </c>
    </row>
    <row r="1366" spans="1:31" ht="15.5" x14ac:dyDescent="0.35">
      <c r="A1366" s="82">
        <v>41750</v>
      </c>
      <c r="B1366" s="83">
        <v>10559.3</v>
      </c>
      <c r="C1366" s="84">
        <v>4121.5</v>
      </c>
      <c r="D1366" s="61">
        <v>534</v>
      </c>
      <c r="E1366" s="61">
        <v>35.9</v>
      </c>
      <c r="F1366" s="61">
        <v>74.900000000000006</v>
      </c>
      <c r="G1366" s="61">
        <v>39.799999999999997</v>
      </c>
      <c r="H1366" s="61">
        <v>27.6</v>
      </c>
      <c r="I1366" s="61">
        <v>26.7</v>
      </c>
      <c r="J1366" s="61">
        <v>35</v>
      </c>
      <c r="K1366" s="61">
        <v>7.5</v>
      </c>
      <c r="L1366" s="61">
        <v>56.4</v>
      </c>
      <c r="M1366" s="61">
        <v>50.7</v>
      </c>
      <c r="N1366" s="61">
        <v>86</v>
      </c>
      <c r="O1366" s="85">
        <v>36.700000000000003</v>
      </c>
      <c r="P1366" s="105"/>
      <c r="Q1366" s="87">
        <f t="shared" si="129"/>
        <v>2.5127904707137145E-3</v>
      </c>
      <c r="R1366" s="87">
        <f t="shared" si="132"/>
        <v>6.3283647976254765E-3</v>
      </c>
      <c r="S1366" s="87">
        <f t="shared" si="132"/>
        <v>-1.0061571745434745E-2</v>
      </c>
      <c r="T1366" s="87">
        <f t="shared" si="132"/>
        <v>8.3916576362483807E-3</v>
      </c>
      <c r="U1366" s="87">
        <f t="shared" si="132"/>
        <v>9.3897403498391374E-3</v>
      </c>
      <c r="V1366" s="87">
        <f t="shared" si="132"/>
        <v>7.5662403833156562E-3</v>
      </c>
      <c r="W1366" s="87">
        <f t="shared" si="132"/>
        <v>7.2727593290798781E-3</v>
      </c>
      <c r="X1366" s="87">
        <f t="shared" si="132"/>
        <v>-3.7383221106072153E-3</v>
      </c>
      <c r="Y1366" s="87">
        <f t="shared" si="131"/>
        <v>8.6083745366001014E-3</v>
      </c>
      <c r="Z1366" s="87">
        <f t="shared" si="131"/>
        <v>4.08219945202552E-2</v>
      </c>
      <c r="AA1366" s="87">
        <f t="shared" si="131"/>
        <v>1.7746233583684796E-3</v>
      </c>
      <c r="AB1366" s="87">
        <f t="shared" si="131"/>
        <v>5.9347355198145265E-3</v>
      </c>
      <c r="AC1366" s="87">
        <f t="shared" si="131"/>
        <v>5.8309203107931437E-3</v>
      </c>
      <c r="AD1366" s="87">
        <f t="shared" si="127"/>
        <v>2.7285146532041358E-3</v>
      </c>
      <c r="AE1366" s="90">
        <f t="shared" si="130"/>
        <v>1.9677870133520507E-3</v>
      </c>
    </row>
    <row r="1367" spans="1:31" ht="15.5" x14ac:dyDescent="0.35">
      <c r="A1367" s="82">
        <v>41751</v>
      </c>
      <c r="B1367" s="83">
        <v>10599</v>
      </c>
      <c r="C1367" s="84">
        <v>4161.5</v>
      </c>
      <c r="D1367" s="61">
        <v>536</v>
      </c>
      <c r="E1367" s="61">
        <v>36.1</v>
      </c>
      <c r="F1367" s="61">
        <v>75.2</v>
      </c>
      <c r="G1367" s="61">
        <v>39.799999999999997</v>
      </c>
      <c r="H1367" s="61">
        <v>27.9</v>
      </c>
      <c r="I1367" s="61">
        <v>27</v>
      </c>
      <c r="J1367" s="61">
        <v>35.299999999999997</v>
      </c>
      <c r="K1367" s="61">
        <v>8</v>
      </c>
      <c r="L1367" s="61">
        <v>57</v>
      </c>
      <c r="M1367" s="61">
        <v>51</v>
      </c>
      <c r="N1367" s="61">
        <v>86.3</v>
      </c>
      <c r="O1367" s="85">
        <v>36.9</v>
      </c>
      <c r="P1367" s="105"/>
      <c r="Q1367" s="87">
        <f t="shared" si="129"/>
        <v>3.7526688429289404E-3</v>
      </c>
      <c r="R1367" s="87">
        <f t="shared" si="132"/>
        <v>9.6584114328676935E-3</v>
      </c>
      <c r="S1367" s="87">
        <f t="shared" si="132"/>
        <v>3.7383221106071581E-3</v>
      </c>
      <c r="T1367" s="87">
        <f t="shared" si="132"/>
        <v>5.555569844602184E-3</v>
      </c>
      <c r="U1367" s="87">
        <f t="shared" si="132"/>
        <v>3.9973404326203938E-3</v>
      </c>
      <c r="V1367" s="87">
        <f t="shared" si="132"/>
        <v>0</v>
      </c>
      <c r="W1367" s="87">
        <f t="shared" si="132"/>
        <v>1.0810916104215456E-2</v>
      </c>
      <c r="X1367" s="87">
        <f t="shared" si="132"/>
        <v>1.1173300598125255E-2</v>
      </c>
      <c r="Y1367" s="87">
        <f t="shared" si="131"/>
        <v>8.5349024498372859E-3</v>
      </c>
      <c r="Z1367" s="87">
        <f t="shared" si="131"/>
        <v>6.4538521137571164E-2</v>
      </c>
      <c r="AA1367" s="87">
        <f t="shared" si="131"/>
        <v>1.0582109330537008E-2</v>
      </c>
      <c r="AB1367" s="87">
        <f t="shared" si="131"/>
        <v>5.899722127188322E-3</v>
      </c>
      <c r="AC1367" s="87">
        <f t="shared" si="131"/>
        <v>3.4823018358744904E-3</v>
      </c>
      <c r="AD1367" s="87">
        <f t="shared" si="127"/>
        <v>5.4347959859567746E-3</v>
      </c>
      <c r="AE1367" s="90">
        <f t="shared" si="130"/>
        <v>5.79312686298342E-3</v>
      </c>
    </row>
    <row r="1368" spans="1:31" ht="15.5" x14ac:dyDescent="0.35">
      <c r="A1368" s="82">
        <v>41752</v>
      </c>
      <c r="B1368" s="83">
        <v>10581.9</v>
      </c>
      <c r="C1368" s="84">
        <v>4127</v>
      </c>
      <c r="D1368" s="61">
        <v>528.1</v>
      </c>
      <c r="E1368" s="61">
        <v>35.4</v>
      </c>
      <c r="F1368" s="61">
        <v>74.900000000000006</v>
      </c>
      <c r="G1368" s="61">
        <v>39.5</v>
      </c>
      <c r="H1368" s="61">
        <v>27.7</v>
      </c>
      <c r="I1368" s="61">
        <v>27</v>
      </c>
      <c r="J1368" s="61">
        <v>35</v>
      </c>
      <c r="K1368" s="61">
        <v>8</v>
      </c>
      <c r="L1368" s="61">
        <v>57.1</v>
      </c>
      <c r="M1368" s="61">
        <v>51.8</v>
      </c>
      <c r="N1368" s="61">
        <v>84.6</v>
      </c>
      <c r="O1368" s="85">
        <v>37</v>
      </c>
      <c r="P1368" s="105"/>
      <c r="Q1368" s="87">
        <f t="shared" si="129"/>
        <v>-1.6146626172795255E-3</v>
      </c>
      <c r="R1368" s="87">
        <f t="shared" si="132"/>
        <v>-8.3248354335680574E-3</v>
      </c>
      <c r="S1368" s="87">
        <f t="shared" si="132"/>
        <v>-1.4848501357914462E-2</v>
      </c>
      <c r="T1368" s="87">
        <f t="shared" si="132"/>
        <v>-1.9581045199106507E-2</v>
      </c>
      <c r="U1368" s="87">
        <f t="shared" si="132"/>
        <v>-3.9973404326202888E-3</v>
      </c>
      <c r="V1368" s="87">
        <f t="shared" si="132"/>
        <v>-7.5662403833158132E-3</v>
      </c>
      <c r="W1368" s="87">
        <f t="shared" si="132"/>
        <v>-7.1942756340270851E-3</v>
      </c>
      <c r="X1368" s="87">
        <f t="shared" si="132"/>
        <v>0</v>
      </c>
      <c r="Y1368" s="87">
        <f t="shared" si="131"/>
        <v>-8.534902449837331E-3</v>
      </c>
      <c r="Z1368" s="87">
        <f t="shared" si="131"/>
        <v>0</v>
      </c>
      <c r="AA1368" s="87">
        <f t="shared" si="131"/>
        <v>1.7528488274143868E-3</v>
      </c>
      <c r="AB1368" s="87">
        <f t="shared" si="131"/>
        <v>1.5564516541111548E-2</v>
      </c>
      <c r="AC1368" s="87">
        <f t="shared" si="131"/>
        <v>-1.9895331477204729E-2</v>
      </c>
      <c r="AD1368" s="87">
        <f t="shared" si="127"/>
        <v>2.7063615977430673E-3</v>
      </c>
      <c r="AE1368" s="90">
        <f t="shared" si="130"/>
        <v>-7.6565101627206764E-3</v>
      </c>
    </row>
    <row r="1369" spans="1:31" ht="15.5" x14ac:dyDescent="0.35">
      <c r="A1369" s="82">
        <v>41753</v>
      </c>
      <c r="B1369" s="83">
        <v>10575.9</v>
      </c>
      <c r="C1369" s="84">
        <v>4148.3</v>
      </c>
      <c r="D1369" s="61">
        <v>531</v>
      </c>
      <c r="E1369" s="61">
        <v>34.799999999999997</v>
      </c>
      <c r="F1369" s="61">
        <v>80.099999999999994</v>
      </c>
      <c r="G1369" s="61">
        <v>39.299999999999997</v>
      </c>
      <c r="H1369" s="61">
        <v>27.5</v>
      </c>
      <c r="I1369" s="61">
        <v>27.7</v>
      </c>
      <c r="J1369" s="61">
        <v>34.799999999999997</v>
      </c>
      <c r="K1369" s="61">
        <v>8</v>
      </c>
      <c r="L1369" s="61">
        <v>56.9</v>
      </c>
      <c r="M1369" s="61">
        <v>51.4</v>
      </c>
      <c r="N1369" s="61">
        <v>83.9</v>
      </c>
      <c r="O1369" s="85">
        <v>36.6</v>
      </c>
      <c r="P1369" s="105"/>
      <c r="Q1369" s="87">
        <f t="shared" si="129"/>
        <v>-5.6716673386076211E-4</v>
      </c>
      <c r="R1369" s="87">
        <f t="shared" si="132"/>
        <v>5.1478609931528219E-3</v>
      </c>
      <c r="S1369" s="87">
        <f t="shared" si="132"/>
        <v>5.4763615290512723E-3</v>
      </c>
      <c r="T1369" s="87">
        <f t="shared" si="132"/>
        <v>-1.7094433359300183E-2</v>
      </c>
      <c r="U1369" s="87">
        <f t="shared" si="132"/>
        <v>6.7121963551139696E-2</v>
      </c>
      <c r="V1369" s="87">
        <f t="shared" si="132"/>
        <v>-5.0761530318606607E-3</v>
      </c>
      <c r="W1369" s="87">
        <f t="shared" si="132"/>
        <v>-7.2464085207671978E-3</v>
      </c>
      <c r="X1369" s="87">
        <f t="shared" si="132"/>
        <v>2.5595547188963723E-2</v>
      </c>
      <c r="Y1369" s="87">
        <f t="shared" si="131"/>
        <v>-5.7306747089850953E-3</v>
      </c>
      <c r="Z1369" s="87">
        <f t="shared" si="131"/>
        <v>0</v>
      </c>
      <c r="AA1369" s="87">
        <f t="shared" si="131"/>
        <v>-3.5087755296793655E-3</v>
      </c>
      <c r="AB1369" s="87">
        <f t="shared" si="131"/>
        <v>-7.7519768043179359E-3</v>
      </c>
      <c r="AC1369" s="87">
        <f t="shared" si="131"/>
        <v>-8.3086531390169464E-3</v>
      </c>
      <c r="AD1369" s="87">
        <f t="shared" si="127"/>
        <v>-1.0869672236903879E-2</v>
      </c>
      <c r="AE1369" s="90">
        <f t="shared" si="130"/>
        <v>2.1017939310539926E-2</v>
      </c>
    </row>
    <row r="1370" spans="1:31" ht="15.5" x14ac:dyDescent="0.35">
      <c r="A1370" s="82">
        <v>41754</v>
      </c>
      <c r="B1370" s="83">
        <v>10505</v>
      </c>
      <c r="C1370" s="84">
        <v>4075.6</v>
      </c>
      <c r="D1370" s="61">
        <v>522.5</v>
      </c>
      <c r="E1370" s="61">
        <v>34.299999999999997</v>
      </c>
      <c r="F1370" s="61">
        <v>80.599999999999994</v>
      </c>
      <c r="G1370" s="61">
        <v>39.799999999999997</v>
      </c>
      <c r="H1370" s="61">
        <v>27.5</v>
      </c>
      <c r="I1370" s="61">
        <v>27.3</v>
      </c>
      <c r="J1370" s="61">
        <v>35</v>
      </c>
      <c r="K1370" s="61">
        <v>7.9</v>
      </c>
      <c r="L1370" s="61">
        <v>57</v>
      </c>
      <c r="M1370" s="61">
        <v>50.8</v>
      </c>
      <c r="N1370" s="61">
        <v>84</v>
      </c>
      <c r="O1370" s="85">
        <v>36.299999999999997</v>
      </c>
      <c r="P1370" s="105"/>
      <c r="Q1370" s="87">
        <f t="shared" si="129"/>
        <v>-6.7264933970139027E-3</v>
      </c>
      <c r="R1370" s="87">
        <f t="shared" si="132"/>
        <v>-1.7680636645604396E-2</v>
      </c>
      <c r="S1370" s="87">
        <f t="shared" si="132"/>
        <v>-1.6137037402972707E-2</v>
      </c>
      <c r="T1370" s="87">
        <f t="shared" si="132"/>
        <v>-1.4472032608534432E-2</v>
      </c>
      <c r="U1370" s="87">
        <f t="shared" si="132"/>
        <v>6.2227954382690857E-3</v>
      </c>
      <c r="V1370" s="87">
        <f t="shared" si="132"/>
        <v>1.2642393415176527E-2</v>
      </c>
      <c r="W1370" s="87">
        <f t="shared" si="132"/>
        <v>0</v>
      </c>
      <c r="X1370" s="87">
        <f t="shared" si="132"/>
        <v>-1.4545711002378751E-2</v>
      </c>
      <c r="Y1370" s="87">
        <f t="shared" si="131"/>
        <v>5.7306747089850745E-3</v>
      </c>
      <c r="Z1370" s="87">
        <f t="shared" si="131"/>
        <v>-1.2578782206860073E-2</v>
      </c>
      <c r="AA1370" s="87">
        <f t="shared" si="131"/>
        <v>1.7559267022650125E-3</v>
      </c>
      <c r="AB1370" s="87">
        <f t="shared" si="131"/>
        <v>-1.1741817876683287E-2</v>
      </c>
      <c r="AC1370" s="87">
        <f t="shared" si="131"/>
        <v>1.1911853701530102E-3</v>
      </c>
      <c r="AD1370" s="87">
        <f t="shared" si="127"/>
        <v>-8.230499136515591E-3</v>
      </c>
      <c r="AE1370" s="90">
        <f t="shared" si="130"/>
        <v>-9.2451565560031854E-3</v>
      </c>
    </row>
    <row r="1371" spans="1:31" ht="15.5" x14ac:dyDescent="0.35">
      <c r="A1371" s="82">
        <v>41757</v>
      </c>
      <c r="B1371" s="83">
        <v>10526.5</v>
      </c>
      <c r="C1371" s="84">
        <v>4074.4</v>
      </c>
      <c r="D1371" s="61">
        <v>511</v>
      </c>
      <c r="E1371" s="61">
        <v>33.700000000000003</v>
      </c>
      <c r="F1371" s="61">
        <v>81.8</v>
      </c>
      <c r="G1371" s="61">
        <v>40.1</v>
      </c>
      <c r="H1371" s="61">
        <v>27.2</v>
      </c>
      <c r="I1371" s="61">
        <v>26.7</v>
      </c>
      <c r="J1371" s="61">
        <v>35.5</v>
      </c>
      <c r="K1371" s="61">
        <v>8</v>
      </c>
      <c r="L1371" s="61">
        <v>56.5</v>
      </c>
      <c r="M1371" s="61">
        <v>50.2</v>
      </c>
      <c r="N1371" s="61">
        <v>84.2</v>
      </c>
      <c r="O1371" s="85">
        <v>35.6</v>
      </c>
      <c r="P1371" s="105"/>
      <c r="Q1371" s="87">
        <f t="shared" si="129"/>
        <v>2.0445529315091865E-3</v>
      </c>
      <c r="R1371" s="87">
        <f t="shared" si="132"/>
        <v>-2.9447852973537279E-4</v>
      </c>
      <c r="S1371" s="87">
        <f t="shared" si="132"/>
        <v>-2.2255393635261685E-2</v>
      </c>
      <c r="T1371" s="87">
        <f t="shared" si="132"/>
        <v>-1.7647516813578002E-2</v>
      </c>
      <c r="U1371" s="87">
        <f t="shared" si="132"/>
        <v>1.4778594096118902E-2</v>
      </c>
      <c r="V1371" s="87">
        <f t="shared" si="132"/>
        <v>7.5094220221315683E-3</v>
      </c>
      <c r="W1371" s="87">
        <f t="shared" si="132"/>
        <v>-1.0969031370574046E-2</v>
      </c>
      <c r="X1371" s="87">
        <f t="shared" si="132"/>
        <v>-2.2223136784710235E-2</v>
      </c>
      <c r="Y1371" s="87">
        <f t="shared" si="131"/>
        <v>1.4184634991956381E-2</v>
      </c>
      <c r="Z1371" s="87">
        <f t="shared" si="131"/>
        <v>1.2578782206859965E-2</v>
      </c>
      <c r="AA1371" s="87">
        <f t="shared" si="131"/>
        <v>-8.8106296821549197E-3</v>
      </c>
      <c r="AB1371" s="87">
        <f t="shared" si="131"/>
        <v>-1.1881327886752563E-2</v>
      </c>
      <c r="AC1371" s="87">
        <f t="shared" si="131"/>
        <v>2.3781224049674193E-3</v>
      </c>
      <c r="AD1371" s="87">
        <f t="shared" si="127"/>
        <v>-1.9472103412820182E-2</v>
      </c>
      <c r="AE1371" s="90">
        <f t="shared" si="130"/>
        <v>-4.7448795942561673E-3</v>
      </c>
    </row>
    <row r="1372" spans="1:31" ht="15.5" x14ac:dyDescent="0.35">
      <c r="A1372" s="82">
        <v>41758</v>
      </c>
      <c r="B1372" s="83">
        <v>10583.7</v>
      </c>
      <c r="C1372" s="84">
        <v>4103.5</v>
      </c>
      <c r="D1372" s="61">
        <v>523</v>
      </c>
      <c r="E1372" s="61">
        <v>34.1</v>
      </c>
      <c r="F1372" s="61">
        <v>84.2</v>
      </c>
      <c r="G1372" s="61">
        <v>40.4</v>
      </c>
      <c r="H1372" s="61">
        <v>27.3</v>
      </c>
      <c r="I1372" s="61">
        <v>24.8</v>
      </c>
      <c r="J1372" s="61">
        <v>35.700000000000003</v>
      </c>
      <c r="K1372" s="61">
        <v>8.5</v>
      </c>
      <c r="L1372" s="61">
        <v>57.3</v>
      </c>
      <c r="M1372" s="61">
        <v>51.2</v>
      </c>
      <c r="N1372" s="61">
        <v>83.3</v>
      </c>
      <c r="O1372" s="85">
        <v>35.799999999999997</v>
      </c>
      <c r="P1372" s="105"/>
      <c r="Q1372" s="87">
        <f t="shared" si="129"/>
        <v>5.4191945112621129E-3</v>
      </c>
      <c r="R1372" s="87">
        <f t="shared" si="132"/>
        <v>7.1167714993713603E-3</v>
      </c>
      <c r="S1372" s="87">
        <f t="shared" si="132"/>
        <v>2.3211873861218466E-2</v>
      </c>
      <c r="T1372" s="87">
        <f t="shared" si="132"/>
        <v>1.1799546931155031E-2</v>
      </c>
      <c r="U1372" s="87">
        <f t="shared" si="132"/>
        <v>2.8917677639579802E-2</v>
      </c>
      <c r="V1372" s="87">
        <f t="shared" si="132"/>
        <v>7.4534506545807519E-3</v>
      </c>
      <c r="W1372" s="87">
        <f t="shared" si="132"/>
        <v>3.6697288889624017E-3</v>
      </c>
      <c r="X1372" s="87">
        <f t="shared" si="132"/>
        <v>-7.3819912235267307E-2</v>
      </c>
      <c r="Y1372" s="87">
        <f t="shared" si="131"/>
        <v>5.6179923042232738E-3</v>
      </c>
      <c r="Z1372" s="87">
        <f t="shared" si="131"/>
        <v>6.062462181643484E-2</v>
      </c>
      <c r="AA1372" s="87">
        <f t="shared" si="131"/>
        <v>1.4059985568298511E-2</v>
      </c>
      <c r="AB1372" s="87">
        <f t="shared" si="131"/>
        <v>1.9724505347778573E-2</v>
      </c>
      <c r="AC1372" s="87">
        <f t="shared" si="131"/>
        <v>-1.0746372075484073E-2</v>
      </c>
      <c r="AD1372" s="87">
        <f t="shared" si="127"/>
        <v>5.6022555486697516E-3</v>
      </c>
      <c r="AE1372" s="90">
        <f t="shared" si="130"/>
        <v>1.7878484181345081E-2</v>
      </c>
    </row>
    <row r="1373" spans="1:31" ht="15.5" x14ac:dyDescent="0.35">
      <c r="A1373" s="82">
        <v>41759</v>
      </c>
      <c r="B1373" s="83">
        <v>10627.2</v>
      </c>
      <c r="C1373" s="84">
        <v>4114.6000000000004</v>
      </c>
      <c r="D1373" s="61">
        <v>529.1</v>
      </c>
      <c r="E1373" s="61">
        <v>35.299999999999997</v>
      </c>
      <c r="F1373" s="61">
        <v>84.3</v>
      </c>
      <c r="G1373" s="61">
        <v>40.200000000000003</v>
      </c>
      <c r="H1373" s="61">
        <v>27.6</v>
      </c>
      <c r="I1373" s="61">
        <v>24.8</v>
      </c>
      <c r="J1373" s="61">
        <v>35.700000000000003</v>
      </c>
      <c r="K1373" s="61">
        <v>8.4</v>
      </c>
      <c r="L1373" s="61">
        <v>58</v>
      </c>
      <c r="M1373" s="61">
        <v>51.4</v>
      </c>
      <c r="N1373" s="61">
        <v>83.7</v>
      </c>
      <c r="O1373" s="85">
        <v>36</v>
      </c>
      <c r="P1373" s="105"/>
      <c r="Q1373" s="87">
        <f t="shared" si="129"/>
        <v>4.1016704605553534E-3</v>
      </c>
      <c r="R1373" s="87">
        <f t="shared" si="132"/>
        <v>2.7013559703640425E-3</v>
      </c>
      <c r="S1373" s="87">
        <f t="shared" si="132"/>
        <v>1.1595985845163213E-2</v>
      </c>
      <c r="T1373" s="87">
        <f t="shared" si="132"/>
        <v>3.458557964977995E-2</v>
      </c>
      <c r="U1373" s="87">
        <f t="shared" si="132"/>
        <v>1.1869437595286225E-3</v>
      </c>
      <c r="V1373" s="87">
        <f t="shared" si="132"/>
        <v>-4.962789342128902E-3</v>
      </c>
      <c r="W1373" s="87">
        <f t="shared" si="132"/>
        <v>1.092907053219023E-2</v>
      </c>
      <c r="X1373" s="87">
        <f t="shared" si="132"/>
        <v>0</v>
      </c>
      <c r="Y1373" s="87">
        <f t="shared" si="131"/>
        <v>0</v>
      </c>
      <c r="Z1373" s="87">
        <f t="shared" si="131"/>
        <v>-1.1834457647002796E-2</v>
      </c>
      <c r="AA1373" s="87">
        <f t="shared" si="131"/>
        <v>1.2142386825725561E-2</v>
      </c>
      <c r="AB1373" s="87">
        <f t="shared" si="131"/>
        <v>3.8986404156573229E-3</v>
      </c>
      <c r="AC1373" s="87">
        <f t="shared" si="131"/>
        <v>4.7904283226327393E-3</v>
      </c>
      <c r="AD1373" s="87">
        <f t="shared" si="127"/>
        <v>5.5710450494554295E-3</v>
      </c>
      <c r="AE1373" s="90">
        <f t="shared" si="130"/>
        <v>5.2211625789365451E-3</v>
      </c>
    </row>
    <row r="1374" spans="1:31" ht="15.5" x14ac:dyDescent="0.35">
      <c r="A1374" s="82">
        <v>41760</v>
      </c>
      <c r="B1374" s="83">
        <v>10629.3</v>
      </c>
      <c r="C1374" s="84">
        <v>4127.5</v>
      </c>
      <c r="D1374" s="61">
        <v>532.9</v>
      </c>
      <c r="E1374" s="61">
        <v>36</v>
      </c>
      <c r="F1374" s="61">
        <v>83.8</v>
      </c>
      <c r="G1374" s="61">
        <v>40</v>
      </c>
      <c r="H1374" s="61">
        <v>28.1</v>
      </c>
      <c r="I1374" s="61">
        <v>25</v>
      </c>
      <c r="J1374" s="61">
        <v>36</v>
      </c>
      <c r="K1374" s="61">
        <v>8.4</v>
      </c>
      <c r="L1374" s="61">
        <v>58.6</v>
      </c>
      <c r="M1374" s="61">
        <v>50.9</v>
      </c>
      <c r="N1374" s="61">
        <v>84.4</v>
      </c>
      <c r="O1374" s="85">
        <v>36.299999999999997</v>
      </c>
      <c r="P1374" s="105"/>
      <c r="Q1374" s="87">
        <f t="shared" si="129"/>
        <v>1.9758662120586377E-4</v>
      </c>
      <c r="R1374" s="87">
        <f t="shared" si="132"/>
        <v>3.1302727541527441E-3</v>
      </c>
      <c r="S1374" s="87">
        <f t="shared" si="132"/>
        <v>7.1563393926503639E-3</v>
      </c>
      <c r="T1374" s="87">
        <f t="shared" si="132"/>
        <v>1.9635974516858935E-2</v>
      </c>
      <c r="U1374" s="87">
        <f t="shared" si="132"/>
        <v>-5.9488575197723971E-3</v>
      </c>
      <c r="V1374" s="87">
        <f t="shared" si="132"/>
        <v>-4.9875415110391622E-3</v>
      </c>
      <c r="W1374" s="87">
        <f t="shared" si="132"/>
        <v>1.7953803616595845E-2</v>
      </c>
      <c r="X1374" s="87">
        <f t="shared" si="132"/>
        <v>8.0321716972642527E-3</v>
      </c>
      <c r="Y1374" s="87">
        <f t="shared" si="131"/>
        <v>8.3682496705165792E-3</v>
      </c>
      <c r="Z1374" s="87">
        <f t="shared" si="131"/>
        <v>0</v>
      </c>
      <c r="AA1374" s="87">
        <f t="shared" si="131"/>
        <v>1.0291686036547724E-2</v>
      </c>
      <c r="AB1374" s="87">
        <f t="shared" si="131"/>
        <v>-9.7752489046423301E-3</v>
      </c>
      <c r="AC1374" s="87">
        <f t="shared" si="131"/>
        <v>8.3284241064819093E-3</v>
      </c>
      <c r="AD1374" s="87">
        <f t="shared" si="127"/>
        <v>8.2988028146950641E-3</v>
      </c>
      <c r="AE1374" s="90">
        <f t="shared" si="130"/>
        <v>2.3411104776209953E-3</v>
      </c>
    </row>
    <row r="1375" spans="1:31" ht="15.5" x14ac:dyDescent="0.35">
      <c r="A1375" s="82">
        <v>41761</v>
      </c>
      <c r="B1375" s="83">
        <v>10630</v>
      </c>
      <c r="C1375" s="84">
        <v>4123.8999999999996</v>
      </c>
      <c r="D1375" s="61">
        <v>533.29999999999995</v>
      </c>
      <c r="E1375" s="61">
        <v>36.200000000000003</v>
      </c>
      <c r="F1375" s="61">
        <v>84.2</v>
      </c>
      <c r="G1375" s="61">
        <v>39.700000000000003</v>
      </c>
      <c r="H1375" s="61">
        <v>28.9</v>
      </c>
      <c r="I1375" s="61">
        <v>25.2</v>
      </c>
      <c r="J1375" s="61">
        <v>36.200000000000003</v>
      </c>
      <c r="K1375" s="61">
        <v>8.4</v>
      </c>
      <c r="L1375" s="61">
        <v>57.9</v>
      </c>
      <c r="M1375" s="61">
        <v>51.4</v>
      </c>
      <c r="N1375" s="61">
        <v>84.4</v>
      </c>
      <c r="O1375" s="85">
        <v>36.4</v>
      </c>
      <c r="P1375" s="105"/>
      <c r="Q1375" s="87">
        <f t="shared" si="129"/>
        <v>6.5853532360332827E-5</v>
      </c>
      <c r="R1375" s="87">
        <f t="shared" si="132"/>
        <v>-8.7257925404627572E-4</v>
      </c>
      <c r="S1375" s="87">
        <f t="shared" si="132"/>
        <v>7.5032830381982843E-4</v>
      </c>
      <c r="T1375" s="87">
        <f t="shared" si="132"/>
        <v>5.5401803756153509E-3</v>
      </c>
      <c r="U1375" s="87">
        <f t="shared" si="132"/>
        <v>4.761913760243785E-3</v>
      </c>
      <c r="V1375" s="87">
        <f t="shared" si="132"/>
        <v>-7.5282664207915245E-3</v>
      </c>
      <c r="W1375" s="87">
        <f t="shared" si="132"/>
        <v>2.8072018778686307E-2</v>
      </c>
      <c r="X1375" s="87">
        <f t="shared" si="132"/>
        <v>7.9681696491768813E-3</v>
      </c>
      <c r="Y1375" s="87">
        <f t="shared" si="131"/>
        <v>5.5401803756153509E-3</v>
      </c>
      <c r="Z1375" s="87">
        <f t="shared" si="131"/>
        <v>0</v>
      </c>
      <c r="AA1375" s="87">
        <f t="shared" si="131"/>
        <v>-1.201731200401744E-2</v>
      </c>
      <c r="AB1375" s="87">
        <f t="shared" si="131"/>
        <v>9.7752489046424654E-3</v>
      </c>
      <c r="AC1375" s="87">
        <f t="shared" si="131"/>
        <v>0</v>
      </c>
      <c r="AD1375" s="87">
        <f t="shared" si="127"/>
        <v>2.7510333718900187E-3</v>
      </c>
      <c r="AE1375" s="90">
        <f t="shared" si="130"/>
        <v>1.6541148175212154E-3</v>
      </c>
    </row>
    <row r="1376" spans="1:31" ht="15.5" x14ac:dyDescent="0.35">
      <c r="A1376" s="82">
        <v>41764</v>
      </c>
      <c r="B1376" s="83">
        <v>10630.1</v>
      </c>
      <c r="C1376" s="84">
        <v>4138.1000000000004</v>
      </c>
      <c r="D1376" s="61">
        <v>527.6</v>
      </c>
      <c r="E1376" s="61">
        <v>36.299999999999997</v>
      </c>
      <c r="F1376" s="61">
        <v>84.3</v>
      </c>
      <c r="G1376" s="61">
        <v>39.299999999999997</v>
      </c>
      <c r="H1376" s="61">
        <v>28.6</v>
      </c>
      <c r="I1376" s="61">
        <v>24.9</v>
      </c>
      <c r="J1376" s="61">
        <v>36</v>
      </c>
      <c r="K1376" s="61">
        <v>8.5</v>
      </c>
      <c r="L1376" s="61">
        <v>57.8</v>
      </c>
      <c r="M1376" s="61">
        <v>51.2</v>
      </c>
      <c r="N1376" s="61">
        <v>83.2</v>
      </c>
      <c r="O1376" s="85">
        <v>36.1</v>
      </c>
      <c r="P1376" s="105"/>
      <c r="Q1376" s="87">
        <f t="shared" si="129"/>
        <v>9.4072934747531135E-6</v>
      </c>
      <c r="R1376" s="87">
        <f t="shared" si="132"/>
        <v>3.4374277371478075E-3</v>
      </c>
      <c r="S1376" s="87">
        <f t="shared" si="132"/>
        <v>-1.0745696763396883E-2</v>
      </c>
      <c r="T1376" s="87">
        <f t="shared" si="132"/>
        <v>2.7586224390796607E-3</v>
      </c>
      <c r="U1376" s="87">
        <f t="shared" si="132"/>
        <v>1.1869437595286225E-3</v>
      </c>
      <c r="V1376" s="87">
        <f t="shared" si="132"/>
        <v>-1.0126668817929271E-2</v>
      </c>
      <c r="W1376" s="87">
        <f t="shared" si="132"/>
        <v>-1.0434877292579508E-2</v>
      </c>
      <c r="X1376" s="87">
        <f t="shared" si="132"/>
        <v>-1.1976191046715762E-2</v>
      </c>
      <c r="Y1376" s="87">
        <f t="shared" si="131"/>
        <v>-5.540180375615468E-3</v>
      </c>
      <c r="Z1376" s="87">
        <f t="shared" si="131"/>
        <v>1.1834457647002798E-2</v>
      </c>
      <c r="AA1376" s="87">
        <f t="shared" si="131"/>
        <v>-1.7286089006177425E-3</v>
      </c>
      <c r="AB1376" s="87">
        <f t="shared" si="131"/>
        <v>-3.8986404156571976E-3</v>
      </c>
      <c r="AC1376" s="87">
        <f t="shared" si="131"/>
        <v>-1.4320053774748558E-2</v>
      </c>
      <c r="AD1376" s="87">
        <f t="shared" si="127"/>
        <v>-8.2759093038597097E-3</v>
      </c>
      <c r="AE1376" s="90">
        <f t="shared" si="130"/>
        <v>-2.7821217175786244E-3</v>
      </c>
    </row>
    <row r="1377" spans="1:31" ht="15.5" x14ac:dyDescent="0.35">
      <c r="A1377" s="82">
        <v>41765</v>
      </c>
      <c r="B1377" s="83">
        <v>10568.7</v>
      </c>
      <c r="C1377" s="84">
        <v>4080.8</v>
      </c>
      <c r="D1377" s="61">
        <v>522.29999999999995</v>
      </c>
      <c r="E1377" s="61">
        <v>36.5</v>
      </c>
      <c r="F1377" s="61">
        <v>84.9</v>
      </c>
      <c r="G1377" s="61">
        <v>39</v>
      </c>
      <c r="H1377" s="61">
        <v>28.4</v>
      </c>
      <c r="I1377" s="61">
        <v>24.7</v>
      </c>
      <c r="J1377" s="61">
        <v>35.799999999999997</v>
      </c>
      <c r="K1377" s="61">
        <v>8</v>
      </c>
      <c r="L1377" s="61">
        <v>57</v>
      </c>
      <c r="M1377" s="61">
        <v>49.9</v>
      </c>
      <c r="N1377" s="61">
        <v>82</v>
      </c>
      <c r="O1377" s="85">
        <v>36.1</v>
      </c>
      <c r="P1377" s="105"/>
      <c r="Q1377" s="87">
        <f t="shared" si="129"/>
        <v>-5.7927969222134022E-3</v>
      </c>
      <c r="R1377" s="87">
        <f t="shared" si="132"/>
        <v>-1.3943697668667685E-2</v>
      </c>
      <c r="S1377" s="87">
        <f t="shared" si="132"/>
        <v>-1.0096285400906584E-2</v>
      </c>
      <c r="T1377" s="87">
        <f t="shared" si="132"/>
        <v>5.4945193176407798E-3</v>
      </c>
      <c r="U1377" s="87">
        <f t="shared" si="132"/>
        <v>7.0922283094920569E-3</v>
      </c>
      <c r="V1377" s="87">
        <f t="shared" si="132"/>
        <v>-7.6628727455690252E-3</v>
      </c>
      <c r="W1377" s="87">
        <f t="shared" si="132"/>
        <v>-7.0175726586466465E-3</v>
      </c>
      <c r="X1377" s="87">
        <f t="shared" si="132"/>
        <v>-8.0645598367304078E-3</v>
      </c>
      <c r="Y1377" s="87">
        <f t="shared" si="131"/>
        <v>-5.571045049455472E-3</v>
      </c>
      <c r="Z1377" s="87">
        <f t="shared" si="131"/>
        <v>-6.0624621816434854E-2</v>
      </c>
      <c r="AA1377" s="87">
        <f t="shared" si="131"/>
        <v>-1.3937507843781624E-2</v>
      </c>
      <c r="AB1377" s="87">
        <f t="shared" si="131"/>
        <v>-2.5718529287989234E-2</v>
      </c>
      <c r="AC1377" s="87">
        <f t="shared" si="131"/>
        <v>-1.4528100562909856E-2</v>
      </c>
      <c r="AD1377" s="87">
        <f t="shared" si="127"/>
        <v>0</v>
      </c>
      <c r="AE1377" s="90">
        <f t="shared" si="130"/>
        <v>-5.1074905553764004E-3</v>
      </c>
    </row>
    <row r="1378" spans="1:31" ht="15.5" x14ac:dyDescent="0.35">
      <c r="A1378" s="82">
        <v>41766</v>
      </c>
      <c r="B1378" s="83">
        <v>10626.8</v>
      </c>
      <c r="C1378" s="84">
        <v>4067.7</v>
      </c>
      <c r="D1378" s="61">
        <v>511.1</v>
      </c>
      <c r="E1378" s="61">
        <v>33.700000000000003</v>
      </c>
      <c r="F1378" s="61">
        <v>84</v>
      </c>
      <c r="G1378" s="61">
        <v>38.5</v>
      </c>
      <c r="H1378" s="61">
        <v>28.3</v>
      </c>
      <c r="I1378" s="61">
        <v>24.2</v>
      </c>
      <c r="J1378" s="61">
        <v>35.799999999999997</v>
      </c>
      <c r="K1378" s="61">
        <v>8.3000000000000007</v>
      </c>
      <c r="L1378" s="61">
        <v>55.5</v>
      </c>
      <c r="M1378" s="61">
        <v>49.6</v>
      </c>
      <c r="N1378" s="61">
        <v>82</v>
      </c>
      <c r="O1378" s="85">
        <v>35.799999999999997</v>
      </c>
      <c r="P1378" s="105"/>
      <c r="Q1378" s="87">
        <f t="shared" si="129"/>
        <v>5.4823095015160278E-3</v>
      </c>
      <c r="R1378" s="87">
        <f t="shared" si="132"/>
        <v>-3.2153184723437327E-3</v>
      </c>
      <c r="S1378" s="87">
        <f t="shared" si="132"/>
        <v>-2.1676869668018996E-2</v>
      </c>
      <c r="T1378" s="87">
        <f t="shared" si="132"/>
        <v>-7.9814423230129675E-2</v>
      </c>
      <c r="U1378" s="87">
        <f t="shared" si="132"/>
        <v>-1.0657294473988093E-2</v>
      </c>
      <c r="V1378" s="87">
        <f t="shared" si="132"/>
        <v>-1.2903404835907841E-2</v>
      </c>
      <c r="W1378" s="87">
        <f t="shared" si="132"/>
        <v>-3.5273405179682992E-3</v>
      </c>
      <c r="X1378" s="87">
        <f t="shared" si="132"/>
        <v>-2.0450610471290768E-2</v>
      </c>
      <c r="Y1378" s="87">
        <f t="shared" si="131"/>
        <v>0</v>
      </c>
      <c r="Z1378" s="87">
        <f t="shared" si="131"/>
        <v>3.6813973122716399E-2</v>
      </c>
      <c r="AA1378" s="87">
        <f t="shared" si="131"/>
        <v>-2.6668247082161294E-2</v>
      </c>
      <c r="AB1378" s="87">
        <f t="shared" si="131"/>
        <v>-6.0301690265910758E-3</v>
      </c>
      <c r="AC1378" s="87">
        <f t="shared" si="131"/>
        <v>0</v>
      </c>
      <c r="AD1378" s="87">
        <f t="shared" si="127"/>
        <v>-8.3449719321807576E-3</v>
      </c>
      <c r="AE1378" s="90">
        <f t="shared" si="130"/>
        <v>-1.1371653075775123E-2</v>
      </c>
    </row>
    <row r="1379" spans="1:31" ht="15.5" x14ac:dyDescent="0.35">
      <c r="A1379" s="82">
        <v>41767</v>
      </c>
      <c r="B1379" s="83">
        <v>10610.7</v>
      </c>
      <c r="C1379" s="84">
        <v>4051.5</v>
      </c>
      <c r="D1379" s="61">
        <v>514.5</v>
      </c>
      <c r="E1379" s="61">
        <v>33.6</v>
      </c>
      <c r="F1379" s="61">
        <v>83.8</v>
      </c>
      <c r="G1379" s="61">
        <v>39</v>
      </c>
      <c r="H1379" s="61">
        <v>28</v>
      </c>
      <c r="I1379" s="61">
        <v>24.2</v>
      </c>
      <c r="J1379" s="61">
        <v>36.1</v>
      </c>
      <c r="K1379" s="61">
        <v>8.5</v>
      </c>
      <c r="L1379" s="61">
        <v>54.7</v>
      </c>
      <c r="M1379" s="61">
        <v>50.1</v>
      </c>
      <c r="N1379" s="61">
        <v>83</v>
      </c>
      <c r="O1379" s="85">
        <v>36.1</v>
      </c>
      <c r="P1379" s="105"/>
      <c r="Q1379" s="87">
        <f t="shared" si="129"/>
        <v>-1.5161862822130343E-3</v>
      </c>
      <c r="R1379" s="87">
        <f t="shared" si="132"/>
        <v>-3.9905462355932257E-3</v>
      </c>
      <c r="S1379" s="87">
        <f t="shared" si="132"/>
        <v>6.6302894998702972E-3</v>
      </c>
      <c r="T1379" s="87">
        <f t="shared" si="132"/>
        <v>-2.9717703891574817E-3</v>
      </c>
      <c r="U1379" s="87">
        <f t="shared" si="132"/>
        <v>-2.3837913552762504E-3</v>
      </c>
      <c r="V1379" s="87">
        <f t="shared" si="132"/>
        <v>1.2903404835907782E-2</v>
      </c>
      <c r="W1379" s="87">
        <f t="shared" si="132"/>
        <v>-1.0657294473988093E-2</v>
      </c>
      <c r="X1379" s="87">
        <f t="shared" si="132"/>
        <v>0</v>
      </c>
      <c r="Y1379" s="87">
        <f t="shared" si="131"/>
        <v>8.3449719321806882E-3</v>
      </c>
      <c r="Z1379" s="87">
        <f t="shared" si="131"/>
        <v>2.3810648693718392E-2</v>
      </c>
      <c r="AA1379" s="87">
        <f t="shared" si="131"/>
        <v>-1.4519311324453268E-2</v>
      </c>
      <c r="AB1379" s="87">
        <f t="shared" si="131"/>
        <v>1.0030174359937251E-2</v>
      </c>
      <c r="AC1379" s="87">
        <f t="shared" si="131"/>
        <v>1.212136053234482E-2</v>
      </c>
      <c r="AD1379" s="87">
        <f t="shared" si="127"/>
        <v>8.3449719321806882E-3</v>
      </c>
      <c r="AE1379" s="90">
        <f t="shared" si="130"/>
        <v>1.0776499678358275E-3</v>
      </c>
    </row>
    <row r="1380" spans="1:31" ht="15.5" x14ac:dyDescent="0.35">
      <c r="A1380" s="82">
        <v>41768</v>
      </c>
      <c r="B1380" s="83">
        <v>10606.7</v>
      </c>
      <c r="C1380" s="84">
        <v>4071.9</v>
      </c>
      <c r="D1380" s="61">
        <v>514.29999999999995</v>
      </c>
      <c r="E1380" s="61">
        <v>33.4</v>
      </c>
      <c r="F1380" s="61">
        <v>82.9</v>
      </c>
      <c r="G1380" s="61">
        <v>39.4</v>
      </c>
      <c r="H1380" s="61">
        <v>28.2</v>
      </c>
      <c r="I1380" s="61">
        <v>23.8</v>
      </c>
      <c r="J1380" s="61">
        <v>36</v>
      </c>
      <c r="K1380" s="61">
        <v>8.6</v>
      </c>
      <c r="L1380" s="61">
        <v>54.4</v>
      </c>
      <c r="M1380" s="61">
        <v>50.9</v>
      </c>
      <c r="N1380" s="61">
        <v>83.1</v>
      </c>
      <c r="O1380" s="85">
        <v>36.299999999999997</v>
      </c>
      <c r="P1380" s="105"/>
      <c r="Q1380" s="87">
        <f t="shared" si="129"/>
        <v>-3.770490302665839E-4</v>
      </c>
      <c r="R1380" s="87">
        <f t="shared" si="132"/>
        <v>5.0225380712491654E-3</v>
      </c>
      <c r="S1380" s="87">
        <f t="shared" si="132"/>
        <v>-3.8880249323383729E-4</v>
      </c>
      <c r="T1380" s="87">
        <f t="shared" si="132"/>
        <v>-5.9701669865039079E-3</v>
      </c>
      <c r="U1380" s="87">
        <f t="shared" si="132"/>
        <v>-1.0797945346788011E-2</v>
      </c>
      <c r="V1380" s="87">
        <f t="shared" si="132"/>
        <v>1.0204170174241668E-2</v>
      </c>
      <c r="W1380" s="87">
        <f t="shared" si="132"/>
        <v>7.1174677688639549E-3</v>
      </c>
      <c r="X1380" s="87">
        <f t="shared" si="132"/>
        <v>-1.6667052485211647E-2</v>
      </c>
      <c r="Y1380" s="87">
        <f t="shared" si="131"/>
        <v>-2.7739268827253194E-3</v>
      </c>
      <c r="Z1380" s="87">
        <f t="shared" si="131"/>
        <v>1.1696039763191236E-2</v>
      </c>
      <c r="AA1380" s="87">
        <f t="shared" si="131"/>
        <v>-5.4995555660386584E-3</v>
      </c>
      <c r="AB1380" s="87">
        <f t="shared" si="131"/>
        <v>1.5841915465657923E-2</v>
      </c>
      <c r="AC1380" s="87">
        <f t="shared" si="131"/>
        <v>1.20409406480451E-3</v>
      </c>
      <c r="AD1380" s="87">
        <f t="shared" si="127"/>
        <v>5.5248759319698072E-3</v>
      </c>
      <c r="AE1380" s="90">
        <f t="shared" si="130"/>
        <v>-1.0243431186354041E-3</v>
      </c>
    </row>
    <row r="1381" spans="1:31" ht="15.5" x14ac:dyDescent="0.35">
      <c r="A1381" s="82">
        <v>41771</v>
      </c>
      <c r="B1381" s="83">
        <v>10703.5</v>
      </c>
      <c r="C1381" s="84">
        <v>4143.8999999999996</v>
      </c>
      <c r="D1381" s="61">
        <v>527.5</v>
      </c>
      <c r="E1381" s="61">
        <v>33.9</v>
      </c>
      <c r="F1381" s="61">
        <v>83.9</v>
      </c>
      <c r="G1381" s="61">
        <v>39.700000000000003</v>
      </c>
      <c r="H1381" s="61">
        <v>28.2</v>
      </c>
      <c r="I1381" s="61">
        <v>24</v>
      </c>
      <c r="J1381" s="61">
        <v>36.1</v>
      </c>
      <c r="K1381" s="61">
        <v>8.9</v>
      </c>
      <c r="L1381" s="61">
        <v>54.8</v>
      </c>
      <c r="M1381" s="61">
        <v>51.5</v>
      </c>
      <c r="N1381" s="61">
        <v>84.5</v>
      </c>
      <c r="O1381" s="85">
        <v>36.700000000000003</v>
      </c>
      <c r="P1381" s="105"/>
      <c r="Q1381" s="87">
        <f t="shared" si="129"/>
        <v>9.084913870985846E-3</v>
      </c>
      <c r="R1381" s="87">
        <f t="shared" si="132"/>
        <v>1.752765240199463E-2</v>
      </c>
      <c r="S1381" s="87">
        <f t="shared" si="132"/>
        <v>2.5342112569351132E-2</v>
      </c>
      <c r="T1381" s="87">
        <f t="shared" si="132"/>
        <v>1.4859114403749905E-2</v>
      </c>
      <c r="U1381" s="87">
        <f t="shared" si="132"/>
        <v>1.1990551331911103E-2</v>
      </c>
      <c r="V1381" s="87">
        <f t="shared" si="132"/>
        <v>7.5853713892567844E-3</v>
      </c>
      <c r="W1381" s="87">
        <f t="shared" si="132"/>
        <v>0</v>
      </c>
      <c r="X1381" s="87">
        <f t="shared" si="132"/>
        <v>8.3682496705165792E-3</v>
      </c>
      <c r="Y1381" s="87">
        <f t="shared" si="131"/>
        <v>2.7739268827252244E-3</v>
      </c>
      <c r="Z1381" s="87">
        <f t="shared" si="131"/>
        <v>3.4289073478632165E-2</v>
      </c>
      <c r="AA1381" s="87">
        <f t="shared" si="131"/>
        <v>7.3260400920728812E-3</v>
      </c>
      <c r="AB1381" s="87">
        <f t="shared" si="131"/>
        <v>1.1718884113213479E-2</v>
      </c>
      <c r="AC1381" s="87">
        <f t="shared" si="131"/>
        <v>1.6706832501725818E-2</v>
      </c>
      <c r="AD1381" s="87">
        <f t="shared" si="127"/>
        <v>1.0959013789719602E-2</v>
      </c>
      <c r="AE1381" s="90">
        <f t="shared" si="130"/>
        <v>1.7433768337815674E-2</v>
      </c>
    </row>
    <row r="1382" spans="1:31" ht="15.5" x14ac:dyDescent="0.35">
      <c r="A1382" s="82">
        <v>41772</v>
      </c>
      <c r="B1382" s="83">
        <v>10702.9</v>
      </c>
      <c r="C1382" s="84">
        <v>4130.2</v>
      </c>
      <c r="D1382" s="61">
        <v>537.9</v>
      </c>
      <c r="E1382" s="61">
        <v>34.200000000000003</v>
      </c>
      <c r="F1382" s="61">
        <v>84.4</v>
      </c>
      <c r="G1382" s="61">
        <v>39.9</v>
      </c>
      <c r="H1382" s="61">
        <v>29</v>
      </c>
      <c r="I1382" s="61">
        <v>24.1</v>
      </c>
      <c r="J1382" s="61">
        <v>36.299999999999997</v>
      </c>
      <c r="K1382" s="61">
        <v>9.1</v>
      </c>
      <c r="L1382" s="61">
        <v>55.2</v>
      </c>
      <c r="M1382" s="61">
        <v>51.6</v>
      </c>
      <c r="N1382" s="61">
        <v>84.8</v>
      </c>
      <c r="O1382" s="85">
        <v>37.299999999999997</v>
      </c>
      <c r="P1382" s="105"/>
      <c r="Q1382" s="87">
        <f t="shared" si="129"/>
        <v>-5.6058001360126446E-5</v>
      </c>
      <c r="R1382" s="87">
        <f t="shared" si="132"/>
        <v>-3.3115414413324188E-3</v>
      </c>
      <c r="S1382" s="87">
        <f t="shared" si="132"/>
        <v>1.9523803928975351E-2</v>
      </c>
      <c r="T1382" s="87">
        <f t="shared" si="132"/>
        <v>8.8106296821551262E-3</v>
      </c>
      <c r="U1382" s="87">
        <f t="shared" si="132"/>
        <v>5.9417881287510427E-3</v>
      </c>
      <c r="V1382" s="87">
        <f t="shared" si="132"/>
        <v>5.0251362026729795E-3</v>
      </c>
      <c r="W1382" s="87">
        <f t="shared" si="132"/>
        <v>2.7973852042406162E-2</v>
      </c>
      <c r="X1382" s="87">
        <f t="shared" si="132"/>
        <v>4.158010148663677E-3</v>
      </c>
      <c r="Y1382" s="87">
        <f t="shared" si="131"/>
        <v>5.5248759319698072E-3</v>
      </c>
      <c r="Z1382" s="87">
        <f t="shared" si="131"/>
        <v>2.2223136784710041E-2</v>
      </c>
      <c r="AA1382" s="87">
        <f t="shared" si="131"/>
        <v>7.2727593290798781E-3</v>
      </c>
      <c r="AB1382" s="87">
        <f t="shared" si="131"/>
        <v>1.9398648178266761E-3</v>
      </c>
      <c r="AC1382" s="87">
        <f t="shared" si="131"/>
        <v>3.5440084347291103E-3</v>
      </c>
      <c r="AD1382" s="87">
        <f t="shared" si="127"/>
        <v>1.6216571589245072E-2</v>
      </c>
      <c r="AE1382" s="90">
        <f t="shared" si="130"/>
        <v>8.3933280904973893E-3</v>
      </c>
    </row>
    <row r="1383" spans="1:31" ht="15.5" x14ac:dyDescent="0.35">
      <c r="A1383" s="82">
        <v>41773</v>
      </c>
      <c r="B1383" s="83">
        <v>10656.1</v>
      </c>
      <c r="C1383" s="84">
        <v>4100.6000000000004</v>
      </c>
      <c r="D1383" s="61">
        <v>533.1</v>
      </c>
      <c r="E1383" s="61">
        <v>34</v>
      </c>
      <c r="F1383" s="61">
        <v>84.5</v>
      </c>
      <c r="G1383" s="61">
        <v>40.1</v>
      </c>
      <c r="H1383" s="61">
        <v>28.6</v>
      </c>
      <c r="I1383" s="61">
        <v>24.2</v>
      </c>
      <c r="J1383" s="61">
        <v>36.799999999999997</v>
      </c>
      <c r="K1383" s="61">
        <v>8.5</v>
      </c>
      <c r="L1383" s="61">
        <v>55.6</v>
      </c>
      <c r="M1383" s="61">
        <v>50.8</v>
      </c>
      <c r="N1383" s="61">
        <v>84.5</v>
      </c>
      <c r="O1383" s="85">
        <v>36.799999999999997</v>
      </c>
      <c r="P1383" s="105"/>
      <c r="Q1383" s="87">
        <f t="shared" si="129"/>
        <v>-4.3822346453952533E-3</v>
      </c>
      <c r="R1383" s="87">
        <f t="shared" si="132"/>
        <v>-7.1925274837448339E-3</v>
      </c>
      <c r="S1383" s="87">
        <f t="shared" si="132"/>
        <v>-8.9636454504814934E-3</v>
      </c>
      <c r="T1383" s="87">
        <f t="shared" si="132"/>
        <v>-5.8651194523981339E-3</v>
      </c>
      <c r="U1383" s="87">
        <f t="shared" si="132"/>
        <v>1.184132761216772E-3</v>
      </c>
      <c r="V1383" s="87">
        <f t="shared" si="132"/>
        <v>5.0000104167058392E-3</v>
      </c>
      <c r="W1383" s="87">
        <f t="shared" si="132"/>
        <v>-1.3889112160667037E-2</v>
      </c>
      <c r="X1383" s="87">
        <f t="shared" si="132"/>
        <v>4.1407926660313871E-3</v>
      </c>
      <c r="Y1383" s="87">
        <f t="shared" si="131"/>
        <v>1.3680103904080176E-2</v>
      </c>
      <c r="Z1383" s="87">
        <f t="shared" si="131"/>
        <v>-6.8208250026533579E-2</v>
      </c>
      <c r="AA1383" s="87">
        <f t="shared" si="131"/>
        <v>7.2202479734870973E-3</v>
      </c>
      <c r="AB1383" s="87">
        <f t="shared" si="131"/>
        <v>-1.562531790308087E-2</v>
      </c>
      <c r="AC1383" s="87">
        <f t="shared" si="131"/>
        <v>-3.5440084347292105E-3</v>
      </c>
      <c r="AD1383" s="87">
        <f t="shared" si="127"/>
        <v>-1.3495481474884621E-2</v>
      </c>
      <c r="AE1383" s="90">
        <f t="shared" si="130"/>
        <v>-6.0819474425288849E-3</v>
      </c>
    </row>
    <row r="1384" spans="1:31" ht="15.5" x14ac:dyDescent="0.35">
      <c r="A1384" s="82">
        <v>41774</v>
      </c>
      <c r="B1384" s="83">
        <v>10568.4</v>
      </c>
      <c r="C1384" s="84">
        <v>4069.3</v>
      </c>
      <c r="D1384" s="61">
        <v>525.29999999999995</v>
      </c>
      <c r="E1384" s="61">
        <v>33.4</v>
      </c>
      <c r="F1384" s="61">
        <v>84</v>
      </c>
      <c r="G1384" s="61">
        <v>39.5</v>
      </c>
      <c r="H1384" s="61">
        <v>27.9</v>
      </c>
      <c r="I1384" s="61">
        <v>23.8</v>
      </c>
      <c r="J1384" s="61">
        <v>36.5</v>
      </c>
      <c r="K1384" s="61">
        <v>8.1999999999999993</v>
      </c>
      <c r="L1384" s="61">
        <v>55.5</v>
      </c>
      <c r="M1384" s="61">
        <v>49.1</v>
      </c>
      <c r="N1384" s="61">
        <v>83.1</v>
      </c>
      <c r="O1384" s="85">
        <v>36.200000000000003</v>
      </c>
      <c r="P1384" s="105"/>
      <c r="Q1384" s="87">
        <f t="shared" si="129"/>
        <v>-8.2640815211076982E-3</v>
      </c>
      <c r="R1384" s="87">
        <f t="shared" si="132"/>
        <v>-7.6623099763016558E-3</v>
      </c>
      <c r="S1384" s="87">
        <f t="shared" si="132"/>
        <v>-1.4739495868799581E-2</v>
      </c>
      <c r="T1384" s="87">
        <f t="shared" si="132"/>
        <v>-1.7804624633506707E-2</v>
      </c>
      <c r="U1384" s="87">
        <f t="shared" si="132"/>
        <v>-5.9347355198145777E-3</v>
      </c>
      <c r="V1384" s="87">
        <f t="shared" si="132"/>
        <v>-1.5075662405447386E-2</v>
      </c>
      <c r="W1384" s="87">
        <f t="shared" si="132"/>
        <v>-2.478002899848708E-2</v>
      </c>
      <c r="X1384" s="87">
        <f t="shared" si="132"/>
        <v>-1.6667052485211647E-2</v>
      </c>
      <c r="Y1384" s="87">
        <f t="shared" si="131"/>
        <v>-8.1855845864392939E-3</v>
      </c>
      <c r="Z1384" s="87">
        <f t="shared" si="131"/>
        <v>-3.593200922606344E-2</v>
      </c>
      <c r="AA1384" s="87">
        <f t="shared" si="131"/>
        <v>-1.8001805041478545E-3</v>
      </c>
      <c r="AB1384" s="87">
        <f t="shared" si="131"/>
        <v>-3.4037319783961253E-2</v>
      </c>
      <c r="AC1384" s="87">
        <f t="shared" si="131"/>
        <v>-1.6706832501725673E-2</v>
      </c>
      <c r="AD1384" s="87">
        <f t="shared" si="127"/>
        <v>-1.643872634315972E-2</v>
      </c>
      <c r="AE1384" s="90">
        <f t="shared" si="130"/>
        <v>-1.0307034790090479E-2</v>
      </c>
    </row>
    <row r="1385" spans="1:31" ht="15.5" x14ac:dyDescent="0.35">
      <c r="A1385" s="82">
        <v>41775</v>
      </c>
      <c r="B1385" s="83">
        <v>10603.2</v>
      </c>
      <c r="C1385" s="84">
        <v>4090.6</v>
      </c>
      <c r="D1385" s="61">
        <v>523.6</v>
      </c>
      <c r="E1385" s="61">
        <v>33.1</v>
      </c>
      <c r="F1385" s="61">
        <v>83.6</v>
      </c>
      <c r="G1385" s="61">
        <v>39.299999999999997</v>
      </c>
      <c r="H1385" s="61">
        <v>28.3</v>
      </c>
      <c r="I1385" s="61">
        <v>24.5</v>
      </c>
      <c r="J1385" s="61">
        <v>36.700000000000003</v>
      </c>
      <c r="K1385" s="61">
        <v>9.4</v>
      </c>
      <c r="L1385" s="61">
        <v>55.7</v>
      </c>
      <c r="M1385" s="61">
        <v>49.1</v>
      </c>
      <c r="N1385" s="61">
        <v>83</v>
      </c>
      <c r="O1385" s="85">
        <v>36.4</v>
      </c>
      <c r="P1385" s="105"/>
      <c r="Q1385" s="87">
        <f t="shared" si="129"/>
        <v>3.2874257345485085E-3</v>
      </c>
      <c r="R1385" s="87">
        <f t="shared" si="132"/>
        <v>5.2206640714211163E-3</v>
      </c>
      <c r="S1385" s="87">
        <f t="shared" si="132"/>
        <v>-3.2414939241708443E-3</v>
      </c>
      <c r="T1385" s="87">
        <f t="shared" si="132"/>
        <v>-9.0226175996374197E-3</v>
      </c>
      <c r="U1385" s="87">
        <f t="shared" si="132"/>
        <v>-4.7732787526577709E-3</v>
      </c>
      <c r="V1385" s="87">
        <f t="shared" si="132"/>
        <v>-5.0761530318606607E-3</v>
      </c>
      <c r="W1385" s="87">
        <f t="shared" si="132"/>
        <v>1.4235115821872129E-2</v>
      </c>
      <c r="X1385" s="87">
        <f t="shared" si="132"/>
        <v>2.8987536873252187E-2</v>
      </c>
      <c r="Y1385" s="87">
        <f t="shared" si="131"/>
        <v>5.4644944720787453E-3</v>
      </c>
      <c r="Z1385" s="87">
        <f t="shared" si="131"/>
        <v>0.1365755350057509</v>
      </c>
      <c r="AA1385" s="87">
        <f t="shared" si="131"/>
        <v>3.5971261808494747E-3</v>
      </c>
      <c r="AB1385" s="87">
        <f t="shared" si="131"/>
        <v>0</v>
      </c>
      <c r="AC1385" s="87">
        <f t="shared" si="131"/>
        <v>-1.2040940648045638E-3</v>
      </c>
      <c r="AD1385" s="87">
        <f t="shared" si="127"/>
        <v>5.5096558109694795E-3</v>
      </c>
      <c r="AE1385" s="90">
        <f t="shared" si="130"/>
        <v>-7.9284730990846083E-5</v>
      </c>
    </row>
    <row r="1386" spans="1:31" ht="15.5" x14ac:dyDescent="0.35">
      <c r="A1386" s="82">
        <v>41778</v>
      </c>
      <c r="B1386" s="83">
        <v>10618.6</v>
      </c>
      <c r="C1386" s="84">
        <v>4125.8</v>
      </c>
      <c r="D1386" s="61">
        <v>525.70000000000005</v>
      </c>
      <c r="E1386" s="61">
        <v>33.299999999999997</v>
      </c>
      <c r="F1386" s="61">
        <v>85.3</v>
      </c>
      <c r="G1386" s="61">
        <v>39.5</v>
      </c>
      <c r="H1386" s="61">
        <v>28.8</v>
      </c>
      <c r="I1386" s="61">
        <v>24.5</v>
      </c>
      <c r="J1386" s="61">
        <v>36.799999999999997</v>
      </c>
      <c r="K1386" s="61">
        <v>9.3000000000000007</v>
      </c>
      <c r="L1386" s="61">
        <v>55.6</v>
      </c>
      <c r="M1386" s="61">
        <v>49.3</v>
      </c>
      <c r="N1386" s="61">
        <v>83.8</v>
      </c>
      <c r="O1386" s="85">
        <v>36.9</v>
      </c>
      <c r="P1386" s="105"/>
      <c r="Q1386" s="87">
        <f t="shared" si="129"/>
        <v>1.4513380300625084E-3</v>
      </c>
      <c r="R1386" s="87">
        <f t="shared" si="132"/>
        <v>8.5682818148417068E-3</v>
      </c>
      <c r="S1386" s="87">
        <f t="shared" si="132"/>
        <v>4.0026737896576275E-3</v>
      </c>
      <c r="T1386" s="87">
        <f t="shared" si="132"/>
        <v>6.0241146033808762E-3</v>
      </c>
      <c r="U1386" s="87">
        <f t="shared" si="132"/>
        <v>2.0130934406977625E-2</v>
      </c>
      <c r="V1386" s="87">
        <f t="shared" si="132"/>
        <v>5.0761530318607891E-3</v>
      </c>
      <c r="W1386" s="87">
        <f t="shared" si="132"/>
        <v>1.7513582492708211E-2</v>
      </c>
      <c r="X1386" s="87">
        <f t="shared" si="132"/>
        <v>0</v>
      </c>
      <c r="Y1386" s="87">
        <f t="shared" si="131"/>
        <v>2.7210901143605863E-3</v>
      </c>
      <c r="Z1386" s="87">
        <f t="shared" si="131"/>
        <v>-1.0695289116747919E-2</v>
      </c>
      <c r="AA1386" s="87">
        <f t="shared" si="131"/>
        <v>-1.7969456767016304E-3</v>
      </c>
      <c r="AB1386" s="87">
        <f t="shared" si="131"/>
        <v>4.0650462481693723E-3</v>
      </c>
      <c r="AC1386" s="87">
        <f t="shared" si="131"/>
        <v>9.5923996914395078E-3</v>
      </c>
      <c r="AD1386" s="87">
        <f t="shared" si="127"/>
        <v>1.3642776403786479E-2</v>
      </c>
      <c r="AE1386" s="90">
        <f t="shared" si="130"/>
        <v>1.115464301743767E-2</v>
      </c>
    </row>
    <row r="1387" spans="1:31" ht="15.5" x14ac:dyDescent="0.35">
      <c r="A1387" s="82">
        <v>41779</v>
      </c>
      <c r="B1387" s="83">
        <v>10542</v>
      </c>
      <c r="C1387" s="84">
        <v>4096.8999999999996</v>
      </c>
      <c r="D1387" s="61">
        <v>536.6</v>
      </c>
      <c r="E1387" s="61">
        <v>33.700000000000003</v>
      </c>
      <c r="F1387" s="61">
        <v>85.8</v>
      </c>
      <c r="G1387" s="61">
        <v>39.5</v>
      </c>
      <c r="H1387" s="61">
        <v>29.2</v>
      </c>
      <c r="I1387" s="61">
        <v>24.3</v>
      </c>
      <c r="J1387" s="61">
        <v>36.700000000000003</v>
      </c>
      <c r="K1387" s="61">
        <v>8.8000000000000007</v>
      </c>
      <c r="L1387" s="61">
        <v>55.7</v>
      </c>
      <c r="M1387" s="61">
        <v>49.3</v>
      </c>
      <c r="N1387" s="61">
        <v>83.7</v>
      </c>
      <c r="O1387" s="85">
        <v>36.6</v>
      </c>
      <c r="P1387" s="105"/>
      <c r="Q1387" s="87">
        <f t="shared" si="129"/>
        <v>-7.2399019488727121E-3</v>
      </c>
      <c r="R1387" s="87">
        <f t="shared" si="132"/>
        <v>-7.0293502134097267E-3</v>
      </c>
      <c r="S1387" s="87">
        <f t="shared" si="132"/>
        <v>2.0522230166121345E-2</v>
      </c>
      <c r="T1387" s="87">
        <f t="shared" si="132"/>
        <v>1.1940440371918069E-2</v>
      </c>
      <c r="U1387" s="87">
        <f t="shared" si="132"/>
        <v>5.8445519962832251E-3</v>
      </c>
      <c r="V1387" s="87">
        <f t="shared" si="132"/>
        <v>0</v>
      </c>
      <c r="W1387" s="87">
        <f t="shared" si="132"/>
        <v>1.3793322132335769E-2</v>
      </c>
      <c r="X1387" s="87">
        <f t="shared" si="132"/>
        <v>-8.196767204178515E-3</v>
      </c>
      <c r="Y1387" s="87">
        <f t="shared" si="131"/>
        <v>-2.7210901143605018E-3</v>
      </c>
      <c r="Z1387" s="87">
        <f t="shared" si="131"/>
        <v>-5.5262678675049415E-2</v>
      </c>
      <c r="AA1387" s="87">
        <f t="shared" si="131"/>
        <v>1.7969456767016347E-3</v>
      </c>
      <c r="AB1387" s="87">
        <f t="shared" si="131"/>
        <v>0</v>
      </c>
      <c r="AC1387" s="87">
        <f t="shared" si="131"/>
        <v>-1.1940299926076895E-3</v>
      </c>
      <c r="AD1387" s="87">
        <f t="shared" si="127"/>
        <v>-8.1633106391608701E-3</v>
      </c>
      <c r="AE1387" s="90">
        <f t="shared" si="130"/>
        <v>4.5800885042413912E-3</v>
      </c>
    </row>
    <row r="1388" spans="1:31" ht="15.5" x14ac:dyDescent="0.35">
      <c r="A1388" s="82">
        <v>41780</v>
      </c>
      <c r="B1388" s="83">
        <v>10620.4</v>
      </c>
      <c r="C1388" s="84">
        <v>4131.5</v>
      </c>
      <c r="D1388" s="61">
        <v>542.1</v>
      </c>
      <c r="E1388" s="61">
        <v>33.9</v>
      </c>
      <c r="F1388" s="61">
        <v>86</v>
      </c>
      <c r="G1388" s="61">
        <v>39.700000000000003</v>
      </c>
      <c r="H1388" s="61">
        <v>29.5</v>
      </c>
      <c r="I1388" s="61">
        <v>24.4</v>
      </c>
      <c r="J1388" s="61">
        <v>36.6</v>
      </c>
      <c r="K1388" s="61">
        <v>8.6</v>
      </c>
      <c r="L1388" s="61">
        <v>56.1</v>
      </c>
      <c r="M1388" s="61">
        <v>49.8</v>
      </c>
      <c r="N1388" s="61">
        <v>83.6</v>
      </c>
      <c r="O1388" s="85">
        <v>36.6</v>
      </c>
      <c r="P1388" s="105"/>
      <c r="Q1388" s="87">
        <f t="shared" si="129"/>
        <v>7.4094014549048902E-3</v>
      </c>
      <c r="R1388" s="87">
        <f t="shared" si="132"/>
        <v>8.4099469957411126E-3</v>
      </c>
      <c r="S1388" s="87">
        <f t="shared" si="132"/>
        <v>1.0197548274768733E-2</v>
      </c>
      <c r="T1388" s="87">
        <f t="shared" si="132"/>
        <v>5.9171770280885185E-3</v>
      </c>
      <c r="U1388" s="87">
        <f t="shared" si="132"/>
        <v>2.3282897595911681E-3</v>
      </c>
      <c r="V1388" s="87">
        <f t="shared" si="132"/>
        <v>5.0505157860685716E-3</v>
      </c>
      <c r="W1388" s="87">
        <f t="shared" si="132"/>
        <v>1.0221554071538009E-2</v>
      </c>
      <c r="X1388" s="87">
        <f t="shared" si="132"/>
        <v>4.1067819526532812E-3</v>
      </c>
      <c r="Y1388" s="87">
        <f t="shared" si="131"/>
        <v>-2.7285146532040625E-3</v>
      </c>
      <c r="Z1388" s="87">
        <f t="shared" si="131"/>
        <v>-2.2989518224698833E-2</v>
      </c>
      <c r="AA1388" s="87">
        <f t="shared" si="131"/>
        <v>7.155665595412232E-3</v>
      </c>
      <c r="AB1388" s="87">
        <f t="shared" si="131"/>
        <v>1.009090298196272E-2</v>
      </c>
      <c r="AC1388" s="87">
        <f t="shared" si="131"/>
        <v>-1.1954574047737456E-3</v>
      </c>
      <c r="AD1388" s="87">
        <f t="shared" si="127"/>
        <v>0</v>
      </c>
      <c r="AE1388" s="90">
        <f t="shared" si="130"/>
        <v>6.1720960352165928E-3</v>
      </c>
    </row>
    <row r="1389" spans="1:31" ht="15.5" x14ac:dyDescent="0.35">
      <c r="A1389" s="82">
        <v>41781</v>
      </c>
      <c r="B1389" s="83">
        <v>10644.5</v>
      </c>
      <c r="C1389" s="84">
        <v>4154.3</v>
      </c>
      <c r="D1389" s="61">
        <v>551</v>
      </c>
      <c r="E1389" s="61">
        <v>34.299999999999997</v>
      </c>
      <c r="F1389" s="61">
        <v>86.3</v>
      </c>
      <c r="G1389" s="61">
        <v>39.9</v>
      </c>
      <c r="H1389" s="61">
        <v>26.1</v>
      </c>
      <c r="I1389" s="61">
        <v>24.5</v>
      </c>
      <c r="J1389" s="61">
        <v>36.299999999999997</v>
      </c>
      <c r="K1389" s="61">
        <v>8.6</v>
      </c>
      <c r="L1389" s="61">
        <v>56</v>
      </c>
      <c r="M1389" s="61">
        <v>50.1</v>
      </c>
      <c r="N1389" s="61">
        <v>84.2</v>
      </c>
      <c r="O1389" s="85">
        <v>37</v>
      </c>
      <c r="P1389" s="105"/>
      <c r="Q1389" s="87">
        <f t="shared" si="129"/>
        <v>2.2666469457358882E-3</v>
      </c>
      <c r="R1389" s="87">
        <f t="shared" si="132"/>
        <v>5.5034052345369214E-3</v>
      </c>
      <c r="S1389" s="87">
        <f t="shared" si="132"/>
        <v>1.6284322886621919E-2</v>
      </c>
      <c r="T1389" s="87">
        <f t="shared" si="132"/>
        <v>1.17303397854896E-2</v>
      </c>
      <c r="U1389" s="87">
        <f t="shared" si="132"/>
        <v>3.4823018358744904E-3</v>
      </c>
      <c r="V1389" s="87">
        <f t="shared" si="132"/>
        <v>5.0251362026729795E-3</v>
      </c>
      <c r="W1389" s="87">
        <f t="shared" si="132"/>
        <v>-0.12245494901712636</v>
      </c>
      <c r="X1389" s="87">
        <f t="shared" si="132"/>
        <v>4.0899852515250664E-3</v>
      </c>
      <c r="Y1389" s="87">
        <f t="shared" si="131"/>
        <v>-8.230499136515591E-3</v>
      </c>
      <c r="Z1389" s="87">
        <f t="shared" si="131"/>
        <v>0</v>
      </c>
      <c r="AA1389" s="87">
        <f t="shared" si="131"/>
        <v>-1.7841217935014426E-3</v>
      </c>
      <c r="AB1389" s="87">
        <f t="shared" si="131"/>
        <v>6.0060240602119487E-3</v>
      </c>
      <c r="AC1389" s="87">
        <f t="shared" si="131"/>
        <v>7.1514011576253068E-3</v>
      </c>
      <c r="AD1389" s="87">
        <f t="shared" si="127"/>
        <v>1.0869672236903891E-2</v>
      </c>
      <c r="AE1389" s="90">
        <f t="shared" si="130"/>
        <v>8.7340215534720753E-3</v>
      </c>
    </row>
    <row r="1390" spans="1:31" ht="15.5" x14ac:dyDescent="0.35">
      <c r="A1390" s="82">
        <v>41782</v>
      </c>
      <c r="B1390" s="83">
        <v>10681.9</v>
      </c>
      <c r="C1390" s="84">
        <v>4185.8</v>
      </c>
      <c r="D1390" s="61">
        <v>554.20000000000005</v>
      </c>
      <c r="E1390" s="61">
        <v>34.5</v>
      </c>
      <c r="F1390" s="61">
        <v>86.6</v>
      </c>
      <c r="G1390" s="61">
        <v>40</v>
      </c>
      <c r="H1390" s="61">
        <v>26.8</v>
      </c>
      <c r="I1390" s="61">
        <v>24.7</v>
      </c>
      <c r="J1390" s="61">
        <v>36</v>
      </c>
      <c r="K1390" s="61">
        <v>8.6</v>
      </c>
      <c r="L1390" s="61">
        <v>56.5</v>
      </c>
      <c r="M1390" s="61">
        <v>50.5</v>
      </c>
      <c r="N1390" s="61">
        <v>84.4</v>
      </c>
      <c r="O1390" s="85">
        <v>37.5</v>
      </c>
      <c r="P1390" s="105"/>
      <c r="Q1390" s="87">
        <f t="shared" si="129"/>
        <v>3.5073934973207871E-3</v>
      </c>
      <c r="R1390" s="87">
        <f t="shared" si="132"/>
        <v>7.5539021801015052E-3</v>
      </c>
      <c r="S1390" s="87">
        <f t="shared" si="132"/>
        <v>5.7908232759637151E-3</v>
      </c>
      <c r="T1390" s="87">
        <f t="shared" si="132"/>
        <v>5.8139698654198161E-3</v>
      </c>
      <c r="U1390" s="87">
        <f t="shared" si="132"/>
        <v>3.4702174790071237E-3</v>
      </c>
      <c r="V1390" s="87">
        <f t="shared" si="132"/>
        <v>2.5031302181184748E-3</v>
      </c>
      <c r="W1390" s="87">
        <f t="shared" si="132"/>
        <v>2.6466573188163273E-2</v>
      </c>
      <c r="X1390" s="87">
        <f t="shared" si="132"/>
        <v>8.1301260832500888E-3</v>
      </c>
      <c r="Y1390" s="87">
        <f t="shared" si="131"/>
        <v>-8.2988028146950658E-3</v>
      </c>
      <c r="Z1390" s="87">
        <f t="shared" si="131"/>
        <v>0</v>
      </c>
      <c r="AA1390" s="87">
        <f t="shared" si="131"/>
        <v>8.8889474172459942E-3</v>
      </c>
      <c r="AB1390" s="87">
        <f t="shared" si="131"/>
        <v>7.9523281904950154E-3</v>
      </c>
      <c r="AC1390" s="87">
        <f t="shared" si="131"/>
        <v>2.3724803536303955E-3</v>
      </c>
      <c r="AD1390" s="87">
        <f t="shared" si="127"/>
        <v>1.3423020332140771E-2</v>
      </c>
      <c r="AE1390" s="90">
        <f t="shared" si="130"/>
        <v>6.5834321915311115E-3</v>
      </c>
    </row>
    <row r="1391" spans="1:31" ht="15.5" x14ac:dyDescent="0.35">
      <c r="A1391" s="82">
        <v>41786</v>
      </c>
      <c r="B1391" s="83">
        <v>10720.6</v>
      </c>
      <c r="C1391" s="84">
        <v>4237.1000000000004</v>
      </c>
      <c r="D1391" s="61">
        <v>564.20000000000005</v>
      </c>
      <c r="E1391" s="61">
        <v>34.700000000000003</v>
      </c>
      <c r="F1391" s="61">
        <v>88</v>
      </c>
      <c r="G1391" s="61">
        <v>39.799999999999997</v>
      </c>
      <c r="H1391" s="61">
        <v>26.8</v>
      </c>
      <c r="I1391" s="61">
        <v>25.7</v>
      </c>
      <c r="J1391" s="61">
        <v>36.1</v>
      </c>
      <c r="K1391" s="61">
        <v>8.8000000000000007</v>
      </c>
      <c r="L1391" s="61">
        <v>56.5</v>
      </c>
      <c r="M1391" s="61">
        <v>50.8</v>
      </c>
      <c r="N1391" s="61">
        <v>84.5</v>
      </c>
      <c r="O1391" s="85">
        <v>38.1</v>
      </c>
      <c r="P1391" s="105"/>
      <c r="Q1391" s="87">
        <f t="shared" si="129"/>
        <v>3.6164038946625955E-3</v>
      </c>
      <c r="R1391" s="87">
        <f t="shared" si="132"/>
        <v>1.218122839707747E-2</v>
      </c>
      <c r="S1391" s="87">
        <f t="shared" si="132"/>
        <v>1.7883166139017977E-2</v>
      </c>
      <c r="T1391" s="87">
        <f t="shared" si="132"/>
        <v>5.7803629154995493E-3</v>
      </c>
      <c r="U1391" s="87">
        <f t="shared" si="132"/>
        <v>1.6036998909817104E-2</v>
      </c>
      <c r="V1391" s="87">
        <f t="shared" si="132"/>
        <v>-5.0125418235443982E-3</v>
      </c>
      <c r="W1391" s="87">
        <f t="shared" si="132"/>
        <v>0</v>
      </c>
      <c r="X1391" s="87">
        <f t="shared" si="132"/>
        <v>3.9687748267242542E-2</v>
      </c>
      <c r="Y1391" s="87">
        <f t="shared" si="131"/>
        <v>2.7739268827252244E-3</v>
      </c>
      <c r="Z1391" s="87">
        <f t="shared" si="131"/>
        <v>2.2989518224698781E-2</v>
      </c>
      <c r="AA1391" s="87">
        <f t="shared" si="131"/>
        <v>0</v>
      </c>
      <c r="AB1391" s="87">
        <f t="shared" si="131"/>
        <v>5.9230183031220712E-3</v>
      </c>
      <c r="AC1391" s="87">
        <f t="shared" si="131"/>
        <v>1.184132761216772E-3</v>
      </c>
      <c r="AD1391" s="87">
        <f t="shared" si="127"/>
        <v>1.5873349156290163E-2</v>
      </c>
      <c r="AE1391" s="90">
        <f t="shared" si="130"/>
        <v>1.5401838040213417E-2</v>
      </c>
    </row>
    <row r="1392" spans="1:31" ht="15.5" x14ac:dyDescent="0.35">
      <c r="A1392" s="82">
        <v>41787</v>
      </c>
      <c r="B1392" s="83">
        <v>10702.7</v>
      </c>
      <c r="C1392" s="84">
        <v>4225.1000000000004</v>
      </c>
      <c r="D1392" s="61">
        <v>570</v>
      </c>
      <c r="E1392" s="61">
        <v>34.4</v>
      </c>
      <c r="F1392" s="61">
        <v>89.1</v>
      </c>
      <c r="G1392" s="61">
        <v>39.799999999999997</v>
      </c>
      <c r="H1392" s="61">
        <v>26.7</v>
      </c>
      <c r="I1392" s="61">
        <v>25.8</v>
      </c>
      <c r="J1392" s="61">
        <v>36.1</v>
      </c>
      <c r="K1392" s="61">
        <v>8.6</v>
      </c>
      <c r="L1392" s="61">
        <v>56.4</v>
      </c>
      <c r="M1392" s="61">
        <v>50.9</v>
      </c>
      <c r="N1392" s="61">
        <v>83.8</v>
      </c>
      <c r="O1392" s="85">
        <v>38</v>
      </c>
      <c r="P1392" s="105"/>
      <c r="Q1392" s="87">
        <f t="shared" si="129"/>
        <v>-1.67107814066754E-3</v>
      </c>
      <c r="R1392" s="87">
        <f t="shared" si="132"/>
        <v>-2.8361438027252007E-3</v>
      </c>
      <c r="S1392" s="87">
        <f t="shared" si="132"/>
        <v>1.0227562260699753E-2</v>
      </c>
      <c r="T1392" s="87">
        <f t="shared" si="132"/>
        <v>-8.6831225734609937E-3</v>
      </c>
      <c r="U1392" s="87">
        <f t="shared" si="132"/>
        <v>1.242251999855711E-2</v>
      </c>
      <c r="V1392" s="87">
        <f t="shared" si="132"/>
        <v>0</v>
      </c>
      <c r="W1392" s="87">
        <f t="shared" si="132"/>
        <v>-3.7383221106072153E-3</v>
      </c>
      <c r="X1392" s="87">
        <f t="shared" ref="X1392:Z1455" si="133">+LN(I1392/I1391)</f>
        <v>3.8835000263976122E-3</v>
      </c>
      <c r="Y1392" s="87">
        <f t="shared" si="131"/>
        <v>0</v>
      </c>
      <c r="Z1392" s="87">
        <f t="shared" si="131"/>
        <v>-2.2989518224698833E-2</v>
      </c>
      <c r="AA1392" s="87">
        <f t="shared" si="131"/>
        <v>-1.7714796483821156E-3</v>
      </c>
      <c r="AB1392" s="87">
        <f t="shared" si="131"/>
        <v>1.9665689720408473E-3</v>
      </c>
      <c r="AC1392" s="87">
        <f t="shared" si="131"/>
        <v>-8.318526875090871E-3</v>
      </c>
      <c r="AD1392" s="87">
        <f t="shared" si="127"/>
        <v>-2.6281224062695806E-3</v>
      </c>
      <c r="AE1392" s="90">
        <f t="shared" si="130"/>
        <v>5.3767738468219655E-3</v>
      </c>
    </row>
    <row r="1393" spans="1:31" ht="15.5" x14ac:dyDescent="0.35">
      <c r="A1393" s="82">
        <v>41788</v>
      </c>
      <c r="B1393" s="83">
        <v>10752.1</v>
      </c>
      <c r="C1393" s="84">
        <v>4248</v>
      </c>
      <c r="D1393" s="61">
        <v>568.5</v>
      </c>
      <c r="E1393" s="61">
        <v>34.700000000000003</v>
      </c>
      <c r="F1393" s="61">
        <v>89.7</v>
      </c>
      <c r="G1393" s="61">
        <v>39.9</v>
      </c>
      <c r="H1393" s="61">
        <v>26.3</v>
      </c>
      <c r="I1393" s="61">
        <v>25.4</v>
      </c>
      <c r="J1393" s="61">
        <v>36.1</v>
      </c>
      <c r="K1393" s="61">
        <v>8.6999999999999993</v>
      </c>
      <c r="L1393" s="61">
        <v>56.6</v>
      </c>
      <c r="M1393" s="61">
        <v>50.4</v>
      </c>
      <c r="N1393" s="61">
        <v>83.7</v>
      </c>
      <c r="O1393" s="85">
        <v>38</v>
      </c>
      <c r="P1393" s="105"/>
      <c r="Q1393" s="87">
        <f t="shared" si="129"/>
        <v>4.6050382478097958E-3</v>
      </c>
      <c r="R1393" s="87">
        <f t="shared" ref="R1393:W1429" si="134">+LN(C1393/C1392)</f>
        <v>5.4053547715449696E-3</v>
      </c>
      <c r="S1393" s="87">
        <f t="shared" si="134"/>
        <v>-2.6350476380051138E-3</v>
      </c>
      <c r="T1393" s="87">
        <f t="shared" si="134"/>
        <v>8.6831225734608566E-3</v>
      </c>
      <c r="U1393" s="87">
        <f t="shared" si="134"/>
        <v>6.711434587986999E-3</v>
      </c>
      <c r="V1393" s="87">
        <f t="shared" si="134"/>
        <v>2.509411605425707E-3</v>
      </c>
      <c r="W1393" s="87">
        <f t="shared" si="134"/>
        <v>-1.5094626222484904E-2</v>
      </c>
      <c r="X1393" s="87">
        <f t="shared" si="133"/>
        <v>-1.562531790308087E-2</v>
      </c>
      <c r="Y1393" s="87">
        <f t="shared" si="131"/>
        <v>0</v>
      </c>
      <c r="Z1393" s="87">
        <f t="shared" si="131"/>
        <v>1.1560822401076006E-2</v>
      </c>
      <c r="AA1393" s="87">
        <f t="shared" si="131"/>
        <v>3.5398267051239868E-3</v>
      </c>
      <c r="AB1393" s="87">
        <f t="shared" si="131"/>
        <v>-9.8717484791541171E-3</v>
      </c>
      <c r="AC1393" s="87">
        <f t="shared" si="131"/>
        <v>-1.1940299926076895E-3</v>
      </c>
      <c r="AD1393" s="87">
        <f t="shared" si="127"/>
        <v>0</v>
      </c>
      <c r="AE1393" s="90">
        <f t="shared" si="130"/>
        <v>2.7678594291432831E-3</v>
      </c>
    </row>
    <row r="1394" spans="1:31" ht="15.5" x14ac:dyDescent="0.35">
      <c r="A1394" s="82">
        <v>41789</v>
      </c>
      <c r="B1394" s="83">
        <v>10756.3</v>
      </c>
      <c r="C1394" s="84">
        <v>4242.6000000000004</v>
      </c>
      <c r="D1394" s="61">
        <v>565.79999999999995</v>
      </c>
      <c r="E1394" s="61">
        <v>34.1</v>
      </c>
      <c r="F1394" s="61">
        <v>89.8</v>
      </c>
      <c r="G1394" s="61">
        <v>40.299999999999997</v>
      </c>
      <c r="H1394" s="61">
        <v>26.4</v>
      </c>
      <c r="I1394" s="61">
        <v>26.1</v>
      </c>
      <c r="J1394" s="61">
        <v>36.200000000000003</v>
      </c>
      <c r="K1394" s="61">
        <v>8.9</v>
      </c>
      <c r="L1394" s="61">
        <v>57.5</v>
      </c>
      <c r="M1394" s="61">
        <v>50.6</v>
      </c>
      <c r="N1394" s="61">
        <v>83.6</v>
      </c>
      <c r="O1394" s="85">
        <v>38.200000000000003</v>
      </c>
      <c r="P1394" s="105"/>
      <c r="Q1394" s="87">
        <f t="shared" si="129"/>
        <v>3.9054509432430939E-4</v>
      </c>
      <c r="R1394" s="87">
        <f t="shared" si="134"/>
        <v>-1.2719950835245917E-3</v>
      </c>
      <c r="S1394" s="87">
        <f t="shared" si="134"/>
        <v>-4.760654323124008E-3</v>
      </c>
      <c r="T1394" s="87">
        <f t="shared" si="134"/>
        <v>-1.7442302663342485E-2</v>
      </c>
      <c r="U1394" s="87">
        <f t="shared" si="134"/>
        <v>1.1142062434033359E-3</v>
      </c>
      <c r="V1394" s="87">
        <f t="shared" si="134"/>
        <v>9.9751450568195243E-3</v>
      </c>
      <c r="W1394" s="87">
        <f t="shared" si="134"/>
        <v>3.7950709685515343E-3</v>
      </c>
      <c r="X1394" s="87">
        <f t="shared" si="133"/>
        <v>2.7186140304156996E-2</v>
      </c>
      <c r="Y1394" s="87">
        <f t="shared" si="131"/>
        <v>2.76625349289011E-3</v>
      </c>
      <c r="Z1394" s="87">
        <f t="shared" si="131"/>
        <v>2.272825107755631E-2</v>
      </c>
      <c r="AA1394" s="87">
        <f t="shared" si="131"/>
        <v>1.57759625941674E-2</v>
      </c>
      <c r="AB1394" s="87">
        <f t="shared" si="131"/>
        <v>3.9604012160969143E-3</v>
      </c>
      <c r="AC1394" s="87">
        <f t="shared" si="131"/>
        <v>-1.1954574047737456E-3</v>
      </c>
      <c r="AD1394" s="87">
        <f t="shared" si="127"/>
        <v>5.249355886143745E-3</v>
      </c>
      <c r="AE1394" s="90">
        <f t="shared" si="130"/>
        <v>-8.1838343428676985E-4</v>
      </c>
    </row>
    <row r="1395" spans="1:31" ht="15.5" x14ac:dyDescent="0.35">
      <c r="A1395" s="82">
        <v>41792</v>
      </c>
      <c r="B1395" s="83">
        <v>10772</v>
      </c>
      <c r="C1395" s="84">
        <v>4237.2</v>
      </c>
      <c r="D1395" s="61">
        <v>556.70000000000005</v>
      </c>
      <c r="E1395" s="61">
        <v>34.299999999999997</v>
      </c>
      <c r="F1395" s="61">
        <v>88.9</v>
      </c>
      <c r="G1395" s="61">
        <v>40.700000000000003</v>
      </c>
      <c r="H1395" s="61">
        <v>26.5</v>
      </c>
      <c r="I1395" s="61">
        <v>25.9</v>
      </c>
      <c r="J1395" s="61">
        <v>35.700000000000003</v>
      </c>
      <c r="K1395" s="61">
        <v>8.6999999999999993</v>
      </c>
      <c r="L1395" s="61">
        <v>57.5</v>
      </c>
      <c r="M1395" s="61">
        <v>51</v>
      </c>
      <c r="N1395" s="61">
        <v>82.7</v>
      </c>
      <c r="O1395" s="85">
        <v>38.200000000000003</v>
      </c>
      <c r="P1395" s="105"/>
      <c r="Q1395" s="87">
        <f t="shared" si="129"/>
        <v>1.4585455222464714E-3</v>
      </c>
      <c r="R1395" s="87">
        <f t="shared" si="134"/>
        <v>-1.2736151159092083E-3</v>
      </c>
      <c r="S1395" s="87">
        <f t="shared" si="134"/>
        <v>-1.6214163678004545E-2</v>
      </c>
      <c r="T1395" s="87">
        <f t="shared" si="134"/>
        <v>5.8479698824228992E-3</v>
      </c>
      <c r="U1395" s="87">
        <f t="shared" si="134"/>
        <v>-1.0072832788294957E-2</v>
      </c>
      <c r="V1395" s="87">
        <f t="shared" si="134"/>
        <v>9.8766234959120989E-3</v>
      </c>
      <c r="W1395" s="87">
        <f t="shared" si="134"/>
        <v>3.7807228399061523E-3</v>
      </c>
      <c r="X1395" s="87">
        <f t="shared" si="133"/>
        <v>-7.6923456231557255E-3</v>
      </c>
      <c r="Y1395" s="87">
        <f t="shared" si="131"/>
        <v>-1.3908430046132E-2</v>
      </c>
      <c r="Z1395" s="87">
        <f t="shared" si="131"/>
        <v>-2.2728251077556289E-2</v>
      </c>
      <c r="AA1395" s="87">
        <f t="shared" si="131"/>
        <v>0</v>
      </c>
      <c r="AB1395" s="87">
        <f t="shared" si="131"/>
        <v>7.8740564309058656E-3</v>
      </c>
      <c r="AC1395" s="87">
        <f t="shared" si="131"/>
        <v>-1.0823918061010169E-2</v>
      </c>
      <c r="AD1395" s="87">
        <f t="shared" si="127"/>
        <v>0</v>
      </c>
      <c r="AE1395" s="90">
        <f t="shared" si="130"/>
        <v>-8.0089079007139852E-3</v>
      </c>
    </row>
    <row r="1396" spans="1:31" ht="15.5" x14ac:dyDescent="0.35">
      <c r="A1396" s="82">
        <v>41793</v>
      </c>
      <c r="B1396" s="83">
        <v>10770.3</v>
      </c>
      <c r="C1396" s="84">
        <v>4234.1000000000004</v>
      </c>
      <c r="D1396" s="61">
        <v>552.5</v>
      </c>
      <c r="E1396" s="61">
        <v>34.6</v>
      </c>
      <c r="F1396" s="61">
        <v>89.8</v>
      </c>
      <c r="G1396" s="61">
        <v>40.299999999999997</v>
      </c>
      <c r="H1396" s="61">
        <v>26.3</v>
      </c>
      <c r="I1396" s="61">
        <v>26.1</v>
      </c>
      <c r="J1396" s="61">
        <v>35.299999999999997</v>
      </c>
      <c r="K1396" s="61">
        <v>8.5</v>
      </c>
      <c r="L1396" s="61">
        <v>57.4</v>
      </c>
      <c r="M1396" s="61">
        <v>51.6</v>
      </c>
      <c r="N1396" s="61">
        <v>82.4</v>
      </c>
      <c r="O1396" s="85">
        <v>37.700000000000003</v>
      </c>
      <c r="P1396" s="105"/>
      <c r="Q1396" s="87">
        <f t="shared" si="129"/>
        <v>-1.5782901579963464E-4</v>
      </c>
      <c r="R1396" s="87">
        <f t="shared" si="134"/>
        <v>-7.3188297861631461E-4</v>
      </c>
      <c r="S1396" s="87">
        <f t="shared" si="134"/>
        <v>-7.5730617975543367E-3</v>
      </c>
      <c r="T1396" s="87">
        <f t="shared" si="134"/>
        <v>8.7083278917844138E-3</v>
      </c>
      <c r="U1396" s="87">
        <f t="shared" si="134"/>
        <v>1.0072832788294944E-2</v>
      </c>
      <c r="V1396" s="87">
        <f t="shared" si="134"/>
        <v>-9.8766234959122012E-3</v>
      </c>
      <c r="W1396" s="87">
        <f t="shared" si="134"/>
        <v>-7.5757938084576558E-3</v>
      </c>
      <c r="X1396" s="87">
        <f t="shared" si="133"/>
        <v>7.6923456231558652E-3</v>
      </c>
      <c r="Y1396" s="87">
        <f t="shared" si="131"/>
        <v>-1.1267724846342494E-2</v>
      </c>
      <c r="Z1396" s="87">
        <f t="shared" si="131"/>
        <v>-2.3256862164267235E-2</v>
      </c>
      <c r="AA1396" s="87">
        <f t="shared" si="131"/>
        <v>-1.7406444777841004E-3</v>
      </c>
      <c r="AB1396" s="87">
        <f t="shared" si="131"/>
        <v>1.1696039763191236E-2</v>
      </c>
      <c r="AC1396" s="87">
        <f t="shared" si="131"/>
        <v>-3.6341651142195734E-3</v>
      </c>
      <c r="AD1396" s="87">
        <f t="shared" si="127"/>
        <v>-1.3175421158564404E-2</v>
      </c>
      <c r="AE1396" s="90">
        <f t="shared" si="130"/>
        <v>-1.1577375554850285E-3</v>
      </c>
    </row>
    <row r="1397" spans="1:31" ht="15.5" x14ac:dyDescent="0.35">
      <c r="A1397" s="82">
        <v>41794</v>
      </c>
      <c r="B1397" s="83">
        <v>10776.8</v>
      </c>
      <c r="C1397" s="84">
        <v>4251.6000000000004</v>
      </c>
      <c r="D1397" s="61">
        <v>548.6</v>
      </c>
      <c r="E1397" s="61">
        <v>34.299999999999997</v>
      </c>
      <c r="F1397" s="61">
        <v>90.9</v>
      </c>
      <c r="G1397" s="61">
        <v>39.9</v>
      </c>
      <c r="H1397" s="61">
        <v>26.4</v>
      </c>
      <c r="I1397" s="61">
        <v>26.1</v>
      </c>
      <c r="J1397" s="61">
        <v>35.4</v>
      </c>
      <c r="K1397" s="61">
        <v>8.3000000000000007</v>
      </c>
      <c r="L1397" s="61">
        <v>57.5</v>
      </c>
      <c r="M1397" s="61">
        <v>53.3</v>
      </c>
      <c r="N1397" s="61">
        <v>82.3</v>
      </c>
      <c r="O1397" s="85">
        <v>37.700000000000003</v>
      </c>
      <c r="P1397" s="105"/>
      <c r="Q1397" s="87">
        <f t="shared" si="129"/>
        <v>6.0332946866809261E-4</v>
      </c>
      <c r="R1397" s="87">
        <f t="shared" si="134"/>
        <v>4.1245919157020068E-3</v>
      </c>
      <c r="S1397" s="87">
        <f t="shared" si="134"/>
        <v>-7.0838548884049318E-3</v>
      </c>
      <c r="T1397" s="87">
        <f t="shared" si="134"/>
        <v>-8.7083278917844207E-3</v>
      </c>
      <c r="U1397" s="87">
        <f t="shared" si="134"/>
        <v>1.2175025875279235E-2</v>
      </c>
      <c r="V1397" s="87">
        <f t="shared" si="134"/>
        <v>-9.9751450568195087E-3</v>
      </c>
      <c r="W1397" s="87">
        <f t="shared" si="134"/>
        <v>3.7950709685515343E-3</v>
      </c>
      <c r="X1397" s="87">
        <f t="shared" si="133"/>
        <v>0</v>
      </c>
      <c r="Y1397" s="87">
        <f t="shared" si="131"/>
        <v>2.828856200477623E-3</v>
      </c>
      <c r="Z1397" s="87">
        <f t="shared" si="131"/>
        <v>-2.3810648693718447E-2</v>
      </c>
      <c r="AA1397" s="87">
        <f t="shared" si="131"/>
        <v>1.7406444777841182E-3</v>
      </c>
      <c r="AB1397" s="87">
        <f t="shared" si="131"/>
        <v>3.2414658684281651E-2</v>
      </c>
      <c r="AC1397" s="87">
        <f t="shared" si="131"/>
        <v>-1.2143292324019422E-3</v>
      </c>
      <c r="AD1397" s="87">
        <f t="shared" si="127"/>
        <v>0</v>
      </c>
      <c r="AE1397" s="90">
        <f t="shared" si="130"/>
        <v>2.6437540342726011E-3</v>
      </c>
    </row>
    <row r="1398" spans="1:31" ht="15.5" x14ac:dyDescent="0.35">
      <c r="A1398" s="82">
        <v>41795</v>
      </c>
      <c r="B1398" s="83">
        <v>10847.7</v>
      </c>
      <c r="C1398" s="84">
        <v>4296.2</v>
      </c>
      <c r="D1398" s="61">
        <v>555.1</v>
      </c>
      <c r="E1398" s="61">
        <v>34.4</v>
      </c>
      <c r="F1398" s="61">
        <v>91.8</v>
      </c>
      <c r="G1398" s="61">
        <v>40.4</v>
      </c>
      <c r="H1398" s="61">
        <v>27</v>
      </c>
      <c r="I1398" s="61">
        <v>26.3</v>
      </c>
      <c r="J1398" s="61">
        <v>35.200000000000003</v>
      </c>
      <c r="K1398" s="61">
        <v>8.3000000000000007</v>
      </c>
      <c r="L1398" s="61">
        <v>57.7</v>
      </c>
      <c r="M1398" s="61">
        <v>54.2</v>
      </c>
      <c r="N1398" s="61">
        <v>82.4</v>
      </c>
      <c r="O1398" s="85">
        <v>37.700000000000003</v>
      </c>
      <c r="P1398" s="105"/>
      <c r="Q1398" s="87">
        <f t="shared" si="129"/>
        <v>6.5574005461592607E-3</v>
      </c>
      <c r="R1398" s="87">
        <f t="shared" si="134"/>
        <v>1.0435528380449718E-2</v>
      </c>
      <c r="S1398" s="87">
        <f t="shared" si="134"/>
        <v>1.1778699192612705E-2</v>
      </c>
      <c r="T1398" s="87">
        <f t="shared" si="134"/>
        <v>2.9112102074585343E-3</v>
      </c>
      <c r="U1398" s="87">
        <f t="shared" si="134"/>
        <v>9.8522964430116395E-3</v>
      </c>
      <c r="V1398" s="87">
        <f t="shared" si="134"/>
        <v>1.2453461071286557E-2</v>
      </c>
      <c r="W1398" s="87">
        <f t="shared" si="134"/>
        <v>2.2472855852058576E-2</v>
      </c>
      <c r="X1398" s="87">
        <f t="shared" si="133"/>
        <v>7.6336248550712051E-3</v>
      </c>
      <c r="Y1398" s="87">
        <f t="shared" si="131"/>
        <v>-5.6657375356771959E-3</v>
      </c>
      <c r="Z1398" s="87">
        <f t="shared" si="131"/>
        <v>0</v>
      </c>
      <c r="AA1398" s="87">
        <f t="shared" si="131"/>
        <v>3.4722257107492787E-3</v>
      </c>
      <c r="AB1398" s="87">
        <f t="shared" si="131"/>
        <v>1.67445772738017E-2</v>
      </c>
      <c r="AC1398" s="87">
        <f t="shared" si="131"/>
        <v>1.2143292324019804E-3</v>
      </c>
      <c r="AD1398" s="87">
        <f t="shared" si="127"/>
        <v>0</v>
      </c>
      <c r="AE1398" s="90">
        <f t="shared" si="130"/>
        <v>9.393571976909534E-3</v>
      </c>
    </row>
    <row r="1399" spans="1:31" ht="15.5" x14ac:dyDescent="0.35">
      <c r="A1399" s="82">
        <v>41796</v>
      </c>
      <c r="B1399" s="83">
        <v>10904.2</v>
      </c>
      <c r="C1399" s="84">
        <v>4321.3999999999996</v>
      </c>
      <c r="D1399" s="61">
        <v>559.6</v>
      </c>
      <c r="E1399" s="61">
        <v>35.1</v>
      </c>
      <c r="F1399" s="61">
        <v>92.1</v>
      </c>
      <c r="G1399" s="61">
        <v>41.2</v>
      </c>
      <c r="H1399" s="61">
        <v>27.5</v>
      </c>
      <c r="I1399" s="61">
        <v>26.8</v>
      </c>
      <c r="J1399" s="61">
        <v>35.299999999999997</v>
      </c>
      <c r="K1399" s="61">
        <v>8.6</v>
      </c>
      <c r="L1399" s="61">
        <v>57.7</v>
      </c>
      <c r="M1399" s="61">
        <v>54.4</v>
      </c>
      <c r="N1399" s="61">
        <v>83.5</v>
      </c>
      <c r="O1399" s="85">
        <v>38.1</v>
      </c>
      <c r="P1399" s="105"/>
      <c r="Q1399" s="87">
        <f t="shared" si="129"/>
        <v>5.194960170524063E-3</v>
      </c>
      <c r="R1399" s="87">
        <f t="shared" si="134"/>
        <v>5.8485127716933361E-3</v>
      </c>
      <c r="S1399" s="87">
        <f t="shared" si="134"/>
        <v>8.073965095210479E-3</v>
      </c>
      <c r="T1399" s="87">
        <f t="shared" si="134"/>
        <v>2.0144566092467495E-2</v>
      </c>
      <c r="U1399" s="87">
        <f t="shared" si="134"/>
        <v>3.2626456348163694E-3</v>
      </c>
      <c r="V1399" s="87">
        <f t="shared" si="134"/>
        <v>1.9608471388376337E-2</v>
      </c>
      <c r="W1399" s="87">
        <f t="shared" si="134"/>
        <v>1.8349138668196617E-2</v>
      </c>
      <c r="X1399" s="87">
        <f t="shared" si="133"/>
        <v>1.8832948333092178E-2</v>
      </c>
      <c r="Y1399" s="87">
        <f t="shared" si="131"/>
        <v>2.8368813351995355E-3</v>
      </c>
      <c r="Z1399" s="87">
        <f t="shared" si="131"/>
        <v>3.5506688456909602E-2</v>
      </c>
      <c r="AA1399" s="87">
        <f t="shared" si="131"/>
        <v>0</v>
      </c>
      <c r="AB1399" s="87">
        <f t="shared" si="131"/>
        <v>3.683245416296368E-3</v>
      </c>
      <c r="AC1399" s="87">
        <f t="shared" si="131"/>
        <v>1.3261194941383612E-2</v>
      </c>
      <c r="AD1399" s="87">
        <f t="shared" si="127"/>
        <v>1.0554187678690171E-2</v>
      </c>
      <c r="AE1399" s="90">
        <f t="shared" si="130"/>
        <v>6.3326122968156923E-3</v>
      </c>
    </row>
    <row r="1400" spans="1:31" ht="15.5" x14ac:dyDescent="0.35">
      <c r="A1400" s="82">
        <v>41799</v>
      </c>
      <c r="B1400" s="83">
        <v>10918.6</v>
      </c>
      <c r="C1400" s="84">
        <v>4336.2</v>
      </c>
      <c r="D1400" s="61">
        <v>565.20000000000005</v>
      </c>
      <c r="E1400" s="61">
        <v>35.5</v>
      </c>
      <c r="F1400" s="61">
        <v>91.8</v>
      </c>
      <c r="G1400" s="61">
        <v>41</v>
      </c>
      <c r="H1400" s="61">
        <v>27.5</v>
      </c>
      <c r="I1400" s="61">
        <v>26.8</v>
      </c>
      <c r="J1400" s="61">
        <v>35.4</v>
      </c>
      <c r="K1400" s="61">
        <v>8.6</v>
      </c>
      <c r="L1400" s="61">
        <v>57.2</v>
      </c>
      <c r="M1400" s="61">
        <v>54.3</v>
      </c>
      <c r="N1400" s="61">
        <v>83.2</v>
      </c>
      <c r="O1400" s="85">
        <v>38.1</v>
      </c>
      <c r="P1400" s="105"/>
      <c r="Q1400" s="87">
        <f t="shared" si="129"/>
        <v>1.3197208506695334E-3</v>
      </c>
      <c r="R1400" s="87">
        <f t="shared" si="134"/>
        <v>3.4189647054206113E-3</v>
      </c>
      <c r="S1400" s="87">
        <f t="shared" si="134"/>
        <v>9.957408019046203E-3</v>
      </c>
      <c r="T1400" s="87">
        <f t="shared" si="134"/>
        <v>1.1331566009550018E-2</v>
      </c>
      <c r="U1400" s="87">
        <f t="shared" si="134"/>
        <v>-3.2626456348163824E-3</v>
      </c>
      <c r="V1400" s="87">
        <f t="shared" si="134"/>
        <v>-4.8661896511730113E-3</v>
      </c>
      <c r="W1400" s="87">
        <f t="shared" si="134"/>
        <v>0</v>
      </c>
      <c r="X1400" s="87">
        <f t="shared" si="133"/>
        <v>0</v>
      </c>
      <c r="Y1400" s="87">
        <f t="shared" si="131"/>
        <v>2.828856200477623E-3</v>
      </c>
      <c r="Z1400" s="87">
        <f t="shared" si="131"/>
        <v>0</v>
      </c>
      <c r="AA1400" s="87">
        <f t="shared" si="131"/>
        <v>-8.7032751283017008E-3</v>
      </c>
      <c r="AB1400" s="87">
        <f t="shared" si="131"/>
        <v>-1.8399269220071826E-3</v>
      </c>
      <c r="AC1400" s="87">
        <f t="shared" si="131"/>
        <v>-3.599284029646873E-3</v>
      </c>
      <c r="AD1400" s="87">
        <f t="shared" si="127"/>
        <v>0</v>
      </c>
      <c r="AE1400" s="90">
        <f t="shared" si="130"/>
        <v>3.0070860219517698E-3</v>
      </c>
    </row>
    <row r="1401" spans="1:31" ht="15.5" x14ac:dyDescent="0.35">
      <c r="A1401" s="82">
        <v>41800</v>
      </c>
      <c r="B1401" s="83">
        <v>10914.2</v>
      </c>
      <c r="C1401" s="84">
        <v>4338</v>
      </c>
      <c r="D1401" s="61">
        <v>566.1</v>
      </c>
      <c r="E1401" s="61">
        <v>35.9</v>
      </c>
      <c r="F1401" s="61">
        <v>93.6</v>
      </c>
      <c r="G1401" s="61">
        <v>40.9</v>
      </c>
      <c r="H1401" s="61">
        <v>27.7</v>
      </c>
      <c r="I1401" s="61">
        <v>26.4</v>
      </c>
      <c r="J1401" s="61">
        <v>35.5</v>
      </c>
      <c r="K1401" s="61">
        <v>8.6</v>
      </c>
      <c r="L1401" s="61">
        <v>57.9</v>
      </c>
      <c r="M1401" s="61">
        <v>54.7</v>
      </c>
      <c r="N1401" s="61">
        <v>82.7</v>
      </c>
      <c r="O1401" s="85">
        <v>38.1</v>
      </c>
      <c r="P1401" s="105"/>
      <c r="Q1401" s="87">
        <f t="shared" si="129"/>
        <v>-4.0306328639184817E-4</v>
      </c>
      <c r="R1401" s="87">
        <f t="shared" si="134"/>
        <v>4.1502386982939058E-4</v>
      </c>
      <c r="S1401" s="87">
        <f t="shared" si="134"/>
        <v>1.5910902322419035E-3</v>
      </c>
      <c r="T1401" s="87">
        <f t="shared" si="134"/>
        <v>1.1204599012863062E-2</v>
      </c>
      <c r="U1401" s="87">
        <f t="shared" si="134"/>
        <v>1.9418085857101516E-2</v>
      </c>
      <c r="V1401" s="87">
        <f t="shared" si="134"/>
        <v>-2.4420036555517443E-3</v>
      </c>
      <c r="W1401" s="87">
        <f t="shared" si="134"/>
        <v>7.2464085207672533E-3</v>
      </c>
      <c r="X1401" s="87">
        <f t="shared" si="133"/>
        <v>-1.5037877364540559E-2</v>
      </c>
      <c r="Y1401" s="87">
        <f t="shared" si="131"/>
        <v>2.8208763416414846E-3</v>
      </c>
      <c r="Z1401" s="87">
        <f t="shared" si="131"/>
        <v>0</v>
      </c>
      <c r="AA1401" s="87">
        <f t="shared" si="131"/>
        <v>1.2163486193197182E-2</v>
      </c>
      <c r="AB1401" s="87">
        <f t="shared" si="131"/>
        <v>7.3394824880459696E-3</v>
      </c>
      <c r="AC1401" s="87">
        <f t="shared" si="131"/>
        <v>-6.0277457975173128E-3</v>
      </c>
      <c r="AD1401" s="87">
        <f t="shared" si="131"/>
        <v>0</v>
      </c>
      <c r="AE1401" s="90">
        <f t="shared" si="130"/>
        <v>6.1426038124817763E-3</v>
      </c>
    </row>
    <row r="1402" spans="1:31" ht="15.5" x14ac:dyDescent="0.35">
      <c r="A1402" s="82">
        <v>41801</v>
      </c>
      <c r="B1402" s="83">
        <v>10872.7</v>
      </c>
      <c r="C1402" s="84">
        <v>4331.8999999999996</v>
      </c>
      <c r="D1402" s="61">
        <v>563.70000000000005</v>
      </c>
      <c r="E1402" s="61">
        <v>36.1</v>
      </c>
      <c r="F1402" s="61">
        <v>93.5</v>
      </c>
      <c r="G1402" s="61">
        <v>40.799999999999997</v>
      </c>
      <c r="H1402" s="61">
        <v>27.6</v>
      </c>
      <c r="I1402" s="61">
        <v>26.1</v>
      </c>
      <c r="J1402" s="61">
        <v>35.9</v>
      </c>
      <c r="K1402" s="61">
        <v>8.6</v>
      </c>
      <c r="L1402" s="61">
        <v>58.4</v>
      </c>
      <c r="M1402" s="61">
        <v>54.6</v>
      </c>
      <c r="N1402" s="61">
        <v>83</v>
      </c>
      <c r="O1402" s="85">
        <v>37.5</v>
      </c>
      <c r="P1402" s="105"/>
      <c r="Q1402" s="87">
        <f t="shared" si="129"/>
        <v>-3.8096333293711187E-3</v>
      </c>
      <c r="R1402" s="87">
        <f t="shared" si="134"/>
        <v>-1.4071675582328978E-3</v>
      </c>
      <c r="S1402" s="87">
        <f t="shared" si="134"/>
        <v>-4.2485459550849099E-3</v>
      </c>
      <c r="T1402" s="87">
        <f t="shared" si="134"/>
        <v>5.555569844602184E-3</v>
      </c>
      <c r="U1402" s="87">
        <f t="shared" si="134"/>
        <v>-1.0689471889049331E-3</v>
      </c>
      <c r="V1402" s="87">
        <f t="shared" si="134"/>
        <v>-2.4479816386401127E-3</v>
      </c>
      <c r="W1402" s="87">
        <f t="shared" si="134"/>
        <v>-3.6166404701884389E-3</v>
      </c>
      <c r="X1402" s="87">
        <f t="shared" si="133"/>
        <v>-1.1428695823622631E-2</v>
      </c>
      <c r="Y1402" s="87">
        <f t="shared" si="131"/>
        <v>1.1204599012863062E-2</v>
      </c>
      <c r="Z1402" s="87">
        <f t="shared" si="131"/>
        <v>0</v>
      </c>
      <c r="AA1402" s="87">
        <f t="shared" si="131"/>
        <v>8.5985052552317708E-3</v>
      </c>
      <c r="AB1402" s="87">
        <f t="shared" si="131"/>
        <v>-1.8298266770762272E-3</v>
      </c>
      <c r="AC1402" s="87">
        <f t="shared" si="131"/>
        <v>3.6210057669523619E-3</v>
      </c>
      <c r="AD1402" s="87">
        <f t="shared" si="131"/>
        <v>-1.5873349156290233E-2</v>
      </c>
      <c r="AE1402" s="90">
        <f t="shared" si="130"/>
        <v>-3.9006504489525343E-3</v>
      </c>
    </row>
    <row r="1403" spans="1:31" ht="15.5" x14ac:dyDescent="0.35">
      <c r="A1403" s="82">
        <v>41802</v>
      </c>
      <c r="B1403" s="83">
        <v>10825</v>
      </c>
      <c r="C1403" s="84">
        <v>4297.6000000000004</v>
      </c>
      <c r="D1403" s="61">
        <v>557.20000000000005</v>
      </c>
      <c r="E1403" s="61">
        <v>36.299999999999997</v>
      </c>
      <c r="F1403" s="61">
        <v>91.9</v>
      </c>
      <c r="G1403" s="61">
        <v>40.299999999999997</v>
      </c>
      <c r="H1403" s="61">
        <v>27.7</v>
      </c>
      <c r="I1403" s="61">
        <v>25.5</v>
      </c>
      <c r="J1403" s="61">
        <v>35.799999999999997</v>
      </c>
      <c r="K1403" s="61">
        <v>8.5</v>
      </c>
      <c r="L1403" s="61">
        <v>58.1</v>
      </c>
      <c r="M1403" s="61">
        <v>54.1</v>
      </c>
      <c r="N1403" s="61">
        <v>82</v>
      </c>
      <c r="O1403" s="85">
        <v>37.299999999999997</v>
      </c>
      <c r="P1403" s="105"/>
      <c r="Q1403" s="87">
        <f t="shared" si="129"/>
        <v>-4.3967864652573437E-3</v>
      </c>
      <c r="R1403" s="87">
        <f t="shared" si="134"/>
        <v>-7.949517499668237E-3</v>
      </c>
      <c r="S1403" s="87">
        <f t="shared" si="134"/>
        <v>-1.1597953181878728E-2</v>
      </c>
      <c r="T1403" s="87">
        <f t="shared" si="134"/>
        <v>5.5248759319698072E-3</v>
      </c>
      <c r="U1403" s="87">
        <f t="shared" si="134"/>
        <v>-1.726040693299993E-2</v>
      </c>
      <c r="V1403" s="87">
        <f t="shared" si="134"/>
        <v>-1.2330612457478674E-2</v>
      </c>
      <c r="W1403" s="87">
        <f t="shared" si="134"/>
        <v>3.6166404701885148E-3</v>
      </c>
      <c r="X1403" s="87">
        <f t="shared" si="133"/>
        <v>-2.3256862164267349E-2</v>
      </c>
      <c r="Y1403" s="87">
        <f t="shared" si="131"/>
        <v>-2.7894020875786365E-3</v>
      </c>
      <c r="Z1403" s="87">
        <f t="shared" si="131"/>
        <v>-1.1696039763191187E-2</v>
      </c>
      <c r="AA1403" s="87">
        <f t="shared" si="131"/>
        <v>-5.1502259763157934E-3</v>
      </c>
      <c r="AB1403" s="87">
        <f t="shared" si="131"/>
        <v>-9.1996968984234869E-3</v>
      </c>
      <c r="AC1403" s="87">
        <f t="shared" si="131"/>
        <v>-1.212136053234485E-2</v>
      </c>
      <c r="AD1403" s="87">
        <f t="shared" si="131"/>
        <v>-5.3476063265953527E-3</v>
      </c>
      <c r="AE1403" s="90">
        <f t="shared" si="130"/>
        <v>-1.1363737274187383E-2</v>
      </c>
    </row>
    <row r="1404" spans="1:31" ht="15.5" x14ac:dyDescent="0.35">
      <c r="A1404" s="82">
        <v>41803</v>
      </c>
      <c r="B1404" s="83">
        <v>10856.2</v>
      </c>
      <c r="C1404" s="84">
        <v>4310.6000000000004</v>
      </c>
      <c r="D1404" s="61">
        <v>553.70000000000005</v>
      </c>
      <c r="E1404" s="61">
        <v>36.6</v>
      </c>
      <c r="F1404" s="61">
        <v>90.9</v>
      </c>
      <c r="G1404" s="61">
        <v>40.9</v>
      </c>
      <c r="H1404" s="61">
        <v>28.1</v>
      </c>
      <c r="I1404" s="61">
        <v>25.7</v>
      </c>
      <c r="J1404" s="61">
        <v>35.9</v>
      </c>
      <c r="K1404" s="61">
        <v>8.5</v>
      </c>
      <c r="L1404" s="61">
        <v>58</v>
      </c>
      <c r="M1404" s="61">
        <v>54.2</v>
      </c>
      <c r="N1404" s="61">
        <v>82</v>
      </c>
      <c r="O1404" s="85">
        <v>36.6</v>
      </c>
      <c r="P1404" s="105"/>
      <c r="Q1404" s="87">
        <f t="shared" si="129"/>
        <v>2.8780714662071478E-3</v>
      </c>
      <c r="R1404" s="87">
        <f t="shared" si="134"/>
        <v>3.0203782167948106E-3</v>
      </c>
      <c r="S1404" s="87">
        <f t="shared" si="134"/>
        <v>-6.3012180767291403E-3</v>
      </c>
      <c r="T1404" s="87">
        <f t="shared" si="134"/>
        <v>8.2304991365156621E-3</v>
      </c>
      <c r="U1404" s="87">
        <f t="shared" si="134"/>
        <v>-1.0941028178208186E-2</v>
      </c>
      <c r="V1404" s="87">
        <f t="shared" si="134"/>
        <v>1.4778594096118902E-2</v>
      </c>
      <c r="W1404" s="87">
        <f t="shared" si="134"/>
        <v>1.4337163146407249E-2</v>
      </c>
      <c r="X1404" s="87">
        <f t="shared" si="133"/>
        <v>7.8125397367936247E-3</v>
      </c>
      <c r="Y1404" s="87">
        <f t="shared" si="131"/>
        <v>2.7894020875785922E-3</v>
      </c>
      <c r="Z1404" s="87">
        <f t="shared" si="131"/>
        <v>0</v>
      </c>
      <c r="AA1404" s="87">
        <f t="shared" si="131"/>
        <v>-1.7226533114461818E-3</v>
      </c>
      <c r="AB1404" s="87">
        <f t="shared" si="131"/>
        <v>1.8467225931647112E-3</v>
      </c>
      <c r="AC1404" s="87">
        <f t="shared" si="131"/>
        <v>0</v>
      </c>
      <c r="AD1404" s="87">
        <f t="shared" si="131"/>
        <v>-1.8945086242449193E-2</v>
      </c>
      <c r="AE1404" s="90">
        <f t="shared" si="130"/>
        <v>-6.3706258801736687E-3</v>
      </c>
    </row>
    <row r="1405" spans="1:31" ht="15.5" x14ac:dyDescent="0.35">
      <c r="A1405" s="82">
        <v>41806</v>
      </c>
      <c r="B1405" s="83">
        <v>10863.2</v>
      </c>
      <c r="C1405" s="84">
        <v>4321.1000000000004</v>
      </c>
      <c r="D1405" s="61">
        <v>550</v>
      </c>
      <c r="E1405" s="61">
        <v>34.799999999999997</v>
      </c>
      <c r="F1405" s="61">
        <v>91.5</v>
      </c>
      <c r="G1405" s="61">
        <v>41</v>
      </c>
      <c r="H1405" s="61">
        <v>28.1</v>
      </c>
      <c r="I1405" s="61">
        <v>26.9</v>
      </c>
      <c r="J1405" s="61">
        <v>35.9</v>
      </c>
      <c r="K1405" s="61">
        <v>8.5</v>
      </c>
      <c r="L1405" s="61">
        <v>57.7</v>
      </c>
      <c r="M1405" s="61">
        <v>54.1</v>
      </c>
      <c r="N1405" s="61">
        <v>81</v>
      </c>
      <c r="O1405" s="85">
        <v>37.200000000000003</v>
      </c>
      <c r="P1405" s="105"/>
      <c r="Q1405" s="87">
        <f t="shared" si="129"/>
        <v>6.4458504768733903E-4</v>
      </c>
      <c r="R1405" s="87">
        <f t="shared" si="134"/>
        <v>2.4328939094501465E-3</v>
      </c>
      <c r="S1405" s="87">
        <f t="shared" si="134"/>
        <v>-6.7047456024049322E-3</v>
      </c>
      <c r="T1405" s="87">
        <f t="shared" si="134"/>
        <v>-5.0430853626892085E-2</v>
      </c>
      <c r="U1405" s="87">
        <f t="shared" si="134"/>
        <v>6.5789710980423402E-3</v>
      </c>
      <c r="V1405" s="87">
        <f t="shared" si="134"/>
        <v>2.4420036555518089E-3</v>
      </c>
      <c r="W1405" s="87">
        <f t="shared" si="134"/>
        <v>0</v>
      </c>
      <c r="X1405" s="87">
        <f t="shared" si="133"/>
        <v>4.563529470661936E-2</v>
      </c>
      <c r="Y1405" s="87">
        <f t="shared" si="131"/>
        <v>0</v>
      </c>
      <c r="Z1405" s="87">
        <f t="shared" si="131"/>
        <v>0</v>
      </c>
      <c r="AA1405" s="87">
        <f t="shared" si="131"/>
        <v>-5.1858370323654137E-3</v>
      </c>
      <c r="AB1405" s="87">
        <f t="shared" si="131"/>
        <v>-1.8467225931646629E-3</v>
      </c>
      <c r="AC1405" s="87">
        <f t="shared" si="131"/>
        <v>-1.2270092591814359E-2</v>
      </c>
      <c r="AD1405" s="87">
        <f t="shared" si="131"/>
        <v>1.6260520871780326E-2</v>
      </c>
      <c r="AE1405" s="90">
        <f t="shared" si="130"/>
        <v>2.6239677071363231E-3</v>
      </c>
    </row>
    <row r="1406" spans="1:31" ht="15.5" x14ac:dyDescent="0.35">
      <c r="A1406" s="82">
        <v>41807</v>
      </c>
      <c r="B1406" s="83">
        <v>10886</v>
      </c>
      <c r="C1406" s="84">
        <v>4337.2</v>
      </c>
      <c r="D1406" s="61">
        <v>547.5</v>
      </c>
      <c r="E1406" s="61">
        <v>34.299999999999997</v>
      </c>
      <c r="F1406" s="61">
        <v>91.8</v>
      </c>
      <c r="G1406" s="61">
        <v>40.299999999999997</v>
      </c>
      <c r="H1406" s="61">
        <v>28.7</v>
      </c>
      <c r="I1406" s="61">
        <v>26.9</v>
      </c>
      <c r="J1406" s="61">
        <v>36.799999999999997</v>
      </c>
      <c r="K1406" s="61">
        <v>8.6</v>
      </c>
      <c r="L1406" s="61">
        <v>57.8</v>
      </c>
      <c r="M1406" s="61">
        <v>54.4</v>
      </c>
      <c r="N1406" s="61">
        <v>81.8</v>
      </c>
      <c r="O1406" s="85">
        <v>37.1</v>
      </c>
      <c r="P1406" s="105"/>
      <c r="Q1406" s="87">
        <f t="shared" si="129"/>
        <v>2.0966296095602699E-3</v>
      </c>
      <c r="R1406" s="87">
        <f t="shared" si="134"/>
        <v>3.7189791428633113E-3</v>
      </c>
      <c r="S1406" s="87">
        <f t="shared" si="134"/>
        <v>-4.5558165358606907E-3</v>
      </c>
      <c r="T1406" s="87">
        <f t="shared" si="134"/>
        <v>-1.4472032608534432E-2</v>
      </c>
      <c r="U1406" s="87">
        <f t="shared" si="134"/>
        <v>3.2733253449691085E-3</v>
      </c>
      <c r="V1406" s="87">
        <f t="shared" si="134"/>
        <v>-1.7220597751670522E-2</v>
      </c>
      <c r="W1406" s="87">
        <f t="shared" si="134"/>
        <v>2.1127546425875277E-2</v>
      </c>
      <c r="X1406" s="87">
        <f t="shared" si="133"/>
        <v>0</v>
      </c>
      <c r="Y1406" s="87">
        <f t="shared" si="131"/>
        <v>2.4760549680652118E-2</v>
      </c>
      <c r="Z1406" s="87">
        <f t="shared" si="131"/>
        <v>1.1696039763191236E-2</v>
      </c>
      <c r="AA1406" s="87">
        <f t="shared" si="131"/>
        <v>1.7316021642778939E-3</v>
      </c>
      <c r="AB1406" s="87">
        <f t="shared" si="131"/>
        <v>5.5299680094609551E-3</v>
      </c>
      <c r="AC1406" s="87">
        <f t="shared" si="131"/>
        <v>9.8280889362624725E-3</v>
      </c>
      <c r="AD1406" s="87">
        <f t="shared" si="131"/>
        <v>-2.6917916657114146E-3</v>
      </c>
      <c r="AE1406" s="90">
        <f t="shared" si="130"/>
        <v>3.8976643105592614E-4</v>
      </c>
    </row>
    <row r="1407" spans="1:31" ht="15.5" x14ac:dyDescent="0.35">
      <c r="A1407" s="82">
        <v>41808</v>
      </c>
      <c r="B1407" s="83">
        <v>10975.5</v>
      </c>
      <c r="C1407" s="84">
        <v>4362.8</v>
      </c>
      <c r="D1407" s="61">
        <v>551.6</v>
      </c>
      <c r="E1407" s="61">
        <v>34.299999999999997</v>
      </c>
      <c r="F1407" s="61">
        <v>91.4</v>
      </c>
      <c r="G1407" s="61">
        <v>41.2</v>
      </c>
      <c r="H1407" s="61">
        <v>29.6</v>
      </c>
      <c r="I1407" s="61">
        <v>26.8</v>
      </c>
      <c r="J1407" s="61">
        <v>37.6</v>
      </c>
      <c r="K1407" s="61">
        <v>8.9</v>
      </c>
      <c r="L1407" s="61">
        <v>57.8</v>
      </c>
      <c r="M1407" s="61">
        <v>55.7</v>
      </c>
      <c r="N1407" s="61">
        <v>82.1</v>
      </c>
      <c r="O1407" s="85">
        <v>37.4</v>
      </c>
      <c r="P1407" s="105"/>
      <c r="Q1407" s="87">
        <f t="shared" si="129"/>
        <v>8.1879559980489632E-3</v>
      </c>
      <c r="R1407" s="87">
        <f t="shared" si="134"/>
        <v>5.8850744565610421E-3</v>
      </c>
      <c r="S1407" s="87">
        <f t="shared" si="134"/>
        <v>7.4606842284909991E-3</v>
      </c>
      <c r="T1407" s="87">
        <f t="shared" si="134"/>
        <v>0</v>
      </c>
      <c r="U1407" s="87">
        <f t="shared" si="134"/>
        <v>-4.3668191663404025E-3</v>
      </c>
      <c r="V1407" s="87">
        <f t="shared" si="134"/>
        <v>2.2086787402843505E-2</v>
      </c>
      <c r="W1407" s="87">
        <f t="shared" si="134"/>
        <v>3.0877238564439229E-2</v>
      </c>
      <c r="X1407" s="87">
        <f t="shared" si="133"/>
        <v>-3.7243990909823282E-3</v>
      </c>
      <c r="Y1407" s="87">
        <f t="shared" si="131"/>
        <v>2.1506205220963682E-2</v>
      </c>
      <c r="Z1407" s="87">
        <f t="shared" si="131"/>
        <v>3.4289073478632165E-2</v>
      </c>
      <c r="AA1407" s="87">
        <f t="shared" si="131"/>
        <v>0</v>
      </c>
      <c r="AB1407" s="87">
        <f t="shared" si="131"/>
        <v>2.3615993071341421E-2</v>
      </c>
      <c r="AC1407" s="87">
        <f t="shared" si="131"/>
        <v>3.6607728496811558E-3</v>
      </c>
      <c r="AD1407" s="87">
        <f t="shared" si="131"/>
        <v>8.053734807096825E-3</v>
      </c>
      <c r="AE1407" s="90">
        <f t="shared" si="130"/>
        <v>3.6785382287552138E-3</v>
      </c>
    </row>
    <row r="1408" spans="1:31" ht="15.5" x14ac:dyDescent="0.35">
      <c r="A1408" s="82">
        <v>41809</v>
      </c>
      <c r="B1408" s="83">
        <v>11003.1</v>
      </c>
      <c r="C1408" s="84">
        <v>4359.3</v>
      </c>
      <c r="D1408" s="61">
        <v>556.70000000000005</v>
      </c>
      <c r="E1408" s="61">
        <v>34.5</v>
      </c>
      <c r="F1408" s="61">
        <v>91.3</v>
      </c>
      <c r="G1408" s="61">
        <v>41.3</v>
      </c>
      <c r="H1408" s="61">
        <v>28.7</v>
      </c>
      <c r="I1408" s="61">
        <v>26.9</v>
      </c>
      <c r="J1408" s="61">
        <v>37.799999999999997</v>
      </c>
      <c r="K1408" s="61">
        <v>9</v>
      </c>
      <c r="L1408" s="61">
        <v>58.1</v>
      </c>
      <c r="M1408" s="61">
        <v>56.1</v>
      </c>
      <c r="N1408" s="61">
        <v>82.8</v>
      </c>
      <c r="O1408" s="85">
        <v>37.6</v>
      </c>
      <c r="P1408" s="105"/>
      <c r="Q1408" s="87">
        <f t="shared" si="129"/>
        <v>2.511535266846816E-3</v>
      </c>
      <c r="R1408" s="87">
        <f t="shared" si="134"/>
        <v>-8.0255905982793232E-4</v>
      </c>
      <c r="S1408" s="87">
        <f t="shared" si="134"/>
        <v>9.2033492703153114E-3</v>
      </c>
      <c r="T1408" s="87">
        <f t="shared" si="134"/>
        <v>5.8139698654198161E-3</v>
      </c>
      <c r="U1408" s="87">
        <f t="shared" si="134"/>
        <v>-1.0946908591816357E-3</v>
      </c>
      <c r="V1408" s="87">
        <f t="shared" si="134"/>
        <v>2.4242436115062545E-3</v>
      </c>
      <c r="W1408" s="87">
        <f t="shared" si="134"/>
        <v>-3.0877238564439344E-2</v>
      </c>
      <c r="X1408" s="87">
        <f t="shared" si="133"/>
        <v>3.7243990909822727E-3</v>
      </c>
      <c r="Y1408" s="87">
        <f t="shared" si="131"/>
        <v>5.3050522296930981E-3</v>
      </c>
      <c r="Z1408" s="87">
        <f t="shared" si="131"/>
        <v>1.1173300598125255E-2</v>
      </c>
      <c r="AA1408" s="87">
        <f t="shared" si="131"/>
        <v>5.1768881795337274E-3</v>
      </c>
      <c r="AB1408" s="87">
        <f t="shared" si="131"/>
        <v>7.155665595412232E-3</v>
      </c>
      <c r="AC1408" s="87">
        <f t="shared" si="131"/>
        <v>8.4900449328314601E-3</v>
      </c>
      <c r="AD1408" s="87">
        <f t="shared" si="131"/>
        <v>5.3333459753626029E-3</v>
      </c>
      <c r="AE1408" s="90">
        <f t="shared" si="130"/>
        <v>2.7890906091749372E-3</v>
      </c>
    </row>
    <row r="1409" spans="1:31" ht="15.5" x14ac:dyDescent="0.35">
      <c r="A1409" s="82">
        <v>41810</v>
      </c>
      <c r="B1409" s="83">
        <v>11018.1</v>
      </c>
      <c r="C1409" s="84">
        <v>4368</v>
      </c>
      <c r="D1409" s="61">
        <v>559.4</v>
      </c>
      <c r="E1409" s="61">
        <v>34</v>
      </c>
      <c r="F1409" s="61">
        <v>90.9</v>
      </c>
      <c r="G1409" s="61">
        <v>41.4</v>
      </c>
      <c r="H1409" s="61">
        <v>28.6</v>
      </c>
      <c r="I1409" s="61">
        <v>27.4</v>
      </c>
      <c r="J1409" s="61">
        <v>38.200000000000003</v>
      </c>
      <c r="K1409" s="61">
        <v>8.9</v>
      </c>
      <c r="L1409" s="61">
        <v>58.4</v>
      </c>
      <c r="M1409" s="61">
        <v>56.3</v>
      </c>
      <c r="N1409" s="61">
        <v>83</v>
      </c>
      <c r="O1409" s="85">
        <v>37.5</v>
      </c>
      <c r="P1409" s="105"/>
      <c r="Q1409" s="87">
        <f t="shared" si="129"/>
        <v>1.3623237897940935E-3</v>
      </c>
      <c r="R1409" s="87">
        <f t="shared" si="134"/>
        <v>1.9937444299810161E-3</v>
      </c>
      <c r="S1409" s="87">
        <f t="shared" si="134"/>
        <v>4.8382855783971664E-3</v>
      </c>
      <c r="T1409" s="87">
        <f t="shared" si="134"/>
        <v>-1.4598799421152636E-2</v>
      </c>
      <c r="U1409" s="87">
        <f t="shared" si="134"/>
        <v>-4.3907864174895462E-3</v>
      </c>
      <c r="V1409" s="87">
        <f t="shared" si="134"/>
        <v>2.4183808642816527E-3</v>
      </c>
      <c r="W1409" s="87">
        <f t="shared" si="134"/>
        <v>-3.4904049397684908E-3</v>
      </c>
      <c r="X1409" s="87">
        <f t="shared" si="133"/>
        <v>1.8416726786231068E-2</v>
      </c>
      <c r="Y1409" s="87">
        <f t="shared" si="131"/>
        <v>1.0526412986987603E-2</v>
      </c>
      <c r="Z1409" s="87">
        <f t="shared" si="131"/>
        <v>-1.1173300598125189E-2</v>
      </c>
      <c r="AA1409" s="87">
        <f t="shared" ref="AA1409:AD1472" si="135">+LN(L1409/L1408)</f>
        <v>5.1502259763158611E-3</v>
      </c>
      <c r="AB1409" s="87">
        <f t="shared" si="135"/>
        <v>3.5587226169939328E-3</v>
      </c>
      <c r="AC1409" s="87">
        <f t="shared" si="135"/>
        <v>2.4125464053839259E-3</v>
      </c>
      <c r="AD1409" s="87">
        <f t="shared" si="135"/>
        <v>-2.6631174194837732E-3</v>
      </c>
      <c r="AE1409" s="90">
        <f t="shared" si="130"/>
        <v>4.3490532770419849E-4</v>
      </c>
    </row>
    <row r="1410" spans="1:31" ht="15.5" x14ac:dyDescent="0.35">
      <c r="A1410" s="82">
        <v>41813</v>
      </c>
      <c r="B1410" s="83">
        <v>11014.1</v>
      </c>
      <c r="C1410" s="84">
        <v>4368.7</v>
      </c>
      <c r="D1410" s="61">
        <v>563.5</v>
      </c>
      <c r="E1410" s="61">
        <v>33.4</v>
      </c>
      <c r="F1410" s="61">
        <v>90.6</v>
      </c>
      <c r="G1410" s="61">
        <v>41.7</v>
      </c>
      <c r="H1410" s="61">
        <v>29</v>
      </c>
      <c r="I1410" s="61">
        <v>27.4</v>
      </c>
      <c r="J1410" s="61">
        <v>38.200000000000003</v>
      </c>
      <c r="K1410" s="61">
        <v>8.6999999999999993</v>
      </c>
      <c r="L1410" s="61">
        <v>58.4</v>
      </c>
      <c r="M1410" s="61">
        <v>56.2</v>
      </c>
      <c r="N1410" s="61">
        <v>83.1</v>
      </c>
      <c r="O1410" s="85">
        <v>37.200000000000003</v>
      </c>
      <c r="P1410" s="105"/>
      <c r="Q1410" s="87">
        <f t="shared" si="129"/>
        <v>-3.6310491407564737E-4</v>
      </c>
      <c r="R1410" s="87">
        <f t="shared" si="134"/>
        <v>1.6024357056952762E-4</v>
      </c>
      <c r="S1410" s="87">
        <f t="shared" si="134"/>
        <v>7.3025527119716703E-3</v>
      </c>
      <c r="T1410" s="87">
        <f t="shared" si="134"/>
        <v>-1.7804624633506707E-2</v>
      </c>
      <c r="U1410" s="87">
        <f t="shared" si="134"/>
        <v>-3.3057881344996554E-3</v>
      </c>
      <c r="V1410" s="87">
        <f t="shared" si="134"/>
        <v>7.2202479734870973E-3</v>
      </c>
      <c r="W1410" s="87">
        <f t="shared" si="134"/>
        <v>1.3889112160667093E-2</v>
      </c>
      <c r="X1410" s="87">
        <f t="shared" si="133"/>
        <v>0</v>
      </c>
      <c r="Y1410" s="87">
        <f t="shared" si="133"/>
        <v>0</v>
      </c>
      <c r="Z1410" s="87">
        <f t="shared" si="133"/>
        <v>-2.2728251077556289E-2</v>
      </c>
      <c r="AA1410" s="87">
        <f t="shared" si="135"/>
        <v>0</v>
      </c>
      <c r="AB1410" s="87">
        <f t="shared" si="135"/>
        <v>-1.7777782459991608E-3</v>
      </c>
      <c r="AC1410" s="87">
        <f t="shared" si="135"/>
        <v>1.20409406480451E-3</v>
      </c>
      <c r="AD1410" s="87">
        <f t="shared" si="135"/>
        <v>-8.0321716972641538E-3</v>
      </c>
      <c r="AE1410" s="90">
        <f t="shared" si="130"/>
        <v>2.6440980147055177E-4</v>
      </c>
    </row>
    <row r="1411" spans="1:31" ht="15.5" x14ac:dyDescent="0.35">
      <c r="A1411" s="82">
        <v>41814</v>
      </c>
      <c r="B1411" s="83">
        <v>10922</v>
      </c>
      <c r="C1411" s="84">
        <v>4350.3999999999996</v>
      </c>
      <c r="D1411" s="61">
        <v>569.20000000000005</v>
      </c>
      <c r="E1411" s="61">
        <v>33.4</v>
      </c>
      <c r="F1411" s="61">
        <v>90.2</v>
      </c>
      <c r="G1411" s="61">
        <v>41.6</v>
      </c>
      <c r="H1411" s="61">
        <v>29.2</v>
      </c>
      <c r="I1411" s="61">
        <v>26.9</v>
      </c>
      <c r="J1411" s="61">
        <v>38.200000000000003</v>
      </c>
      <c r="K1411" s="61">
        <v>8.5</v>
      </c>
      <c r="L1411" s="61">
        <v>57.9</v>
      </c>
      <c r="M1411" s="61">
        <v>55.9</v>
      </c>
      <c r="N1411" s="61">
        <v>83.4</v>
      </c>
      <c r="O1411" s="85">
        <v>37.5</v>
      </c>
      <c r="P1411" s="105"/>
      <c r="Q1411" s="87">
        <f t="shared" si="129"/>
        <v>-8.3971664226608067E-3</v>
      </c>
      <c r="R1411" s="87">
        <f t="shared" si="134"/>
        <v>-4.1976871171044202E-3</v>
      </c>
      <c r="S1411" s="87">
        <f t="shared" si="134"/>
        <v>1.0064532735866384E-2</v>
      </c>
      <c r="T1411" s="87">
        <f t="shared" si="134"/>
        <v>0</v>
      </c>
      <c r="U1411" s="87">
        <f t="shared" si="134"/>
        <v>-4.4247859803555837E-3</v>
      </c>
      <c r="V1411" s="87">
        <f t="shared" si="134"/>
        <v>-2.4009615375381503E-3</v>
      </c>
      <c r="W1411" s="87">
        <f t="shared" si="134"/>
        <v>6.8728792877620504E-3</v>
      </c>
      <c r="X1411" s="87">
        <f t="shared" si="133"/>
        <v>-1.8416726786231151E-2</v>
      </c>
      <c r="Y1411" s="87">
        <f t="shared" si="133"/>
        <v>0</v>
      </c>
      <c r="Z1411" s="87">
        <f t="shared" si="133"/>
        <v>-2.3256862164267235E-2</v>
      </c>
      <c r="AA1411" s="87">
        <f t="shared" si="135"/>
        <v>-8.5985052552317934E-3</v>
      </c>
      <c r="AB1411" s="87">
        <f t="shared" si="135"/>
        <v>-5.3523767385919539E-3</v>
      </c>
      <c r="AC1411" s="87">
        <f t="shared" si="135"/>
        <v>3.6036075032986181E-3</v>
      </c>
      <c r="AD1411" s="87">
        <f t="shared" si="135"/>
        <v>8.0321716972642527E-3</v>
      </c>
      <c r="AE1411" s="90">
        <f t="shared" si="130"/>
        <v>1.399363581040659E-3</v>
      </c>
    </row>
    <row r="1412" spans="1:31" ht="15.5" x14ac:dyDescent="0.35">
      <c r="A1412" s="82">
        <v>41815</v>
      </c>
      <c r="B1412" s="83">
        <v>10962.9</v>
      </c>
      <c r="C1412" s="84">
        <v>4379.8</v>
      </c>
      <c r="D1412" s="61">
        <v>573.29999999999995</v>
      </c>
      <c r="E1412" s="61">
        <v>33.1</v>
      </c>
      <c r="F1412" s="61">
        <v>89.7</v>
      </c>
      <c r="G1412" s="61">
        <v>41.5</v>
      </c>
      <c r="H1412" s="61">
        <v>28.8</v>
      </c>
      <c r="I1412" s="61">
        <v>26.8</v>
      </c>
      <c r="J1412" s="61">
        <v>37.799999999999997</v>
      </c>
      <c r="K1412" s="61">
        <v>8.5</v>
      </c>
      <c r="L1412" s="61">
        <v>57.7</v>
      </c>
      <c r="M1412" s="61">
        <v>55.3</v>
      </c>
      <c r="N1412" s="61">
        <v>83.3</v>
      </c>
      <c r="O1412" s="85">
        <v>37.5</v>
      </c>
      <c r="P1412" s="105"/>
      <c r="Q1412" s="87">
        <f t="shared" si="129"/>
        <v>3.7377413300335649E-3</v>
      </c>
      <c r="R1412" s="87">
        <f t="shared" si="134"/>
        <v>6.7352663492835693E-3</v>
      </c>
      <c r="S1412" s="87">
        <f t="shared" si="134"/>
        <v>7.1772736986395495E-3</v>
      </c>
      <c r="T1412" s="87">
        <f t="shared" si="134"/>
        <v>-9.0226175996374197E-3</v>
      </c>
      <c r="U1412" s="87">
        <f t="shared" si="134"/>
        <v>-5.5586580038274932E-3</v>
      </c>
      <c r="V1412" s="87">
        <f t="shared" si="134"/>
        <v>-2.4067400305649764E-3</v>
      </c>
      <c r="W1412" s="87">
        <f t="shared" si="134"/>
        <v>-1.3793322132335761E-2</v>
      </c>
      <c r="X1412" s="87">
        <f t="shared" si="133"/>
        <v>-3.7243990909823282E-3</v>
      </c>
      <c r="Y1412" s="87">
        <f t="shared" si="133"/>
        <v>-1.0526412986987617E-2</v>
      </c>
      <c r="Z1412" s="87">
        <f t="shared" si="133"/>
        <v>0</v>
      </c>
      <c r="AA1412" s="87">
        <f t="shared" si="135"/>
        <v>-3.4602110648956196E-3</v>
      </c>
      <c r="AB1412" s="87">
        <f t="shared" si="135"/>
        <v>-1.0791471632764432E-2</v>
      </c>
      <c r="AC1412" s="87">
        <f t="shared" si="135"/>
        <v>-1.1997601919041712E-3</v>
      </c>
      <c r="AD1412" s="87">
        <f t="shared" si="135"/>
        <v>0</v>
      </c>
      <c r="AE1412" s="90">
        <f t="shared" si="130"/>
        <v>2.5306990134765861E-3</v>
      </c>
    </row>
    <row r="1413" spans="1:31" ht="15.5" x14ac:dyDescent="0.35">
      <c r="A1413" s="82">
        <v>41816</v>
      </c>
      <c r="B1413" s="83">
        <v>10949.5</v>
      </c>
      <c r="C1413" s="84">
        <v>4379</v>
      </c>
      <c r="D1413" s="61">
        <v>579.6</v>
      </c>
      <c r="E1413" s="61">
        <v>33</v>
      </c>
      <c r="F1413" s="61">
        <v>89.8</v>
      </c>
      <c r="G1413" s="61">
        <v>41.4</v>
      </c>
      <c r="H1413" s="61">
        <v>30.9</v>
      </c>
      <c r="I1413" s="61">
        <v>26.9</v>
      </c>
      <c r="J1413" s="61">
        <v>37.700000000000003</v>
      </c>
      <c r="K1413" s="61">
        <v>8.5</v>
      </c>
      <c r="L1413" s="61">
        <v>58.3</v>
      </c>
      <c r="M1413" s="61">
        <v>54.8</v>
      </c>
      <c r="N1413" s="61">
        <v>82.8</v>
      </c>
      <c r="O1413" s="85">
        <v>37.799999999999997</v>
      </c>
      <c r="P1413" s="105"/>
      <c r="Q1413" s="87">
        <f t="shared" si="129"/>
        <v>-1.2230519404878156E-3</v>
      </c>
      <c r="R1413" s="87">
        <f t="shared" si="134"/>
        <v>-1.8267342609137936E-4</v>
      </c>
      <c r="S1413" s="87">
        <f t="shared" si="134"/>
        <v>1.0929070532190449E-2</v>
      </c>
      <c r="T1413" s="87">
        <f t="shared" si="134"/>
        <v>-3.0257209165370676E-3</v>
      </c>
      <c r="U1413" s="87">
        <f t="shared" si="134"/>
        <v>1.1142062434033359E-3</v>
      </c>
      <c r="V1413" s="87">
        <f t="shared" si="134"/>
        <v>-2.4125464053839896E-3</v>
      </c>
      <c r="W1413" s="87">
        <f t="shared" si="134"/>
        <v>7.0380796761799397E-2</v>
      </c>
      <c r="X1413" s="87">
        <f t="shared" si="133"/>
        <v>3.7243990909822727E-3</v>
      </c>
      <c r="Y1413" s="87">
        <f t="shared" si="133"/>
        <v>-2.6490081715767307E-3</v>
      </c>
      <c r="Z1413" s="87">
        <f t="shared" si="133"/>
        <v>0</v>
      </c>
      <c r="AA1413" s="87">
        <f t="shared" si="135"/>
        <v>1.034491984239273E-2</v>
      </c>
      <c r="AB1413" s="87">
        <f t="shared" si="135"/>
        <v>-9.0827145743192506E-3</v>
      </c>
      <c r="AC1413" s="87">
        <f t="shared" si="135"/>
        <v>-6.0204877815830246E-3</v>
      </c>
      <c r="AD1413" s="87">
        <f t="shared" si="135"/>
        <v>7.9681696491768813E-3</v>
      </c>
      <c r="AE1413" s="90">
        <f t="shared" si="130"/>
        <v>4.4319978832829633E-3</v>
      </c>
    </row>
    <row r="1414" spans="1:31" ht="15.5" x14ac:dyDescent="0.35">
      <c r="A1414" s="82">
        <v>41817</v>
      </c>
      <c r="B1414" s="83">
        <v>10974.4</v>
      </c>
      <c r="C1414" s="84">
        <v>4397.8999999999996</v>
      </c>
      <c r="D1414" s="61">
        <v>582.6</v>
      </c>
      <c r="E1414" s="61">
        <v>33.700000000000003</v>
      </c>
      <c r="F1414" s="61">
        <v>90.8</v>
      </c>
      <c r="G1414" s="61">
        <v>41.5</v>
      </c>
      <c r="H1414" s="61">
        <v>30.4</v>
      </c>
      <c r="I1414" s="61">
        <v>27.2</v>
      </c>
      <c r="J1414" s="61">
        <v>37.700000000000003</v>
      </c>
      <c r="K1414" s="61">
        <v>8.6999999999999993</v>
      </c>
      <c r="L1414" s="61">
        <v>57.5</v>
      </c>
      <c r="M1414" s="61">
        <v>55</v>
      </c>
      <c r="N1414" s="61">
        <v>82.5</v>
      </c>
      <c r="O1414" s="85">
        <v>38.799999999999997</v>
      </c>
      <c r="P1414" s="105"/>
      <c r="Q1414" s="87">
        <f t="shared" si="129"/>
        <v>2.2714946434119797E-3</v>
      </c>
      <c r="R1414" s="87">
        <f t="shared" si="134"/>
        <v>4.3067664468010788E-3</v>
      </c>
      <c r="S1414" s="87">
        <f t="shared" si="134"/>
        <v>5.1626340788069056E-3</v>
      </c>
      <c r="T1414" s="87">
        <f t="shared" si="134"/>
        <v>2.099027589183583E-2</v>
      </c>
      <c r="U1414" s="87">
        <f t="shared" si="134"/>
        <v>1.1074310299093715E-2</v>
      </c>
      <c r="V1414" s="87">
        <f t="shared" si="134"/>
        <v>2.4125464053839259E-3</v>
      </c>
      <c r="W1414" s="87">
        <f t="shared" si="134"/>
        <v>-1.6313575491523794E-2</v>
      </c>
      <c r="X1414" s="87">
        <f t="shared" si="133"/>
        <v>1.1090686694158138E-2</v>
      </c>
      <c r="Y1414" s="87">
        <f t="shared" si="133"/>
        <v>0</v>
      </c>
      <c r="Z1414" s="87">
        <f t="shared" si="133"/>
        <v>2.3256862164267183E-2</v>
      </c>
      <c r="AA1414" s="87">
        <f t="shared" si="135"/>
        <v>-1.3817145553141843E-2</v>
      </c>
      <c r="AB1414" s="87">
        <f t="shared" si="135"/>
        <v>3.6429912785012298E-3</v>
      </c>
      <c r="AC1414" s="87">
        <f t="shared" si="135"/>
        <v>-3.6297680505787237E-3</v>
      </c>
      <c r="AD1414" s="87">
        <f t="shared" si="135"/>
        <v>2.6111144003685804E-2</v>
      </c>
      <c r="AE1414" s="90">
        <f t="shared" si="130"/>
        <v>9.1427220491452806E-3</v>
      </c>
    </row>
    <row r="1415" spans="1:31" ht="15.5" x14ac:dyDescent="0.35">
      <c r="A1415" s="82">
        <v>41820</v>
      </c>
      <c r="B1415" s="83">
        <v>10979.4</v>
      </c>
      <c r="C1415" s="84">
        <v>4408.2</v>
      </c>
      <c r="D1415" s="61">
        <v>583.29999999999995</v>
      </c>
      <c r="E1415" s="61">
        <v>34.9</v>
      </c>
      <c r="F1415" s="61">
        <v>92.1</v>
      </c>
      <c r="G1415" s="61">
        <v>41.7</v>
      </c>
      <c r="H1415" s="61">
        <v>30.8</v>
      </c>
      <c r="I1415" s="61">
        <v>27.5</v>
      </c>
      <c r="J1415" s="61">
        <v>37.799999999999997</v>
      </c>
      <c r="K1415" s="61">
        <v>8.9</v>
      </c>
      <c r="L1415" s="61">
        <v>57.5</v>
      </c>
      <c r="M1415" s="61">
        <v>55.2</v>
      </c>
      <c r="N1415" s="61">
        <v>82.5</v>
      </c>
      <c r="O1415" s="85">
        <v>38.5</v>
      </c>
      <c r="P1415" s="105"/>
      <c r="Q1415" s="87">
        <f t="shared" si="129"/>
        <v>4.5550201663960266E-4</v>
      </c>
      <c r="R1415" s="87">
        <f t="shared" si="134"/>
        <v>2.3392886060872413E-3</v>
      </c>
      <c r="S1415" s="87">
        <f t="shared" si="134"/>
        <v>1.2007892342575418E-3</v>
      </c>
      <c r="T1415" s="87">
        <f t="shared" si="134"/>
        <v>3.4988991850065342E-2</v>
      </c>
      <c r="U1415" s="87">
        <f t="shared" si="134"/>
        <v>1.4215657654013607E-2</v>
      </c>
      <c r="V1415" s="87">
        <f t="shared" si="134"/>
        <v>4.8077015681032989E-3</v>
      </c>
      <c r="W1415" s="87">
        <f t="shared" si="134"/>
        <v>1.3072081567352921E-2</v>
      </c>
      <c r="X1415" s="87">
        <f t="shared" si="133"/>
        <v>1.0969031370573937E-2</v>
      </c>
      <c r="Y1415" s="87">
        <f t="shared" si="133"/>
        <v>2.6490081715768625E-3</v>
      </c>
      <c r="Z1415" s="87">
        <f t="shared" si="133"/>
        <v>2.272825107755631E-2</v>
      </c>
      <c r="AA1415" s="87">
        <f t="shared" si="135"/>
        <v>0</v>
      </c>
      <c r="AB1415" s="87">
        <f t="shared" si="135"/>
        <v>3.6297680505787311E-3</v>
      </c>
      <c r="AC1415" s="87">
        <f t="shared" si="135"/>
        <v>0</v>
      </c>
      <c r="AD1415" s="87">
        <f t="shared" si="135"/>
        <v>-7.7620053354891892E-3</v>
      </c>
      <c r="AE1415" s="90">
        <f t="shared" si="130"/>
        <v>4.1740982068376991E-3</v>
      </c>
    </row>
    <row r="1416" spans="1:31" ht="15.5" x14ac:dyDescent="0.35">
      <c r="A1416" s="82">
        <v>41821</v>
      </c>
      <c r="B1416" s="83">
        <v>11046.6</v>
      </c>
      <c r="C1416" s="84">
        <v>4458.6000000000004</v>
      </c>
      <c r="D1416" s="61">
        <v>586.29999999999995</v>
      </c>
      <c r="E1416" s="61">
        <v>35.200000000000003</v>
      </c>
      <c r="F1416" s="61">
        <v>93.1</v>
      </c>
      <c r="G1416" s="61">
        <v>41.7</v>
      </c>
      <c r="H1416" s="61">
        <v>31</v>
      </c>
      <c r="I1416" s="61">
        <v>27.7</v>
      </c>
      <c r="J1416" s="61">
        <v>37.799999999999997</v>
      </c>
      <c r="K1416" s="61">
        <v>9</v>
      </c>
      <c r="L1416" s="61">
        <v>57.5</v>
      </c>
      <c r="M1416" s="61">
        <v>55.6</v>
      </c>
      <c r="N1416" s="61">
        <v>83.4</v>
      </c>
      <c r="O1416" s="85">
        <v>38.9</v>
      </c>
      <c r="P1416" s="105"/>
      <c r="Q1416" s="87">
        <f t="shared" si="129"/>
        <v>6.1018985295196466E-3</v>
      </c>
      <c r="R1416" s="87">
        <f t="shared" si="134"/>
        <v>1.1368372537191836E-2</v>
      </c>
      <c r="S1416" s="87">
        <f t="shared" si="134"/>
        <v>5.1299702105775426E-3</v>
      </c>
      <c r="T1416" s="87">
        <f t="shared" si="134"/>
        <v>8.5592533956701314E-3</v>
      </c>
      <c r="U1416" s="87">
        <f t="shared" si="134"/>
        <v>1.079924102176023E-2</v>
      </c>
      <c r="V1416" s="87">
        <f t="shared" si="134"/>
        <v>0</v>
      </c>
      <c r="W1416" s="87">
        <f t="shared" si="134"/>
        <v>6.4725145056175196E-3</v>
      </c>
      <c r="X1416" s="87">
        <f t="shared" si="133"/>
        <v>7.2464085207672533E-3</v>
      </c>
      <c r="Y1416" s="87">
        <f t="shared" si="133"/>
        <v>0</v>
      </c>
      <c r="Z1416" s="87">
        <f t="shared" si="133"/>
        <v>1.1173300598125255E-2</v>
      </c>
      <c r="AA1416" s="87">
        <f t="shared" si="135"/>
        <v>0</v>
      </c>
      <c r="AB1416" s="87">
        <f t="shared" si="135"/>
        <v>7.2202479734870973E-3</v>
      </c>
      <c r="AC1416" s="87">
        <f t="shared" si="135"/>
        <v>1.0850016024065844E-2</v>
      </c>
      <c r="AD1416" s="87">
        <f t="shared" si="135"/>
        <v>1.0336009330662073E-2</v>
      </c>
      <c r="AE1416" s="90">
        <f t="shared" si="130"/>
        <v>9.2537720884511357E-3</v>
      </c>
    </row>
    <row r="1417" spans="1:31" ht="15.5" x14ac:dyDescent="0.35">
      <c r="A1417" s="82">
        <v>41822</v>
      </c>
      <c r="B1417" s="83">
        <v>11050.3</v>
      </c>
      <c r="C1417" s="84">
        <v>4457.7</v>
      </c>
      <c r="D1417" s="61">
        <v>589.1</v>
      </c>
      <c r="E1417" s="61">
        <v>35.4</v>
      </c>
      <c r="F1417" s="61">
        <v>93.1</v>
      </c>
      <c r="G1417" s="61">
        <v>41.5</v>
      </c>
      <c r="H1417" s="61">
        <v>30.7</v>
      </c>
      <c r="I1417" s="61">
        <v>27.6</v>
      </c>
      <c r="J1417" s="61">
        <v>37.9</v>
      </c>
      <c r="K1417" s="61">
        <v>9.1999999999999993</v>
      </c>
      <c r="L1417" s="61">
        <v>58.4</v>
      </c>
      <c r="M1417" s="61">
        <v>56</v>
      </c>
      <c r="N1417" s="61">
        <v>84.3</v>
      </c>
      <c r="O1417" s="85">
        <v>38.799999999999997</v>
      </c>
      <c r="P1417" s="105"/>
      <c r="Q1417" s="87">
        <f t="shared" si="129"/>
        <v>3.3488860741355525E-4</v>
      </c>
      <c r="R1417" s="87">
        <f t="shared" si="134"/>
        <v>-2.0187746106730848E-4</v>
      </c>
      <c r="S1417" s="87">
        <f t="shared" si="134"/>
        <v>4.7643445574723688E-3</v>
      </c>
      <c r="T1417" s="87">
        <f t="shared" si="134"/>
        <v>5.6657375356772999E-3</v>
      </c>
      <c r="U1417" s="87">
        <f t="shared" si="134"/>
        <v>0</v>
      </c>
      <c r="V1417" s="87">
        <f t="shared" si="134"/>
        <v>-4.8077015681032322E-3</v>
      </c>
      <c r="W1417" s="87">
        <f t="shared" si="134"/>
        <v>-9.7245498919947444E-3</v>
      </c>
      <c r="X1417" s="87">
        <f t="shared" si="133"/>
        <v>-3.6166404701884389E-3</v>
      </c>
      <c r="Y1417" s="87">
        <f t="shared" si="133"/>
        <v>2.6420094628387975E-3</v>
      </c>
      <c r="Z1417" s="87">
        <f t="shared" si="133"/>
        <v>2.1978906718775167E-2</v>
      </c>
      <c r="AA1417" s="87">
        <f t="shared" si="135"/>
        <v>1.553094203087666E-2</v>
      </c>
      <c r="AB1417" s="87">
        <f t="shared" si="135"/>
        <v>7.168489478612497E-3</v>
      </c>
      <c r="AC1417" s="87">
        <f t="shared" si="135"/>
        <v>1.0733555643108633E-2</v>
      </c>
      <c r="AD1417" s="87">
        <f t="shared" si="135"/>
        <v>-2.5740039951728773E-3</v>
      </c>
      <c r="AE1417" s="90">
        <f t="shared" si="130"/>
        <v>1.021451984649652E-3</v>
      </c>
    </row>
    <row r="1418" spans="1:31" ht="15.5" x14ac:dyDescent="0.35">
      <c r="A1418" s="82">
        <v>41823</v>
      </c>
      <c r="B1418" s="83">
        <v>11104.7</v>
      </c>
      <c r="C1418" s="84">
        <v>4485.8999999999996</v>
      </c>
      <c r="D1418" s="61">
        <v>589</v>
      </c>
      <c r="E1418" s="61">
        <v>35.9</v>
      </c>
      <c r="F1418" s="61">
        <v>93.2</v>
      </c>
      <c r="G1418" s="61">
        <v>41.6</v>
      </c>
      <c r="H1418" s="61">
        <v>31</v>
      </c>
      <c r="I1418" s="61">
        <v>27.8</v>
      </c>
      <c r="J1418" s="61">
        <v>37.799999999999997</v>
      </c>
      <c r="K1418" s="61">
        <v>9.1999999999999993</v>
      </c>
      <c r="L1418" s="61">
        <v>59.1</v>
      </c>
      <c r="M1418" s="61">
        <v>56.7</v>
      </c>
      <c r="N1418" s="61">
        <v>84.8</v>
      </c>
      <c r="O1418" s="85">
        <v>38.5</v>
      </c>
      <c r="P1418" s="105"/>
      <c r="Q1418" s="87">
        <f t="shared" si="129"/>
        <v>4.9108652068184586E-3</v>
      </c>
      <c r="R1418" s="87">
        <f t="shared" si="134"/>
        <v>6.3062063274962749E-3</v>
      </c>
      <c r="S1418" s="87">
        <f t="shared" si="134"/>
        <v>-1.6976487605494347E-4</v>
      </c>
      <c r="T1418" s="87">
        <f t="shared" si="134"/>
        <v>1.4025475354504458E-2</v>
      </c>
      <c r="U1418" s="87">
        <f t="shared" si="134"/>
        <v>1.0735374085241852E-3</v>
      </c>
      <c r="V1418" s="87">
        <f t="shared" si="134"/>
        <v>2.4067400305650593E-3</v>
      </c>
      <c r="W1418" s="87">
        <f t="shared" si="134"/>
        <v>9.7245498919947809E-3</v>
      </c>
      <c r="X1418" s="87">
        <f t="shared" si="133"/>
        <v>7.2202479734870973E-3</v>
      </c>
      <c r="Y1418" s="87">
        <f t="shared" si="133"/>
        <v>-2.6420094628386965E-3</v>
      </c>
      <c r="Z1418" s="87">
        <f t="shared" si="133"/>
        <v>0</v>
      </c>
      <c r="AA1418" s="87">
        <f t="shared" si="135"/>
        <v>1.1915034577871244E-2</v>
      </c>
      <c r="AB1418" s="87">
        <f t="shared" si="135"/>
        <v>1.242251999855711E-2</v>
      </c>
      <c r="AC1418" s="87">
        <f t="shared" si="135"/>
        <v>5.9136777900477069E-3</v>
      </c>
      <c r="AD1418" s="87">
        <f t="shared" si="135"/>
        <v>-7.7620053354891892E-3</v>
      </c>
      <c r="AE1418" s="90">
        <f t="shared" si="130"/>
        <v>1.2040827824254434E-3</v>
      </c>
    </row>
    <row r="1419" spans="1:31" ht="15.5" x14ac:dyDescent="0.35">
      <c r="A1419" s="82">
        <v>41827</v>
      </c>
      <c r="B1419" s="83">
        <v>11035.8</v>
      </c>
      <c r="C1419" s="84">
        <v>4451.5</v>
      </c>
      <c r="D1419" s="61">
        <v>587.9</v>
      </c>
      <c r="E1419" s="61">
        <v>35.5</v>
      </c>
      <c r="F1419" s="61">
        <v>94.1</v>
      </c>
      <c r="G1419" s="61">
        <v>41.7</v>
      </c>
      <c r="H1419" s="61">
        <v>30.7</v>
      </c>
      <c r="I1419" s="61">
        <v>27.1</v>
      </c>
      <c r="J1419" s="61">
        <v>37.4</v>
      </c>
      <c r="K1419" s="61">
        <v>9</v>
      </c>
      <c r="L1419" s="61">
        <v>58.5</v>
      </c>
      <c r="M1419" s="61">
        <v>56.3</v>
      </c>
      <c r="N1419" s="61">
        <v>84.6</v>
      </c>
      <c r="O1419" s="85">
        <v>39</v>
      </c>
      <c r="P1419" s="105"/>
      <c r="Q1419" s="87">
        <f t="shared" si="129"/>
        <v>-6.2239084406411618E-3</v>
      </c>
      <c r="R1419" s="87">
        <f t="shared" si="134"/>
        <v>-7.6980262441817696E-3</v>
      </c>
      <c r="S1419" s="87">
        <f t="shared" si="134"/>
        <v>-1.8693182433774365E-3</v>
      </c>
      <c r="T1419" s="87">
        <f t="shared" si="134"/>
        <v>-1.1204599012863019E-2</v>
      </c>
      <c r="U1419" s="87">
        <f t="shared" si="134"/>
        <v>9.6103248997882595E-3</v>
      </c>
      <c r="V1419" s="87">
        <f t="shared" si="134"/>
        <v>2.4009615375382679E-3</v>
      </c>
      <c r="W1419" s="87">
        <f t="shared" si="134"/>
        <v>-9.7245498919947444E-3</v>
      </c>
      <c r="X1419" s="87">
        <f t="shared" si="133"/>
        <v>-2.550229281093612E-2</v>
      </c>
      <c r="Y1419" s="87">
        <f t="shared" si="133"/>
        <v>-1.0638398205055754E-2</v>
      </c>
      <c r="Z1419" s="87">
        <f t="shared" si="133"/>
        <v>-2.1978906718775115E-2</v>
      </c>
      <c r="AA1419" s="87">
        <f t="shared" si="135"/>
        <v>-1.0204170174241736E-2</v>
      </c>
      <c r="AB1419" s="87">
        <f t="shared" si="135"/>
        <v>-7.0796755880618003E-3</v>
      </c>
      <c r="AC1419" s="87">
        <f t="shared" si="135"/>
        <v>-2.3612761856798199E-3</v>
      </c>
      <c r="AD1419" s="87">
        <f t="shared" si="135"/>
        <v>1.2903404835907782E-2</v>
      </c>
      <c r="AE1419" s="90">
        <f t="shared" si="130"/>
        <v>1.4616106751901546E-3</v>
      </c>
    </row>
    <row r="1420" spans="1:31" ht="15.5" x14ac:dyDescent="0.35">
      <c r="A1420" s="82">
        <v>41828</v>
      </c>
      <c r="B1420" s="83">
        <v>10963.2</v>
      </c>
      <c r="C1420" s="84">
        <v>4391.5</v>
      </c>
      <c r="D1420" s="61">
        <v>574</v>
      </c>
      <c r="E1420" s="61">
        <v>34.299999999999997</v>
      </c>
      <c r="F1420" s="61">
        <v>93.9</v>
      </c>
      <c r="G1420" s="61">
        <v>41.6</v>
      </c>
      <c r="H1420" s="61">
        <v>29.6</v>
      </c>
      <c r="I1420" s="61">
        <v>26.7</v>
      </c>
      <c r="J1420" s="61">
        <v>37.200000000000003</v>
      </c>
      <c r="K1420" s="61">
        <v>8.6999999999999993</v>
      </c>
      <c r="L1420" s="61">
        <v>57.9</v>
      </c>
      <c r="M1420" s="61">
        <v>55.8</v>
      </c>
      <c r="N1420" s="61">
        <v>84</v>
      </c>
      <c r="O1420" s="85">
        <v>38.5</v>
      </c>
      <c r="P1420" s="105"/>
      <c r="Q1420" s="87">
        <f t="shared" si="129"/>
        <v>-6.6003239750606823E-3</v>
      </c>
      <c r="R1420" s="87">
        <f t="shared" si="134"/>
        <v>-1.3570263656553809E-2</v>
      </c>
      <c r="S1420" s="87">
        <f t="shared" si="134"/>
        <v>-2.3927469088642822E-2</v>
      </c>
      <c r="T1420" s="87">
        <f t="shared" si="134"/>
        <v>-3.4387342309475946E-2</v>
      </c>
      <c r="U1420" s="87">
        <f t="shared" si="134"/>
        <v>-2.1276603771166178E-3</v>
      </c>
      <c r="V1420" s="87">
        <f t="shared" si="134"/>
        <v>-2.4009615375381503E-3</v>
      </c>
      <c r="W1420" s="87">
        <f t="shared" si="134"/>
        <v>-3.6488293263136684E-2</v>
      </c>
      <c r="X1420" s="87">
        <f t="shared" si="133"/>
        <v>-1.4870162479451506E-2</v>
      </c>
      <c r="Y1420" s="87">
        <f t="shared" si="133"/>
        <v>-5.3619431413852872E-3</v>
      </c>
      <c r="Z1420" s="87">
        <f t="shared" si="133"/>
        <v>-3.3901551675681457E-2</v>
      </c>
      <c r="AA1420" s="87">
        <f t="shared" si="135"/>
        <v>-1.0309369658861325E-2</v>
      </c>
      <c r="AB1420" s="87">
        <f t="shared" si="135"/>
        <v>-8.9206657583794889E-3</v>
      </c>
      <c r="AC1420" s="87">
        <f t="shared" si="135"/>
        <v>-7.1174677688638785E-3</v>
      </c>
      <c r="AD1420" s="87">
        <f t="shared" si="135"/>
        <v>-1.2903404835907841E-2</v>
      </c>
      <c r="AE1420" s="90">
        <f t="shared" si="130"/>
        <v>-1.3249542745306634E-2</v>
      </c>
    </row>
    <row r="1421" spans="1:31" ht="15.5" x14ac:dyDescent="0.35">
      <c r="A1421" s="82">
        <v>41829</v>
      </c>
      <c r="B1421" s="83">
        <v>11005.5</v>
      </c>
      <c r="C1421" s="84">
        <v>4419</v>
      </c>
      <c r="D1421" s="61">
        <v>577</v>
      </c>
      <c r="E1421" s="61">
        <v>34.700000000000003</v>
      </c>
      <c r="F1421" s="61">
        <v>94.8</v>
      </c>
      <c r="G1421" s="61">
        <v>41.5</v>
      </c>
      <c r="H1421" s="61">
        <v>29.3</v>
      </c>
      <c r="I1421" s="61">
        <v>27.1</v>
      </c>
      <c r="J1421" s="61">
        <v>36.299999999999997</v>
      </c>
      <c r="K1421" s="61">
        <v>8.8000000000000007</v>
      </c>
      <c r="L1421" s="61">
        <v>58.2</v>
      </c>
      <c r="M1421" s="61">
        <v>56.2</v>
      </c>
      <c r="N1421" s="61">
        <v>84.6</v>
      </c>
      <c r="O1421" s="85">
        <v>38.799999999999997</v>
      </c>
      <c r="P1421" s="105"/>
      <c r="Q1421" s="87">
        <f t="shared" si="129"/>
        <v>3.8509381324124572E-3</v>
      </c>
      <c r="R1421" s="87">
        <f t="shared" si="134"/>
        <v>6.2425717735679178E-3</v>
      </c>
      <c r="S1421" s="87">
        <f t="shared" si="134"/>
        <v>5.2128701885332104E-3</v>
      </c>
      <c r="T1421" s="87">
        <f t="shared" si="134"/>
        <v>1.1594332780919446E-2</v>
      </c>
      <c r="U1421" s="87">
        <f t="shared" si="134"/>
        <v>9.5390230467589099E-3</v>
      </c>
      <c r="V1421" s="87">
        <f t="shared" si="134"/>
        <v>-2.4067400305649764E-3</v>
      </c>
      <c r="W1421" s="87">
        <f t="shared" si="134"/>
        <v>-1.018684530699313E-2</v>
      </c>
      <c r="X1421" s="87">
        <f t="shared" si="133"/>
        <v>1.4870162479451407E-2</v>
      </c>
      <c r="Y1421" s="87">
        <f t="shared" si="133"/>
        <v>-2.4491020008295981E-2</v>
      </c>
      <c r="Z1421" s="87">
        <f t="shared" si="133"/>
        <v>1.142869582362285E-2</v>
      </c>
      <c r="AA1421" s="87">
        <f t="shared" si="135"/>
        <v>5.1679701584425976E-3</v>
      </c>
      <c r="AB1421" s="87">
        <f t="shared" si="135"/>
        <v>7.1428875123802039E-3</v>
      </c>
      <c r="AC1421" s="87">
        <f t="shared" si="135"/>
        <v>7.1174677688639549E-3</v>
      </c>
      <c r="AD1421" s="87">
        <f t="shared" si="135"/>
        <v>7.7620053354891094E-3</v>
      </c>
      <c r="AE1421" s="90">
        <f t="shared" si="130"/>
        <v>7.0683800982292181E-3</v>
      </c>
    </row>
    <row r="1422" spans="1:31" ht="15.5" x14ac:dyDescent="0.35">
      <c r="A1422" s="82">
        <v>41830</v>
      </c>
      <c r="B1422" s="83">
        <v>10941.3</v>
      </c>
      <c r="C1422" s="84">
        <v>4396.2</v>
      </c>
      <c r="D1422" s="61">
        <v>572.1</v>
      </c>
      <c r="E1422" s="61">
        <v>34.1</v>
      </c>
      <c r="F1422" s="61">
        <v>93.5</v>
      </c>
      <c r="G1422" s="61">
        <v>41.1</v>
      </c>
      <c r="H1422" s="61">
        <v>28.8</v>
      </c>
      <c r="I1422" s="61">
        <v>27.1</v>
      </c>
      <c r="J1422" s="61">
        <v>35.799999999999997</v>
      </c>
      <c r="K1422" s="61">
        <v>8.6999999999999993</v>
      </c>
      <c r="L1422" s="61">
        <v>57.7</v>
      </c>
      <c r="M1422" s="61">
        <v>54.7</v>
      </c>
      <c r="N1422" s="61">
        <v>84.2</v>
      </c>
      <c r="O1422" s="85">
        <v>38.4</v>
      </c>
      <c r="P1422" s="105"/>
      <c r="Q1422" s="87">
        <f t="shared" ref="Q1422:Q1485" si="136">+LN(B1422/B1421)</f>
        <v>-5.8505279241910244E-3</v>
      </c>
      <c r="R1422" s="87">
        <f t="shared" si="134"/>
        <v>-5.1728947367667847E-3</v>
      </c>
      <c r="S1422" s="87">
        <f t="shared" si="134"/>
        <v>-8.5284652336163926E-3</v>
      </c>
      <c r="T1422" s="87">
        <f t="shared" si="134"/>
        <v>-1.7442302663342485E-2</v>
      </c>
      <c r="U1422" s="87">
        <f t="shared" si="134"/>
        <v>-1.3807972966334804E-2</v>
      </c>
      <c r="V1422" s="87">
        <f t="shared" si="134"/>
        <v>-9.6853057344636548E-3</v>
      </c>
      <c r="W1422" s="87">
        <f t="shared" si="134"/>
        <v>-1.7212128881121409E-2</v>
      </c>
      <c r="X1422" s="87">
        <f t="shared" si="133"/>
        <v>0</v>
      </c>
      <c r="Y1422" s="87">
        <f t="shared" si="133"/>
        <v>-1.3869847864150502E-2</v>
      </c>
      <c r="Z1422" s="87">
        <f t="shared" si="133"/>
        <v>-1.1428695823622968E-2</v>
      </c>
      <c r="AA1422" s="87">
        <f t="shared" si="135"/>
        <v>-8.6281812233382302E-3</v>
      </c>
      <c r="AB1422" s="87">
        <f t="shared" si="135"/>
        <v>-2.7053047471709838E-2</v>
      </c>
      <c r="AC1422" s="87">
        <f t="shared" si="135"/>
        <v>-4.7393453638964475E-3</v>
      </c>
      <c r="AD1422" s="87">
        <f t="shared" si="135"/>
        <v>-1.0362787035546547E-2</v>
      </c>
      <c r="AE1422" s="90">
        <f t="shared" si="130"/>
        <v>-9.2552133635918372E-3</v>
      </c>
    </row>
    <row r="1423" spans="1:31" ht="15.5" x14ac:dyDescent="0.35">
      <c r="A1423" s="82">
        <v>41831</v>
      </c>
      <c r="B1423" s="83">
        <v>10936.3</v>
      </c>
      <c r="C1423" s="84">
        <v>4415.5</v>
      </c>
      <c r="D1423" s="61">
        <v>580.6</v>
      </c>
      <c r="E1423" s="61">
        <v>34.799999999999997</v>
      </c>
      <c r="F1423" s="61">
        <v>94.9</v>
      </c>
      <c r="G1423" s="61">
        <v>41.5</v>
      </c>
      <c r="H1423" s="61">
        <v>28.9</v>
      </c>
      <c r="I1423" s="61">
        <v>27.6</v>
      </c>
      <c r="J1423" s="61">
        <v>35.5</v>
      </c>
      <c r="K1423" s="61">
        <v>8.6999999999999993</v>
      </c>
      <c r="L1423" s="61">
        <v>58.2</v>
      </c>
      <c r="M1423" s="61">
        <v>55.1</v>
      </c>
      <c r="N1423" s="61">
        <v>84.4</v>
      </c>
      <c r="O1423" s="85">
        <v>38.4</v>
      </c>
      <c r="P1423" s="105"/>
      <c r="Q1423" s="87">
        <f t="shared" si="136"/>
        <v>-4.5708853686453322E-4</v>
      </c>
      <c r="R1423" s="87">
        <f t="shared" si="134"/>
        <v>4.3805465148837128E-3</v>
      </c>
      <c r="S1423" s="87">
        <f t="shared" si="134"/>
        <v>1.4748250316046419E-2</v>
      </c>
      <c r="T1423" s="87">
        <f t="shared" si="134"/>
        <v>2.0320002490957528E-2</v>
      </c>
      <c r="U1423" s="87">
        <f t="shared" si="134"/>
        <v>1.4862269321241012E-2</v>
      </c>
      <c r="V1423" s="87">
        <f t="shared" si="134"/>
        <v>9.6853057344636791E-3</v>
      </c>
      <c r="W1423" s="87">
        <f t="shared" si="134"/>
        <v>3.4662079764861075E-3</v>
      </c>
      <c r="X1423" s="87">
        <f t="shared" si="133"/>
        <v>1.8282044837449073E-2</v>
      </c>
      <c r="Y1423" s="87">
        <f t="shared" si="133"/>
        <v>-8.4151969252844721E-3</v>
      </c>
      <c r="Z1423" s="87">
        <f t="shared" si="133"/>
        <v>0</v>
      </c>
      <c r="AA1423" s="87">
        <f t="shared" si="135"/>
        <v>8.6281812233381886E-3</v>
      </c>
      <c r="AB1423" s="87">
        <f t="shared" si="135"/>
        <v>7.2860067309333133E-3</v>
      </c>
      <c r="AC1423" s="87">
        <f t="shared" si="135"/>
        <v>2.3724803536303955E-3</v>
      </c>
      <c r="AD1423" s="87">
        <f t="shared" si="135"/>
        <v>0</v>
      </c>
      <c r="AE1423" s="90">
        <f t="shared" ref="AE1423:AE1486" si="137">+SUMPRODUCT(Q1423:AD1423,$Q$8:$AD$8)</f>
        <v>9.8805251214292306E-3</v>
      </c>
    </row>
    <row r="1424" spans="1:31" ht="15.5" x14ac:dyDescent="0.35">
      <c r="A1424" s="82">
        <v>41834</v>
      </c>
      <c r="B1424" s="83">
        <v>10991.5</v>
      </c>
      <c r="C1424" s="84">
        <v>4440.3999999999996</v>
      </c>
      <c r="D1424" s="61">
        <v>586.70000000000005</v>
      </c>
      <c r="E1424" s="61">
        <v>35.5</v>
      </c>
      <c r="F1424" s="61">
        <v>95.7</v>
      </c>
      <c r="G1424" s="61">
        <v>42</v>
      </c>
      <c r="H1424" s="61">
        <v>29.5</v>
      </c>
      <c r="I1424" s="61">
        <v>27.7</v>
      </c>
      <c r="J1424" s="61">
        <v>35.799999999999997</v>
      </c>
      <c r="K1424" s="61">
        <v>8.5</v>
      </c>
      <c r="L1424" s="61">
        <v>58.1</v>
      </c>
      <c r="M1424" s="61">
        <v>55.9</v>
      </c>
      <c r="N1424" s="61">
        <v>84.7</v>
      </c>
      <c r="O1424" s="85">
        <v>38.799999999999997</v>
      </c>
      <c r="P1424" s="105"/>
      <c r="Q1424" s="87">
        <f t="shared" si="136"/>
        <v>5.03471543906878E-3</v>
      </c>
      <c r="R1424" s="87">
        <f t="shared" si="134"/>
        <v>5.6233845496350566E-3</v>
      </c>
      <c r="S1424" s="87">
        <f t="shared" si="134"/>
        <v>1.045156434128465E-2</v>
      </c>
      <c r="T1424" s="87">
        <f t="shared" si="134"/>
        <v>1.9915309700941516E-2</v>
      </c>
      <c r="U1424" s="87">
        <f t="shared" si="134"/>
        <v>8.3945928430262957E-3</v>
      </c>
      <c r="V1424" s="87">
        <f t="shared" si="134"/>
        <v>1.197619104671562E-2</v>
      </c>
      <c r="W1424" s="87">
        <f t="shared" si="134"/>
        <v>2.054866822738776E-2</v>
      </c>
      <c r="X1424" s="87">
        <f t="shared" si="133"/>
        <v>3.6166404701885148E-3</v>
      </c>
      <c r="Y1424" s="87">
        <f t="shared" si="133"/>
        <v>8.4151969252844981E-3</v>
      </c>
      <c r="Z1424" s="87">
        <f t="shared" si="133"/>
        <v>-2.3256862164267235E-2</v>
      </c>
      <c r="AA1424" s="87">
        <f t="shared" si="135"/>
        <v>-1.7196908795265881E-3</v>
      </c>
      <c r="AB1424" s="87">
        <f t="shared" si="135"/>
        <v>1.4414664002184528E-2</v>
      </c>
      <c r="AC1424" s="87">
        <f t="shared" si="135"/>
        <v>3.5482000560971769E-3</v>
      </c>
      <c r="AD1424" s="87">
        <f t="shared" si="135"/>
        <v>1.0362787035546658E-2</v>
      </c>
      <c r="AE1424" s="90">
        <f t="shared" si="137"/>
        <v>8.405365739986171E-3</v>
      </c>
    </row>
    <row r="1425" spans="1:31" ht="15.5" x14ac:dyDescent="0.35">
      <c r="A1425" s="82">
        <v>41835</v>
      </c>
      <c r="B1425" s="83">
        <v>10965.6</v>
      </c>
      <c r="C1425" s="84">
        <v>4416.3999999999996</v>
      </c>
      <c r="D1425" s="61">
        <v>585.29999999999995</v>
      </c>
      <c r="E1425" s="61">
        <v>35.200000000000003</v>
      </c>
      <c r="F1425" s="61">
        <v>95</v>
      </c>
      <c r="G1425" s="61">
        <v>42</v>
      </c>
      <c r="H1425" s="61">
        <v>28.8</v>
      </c>
      <c r="I1425" s="61">
        <v>27</v>
      </c>
      <c r="J1425" s="61">
        <v>35.6</v>
      </c>
      <c r="K1425" s="61">
        <v>8.5</v>
      </c>
      <c r="L1425" s="61">
        <v>57.5</v>
      </c>
      <c r="M1425" s="61">
        <v>55.7</v>
      </c>
      <c r="N1425" s="61">
        <v>84.1</v>
      </c>
      <c r="O1425" s="85">
        <v>38.700000000000003</v>
      </c>
      <c r="P1425" s="105"/>
      <c r="Q1425" s="87">
        <f t="shared" si="136"/>
        <v>-2.3591468830002097E-3</v>
      </c>
      <c r="R1425" s="87">
        <f t="shared" si="134"/>
        <v>-5.419577893510193E-3</v>
      </c>
      <c r="S1425" s="87">
        <f t="shared" si="134"/>
        <v>-2.38907963463911E-3</v>
      </c>
      <c r="T1425" s="87">
        <f t="shared" si="134"/>
        <v>-8.4866138773185811E-3</v>
      </c>
      <c r="U1425" s="87">
        <f t="shared" si="134"/>
        <v>-7.3414068583677449E-3</v>
      </c>
      <c r="V1425" s="87">
        <f t="shared" si="134"/>
        <v>0</v>
      </c>
      <c r="W1425" s="87">
        <f t="shared" si="134"/>
        <v>-2.4014876203873853E-2</v>
      </c>
      <c r="X1425" s="87">
        <f t="shared" si="133"/>
        <v>-2.5595547188963768E-2</v>
      </c>
      <c r="Y1425" s="87">
        <f t="shared" si="133"/>
        <v>-5.6022555486696752E-3</v>
      </c>
      <c r="Z1425" s="87">
        <f t="shared" si="133"/>
        <v>0</v>
      </c>
      <c r="AA1425" s="87">
        <f t="shared" si="135"/>
        <v>-1.0380716054560854E-2</v>
      </c>
      <c r="AB1425" s="87">
        <f t="shared" si="135"/>
        <v>-3.5842332278150498E-3</v>
      </c>
      <c r="AC1425" s="87">
        <f t="shared" si="135"/>
        <v>-7.1090346791064431E-3</v>
      </c>
      <c r="AD1425" s="87">
        <f t="shared" si="135"/>
        <v>-2.580646593491514E-3</v>
      </c>
      <c r="AE1425" s="90">
        <f t="shared" si="137"/>
        <v>-4.7368146915374998E-3</v>
      </c>
    </row>
    <row r="1426" spans="1:31" ht="15.5" x14ac:dyDescent="0.35">
      <c r="A1426" s="82">
        <v>41836</v>
      </c>
      <c r="B1426" s="83">
        <v>11017.9</v>
      </c>
      <c r="C1426" s="84">
        <v>4426</v>
      </c>
      <c r="D1426" s="61">
        <v>590.29999999999995</v>
      </c>
      <c r="E1426" s="61">
        <v>33.700000000000003</v>
      </c>
      <c r="F1426" s="61">
        <v>94.7</v>
      </c>
      <c r="G1426" s="61">
        <v>42.5</v>
      </c>
      <c r="H1426" s="61">
        <v>28.5</v>
      </c>
      <c r="I1426" s="61">
        <v>27.7</v>
      </c>
      <c r="J1426" s="61">
        <v>35.6</v>
      </c>
      <c r="K1426" s="61">
        <v>8.5</v>
      </c>
      <c r="L1426" s="61">
        <v>57.7</v>
      </c>
      <c r="M1426" s="61">
        <v>55.7</v>
      </c>
      <c r="N1426" s="61">
        <v>83.5</v>
      </c>
      <c r="O1426" s="85">
        <v>38.4</v>
      </c>
      <c r="P1426" s="105"/>
      <c r="Q1426" s="87">
        <f t="shared" si="136"/>
        <v>4.7581230169420419E-3</v>
      </c>
      <c r="R1426" s="87">
        <f t="shared" si="134"/>
        <v>2.171357046013199E-3</v>
      </c>
      <c r="S1426" s="87">
        <f t="shared" si="134"/>
        <v>8.506345949468367E-3</v>
      </c>
      <c r="T1426" s="87">
        <f t="shared" si="134"/>
        <v>-4.3548245245735355E-2</v>
      </c>
      <c r="U1426" s="87">
        <f t="shared" si="134"/>
        <v>-3.1628914085081953E-3</v>
      </c>
      <c r="V1426" s="87">
        <f t="shared" si="134"/>
        <v>1.1834457647002798E-2</v>
      </c>
      <c r="W1426" s="87">
        <f t="shared" si="134"/>
        <v>-1.0471299867295478E-2</v>
      </c>
      <c r="X1426" s="87">
        <f t="shared" si="133"/>
        <v>2.5595547188963723E-2</v>
      </c>
      <c r="Y1426" s="87">
        <f t="shared" si="133"/>
        <v>0</v>
      </c>
      <c r="Z1426" s="87">
        <f t="shared" si="133"/>
        <v>0</v>
      </c>
      <c r="AA1426" s="87">
        <f t="shared" si="135"/>
        <v>3.4722257107492787E-3</v>
      </c>
      <c r="AB1426" s="87">
        <f t="shared" si="135"/>
        <v>0</v>
      </c>
      <c r="AC1426" s="87">
        <f t="shared" si="135"/>
        <v>-7.1599351220924829E-3</v>
      </c>
      <c r="AD1426" s="87">
        <f t="shared" si="135"/>
        <v>-7.7821404420550747E-3</v>
      </c>
      <c r="AE1426" s="90">
        <f t="shared" si="137"/>
        <v>1.2909163664625643E-3</v>
      </c>
    </row>
    <row r="1427" spans="1:31" ht="15.5" x14ac:dyDescent="0.35">
      <c r="A1427" s="82">
        <v>41837</v>
      </c>
      <c r="B1427" s="83">
        <v>10890.4</v>
      </c>
      <c r="C1427" s="84">
        <v>4363.5</v>
      </c>
      <c r="D1427" s="61">
        <v>576.9</v>
      </c>
      <c r="E1427" s="61">
        <v>33</v>
      </c>
      <c r="F1427" s="61">
        <v>92.6</v>
      </c>
      <c r="G1427" s="61">
        <v>44.3</v>
      </c>
      <c r="H1427" s="61">
        <v>28.7</v>
      </c>
      <c r="I1427" s="61">
        <v>27.5</v>
      </c>
      <c r="J1427" s="61">
        <v>35.5</v>
      </c>
      <c r="K1427" s="61">
        <v>8.5</v>
      </c>
      <c r="L1427" s="61">
        <v>57.6</v>
      </c>
      <c r="M1427" s="61">
        <v>54.8</v>
      </c>
      <c r="N1427" s="61">
        <v>82.8</v>
      </c>
      <c r="O1427" s="85">
        <v>38.200000000000003</v>
      </c>
      <c r="P1427" s="105"/>
      <c r="Q1427" s="87">
        <f t="shared" si="136"/>
        <v>-1.1639555735850172E-2</v>
      </c>
      <c r="R1427" s="87">
        <f t="shared" si="134"/>
        <v>-1.4221754007628947E-2</v>
      </c>
      <c r="S1427" s="87">
        <f t="shared" si="134"/>
        <v>-2.2961940983799875E-2</v>
      </c>
      <c r="T1427" s="87">
        <f t="shared" si="134"/>
        <v>-2.0990275891835858E-2</v>
      </c>
      <c r="U1427" s="87">
        <f t="shared" si="134"/>
        <v>-2.2424858539898899E-2</v>
      </c>
      <c r="V1427" s="87">
        <f t="shared" si="134"/>
        <v>4.1480601120718705E-2</v>
      </c>
      <c r="W1427" s="87">
        <f t="shared" si="134"/>
        <v>6.9930354909706043E-3</v>
      </c>
      <c r="X1427" s="87">
        <f t="shared" si="133"/>
        <v>-7.2464085207671978E-3</v>
      </c>
      <c r="Y1427" s="87">
        <f t="shared" si="133"/>
        <v>-2.8129413766147236E-3</v>
      </c>
      <c r="Z1427" s="87">
        <f t="shared" si="133"/>
        <v>0</v>
      </c>
      <c r="AA1427" s="87">
        <f t="shared" si="135"/>
        <v>-1.7346058122083075E-3</v>
      </c>
      <c r="AB1427" s="87">
        <f t="shared" si="135"/>
        <v>-1.6289952979268572E-2</v>
      </c>
      <c r="AC1427" s="87">
        <f t="shared" si="135"/>
        <v>-8.4185704655957896E-3</v>
      </c>
      <c r="AD1427" s="87">
        <f t="shared" si="135"/>
        <v>-5.2219439811516007E-3</v>
      </c>
      <c r="AE1427" s="90">
        <f t="shared" si="137"/>
        <v>-1.8032244704042834E-2</v>
      </c>
    </row>
    <row r="1428" spans="1:31" ht="15.5" x14ac:dyDescent="0.35">
      <c r="A1428" s="82">
        <v>41838</v>
      </c>
      <c r="B1428" s="83">
        <v>10985.9</v>
      </c>
      <c r="C1428" s="84">
        <v>4432.1000000000004</v>
      </c>
      <c r="D1428" s="61">
        <v>590.9</v>
      </c>
      <c r="E1428" s="61">
        <v>32.9</v>
      </c>
      <c r="F1428" s="61">
        <v>93</v>
      </c>
      <c r="G1428" s="61">
        <v>44.3</v>
      </c>
      <c r="H1428" s="61">
        <v>28.6</v>
      </c>
      <c r="I1428" s="61">
        <v>27.5</v>
      </c>
      <c r="J1428" s="61">
        <v>35.700000000000003</v>
      </c>
      <c r="K1428" s="61">
        <v>8.5</v>
      </c>
      <c r="L1428" s="61">
        <v>57.6</v>
      </c>
      <c r="M1428" s="61">
        <v>55</v>
      </c>
      <c r="N1428" s="61">
        <v>82.6</v>
      </c>
      <c r="O1428" s="85">
        <v>38.299999999999997</v>
      </c>
      <c r="P1428" s="105"/>
      <c r="Q1428" s="87">
        <f t="shared" si="136"/>
        <v>8.7309651687910144E-3</v>
      </c>
      <c r="R1428" s="87">
        <f t="shared" si="134"/>
        <v>1.5599024746104388E-2</v>
      </c>
      <c r="S1428" s="87">
        <f t="shared" si="134"/>
        <v>2.3977857088785151E-2</v>
      </c>
      <c r="T1428" s="87">
        <f t="shared" si="134"/>
        <v>-3.034903695154047E-3</v>
      </c>
      <c r="U1428" s="87">
        <f t="shared" si="134"/>
        <v>4.3103515011222631E-3</v>
      </c>
      <c r="V1428" s="87">
        <f t="shared" si="134"/>
        <v>0</v>
      </c>
      <c r="W1428" s="87">
        <f t="shared" si="134"/>
        <v>-3.4904049397684908E-3</v>
      </c>
      <c r="X1428" s="87">
        <f t="shared" si="133"/>
        <v>0</v>
      </c>
      <c r="Y1428" s="87">
        <f t="shared" si="133"/>
        <v>5.6179923042232738E-3</v>
      </c>
      <c r="Z1428" s="87">
        <f t="shared" si="133"/>
        <v>0</v>
      </c>
      <c r="AA1428" s="87">
        <f t="shared" si="135"/>
        <v>0</v>
      </c>
      <c r="AB1428" s="87">
        <f t="shared" si="135"/>
        <v>3.6429912785012298E-3</v>
      </c>
      <c r="AC1428" s="87">
        <f t="shared" si="135"/>
        <v>-2.4183808642816379E-3</v>
      </c>
      <c r="AD1428" s="87">
        <f t="shared" si="135"/>
        <v>2.614380574070672E-3</v>
      </c>
      <c r="AE1428" s="90">
        <f t="shared" si="137"/>
        <v>1.3245916131327314E-2</v>
      </c>
    </row>
    <row r="1429" spans="1:31" ht="15.5" x14ac:dyDescent="0.35">
      <c r="A1429" s="82">
        <v>41841</v>
      </c>
      <c r="B1429" s="83">
        <v>10957.7</v>
      </c>
      <c r="C1429" s="84">
        <v>4424.7</v>
      </c>
      <c r="D1429" s="61">
        <v>594.5</v>
      </c>
      <c r="E1429" s="61">
        <v>33.200000000000003</v>
      </c>
      <c r="F1429" s="61">
        <v>93.7</v>
      </c>
      <c r="G1429" s="61">
        <v>44.2</v>
      </c>
      <c r="H1429" s="61">
        <v>28.6</v>
      </c>
      <c r="I1429" s="61">
        <v>27.4</v>
      </c>
      <c r="J1429" s="61">
        <v>35.5</v>
      </c>
      <c r="K1429" s="61">
        <v>8.5</v>
      </c>
      <c r="L1429" s="61">
        <v>57.7</v>
      </c>
      <c r="M1429" s="61">
        <v>55.2</v>
      </c>
      <c r="N1429" s="61">
        <v>83</v>
      </c>
      <c r="O1429" s="85">
        <v>38.4</v>
      </c>
      <c r="P1429" s="105"/>
      <c r="Q1429" s="87">
        <f t="shared" si="136"/>
        <v>-2.570226902081064E-3</v>
      </c>
      <c r="R1429" s="87">
        <f t="shared" si="134"/>
        <v>-1.671032815904227E-3</v>
      </c>
      <c r="S1429" s="87">
        <f t="shared" si="134"/>
        <v>6.0739177792077017E-3</v>
      </c>
      <c r="T1429" s="87">
        <f t="shared" ref="T1429:AC1475" si="138">+LN(E1429/E1428)</f>
        <v>9.0772181511166797E-3</v>
      </c>
      <c r="U1429" s="87">
        <f t="shared" si="138"/>
        <v>7.4986960911206041E-3</v>
      </c>
      <c r="V1429" s="87">
        <f t="shared" si="138"/>
        <v>-2.2598879674373675E-3</v>
      </c>
      <c r="W1429" s="87">
        <f t="shared" si="138"/>
        <v>0</v>
      </c>
      <c r="X1429" s="87">
        <f t="shared" si="133"/>
        <v>-3.6429912785010919E-3</v>
      </c>
      <c r="Y1429" s="87">
        <f t="shared" si="133"/>
        <v>-5.6179923042233727E-3</v>
      </c>
      <c r="Z1429" s="87">
        <f t="shared" si="133"/>
        <v>0</v>
      </c>
      <c r="AA1429" s="87">
        <f t="shared" si="135"/>
        <v>1.7346058122083715E-3</v>
      </c>
      <c r="AB1429" s="87">
        <f t="shared" si="135"/>
        <v>3.6297680505787311E-3</v>
      </c>
      <c r="AC1429" s="87">
        <f t="shared" si="135"/>
        <v>4.8309272696655924E-3</v>
      </c>
      <c r="AD1429" s="87">
        <f t="shared" si="135"/>
        <v>2.6075634070809911E-3</v>
      </c>
      <c r="AE1429" s="90">
        <f t="shared" si="137"/>
        <v>3.7384507180827954E-3</v>
      </c>
    </row>
    <row r="1430" spans="1:31" ht="15.5" x14ac:dyDescent="0.35">
      <c r="A1430" s="82">
        <v>41842</v>
      </c>
      <c r="B1430" s="83">
        <v>11016.2</v>
      </c>
      <c r="C1430" s="84">
        <v>4456</v>
      </c>
      <c r="D1430" s="61">
        <v>599.29999999999995</v>
      </c>
      <c r="E1430" s="61">
        <v>33.4</v>
      </c>
      <c r="F1430" s="61">
        <v>94.1</v>
      </c>
      <c r="G1430" s="61">
        <v>44.6</v>
      </c>
      <c r="H1430" s="61">
        <v>28.5</v>
      </c>
      <c r="I1430" s="61">
        <v>27.7</v>
      </c>
      <c r="J1430" s="61">
        <v>35.6</v>
      </c>
      <c r="K1430" s="61">
        <v>8.6</v>
      </c>
      <c r="L1430" s="61">
        <v>58.1</v>
      </c>
      <c r="M1430" s="61">
        <v>54.5</v>
      </c>
      <c r="N1430" s="61">
        <v>83.5</v>
      </c>
      <c r="O1430" s="85">
        <v>38.5</v>
      </c>
      <c r="P1430" s="105"/>
      <c r="Q1430" s="87">
        <f t="shared" si="136"/>
        <v>5.3245111890223304E-3</v>
      </c>
      <c r="R1430" s="87">
        <f t="shared" ref="R1430:AA1486" si="139">+LN(C1430/C1429)</f>
        <v>7.049023073553708E-3</v>
      </c>
      <c r="S1430" s="87">
        <f t="shared" si="139"/>
        <v>8.0415913333028652E-3</v>
      </c>
      <c r="T1430" s="87">
        <f t="shared" si="138"/>
        <v>6.0060240602117284E-3</v>
      </c>
      <c r="U1430" s="87">
        <f t="shared" si="138"/>
        <v>4.2598573469572873E-3</v>
      </c>
      <c r="V1430" s="87">
        <f t="shared" si="138"/>
        <v>9.0090699423659108E-3</v>
      </c>
      <c r="W1430" s="87">
        <f t="shared" si="138"/>
        <v>-3.5026305512021118E-3</v>
      </c>
      <c r="X1430" s="87">
        <f t="shared" si="133"/>
        <v>1.0889399799268317E-2</v>
      </c>
      <c r="Y1430" s="87">
        <f t="shared" si="133"/>
        <v>2.8129413766146577E-3</v>
      </c>
      <c r="Z1430" s="87">
        <f t="shared" si="133"/>
        <v>1.1696039763191236E-2</v>
      </c>
      <c r="AA1430" s="87">
        <f t="shared" si="135"/>
        <v>6.9084903438116092E-3</v>
      </c>
      <c r="AB1430" s="87">
        <f t="shared" si="135"/>
        <v>-1.2762251613851293E-2</v>
      </c>
      <c r="AC1430" s="87">
        <f t="shared" si="135"/>
        <v>6.0060240602119487E-3</v>
      </c>
      <c r="AD1430" s="87">
        <f t="shared" si="135"/>
        <v>2.6007817000574403E-3</v>
      </c>
      <c r="AE1430" s="90">
        <f t="shared" si="137"/>
        <v>6.0014046614040853E-3</v>
      </c>
    </row>
    <row r="1431" spans="1:31" ht="15.5" x14ac:dyDescent="0.35">
      <c r="A1431" s="82">
        <v>41843</v>
      </c>
      <c r="B1431" s="83">
        <v>11023.9</v>
      </c>
      <c r="C1431" s="84">
        <v>4473.7</v>
      </c>
      <c r="D1431" s="61">
        <v>601.4</v>
      </c>
      <c r="E1431" s="61">
        <v>33.700000000000003</v>
      </c>
      <c r="F1431" s="61">
        <v>95.2</v>
      </c>
      <c r="G1431" s="61">
        <v>44.6</v>
      </c>
      <c r="H1431" s="61">
        <v>29</v>
      </c>
      <c r="I1431" s="61">
        <v>28</v>
      </c>
      <c r="J1431" s="61">
        <v>35.799999999999997</v>
      </c>
      <c r="K1431" s="61">
        <v>8.6</v>
      </c>
      <c r="L1431" s="61">
        <v>58.1</v>
      </c>
      <c r="M1431" s="61">
        <v>54.9</v>
      </c>
      <c r="N1431" s="61">
        <v>75.400000000000006</v>
      </c>
      <c r="O1431" s="85">
        <v>38.4</v>
      </c>
      <c r="P1431" s="105"/>
      <c r="Q1431" s="87">
        <f t="shared" si="136"/>
        <v>6.9872644073961483E-4</v>
      </c>
      <c r="R1431" s="87">
        <f t="shared" si="139"/>
        <v>3.9643041044294175E-3</v>
      </c>
      <c r="S1431" s="87">
        <f t="shared" si="139"/>
        <v>3.4979630902891119E-3</v>
      </c>
      <c r="T1431" s="87">
        <f t="shared" si="138"/>
        <v>8.941937375661433E-3</v>
      </c>
      <c r="U1431" s="87">
        <f t="shared" si="138"/>
        <v>1.1621895205985748E-2</v>
      </c>
      <c r="V1431" s="87">
        <f t="shared" si="138"/>
        <v>0</v>
      </c>
      <c r="W1431" s="87">
        <f t="shared" si="138"/>
        <v>1.7391742711869239E-2</v>
      </c>
      <c r="X1431" s="87">
        <f t="shared" si="133"/>
        <v>1.077209698191104E-2</v>
      </c>
      <c r="Y1431" s="87">
        <f t="shared" si="133"/>
        <v>5.6022555486697516E-3</v>
      </c>
      <c r="Z1431" s="87">
        <f t="shared" si="133"/>
        <v>0</v>
      </c>
      <c r="AA1431" s="87">
        <f t="shared" si="135"/>
        <v>0</v>
      </c>
      <c r="AB1431" s="87">
        <f t="shared" si="135"/>
        <v>7.3126468462865572E-3</v>
      </c>
      <c r="AC1431" s="87">
        <f t="shared" si="135"/>
        <v>-0.1020393568428993</v>
      </c>
      <c r="AD1431" s="87">
        <f t="shared" si="135"/>
        <v>-2.6007817000573675E-3</v>
      </c>
      <c r="AE1431" s="90">
        <f t="shared" si="137"/>
        <v>5.2194047722138801E-3</v>
      </c>
    </row>
    <row r="1432" spans="1:31" ht="15.5" x14ac:dyDescent="0.35">
      <c r="A1432" s="82">
        <v>41844</v>
      </c>
      <c r="B1432" s="83">
        <v>11038.6</v>
      </c>
      <c r="C1432" s="84">
        <v>4472.1000000000004</v>
      </c>
      <c r="D1432" s="61">
        <v>601</v>
      </c>
      <c r="E1432" s="61">
        <v>35</v>
      </c>
      <c r="F1432" s="61">
        <v>96.4</v>
      </c>
      <c r="G1432" s="61">
        <v>44.3</v>
      </c>
      <c r="H1432" s="61">
        <v>29</v>
      </c>
      <c r="I1432" s="61">
        <v>28.1</v>
      </c>
      <c r="J1432" s="61">
        <v>36.200000000000003</v>
      </c>
      <c r="K1432" s="61">
        <v>8.8000000000000007</v>
      </c>
      <c r="L1432" s="61">
        <v>57.9</v>
      </c>
      <c r="M1432" s="61">
        <v>54.9</v>
      </c>
      <c r="N1432" s="61">
        <v>75.3</v>
      </c>
      <c r="O1432" s="85">
        <v>38.9</v>
      </c>
      <c r="P1432" s="105"/>
      <c r="Q1432" s="87">
        <f t="shared" si="136"/>
        <v>1.3325781008782177E-3</v>
      </c>
      <c r="R1432" s="87">
        <f t="shared" si="139"/>
        <v>-3.5770976705494083E-4</v>
      </c>
      <c r="S1432" s="87">
        <f t="shared" si="139"/>
        <v>-6.6533601922104369E-4</v>
      </c>
      <c r="T1432" s="87">
        <f t="shared" si="138"/>
        <v>3.785022413109753E-2</v>
      </c>
      <c r="U1432" s="87">
        <f t="shared" si="138"/>
        <v>1.2526259819180256E-2</v>
      </c>
      <c r="V1432" s="87">
        <f t="shared" si="138"/>
        <v>-6.7491819749285614E-3</v>
      </c>
      <c r="W1432" s="87">
        <f t="shared" si="138"/>
        <v>0</v>
      </c>
      <c r="X1432" s="87">
        <f t="shared" si="133"/>
        <v>3.5650661644961446E-3</v>
      </c>
      <c r="Y1432" s="87">
        <f t="shared" si="133"/>
        <v>1.1111225425070849E-2</v>
      </c>
      <c r="Z1432" s="87">
        <f t="shared" si="133"/>
        <v>2.2989518224698781E-2</v>
      </c>
      <c r="AA1432" s="87">
        <f t="shared" si="135"/>
        <v>-3.4482792789160442E-3</v>
      </c>
      <c r="AB1432" s="87">
        <f t="shared" si="135"/>
        <v>0</v>
      </c>
      <c r="AC1432" s="87">
        <f t="shared" si="135"/>
        <v>-1.3271402080625746E-3</v>
      </c>
      <c r="AD1432" s="87">
        <f t="shared" si="135"/>
        <v>1.2936791030719362E-2</v>
      </c>
      <c r="AE1432" s="90">
        <f t="shared" si="137"/>
        <v>4.8521799132340438E-3</v>
      </c>
    </row>
    <row r="1433" spans="1:31" ht="15.5" x14ac:dyDescent="0.35">
      <c r="A1433" s="82">
        <v>41845</v>
      </c>
      <c r="B1433" s="83">
        <v>10985.8</v>
      </c>
      <c r="C1433" s="84">
        <v>4449.6000000000004</v>
      </c>
      <c r="D1433" s="61">
        <v>595.79999999999995</v>
      </c>
      <c r="E1433" s="61">
        <v>35.799999999999997</v>
      </c>
      <c r="F1433" s="61">
        <v>96.6</v>
      </c>
      <c r="G1433" s="61">
        <v>44.3</v>
      </c>
      <c r="H1433" s="61">
        <v>28.7</v>
      </c>
      <c r="I1433" s="61">
        <v>28.1</v>
      </c>
      <c r="J1433" s="61">
        <v>36.200000000000003</v>
      </c>
      <c r="K1433" s="61">
        <v>9</v>
      </c>
      <c r="L1433" s="61">
        <v>57.9</v>
      </c>
      <c r="M1433" s="61">
        <v>54.4</v>
      </c>
      <c r="N1433" s="61">
        <v>73.7</v>
      </c>
      <c r="O1433" s="85">
        <v>38.799999999999997</v>
      </c>
      <c r="P1433" s="105"/>
      <c r="Q1433" s="87">
        <f t="shared" si="136"/>
        <v>-4.7946914469272749E-3</v>
      </c>
      <c r="R1433" s="87">
        <f t="shared" si="139"/>
        <v>-5.0438924647938244E-3</v>
      </c>
      <c r="S1433" s="87">
        <f t="shared" si="139"/>
        <v>-8.6898942560257961E-3</v>
      </c>
      <c r="T1433" s="87">
        <f t="shared" si="138"/>
        <v>2.2599831917240777E-2</v>
      </c>
      <c r="U1433" s="87">
        <f t="shared" si="138"/>
        <v>2.0725396019723751E-3</v>
      </c>
      <c r="V1433" s="87">
        <f t="shared" si="138"/>
        <v>0</v>
      </c>
      <c r="W1433" s="87">
        <f t="shared" si="138"/>
        <v>-1.0398707220898622E-2</v>
      </c>
      <c r="X1433" s="87">
        <f t="shared" si="133"/>
        <v>0</v>
      </c>
      <c r="Y1433" s="87">
        <f t="shared" si="133"/>
        <v>0</v>
      </c>
      <c r="Z1433" s="87">
        <f t="shared" si="133"/>
        <v>2.2472855852058576E-2</v>
      </c>
      <c r="AA1433" s="87">
        <f t="shared" si="135"/>
        <v>0</v>
      </c>
      <c r="AB1433" s="87">
        <f t="shared" si="135"/>
        <v>-9.1491946535879765E-3</v>
      </c>
      <c r="AC1433" s="87">
        <f t="shared" si="135"/>
        <v>-2.1477335610556841E-2</v>
      </c>
      <c r="AD1433" s="87">
        <f t="shared" si="135"/>
        <v>-2.5740039951728773E-3</v>
      </c>
      <c r="AE1433" s="90">
        <f t="shared" si="137"/>
        <v>-3.7762361834940438E-3</v>
      </c>
    </row>
    <row r="1434" spans="1:31" ht="15.5" x14ac:dyDescent="0.35">
      <c r="A1434" s="82">
        <v>41848</v>
      </c>
      <c r="B1434" s="83">
        <v>10987.2</v>
      </c>
      <c r="C1434" s="84">
        <v>4444.8999999999996</v>
      </c>
      <c r="D1434" s="61">
        <v>592.6</v>
      </c>
      <c r="E1434" s="61">
        <v>35.5</v>
      </c>
      <c r="F1434" s="61">
        <v>97.6</v>
      </c>
      <c r="G1434" s="61">
        <v>43.9</v>
      </c>
      <c r="H1434" s="61">
        <v>28.1</v>
      </c>
      <c r="I1434" s="61">
        <v>27.6</v>
      </c>
      <c r="J1434" s="61">
        <v>36.299999999999997</v>
      </c>
      <c r="K1434" s="61">
        <v>9.1999999999999993</v>
      </c>
      <c r="L1434" s="61">
        <v>57.9</v>
      </c>
      <c r="M1434" s="61">
        <v>53.9</v>
      </c>
      <c r="N1434" s="61">
        <v>73.5</v>
      </c>
      <c r="O1434" s="85">
        <v>38.799999999999997</v>
      </c>
      <c r="P1434" s="105"/>
      <c r="Q1434" s="87">
        <f t="shared" si="136"/>
        <v>1.2742911772600736E-4</v>
      </c>
      <c r="R1434" s="87">
        <f t="shared" si="139"/>
        <v>-1.0568329726126393E-3</v>
      </c>
      <c r="S1434" s="87">
        <f t="shared" si="139"/>
        <v>-5.3854051397169726E-3</v>
      </c>
      <c r="T1434" s="87">
        <f t="shared" si="138"/>
        <v>-8.4151969252844721E-3</v>
      </c>
      <c r="U1434" s="87">
        <f t="shared" si="138"/>
        <v>1.0298752200574473E-2</v>
      </c>
      <c r="V1434" s="87">
        <f t="shared" si="138"/>
        <v>-9.0703569699642651E-3</v>
      </c>
      <c r="W1434" s="87">
        <f t="shared" si="138"/>
        <v>-2.1127546425875283E-2</v>
      </c>
      <c r="X1434" s="87">
        <f t="shared" si="133"/>
        <v>-1.795380361659582E-2</v>
      </c>
      <c r="Y1434" s="87">
        <f t="shared" si="133"/>
        <v>2.7586224390796607E-3</v>
      </c>
      <c r="Z1434" s="87">
        <f t="shared" si="133"/>
        <v>2.1978906718775167E-2</v>
      </c>
      <c r="AA1434" s="87">
        <f t="shared" si="135"/>
        <v>0</v>
      </c>
      <c r="AB1434" s="87">
        <f t="shared" si="135"/>
        <v>-9.2336759469454407E-3</v>
      </c>
      <c r="AC1434" s="87">
        <f t="shared" si="135"/>
        <v>-2.7173929764999151E-3</v>
      </c>
      <c r="AD1434" s="87">
        <f t="shared" si="135"/>
        <v>0</v>
      </c>
      <c r="AE1434" s="90">
        <f t="shared" si="137"/>
        <v>1.0513755087303294E-3</v>
      </c>
    </row>
    <row r="1435" spans="1:31" ht="15.5" x14ac:dyDescent="0.35">
      <c r="A1435" s="82">
        <v>41849</v>
      </c>
      <c r="B1435" s="83">
        <v>10936.7</v>
      </c>
      <c r="C1435" s="84">
        <v>4442.7</v>
      </c>
      <c r="D1435" s="61">
        <v>592.20000000000005</v>
      </c>
      <c r="E1435" s="61">
        <v>35.700000000000003</v>
      </c>
      <c r="F1435" s="61">
        <v>98.3</v>
      </c>
      <c r="G1435" s="61">
        <v>43.6</v>
      </c>
      <c r="H1435" s="61">
        <v>27.9</v>
      </c>
      <c r="I1435" s="61">
        <v>27.6</v>
      </c>
      <c r="J1435" s="61">
        <v>36.200000000000003</v>
      </c>
      <c r="K1435" s="61">
        <v>9.1999999999999993</v>
      </c>
      <c r="L1435" s="61">
        <v>58.1</v>
      </c>
      <c r="M1435" s="61">
        <v>54</v>
      </c>
      <c r="N1435" s="61">
        <v>71.900000000000006</v>
      </c>
      <c r="O1435" s="85">
        <v>39.1</v>
      </c>
      <c r="P1435" s="105"/>
      <c r="Q1435" s="87">
        <f t="shared" si="136"/>
        <v>-4.6068527327540994E-3</v>
      </c>
      <c r="R1435" s="87">
        <f t="shared" si="139"/>
        <v>-4.9507179552049868E-4</v>
      </c>
      <c r="S1435" s="87">
        <f t="shared" si="139"/>
        <v>-6.7521947197391938E-4</v>
      </c>
      <c r="T1435" s="87">
        <f t="shared" si="138"/>
        <v>5.6179923042232738E-3</v>
      </c>
      <c r="U1435" s="87">
        <f t="shared" si="138"/>
        <v>7.1465337340740872E-3</v>
      </c>
      <c r="V1435" s="87">
        <f t="shared" si="138"/>
        <v>-6.8571697261369125E-3</v>
      </c>
      <c r="W1435" s="87">
        <f t="shared" si="138"/>
        <v>-7.1428875123802247E-3</v>
      </c>
      <c r="X1435" s="87">
        <f t="shared" si="133"/>
        <v>0</v>
      </c>
      <c r="Y1435" s="87">
        <f t="shared" si="133"/>
        <v>-2.7586224390795284E-3</v>
      </c>
      <c r="Z1435" s="87">
        <f t="shared" si="133"/>
        <v>0</v>
      </c>
      <c r="AA1435" s="87">
        <f t="shared" si="135"/>
        <v>3.4482792789159236E-3</v>
      </c>
      <c r="AB1435" s="87">
        <f t="shared" si="135"/>
        <v>1.8535686493228347E-3</v>
      </c>
      <c r="AC1435" s="87">
        <f t="shared" si="135"/>
        <v>-2.2009141491789876E-2</v>
      </c>
      <c r="AD1435" s="87">
        <f t="shared" si="135"/>
        <v>7.7022203620925236E-3</v>
      </c>
      <c r="AE1435" s="90">
        <f t="shared" si="137"/>
        <v>2.6335863496584335E-3</v>
      </c>
    </row>
    <row r="1436" spans="1:31" ht="15.5" x14ac:dyDescent="0.35">
      <c r="A1436" s="82">
        <v>41850</v>
      </c>
      <c r="B1436" s="83">
        <v>10929.8</v>
      </c>
      <c r="C1436" s="84">
        <v>4462.8999999999996</v>
      </c>
      <c r="D1436" s="61">
        <v>592.70000000000005</v>
      </c>
      <c r="E1436" s="61">
        <v>35.799999999999997</v>
      </c>
      <c r="F1436" s="61">
        <v>97.7</v>
      </c>
      <c r="G1436" s="61">
        <v>43.3</v>
      </c>
      <c r="H1436" s="61">
        <v>27.9</v>
      </c>
      <c r="I1436" s="61">
        <v>25.1</v>
      </c>
      <c r="J1436" s="61">
        <v>35.9</v>
      </c>
      <c r="K1436" s="61">
        <v>9.1999999999999993</v>
      </c>
      <c r="L1436" s="61">
        <v>57.6</v>
      </c>
      <c r="M1436" s="61">
        <v>54.1</v>
      </c>
      <c r="N1436" s="61">
        <v>71.900000000000006</v>
      </c>
      <c r="O1436" s="85">
        <v>39.1</v>
      </c>
      <c r="P1436" s="105"/>
      <c r="Q1436" s="87">
        <f t="shared" si="136"/>
        <v>-6.3110239215410186E-4</v>
      </c>
      <c r="R1436" s="87">
        <f t="shared" si="139"/>
        <v>4.5364792136157184E-3</v>
      </c>
      <c r="S1436" s="87">
        <f t="shared" si="139"/>
        <v>8.4395312630165006E-4</v>
      </c>
      <c r="T1436" s="87">
        <f t="shared" si="138"/>
        <v>2.7972046210609975E-3</v>
      </c>
      <c r="U1436" s="87">
        <f t="shared" si="138"/>
        <v>-6.1224681043837827E-3</v>
      </c>
      <c r="V1436" s="87">
        <f t="shared" si="138"/>
        <v>-6.9045153465445985E-3</v>
      </c>
      <c r="W1436" s="87">
        <f t="shared" si="138"/>
        <v>0</v>
      </c>
      <c r="X1436" s="87">
        <f t="shared" si="133"/>
        <v>-9.4947926585366063E-2</v>
      </c>
      <c r="Y1436" s="87">
        <f t="shared" si="133"/>
        <v>-8.32182333749233E-3</v>
      </c>
      <c r="Z1436" s="87">
        <f t="shared" si="133"/>
        <v>0</v>
      </c>
      <c r="AA1436" s="87">
        <f t="shared" si="135"/>
        <v>-8.6430961560199689E-3</v>
      </c>
      <c r="AB1436" s="87">
        <f t="shared" si="135"/>
        <v>1.8501392881613734E-3</v>
      </c>
      <c r="AC1436" s="87">
        <f t="shared" si="135"/>
        <v>0</v>
      </c>
      <c r="AD1436" s="87">
        <f t="shared" si="135"/>
        <v>0</v>
      </c>
      <c r="AE1436" s="90">
        <f t="shared" si="137"/>
        <v>-1.4376972287497361E-4</v>
      </c>
    </row>
    <row r="1437" spans="1:31" ht="15.5" x14ac:dyDescent="0.35">
      <c r="A1437" s="82">
        <v>41851</v>
      </c>
      <c r="B1437" s="83">
        <v>10726.4</v>
      </c>
      <c r="C1437" s="84">
        <v>4369.8</v>
      </c>
      <c r="D1437" s="61">
        <v>577.70000000000005</v>
      </c>
      <c r="E1437" s="61">
        <v>35.700000000000003</v>
      </c>
      <c r="F1437" s="61">
        <v>95.3</v>
      </c>
      <c r="G1437" s="61">
        <v>43.1</v>
      </c>
      <c r="H1437" s="61">
        <v>27.9</v>
      </c>
      <c r="I1437" s="61">
        <v>25</v>
      </c>
      <c r="J1437" s="61">
        <v>35.5</v>
      </c>
      <c r="K1437" s="61">
        <v>9.3000000000000007</v>
      </c>
      <c r="L1437" s="61">
        <v>56.7</v>
      </c>
      <c r="M1437" s="61">
        <v>52.4</v>
      </c>
      <c r="N1437" s="61">
        <v>72.8</v>
      </c>
      <c r="O1437" s="85">
        <v>38.5</v>
      </c>
      <c r="P1437" s="105"/>
      <c r="Q1437" s="87">
        <f t="shared" si="136"/>
        <v>-1.8785011333849334E-2</v>
      </c>
      <c r="R1437" s="87">
        <f t="shared" si="139"/>
        <v>-2.1081537473258513E-2</v>
      </c>
      <c r="S1437" s="87">
        <f t="shared" si="139"/>
        <v>-2.5633666006572641E-2</v>
      </c>
      <c r="T1437" s="87">
        <f t="shared" si="138"/>
        <v>-2.7972046210610309E-3</v>
      </c>
      <c r="U1437" s="87">
        <f t="shared" si="138"/>
        <v>-2.4871748388580698E-2</v>
      </c>
      <c r="V1437" s="87">
        <f t="shared" si="138"/>
        <v>-4.6296378987419938E-3</v>
      </c>
      <c r="W1437" s="87">
        <f t="shared" si="138"/>
        <v>0</v>
      </c>
      <c r="X1437" s="87">
        <f t="shared" si="133"/>
        <v>-3.9920212695375608E-3</v>
      </c>
      <c r="Y1437" s="87">
        <f t="shared" si="133"/>
        <v>-1.1204599012863019E-2</v>
      </c>
      <c r="Z1437" s="87">
        <f t="shared" si="133"/>
        <v>1.0810916104215676E-2</v>
      </c>
      <c r="AA1437" s="87">
        <f t="shared" si="135"/>
        <v>-1.5748356968139168E-2</v>
      </c>
      <c r="AB1437" s="87">
        <f t="shared" si="135"/>
        <v>-3.1927594525439425E-2</v>
      </c>
      <c r="AC1437" s="87">
        <f t="shared" si="135"/>
        <v>1.2439690475639201E-2</v>
      </c>
      <c r="AD1437" s="87">
        <f t="shared" si="135"/>
        <v>-1.546422569758159E-2</v>
      </c>
      <c r="AE1437" s="90">
        <f t="shared" si="137"/>
        <v>-2.2815232744126286E-2</v>
      </c>
    </row>
    <row r="1438" spans="1:31" ht="15.5" x14ac:dyDescent="0.35">
      <c r="A1438" s="82">
        <v>41852</v>
      </c>
      <c r="B1438" s="83">
        <v>10692.2</v>
      </c>
      <c r="C1438" s="84">
        <v>4352.6000000000004</v>
      </c>
      <c r="D1438" s="61">
        <v>570.29999999999995</v>
      </c>
      <c r="E1438" s="61">
        <v>35.299999999999997</v>
      </c>
      <c r="F1438" s="61">
        <v>94.8</v>
      </c>
      <c r="G1438" s="61">
        <v>42.6</v>
      </c>
      <c r="H1438" s="61">
        <v>27.3</v>
      </c>
      <c r="I1438" s="61">
        <v>24.1</v>
      </c>
      <c r="J1438" s="61">
        <v>34.700000000000003</v>
      </c>
      <c r="K1438" s="61">
        <v>9.4</v>
      </c>
      <c r="L1438" s="61">
        <v>56.3</v>
      </c>
      <c r="M1438" s="61">
        <v>51.8</v>
      </c>
      <c r="N1438" s="61">
        <v>72.8</v>
      </c>
      <c r="O1438" s="85">
        <v>38.200000000000003</v>
      </c>
      <c r="P1438" s="105"/>
      <c r="Q1438" s="87">
        <f t="shared" si="136"/>
        <v>-3.1934887495307976E-3</v>
      </c>
      <c r="R1438" s="87">
        <f t="shared" si="139"/>
        <v>-3.9438737719576849E-3</v>
      </c>
      <c r="S1438" s="87">
        <f t="shared" si="139"/>
        <v>-1.2892164624726815E-2</v>
      </c>
      <c r="T1438" s="87">
        <f t="shared" si="138"/>
        <v>-1.1267724846342494E-2</v>
      </c>
      <c r="U1438" s="87">
        <f t="shared" si="138"/>
        <v>-5.260401399180277E-3</v>
      </c>
      <c r="V1438" s="87">
        <f t="shared" si="138"/>
        <v>-1.1668743834377378E-2</v>
      </c>
      <c r="W1438" s="87">
        <f t="shared" si="138"/>
        <v>-2.1739986636405764E-2</v>
      </c>
      <c r="X1438" s="87">
        <f t="shared" si="133"/>
        <v>-3.6663984371591359E-2</v>
      </c>
      <c r="Y1438" s="87">
        <f t="shared" si="133"/>
        <v>-2.2793009528556573E-2</v>
      </c>
      <c r="Z1438" s="87">
        <f t="shared" si="133"/>
        <v>1.069528911674795E-2</v>
      </c>
      <c r="AA1438" s="87">
        <f t="shared" si="135"/>
        <v>-7.0796755880618003E-3</v>
      </c>
      <c r="AB1438" s="87">
        <f t="shared" si="135"/>
        <v>-1.151644206155918E-2</v>
      </c>
      <c r="AC1438" s="87">
        <f t="shared" si="135"/>
        <v>0</v>
      </c>
      <c r="AD1438" s="87">
        <f t="shared" si="135"/>
        <v>-7.8227256812089321E-3</v>
      </c>
      <c r="AE1438" s="90">
        <f t="shared" si="137"/>
        <v>-7.4115282644960446E-3</v>
      </c>
    </row>
    <row r="1439" spans="1:31" ht="15.5" x14ac:dyDescent="0.35">
      <c r="A1439" s="82">
        <v>41855</v>
      </c>
      <c r="B1439" s="83">
        <v>10766.7</v>
      </c>
      <c r="C1439" s="84">
        <v>4383.8999999999996</v>
      </c>
      <c r="D1439" s="61">
        <v>572.29999999999995</v>
      </c>
      <c r="E1439" s="61">
        <v>35.700000000000003</v>
      </c>
      <c r="F1439" s="61">
        <v>95.2</v>
      </c>
      <c r="G1439" s="61">
        <v>42.8</v>
      </c>
      <c r="H1439" s="61">
        <v>27.4</v>
      </c>
      <c r="I1439" s="61">
        <v>24.3</v>
      </c>
      <c r="J1439" s="61">
        <v>34.799999999999997</v>
      </c>
      <c r="K1439" s="61">
        <v>9.1</v>
      </c>
      <c r="L1439" s="61">
        <v>56.4</v>
      </c>
      <c r="M1439" s="61">
        <v>51.8</v>
      </c>
      <c r="N1439" s="61">
        <v>72.599999999999994</v>
      </c>
      <c r="O1439" s="85">
        <v>38.200000000000003</v>
      </c>
      <c r="P1439" s="105"/>
      <c r="Q1439" s="87">
        <f t="shared" si="136"/>
        <v>6.9435338549542289E-3</v>
      </c>
      <c r="R1439" s="87">
        <f t="shared" si="139"/>
        <v>7.165371468749477E-3</v>
      </c>
      <c r="S1439" s="87">
        <f t="shared" si="139"/>
        <v>3.500791252563498E-3</v>
      </c>
      <c r="T1439" s="87">
        <f t="shared" si="138"/>
        <v>1.1267724846342506E-2</v>
      </c>
      <c r="U1439" s="87">
        <f t="shared" si="138"/>
        <v>4.210532536343679E-3</v>
      </c>
      <c r="V1439" s="87">
        <f t="shared" si="138"/>
        <v>4.6838493124262163E-3</v>
      </c>
      <c r="W1439" s="87">
        <f t="shared" si="138"/>
        <v>3.6563112031104792E-3</v>
      </c>
      <c r="X1439" s="87">
        <f t="shared" si="133"/>
        <v>8.2645098498934314E-3</v>
      </c>
      <c r="Y1439" s="87">
        <f t="shared" si="133"/>
        <v>2.877699827614974E-3</v>
      </c>
      <c r="Z1439" s="87">
        <f t="shared" si="133"/>
        <v>-3.2435275753153962E-2</v>
      </c>
      <c r="AA1439" s="87">
        <f t="shared" si="135"/>
        <v>1.7746233583684796E-3</v>
      </c>
      <c r="AB1439" s="87">
        <f t="shared" si="135"/>
        <v>0</v>
      </c>
      <c r="AC1439" s="87">
        <f t="shared" si="135"/>
        <v>-2.7510333718898708E-3</v>
      </c>
      <c r="AD1439" s="87">
        <f t="shared" si="135"/>
        <v>0</v>
      </c>
      <c r="AE1439" s="90">
        <f t="shared" si="137"/>
        <v>4.3766712983111522E-3</v>
      </c>
    </row>
    <row r="1440" spans="1:31" ht="15.5" x14ac:dyDescent="0.35">
      <c r="A1440" s="82">
        <v>41856</v>
      </c>
      <c r="B1440" s="83">
        <v>10657.3</v>
      </c>
      <c r="C1440" s="84">
        <v>4352.8</v>
      </c>
      <c r="D1440" s="61">
        <v>570.29999999999995</v>
      </c>
      <c r="E1440" s="61">
        <v>35.6</v>
      </c>
      <c r="F1440" s="61">
        <v>94.4</v>
      </c>
      <c r="G1440" s="61">
        <v>42.8</v>
      </c>
      <c r="H1440" s="61">
        <v>27.4</v>
      </c>
      <c r="I1440" s="61">
        <v>24.1</v>
      </c>
      <c r="J1440" s="61">
        <v>34.700000000000003</v>
      </c>
      <c r="K1440" s="61">
        <v>9</v>
      </c>
      <c r="L1440" s="61">
        <v>55.8</v>
      </c>
      <c r="M1440" s="61">
        <v>51.5</v>
      </c>
      <c r="N1440" s="61">
        <v>72.3</v>
      </c>
      <c r="O1440" s="85">
        <v>38.299999999999997</v>
      </c>
      <c r="P1440" s="105"/>
      <c r="Q1440" s="87">
        <f t="shared" si="136"/>
        <v>-1.0212934176939156E-2</v>
      </c>
      <c r="R1440" s="87">
        <f t="shared" si="139"/>
        <v>-7.1194229770007037E-3</v>
      </c>
      <c r="S1440" s="87">
        <f t="shared" si="139"/>
        <v>-3.5007912525634038E-3</v>
      </c>
      <c r="T1440" s="87">
        <f t="shared" si="138"/>
        <v>-2.8050509276086096E-3</v>
      </c>
      <c r="U1440" s="87">
        <f t="shared" si="138"/>
        <v>-8.4388686458645949E-3</v>
      </c>
      <c r="V1440" s="87">
        <f t="shared" si="138"/>
        <v>0</v>
      </c>
      <c r="W1440" s="87">
        <f t="shared" si="138"/>
        <v>0</v>
      </c>
      <c r="X1440" s="87">
        <f t="shared" si="133"/>
        <v>-8.2645098498934245E-3</v>
      </c>
      <c r="Y1440" s="87">
        <f t="shared" si="133"/>
        <v>-2.8776998276149467E-3</v>
      </c>
      <c r="Z1440" s="87">
        <f t="shared" si="133"/>
        <v>-1.1049836186584935E-2</v>
      </c>
      <c r="AA1440" s="87">
        <f t="shared" si="135"/>
        <v>-1.069528911674803E-2</v>
      </c>
      <c r="AB1440" s="87">
        <f t="shared" si="135"/>
        <v>-5.8083415957469022E-3</v>
      </c>
      <c r="AC1440" s="87">
        <f t="shared" si="135"/>
        <v>-4.1407926660313879E-3</v>
      </c>
      <c r="AD1440" s="87">
        <f t="shared" si="135"/>
        <v>2.614380574070672E-3</v>
      </c>
      <c r="AE1440" s="90">
        <f t="shared" si="137"/>
        <v>-5.2541708047034877E-3</v>
      </c>
    </row>
    <row r="1441" spans="1:31" ht="15.5" x14ac:dyDescent="0.35">
      <c r="A1441" s="82">
        <v>41857</v>
      </c>
      <c r="B1441" s="83">
        <v>10653.4</v>
      </c>
      <c r="C1441" s="84">
        <v>4355</v>
      </c>
      <c r="D1441" s="61">
        <v>567.5</v>
      </c>
      <c r="E1441" s="61">
        <v>35.4</v>
      </c>
      <c r="F1441" s="61">
        <v>94.7</v>
      </c>
      <c r="G1441" s="61">
        <v>42.2</v>
      </c>
      <c r="H1441" s="61">
        <v>27.4</v>
      </c>
      <c r="I1441" s="61">
        <v>24</v>
      </c>
      <c r="J1441" s="61">
        <v>34.9</v>
      </c>
      <c r="K1441" s="61">
        <v>9</v>
      </c>
      <c r="L1441" s="61">
        <v>55.7</v>
      </c>
      <c r="M1441" s="61">
        <v>51</v>
      </c>
      <c r="N1441" s="61">
        <v>72.599999999999994</v>
      </c>
      <c r="O1441" s="85">
        <v>38.200000000000003</v>
      </c>
      <c r="P1441" s="105"/>
      <c r="Q1441" s="87">
        <f t="shared" si="136"/>
        <v>-3.6601332133979803E-4</v>
      </c>
      <c r="R1441" s="87">
        <f t="shared" si="139"/>
        <v>5.0529411488748526E-4</v>
      </c>
      <c r="S1441" s="87">
        <f t="shared" si="139"/>
        <v>-4.9217888069352936E-3</v>
      </c>
      <c r="T1441" s="87">
        <f t="shared" si="138"/>
        <v>-5.633817718256131E-3</v>
      </c>
      <c r="U1441" s="87">
        <f t="shared" si="138"/>
        <v>3.1729270405774918E-3</v>
      </c>
      <c r="V1441" s="87">
        <f t="shared" si="138"/>
        <v>-1.4117881545784819E-2</v>
      </c>
      <c r="W1441" s="87">
        <f t="shared" si="138"/>
        <v>0</v>
      </c>
      <c r="X1441" s="87">
        <f t="shared" si="133"/>
        <v>-4.1580101486637881E-3</v>
      </c>
      <c r="Y1441" s="87">
        <f t="shared" si="133"/>
        <v>5.747142255567851E-3</v>
      </c>
      <c r="Z1441" s="87">
        <f t="shared" si="133"/>
        <v>0</v>
      </c>
      <c r="AA1441" s="87">
        <f t="shared" si="135"/>
        <v>-1.7937224540267663E-3</v>
      </c>
      <c r="AB1441" s="87">
        <f t="shared" si="135"/>
        <v>-9.7561749453646852E-3</v>
      </c>
      <c r="AC1441" s="87">
        <f t="shared" si="135"/>
        <v>4.1407926660313871E-3</v>
      </c>
      <c r="AD1441" s="87">
        <f t="shared" si="135"/>
        <v>-2.6143805740707093E-3</v>
      </c>
      <c r="AE1441" s="90">
        <f t="shared" si="137"/>
        <v>-6.9997306758400404E-4</v>
      </c>
    </row>
    <row r="1442" spans="1:31" ht="15.5" x14ac:dyDescent="0.35">
      <c r="A1442" s="82">
        <v>41858</v>
      </c>
      <c r="B1442" s="83">
        <v>10583.8</v>
      </c>
      <c r="C1442" s="84">
        <v>4335</v>
      </c>
      <c r="D1442" s="61">
        <v>569.4</v>
      </c>
      <c r="E1442" s="61">
        <v>35.5</v>
      </c>
      <c r="F1442" s="61">
        <v>94.1</v>
      </c>
      <c r="G1442" s="61">
        <v>42.7</v>
      </c>
      <c r="H1442" s="61">
        <v>27.1</v>
      </c>
      <c r="I1442" s="61">
        <v>23.9</v>
      </c>
      <c r="J1442" s="61">
        <v>34.299999999999997</v>
      </c>
      <c r="K1442" s="61">
        <v>9</v>
      </c>
      <c r="L1442" s="61">
        <v>55.6</v>
      </c>
      <c r="M1442" s="61">
        <v>50.9</v>
      </c>
      <c r="N1442" s="61">
        <v>73.400000000000006</v>
      </c>
      <c r="O1442" s="85">
        <v>38</v>
      </c>
      <c r="P1442" s="105"/>
      <c r="Q1442" s="87">
        <f t="shared" si="136"/>
        <v>-6.554559846015497E-3</v>
      </c>
      <c r="R1442" s="87">
        <f t="shared" si="139"/>
        <v>-4.6030000719609662E-3</v>
      </c>
      <c r="S1442" s="87">
        <f t="shared" si="139"/>
        <v>3.3424254883794059E-3</v>
      </c>
      <c r="T1442" s="87">
        <f t="shared" si="138"/>
        <v>2.8208763416414846E-3</v>
      </c>
      <c r="U1442" s="87">
        <f t="shared" si="138"/>
        <v>-6.3559536006987157E-3</v>
      </c>
      <c r="V1442" s="87">
        <f t="shared" si="138"/>
        <v>1.1778699192612705E-2</v>
      </c>
      <c r="W1442" s="87">
        <f t="shared" si="138"/>
        <v>-1.1009285508369255E-2</v>
      </c>
      <c r="X1442" s="87">
        <f t="shared" si="133"/>
        <v>-4.1753714104807334E-3</v>
      </c>
      <c r="Y1442" s="87">
        <f t="shared" si="133"/>
        <v>-1.7341475036487326E-2</v>
      </c>
      <c r="Z1442" s="87">
        <f t="shared" si="133"/>
        <v>0</v>
      </c>
      <c r="AA1442" s="87">
        <f t="shared" si="135"/>
        <v>-1.7969456767016304E-3</v>
      </c>
      <c r="AB1442" s="87">
        <f t="shared" si="135"/>
        <v>-1.9627091678487058E-3</v>
      </c>
      <c r="AC1442" s="87">
        <f t="shared" si="135"/>
        <v>1.0959013789719602E-2</v>
      </c>
      <c r="AD1442" s="87">
        <f t="shared" si="135"/>
        <v>-5.2493558861437901E-3</v>
      </c>
      <c r="AE1442" s="90">
        <f t="shared" si="137"/>
        <v>-2.8566639691121813E-3</v>
      </c>
    </row>
    <row r="1443" spans="1:31" ht="15.5" x14ac:dyDescent="0.35">
      <c r="A1443" s="82">
        <v>41859</v>
      </c>
      <c r="B1443" s="83">
        <v>10691.1</v>
      </c>
      <c r="C1443" s="84">
        <v>4370.8999999999996</v>
      </c>
      <c r="D1443" s="61">
        <v>569</v>
      </c>
      <c r="E1443" s="61">
        <v>35.4</v>
      </c>
      <c r="F1443" s="61">
        <v>93.3</v>
      </c>
      <c r="G1443" s="61">
        <v>42.9</v>
      </c>
      <c r="H1443" s="61">
        <v>26.6</v>
      </c>
      <c r="I1443" s="61">
        <v>24.3</v>
      </c>
      <c r="J1443" s="61">
        <v>34.1</v>
      </c>
      <c r="K1443" s="61">
        <v>9.1</v>
      </c>
      <c r="L1443" s="61">
        <v>55.6</v>
      </c>
      <c r="M1443" s="61">
        <v>50.8</v>
      </c>
      <c r="N1443" s="61">
        <v>73.3</v>
      </c>
      <c r="O1443" s="85">
        <v>38</v>
      </c>
      <c r="P1443" s="105"/>
      <c r="Q1443" s="87">
        <f t="shared" si="136"/>
        <v>1.0087089462929723E-2</v>
      </c>
      <c r="R1443" s="87">
        <f t="shared" si="139"/>
        <v>8.2473273270247862E-3</v>
      </c>
      <c r="S1443" s="87">
        <f t="shared" si="139"/>
        <v>-7.027407176062524E-4</v>
      </c>
      <c r="T1443" s="87">
        <f t="shared" si="138"/>
        <v>-2.8208763416413406E-3</v>
      </c>
      <c r="U1443" s="87">
        <f t="shared" si="138"/>
        <v>-8.5379387380358201E-3</v>
      </c>
      <c r="V1443" s="87">
        <f t="shared" si="138"/>
        <v>4.6729056993924231E-3</v>
      </c>
      <c r="W1443" s="87">
        <f t="shared" si="138"/>
        <v>-1.8622512098001798E-2</v>
      </c>
      <c r="X1443" s="87">
        <f t="shared" si="133"/>
        <v>1.6597891409037831E-2</v>
      </c>
      <c r="Y1443" s="87">
        <f t="shared" si="133"/>
        <v>-5.8479698824229886E-3</v>
      </c>
      <c r="Z1443" s="87">
        <f t="shared" si="133"/>
        <v>1.1049836186584935E-2</v>
      </c>
      <c r="AA1443" s="87">
        <f t="shared" si="135"/>
        <v>0</v>
      </c>
      <c r="AB1443" s="87">
        <f t="shared" si="135"/>
        <v>-1.9665689720408269E-3</v>
      </c>
      <c r="AC1443" s="87">
        <f t="shared" si="135"/>
        <v>-1.3633267278641645E-3</v>
      </c>
      <c r="AD1443" s="87">
        <f t="shared" si="135"/>
        <v>0</v>
      </c>
      <c r="AE1443" s="90">
        <f t="shared" si="137"/>
        <v>-1.7494241514910301E-4</v>
      </c>
    </row>
    <row r="1444" spans="1:31" ht="15.5" x14ac:dyDescent="0.35">
      <c r="A1444" s="82">
        <v>41862</v>
      </c>
      <c r="B1444" s="83">
        <v>10722.8</v>
      </c>
      <c r="C1444" s="84">
        <v>4401.3</v>
      </c>
      <c r="D1444" s="61">
        <v>575.29999999999995</v>
      </c>
      <c r="E1444" s="61">
        <v>35.799999999999997</v>
      </c>
      <c r="F1444" s="61">
        <v>94.8</v>
      </c>
      <c r="G1444" s="61">
        <v>43</v>
      </c>
      <c r="H1444" s="61">
        <v>26.5</v>
      </c>
      <c r="I1444" s="61">
        <v>24.7</v>
      </c>
      <c r="J1444" s="61">
        <v>34.700000000000003</v>
      </c>
      <c r="K1444" s="61">
        <v>9.3000000000000007</v>
      </c>
      <c r="L1444" s="61">
        <v>56.5</v>
      </c>
      <c r="M1444" s="61">
        <v>51.5</v>
      </c>
      <c r="N1444" s="61">
        <v>74</v>
      </c>
      <c r="O1444" s="85">
        <v>38.5</v>
      </c>
      <c r="P1444" s="105"/>
      <c r="Q1444" s="87">
        <f t="shared" si="136"/>
        <v>2.9606959177083465E-3</v>
      </c>
      <c r="R1444" s="87">
        <f t="shared" si="139"/>
        <v>6.9310142720408986E-3</v>
      </c>
      <c r="S1444" s="87">
        <f t="shared" si="139"/>
        <v>1.1011209742916661E-2</v>
      </c>
      <c r="T1444" s="87">
        <f t="shared" si="138"/>
        <v>1.1236073266925752E-2</v>
      </c>
      <c r="U1444" s="87">
        <f t="shared" si="138"/>
        <v>1.594930140767804E-2</v>
      </c>
      <c r="V1444" s="87">
        <f t="shared" si="138"/>
        <v>2.3282897595911681E-3</v>
      </c>
      <c r="W1444" s="87">
        <f t="shared" si="138"/>
        <v>-3.7664827954768934E-3</v>
      </c>
      <c r="X1444" s="87">
        <f t="shared" si="133"/>
        <v>1.6326893287428666E-2</v>
      </c>
      <c r="Y1444" s="87">
        <f t="shared" si="133"/>
        <v>1.7442302663342388E-2</v>
      </c>
      <c r="Z1444" s="87">
        <f t="shared" si="133"/>
        <v>2.1739986636406038E-2</v>
      </c>
      <c r="AA1444" s="87">
        <f t="shared" si="135"/>
        <v>1.6057436895858469E-2</v>
      </c>
      <c r="AB1444" s="87">
        <f t="shared" si="135"/>
        <v>1.3685453085254229E-2</v>
      </c>
      <c r="AC1444" s="87">
        <f t="shared" si="135"/>
        <v>9.50448431156398E-3</v>
      </c>
      <c r="AD1444" s="87">
        <f t="shared" si="135"/>
        <v>1.3072081567352701E-2</v>
      </c>
      <c r="AE1444" s="90">
        <f t="shared" si="137"/>
        <v>1.145066523782334E-2</v>
      </c>
    </row>
    <row r="1445" spans="1:31" ht="15.5" x14ac:dyDescent="0.35">
      <c r="A1445" s="82">
        <v>41863</v>
      </c>
      <c r="B1445" s="83">
        <v>10705.8</v>
      </c>
      <c r="C1445" s="84">
        <v>4389.3</v>
      </c>
      <c r="D1445" s="61">
        <v>569.9</v>
      </c>
      <c r="E1445" s="61">
        <v>35.200000000000003</v>
      </c>
      <c r="F1445" s="61">
        <v>95.6</v>
      </c>
      <c r="G1445" s="61">
        <v>43</v>
      </c>
      <c r="H1445" s="61">
        <v>26.5</v>
      </c>
      <c r="I1445" s="61">
        <v>24.4</v>
      </c>
      <c r="J1445" s="61">
        <v>34.799999999999997</v>
      </c>
      <c r="K1445" s="61">
        <v>9.4</v>
      </c>
      <c r="L1445" s="61">
        <v>56.5</v>
      </c>
      <c r="M1445" s="61">
        <v>51.4</v>
      </c>
      <c r="N1445" s="61">
        <v>73.400000000000006</v>
      </c>
      <c r="O1445" s="85">
        <v>38.200000000000003</v>
      </c>
      <c r="P1445" s="105"/>
      <c r="Q1445" s="87">
        <f t="shared" si="136"/>
        <v>-1.5866648839836901E-3</v>
      </c>
      <c r="R1445" s="87">
        <f t="shared" si="139"/>
        <v>-2.7301907614817643E-3</v>
      </c>
      <c r="S1445" s="87">
        <f t="shared" si="139"/>
        <v>-9.430737028293789E-3</v>
      </c>
      <c r="T1445" s="87">
        <f t="shared" si="138"/>
        <v>-1.6901810802603025E-2</v>
      </c>
      <c r="U1445" s="87">
        <f t="shared" si="138"/>
        <v>8.4034107963793792E-3</v>
      </c>
      <c r="V1445" s="87">
        <f t="shared" si="138"/>
        <v>0</v>
      </c>
      <c r="W1445" s="87">
        <f t="shared" si="138"/>
        <v>0</v>
      </c>
      <c r="X1445" s="87">
        <f t="shared" si="133"/>
        <v>-1.2220111334775333E-2</v>
      </c>
      <c r="Y1445" s="87">
        <f t="shared" si="133"/>
        <v>2.877699827614974E-3</v>
      </c>
      <c r="Z1445" s="87">
        <f t="shared" si="133"/>
        <v>1.069528911674795E-2</v>
      </c>
      <c r="AA1445" s="87">
        <f t="shared" si="135"/>
        <v>0</v>
      </c>
      <c r="AB1445" s="87">
        <f t="shared" si="135"/>
        <v>-1.9436352085710144E-3</v>
      </c>
      <c r="AC1445" s="87">
        <f t="shared" si="135"/>
        <v>-8.1411575836997738E-3</v>
      </c>
      <c r="AD1445" s="87">
        <f t="shared" si="135"/>
        <v>-7.8227256812089321E-3</v>
      </c>
      <c r="AE1445" s="90">
        <f t="shared" si="137"/>
        <v>-2.1273303289235986E-3</v>
      </c>
    </row>
    <row r="1446" spans="1:31" ht="15.5" x14ac:dyDescent="0.35">
      <c r="A1446" s="82">
        <v>41864</v>
      </c>
      <c r="B1446" s="83">
        <v>10756.2</v>
      </c>
      <c r="C1446" s="84">
        <v>4434.1000000000004</v>
      </c>
      <c r="D1446" s="61">
        <v>575.20000000000005</v>
      </c>
      <c r="E1446" s="61">
        <v>35.799999999999997</v>
      </c>
      <c r="F1446" s="61">
        <v>96</v>
      </c>
      <c r="G1446" s="61">
        <v>43.5</v>
      </c>
      <c r="H1446" s="61">
        <v>26.8</v>
      </c>
      <c r="I1446" s="61">
        <v>24.2</v>
      </c>
      <c r="J1446" s="61">
        <v>34.299999999999997</v>
      </c>
      <c r="K1446" s="61">
        <v>9.1999999999999993</v>
      </c>
      <c r="L1446" s="61">
        <v>57.2</v>
      </c>
      <c r="M1446" s="61">
        <v>52.2</v>
      </c>
      <c r="N1446" s="61">
        <v>73.2</v>
      </c>
      <c r="O1446" s="85">
        <v>38.299999999999997</v>
      </c>
      <c r="P1446" s="105"/>
      <c r="Q1446" s="87">
        <f t="shared" si="136"/>
        <v>4.6966818234098406E-3</v>
      </c>
      <c r="R1446" s="87">
        <f t="shared" si="139"/>
        <v>1.0154902869264307E-2</v>
      </c>
      <c r="S1446" s="87">
        <f t="shared" si="139"/>
        <v>9.2568995658831275E-3</v>
      </c>
      <c r="T1446" s="87">
        <f t="shared" si="138"/>
        <v>1.6901810802603036E-2</v>
      </c>
      <c r="U1446" s="87">
        <f t="shared" si="138"/>
        <v>4.175371410480592E-3</v>
      </c>
      <c r="V1446" s="87">
        <f t="shared" si="138"/>
        <v>1.1560822401076006E-2</v>
      </c>
      <c r="W1446" s="87">
        <f t="shared" si="138"/>
        <v>1.1257154524634468E-2</v>
      </c>
      <c r="X1446" s="87">
        <f t="shared" si="133"/>
        <v>-8.23049913651548E-3</v>
      </c>
      <c r="Y1446" s="87">
        <f t="shared" si="133"/>
        <v>-1.4472032608534432E-2</v>
      </c>
      <c r="Z1446" s="87">
        <f t="shared" si="133"/>
        <v>-2.150620522096373E-2</v>
      </c>
      <c r="AA1446" s="87">
        <f t="shared" si="135"/>
        <v>1.2313260233357106E-2</v>
      </c>
      <c r="AB1446" s="87">
        <f t="shared" si="135"/>
        <v>1.5444322427473775E-2</v>
      </c>
      <c r="AC1446" s="87">
        <f t="shared" si="135"/>
        <v>-2.7285146532040625E-3</v>
      </c>
      <c r="AD1446" s="87">
        <f t="shared" si="135"/>
        <v>2.614380574070672E-3</v>
      </c>
      <c r="AE1446" s="90">
        <f t="shared" si="137"/>
        <v>7.2656814751415767E-3</v>
      </c>
    </row>
    <row r="1447" spans="1:31" ht="15.5" x14ac:dyDescent="0.35">
      <c r="A1447" s="82">
        <v>41865</v>
      </c>
      <c r="B1447" s="83">
        <v>10802.6</v>
      </c>
      <c r="C1447" s="84">
        <v>4453</v>
      </c>
      <c r="D1447" s="61">
        <v>580.9</v>
      </c>
      <c r="E1447" s="61">
        <v>36.200000000000003</v>
      </c>
      <c r="F1447" s="61">
        <v>96.8</v>
      </c>
      <c r="G1447" s="61">
        <v>44</v>
      </c>
      <c r="H1447" s="61">
        <v>27.1</v>
      </c>
      <c r="I1447" s="61">
        <v>24.6</v>
      </c>
      <c r="J1447" s="61">
        <v>34.5</v>
      </c>
      <c r="K1447" s="61">
        <v>9.3000000000000007</v>
      </c>
      <c r="L1447" s="61">
        <v>58</v>
      </c>
      <c r="M1447" s="61">
        <v>52.5</v>
      </c>
      <c r="N1447" s="61">
        <v>73.400000000000006</v>
      </c>
      <c r="O1447" s="85">
        <v>38.5</v>
      </c>
      <c r="P1447" s="105"/>
      <c r="Q1447" s="87">
        <f t="shared" si="136"/>
        <v>4.3045133908017272E-3</v>
      </c>
      <c r="R1447" s="87">
        <f t="shared" si="139"/>
        <v>4.253362400211653E-3</v>
      </c>
      <c r="S1447" s="87">
        <f t="shared" si="139"/>
        <v>9.8608185916496845E-3</v>
      </c>
      <c r="T1447" s="87">
        <f t="shared" si="138"/>
        <v>1.1111225425070849E-2</v>
      </c>
      <c r="U1447" s="87">
        <f t="shared" si="138"/>
        <v>8.2988028146950641E-3</v>
      </c>
      <c r="V1447" s="87">
        <f t="shared" si="138"/>
        <v>1.142869582362285E-2</v>
      </c>
      <c r="W1447" s="87">
        <f t="shared" si="138"/>
        <v>1.1131840368844199E-2</v>
      </c>
      <c r="X1447" s="87">
        <f t="shared" si="133"/>
        <v>1.639380977567657E-2</v>
      </c>
      <c r="Y1447" s="87">
        <f t="shared" si="133"/>
        <v>5.8139698654198161E-3</v>
      </c>
      <c r="Z1447" s="87">
        <f t="shared" si="133"/>
        <v>1.0810916104215676E-2</v>
      </c>
      <c r="AA1447" s="87">
        <f t="shared" si="135"/>
        <v>1.3889112160667093E-2</v>
      </c>
      <c r="AB1447" s="87">
        <f t="shared" si="135"/>
        <v>5.7306747089850745E-3</v>
      </c>
      <c r="AC1447" s="87">
        <f t="shared" si="135"/>
        <v>2.7285146532041358E-3</v>
      </c>
      <c r="AD1447" s="87">
        <f t="shared" si="135"/>
        <v>5.2083451071382597E-3</v>
      </c>
      <c r="AE1447" s="90">
        <f t="shared" si="137"/>
        <v>7.1678508891025111E-3</v>
      </c>
    </row>
    <row r="1448" spans="1:31" ht="15.5" x14ac:dyDescent="0.35">
      <c r="A1448" s="82">
        <v>41866</v>
      </c>
      <c r="B1448" s="83">
        <v>10796</v>
      </c>
      <c r="C1448" s="84">
        <v>4464.8999999999996</v>
      </c>
      <c r="D1448" s="61">
        <v>580.79999999999995</v>
      </c>
      <c r="E1448" s="61">
        <v>36.1</v>
      </c>
      <c r="F1448" s="61">
        <v>96.9</v>
      </c>
      <c r="G1448" s="61">
        <v>44.4</v>
      </c>
      <c r="H1448" s="61">
        <v>27.3</v>
      </c>
      <c r="I1448" s="61">
        <v>24.6</v>
      </c>
      <c r="J1448" s="61">
        <v>34.700000000000003</v>
      </c>
      <c r="K1448" s="61">
        <v>9.3000000000000007</v>
      </c>
      <c r="L1448" s="61">
        <v>58</v>
      </c>
      <c r="M1448" s="61">
        <v>51.9</v>
      </c>
      <c r="N1448" s="61">
        <v>73.099999999999994</v>
      </c>
      <c r="O1448" s="85">
        <v>38.299999999999997</v>
      </c>
      <c r="P1448" s="105"/>
      <c r="Q1448" s="87">
        <f t="shared" si="136"/>
        <v>-6.1115074175435908E-4</v>
      </c>
      <c r="R1448" s="87">
        <f t="shared" si="139"/>
        <v>2.6687913215202191E-3</v>
      </c>
      <c r="S1448" s="87">
        <f t="shared" si="139"/>
        <v>-1.7216148790056559E-4</v>
      </c>
      <c r="T1448" s="87">
        <f t="shared" si="138"/>
        <v>-2.766253492890185E-3</v>
      </c>
      <c r="U1448" s="87">
        <f t="shared" si="138"/>
        <v>1.0325246141894059E-3</v>
      </c>
      <c r="V1448" s="87">
        <f t="shared" si="138"/>
        <v>9.0498355199178562E-3</v>
      </c>
      <c r="W1448" s="87">
        <f t="shared" si="138"/>
        <v>7.3529743052587332E-3</v>
      </c>
      <c r="X1448" s="87">
        <f t="shared" si="133"/>
        <v>0</v>
      </c>
      <c r="Y1448" s="87">
        <f t="shared" si="133"/>
        <v>5.7803629154995493E-3</v>
      </c>
      <c r="Z1448" s="87">
        <f t="shared" si="133"/>
        <v>0</v>
      </c>
      <c r="AA1448" s="87">
        <f t="shared" si="135"/>
        <v>0</v>
      </c>
      <c r="AB1448" s="87">
        <f t="shared" si="135"/>
        <v>-1.1494379425735134E-2</v>
      </c>
      <c r="AC1448" s="87">
        <f t="shared" si="135"/>
        <v>-4.0955688647371933E-3</v>
      </c>
      <c r="AD1448" s="87">
        <f t="shared" si="135"/>
        <v>-5.2083451071383473E-3</v>
      </c>
      <c r="AE1448" s="90">
        <f t="shared" si="137"/>
        <v>4.1173721331071004E-4</v>
      </c>
    </row>
    <row r="1449" spans="1:31" ht="15.5" x14ac:dyDescent="0.35">
      <c r="A1449" s="82">
        <v>41869</v>
      </c>
      <c r="B1449" s="83">
        <v>10886.5</v>
      </c>
      <c r="C1449" s="84">
        <v>4508.3</v>
      </c>
      <c r="D1449" s="61">
        <v>586.6</v>
      </c>
      <c r="E1449" s="61">
        <v>36.799999999999997</v>
      </c>
      <c r="F1449" s="61">
        <v>98</v>
      </c>
      <c r="G1449" s="61">
        <v>44.7</v>
      </c>
      <c r="H1449" s="61">
        <v>27.5</v>
      </c>
      <c r="I1449" s="61">
        <v>24.8</v>
      </c>
      <c r="J1449" s="61">
        <v>35.1</v>
      </c>
      <c r="K1449" s="61">
        <v>9.4</v>
      </c>
      <c r="L1449" s="61">
        <v>58.4</v>
      </c>
      <c r="M1449" s="61">
        <v>52.8</v>
      </c>
      <c r="N1449" s="61">
        <v>73.7</v>
      </c>
      <c r="O1449" s="85">
        <v>38.799999999999997</v>
      </c>
      <c r="P1449" s="105"/>
      <c r="Q1449" s="87">
        <f t="shared" si="136"/>
        <v>8.3477943544783516E-3</v>
      </c>
      <c r="R1449" s="87">
        <f t="shared" si="139"/>
        <v>9.6733246606745555E-3</v>
      </c>
      <c r="S1449" s="87">
        <f t="shared" si="139"/>
        <v>9.9366930327644699E-3</v>
      </c>
      <c r="T1449" s="87">
        <f t="shared" si="138"/>
        <v>1.9204979836049827E-2</v>
      </c>
      <c r="U1449" s="87">
        <f t="shared" si="138"/>
        <v>1.1287959773851355E-2</v>
      </c>
      <c r="V1449" s="87">
        <f t="shared" si="138"/>
        <v>6.7340321813441194E-3</v>
      </c>
      <c r="W1449" s="87">
        <f t="shared" si="138"/>
        <v>7.2993024816115351E-3</v>
      </c>
      <c r="X1449" s="87">
        <f t="shared" si="133"/>
        <v>8.0972102326193028E-3</v>
      </c>
      <c r="Y1449" s="87">
        <f t="shared" si="133"/>
        <v>1.1461443519006598E-2</v>
      </c>
      <c r="Z1449" s="87">
        <f t="shared" si="133"/>
        <v>1.069528911674795E-2</v>
      </c>
      <c r="AA1449" s="87">
        <f t="shared" si="135"/>
        <v>6.8728792877620504E-3</v>
      </c>
      <c r="AB1449" s="87">
        <f t="shared" si="135"/>
        <v>1.7192400540372771E-2</v>
      </c>
      <c r="AC1449" s="87">
        <f t="shared" si="135"/>
        <v>8.1744324395581266E-3</v>
      </c>
      <c r="AD1449" s="87">
        <f t="shared" si="135"/>
        <v>1.2970350442627405E-2</v>
      </c>
      <c r="AE1449" s="90">
        <f t="shared" si="137"/>
        <v>1.061286425788782E-2</v>
      </c>
    </row>
    <row r="1450" spans="1:31" ht="15.5" x14ac:dyDescent="0.35">
      <c r="A1450" s="82">
        <v>41870</v>
      </c>
      <c r="B1450" s="83">
        <v>10929.7</v>
      </c>
      <c r="C1450" s="84">
        <v>4527.5</v>
      </c>
      <c r="D1450" s="61">
        <v>594.4</v>
      </c>
      <c r="E1450" s="61">
        <v>37.5</v>
      </c>
      <c r="F1450" s="61">
        <v>99.3</v>
      </c>
      <c r="G1450" s="61">
        <v>44.8</v>
      </c>
      <c r="H1450" s="61">
        <v>27.8</v>
      </c>
      <c r="I1450" s="61">
        <v>25.4</v>
      </c>
      <c r="J1450" s="61">
        <v>35.1</v>
      </c>
      <c r="K1450" s="61">
        <v>9.9</v>
      </c>
      <c r="L1450" s="61">
        <v>58.3</v>
      </c>
      <c r="M1450" s="61">
        <v>53.3</v>
      </c>
      <c r="N1450" s="61">
        <v>73.900000000000006</v>
      </c>
      <c r="O1450" s="85">
        <v>39.200000000000003</v>
      </c>
      <c r="P1450" s="105"/>
      <c r="Q1450" s="87">
        <f t="shared" si="136"/>
        <v>3.960364909026493E-3</v>
      </c>
      <c r="R1450" s="87">
        <f t="shared" si="139"/>
        <v>4.2497684536715302E-3</v>
      </c>
      <c r="S1450" s="87">
        <f t="shared" si="139"/>
        <v>1.3209336860198597E-2</v>
      </c>
      <c r="T1450" s="87">
        <f t="shared" si="138"/>
        <v>1.8843087801479915E-2</v>
      </c>
      <c r="U1450" s="87">
        <f t="shared" si="138"/>
        <v>1.3178092380555036E-2</v>
      </c>
      <c r="V1450" s="87">
        <f t="shared" si="138"/>
        <v>2.2346378014161412E-3</v>
      </c>
      <c r="W1450" s="87">
        <f t="shared" si="138"/>
        <v>1.0850016024065844E-2</v>
      </c>
      <c r="X1450" s="87">
        <f t="shared" si="133"/>
        <v>2.3905520853554386E-2</v>
      </c>
      <c r="Y1450" s="87">
        <f t="shared" si="133"/>
        <v>0</v>
      </c>
      <c r="Z1450" s="87">
        <f t="shared" si="133"/>
        <v>5.1825067864585947E-2</v>
      </c>
      <c r="AA1450" s="87">
        <f t="shared" si="135"/>
        <v>-1.7137964777347416E-3</v>
      </c>
      <c r="AB1450" s="87">
        <f t="shared" si="135"/>
        <v>9.4251404595831131E-3</v>
      </c>
      <c r="AC1450" s="87">
        <f t="shared" si="135"/>
        <v>2.710028758865158E-3</v>
      </c>
      <c r="AD1450" s="87">
        <f t="shared" si="135"/>
        <v>1.0256500167189282E-2</v>
      </c>
      <c r="AE1450" s="90">
        <f t="shared" si="137"/>
        <v>1.0155873514117116E-2</v>
      </c>
    </row>
    <row r="1451" spans="1:31" ht="15.5" x14ac:dyDescent="0.35">
      <c r="A1451" s="82">
        <v>41871</v>
      </c>
      <c r="B1451" s="83">
        <v>10949.5</v>
      </c>
      <c r="C1451" s="84">
        <v>4526.5</v>
      </c>
      <c r="D1451" s="61">
        <v>593</v>
      </c>
      <c r="E1451" s="61">
        <v>37.299999999999997</v>
      </c>
      <c r="F1451" s="61">
        <v>100</v>
      </c>
      <c r="G1451" s="61">
        <v>44.9</v>
      </c>
      <c r="H1451" s="61">
        <v>27.4</v>
      </c>
      <c r="I1451" s="61">
        <v>25.3</v>
      </c>
      <c r="J1451" s="61">
        <v>35</v>
      </c>
      <c r="K1451" s="61">
        <v>10.199999999999999</v>
      </c>
      <c r="L1451" s="61">
        <v>58.5</v>
      </c>
      <c r="M1451" s="61">
        <v>53.4</v>
      </c>
      <c r="N1451" s="61">
        <v>73.400000000000006</v>
      </c>
      <c r="O1451" s="85">
        <v>39.1</v>
      </c>
      <c r="P1451" s="105"/>
      <c r="Q1451" s="87">
        <f t="shared" si="136"/>
        <v>1.8099387002448884E-3</v>
      </c>
      <c r="R1451" s="87">
        <f t="shared" si="139"/>
        <v>-2.2089684207337175E-4</v>
      </c>
      <c r="S1451" s="87">
        <f t="shared" si="139"/>
        <v>-2.3580944058239125E-3</v>
      </c>
      <c r="T1451" s="87">
        <f t="shared" si="138"/>
        <v>-5.3476063265953527E-3</v>
      </c>
      <c r="U1451" s="87">
        <f t="shared" si="138"/>
        <v>7.0246149369644385E-3</v>
      </c>
      <c r="V1451" s="87">
        <f t="shared" si="138"/>
        <v>2.2296553272690683E-3</v>
      </c>
      <c r="W1451" s="87">
        <f t="shared" si="138"/>
        <v>-1.4493007302566864E-2</v>
      </c>
      <c r="X1451" s="87">
        <f t="shared" si="133"/>
        <v>-3.9447782910162288E-3</v>
      </c>
      <c r="Y1451" s="87">
        <f t="shared" si="133"/>
        <v>-2.8530689824065106E-3</v>
      </c>
      <c r="Z1451" s="87">
        <f t="shared" si="133"/>
        <v>2.9852963149681128E-2</v>
      </c>
      <c r="AA1451" s="87">
        <f t="shared" si="135"/>
        <v>3.4246608813641747E-3</v>
      </c>
      <c r="AB1451" s="87">
        <f t="shared" si="135"/>
        <v>1.874414794350352E-3</v>
      </c>
      <c r="AC1451" s="87">
        <f t="shared" si="135"/>
        <v>-6.7888923336862032E-3</v>
      </c>
      <c r="AD1451" s="87">
        <f t="shared" si="135"/>
        <v>-2.5542798050968538E-3</v>
      </c>
      <c r="AE1451" s="90">
        <f t="shared" si="137"/>
        <v>9.4156318062812527E-4</v>
      </c>
    </row>
    <row r="1452" spans="1:31" ht="15.5" x14ac:dyDescent="0.35">
      <c r="A1452" s="82">
        <v>41872</v>
      </c>
      <c r="B1452" s="83">
        <v>10982.8</v>
      </c>
      <c r="C1452" s="84">
        <v>4532.1000000000004</v>
      </c>
      <c r="D1452" s="61">
        <v>591.1</v>
      </c>
      <c r="E1452" s="61">
        <v>37.299999999999997</v>
      </c>
      <c r="F1452" s="61">
        <v>100.1</v>
      </c>
      <c r="G1452" s="61">
        <v>44.8</v>
      </c>
      <c r="H1452" s="61">
        <v>27.5</v>
      </c>
      <c r="I1452" s="61">
        <v>25.2</v>
      </c>
      <c r="J1452" s="61">
        <v>35.299999999999997</v>
      </c>
      <c r="K1452" s="61">
        <v>10.1</v>
      </c>
      <c r="L1452" s="61">
        <v>58.8</v>
      </c>
      <c r="M1452" s="61">
        <v>53.2</v>
      </c>
      <c r="N1452" s="61">
        <v>73.8</v>
      </c>
      <c r="O1452" s="85">
        <v>39.299999999999997</v>
      </c>
      <c r="P1452" s="105"/>
      <c r="Q1452" s="87">
        <f t="shared" si="136"/>
        <v>3.0366195600491589E-3</v>
      </c>
      <c r="R1452" s="87">
        <f t="shared" si="139"/>
        <v>1.2363943022940709E-3</v>
      </c>
      <c r="S1452" s="87">
        <f t="shared" si="139"/>
        <v>-3.2091911674015689E-3</v>
      </c>
      <c r="T1452" s="87">
        <f t="shared" si="138"/>
        <v>0</v>
      </c>
      <c r="U1452" s="87">
        <f t="shared" si="138"/>
        <v>9.9950033308342321E-4</v>
      </c>
      <c r="V1452" s="87">
        <f t="shared" si="138"/>
        <v>-2.2296553272692031E-3</v>
      </c>
      <c r="W1452" s="87">
        <f t="shared" si="138"/>
        <v>3.6429912785012298E-3</v>
      </c>
      <c r="X1452" s="87">
        <f t="shared" si="133"/>
        <v>-3.9604012160970167E-3</v>
      </c>
      <c r="Y1452" s="87">
        <f t="shared" si="133"/>
        <v>8.5349024498372859E-3</v>
      </c>
      <c r="Z1452" s="87">
        <f t="shared" si="133"/>
        <v>-9.8522964430115944E-3</v>
      </c>
      <c r="AA1452" s="87">
        <f t="shared" si="135"/>
        <v>5.1151006667704089E-3</v>
      </c>
      <c r="AB1452" s="87">
        <f t="shared" si="135"/>
        <v>-3.7523496185503527E-3</v>
      </c>
      <c r="AC1452" s="87">
        <f t="shared" si="135"/>
        <v>5.4347959859567746E-3</v>
      </c>
      <c r="AD1452" s="87">
        <f t="shared" si="135"/>
        <v>5.1020518838953309E-3</v>
      </c>
      <c r="AE1452" s="90">
        <f t="shared" si="137"/>
        <v>3.3701216449249426E-4</v>
      </c>
    </row>
    <row r="1453" spans="1:31" ht="15.5" x14ac:dyDescent="0.35">
      <c r="A1453" s="82">
        <v>41873</v>
      </c>
      <c r="B1453" s="83">
        <v>10947.3</v>
      </c>
      <c r="C1453" s="84">
        <v>4538.5</v>
      </c>
      <c r="D1453" s="61">
        <v>589.79999999999995</v>
      </c>
      <c r="E1453" s="61">
        <v>37.6</v>
      </c>
      <c r="F1453" s="61">
        <v>100.2</v>
      </c>
      <c r="G1453" s="61">
        <v>45.1</v>
      </c>
      <c r="H1453" s="61">
        <v>27.6</v>
      </c>
      <c r="I1453" s="61">
        <v>24.9</v>
      </c>
      <c r="J1453" s="61">
        <v>35.200000000000003</v>
      </c>
      <c r="K1453" s="61">
        <v>10</v>
      </c>
      <c r="L1453" s="61">
        <v>58.9</v>
      </c>
      <c r="M1453" s="61">
        <v>53.5</v>
      </c>
      <c r="N1453" s="61">
        <v>73.900000000000006</v>
      </c>
      <c r="O1453" s="85">
        <v>39.5</v>
      </c>
      <c r="P1453" s="105"/>
      <c r="Q1453" s="87">
        <f t="shared" si="136"/>
        <v>-3.2375621642106822E-3</v>
      </c>
      <c r="R1453" s="87">
        <f t="shared" si="139"/>
        <v>1.4111527488929161E-3</v>
      </c>
      <c r="S1453" s="87">
        <f t="shared" si="139"/>
        <v>-2.2017114491480589E-3</v>
      </c>
      <c r="T1453" s="87">
        <f t="shared" si="138"/>
        <v>8.010723746078979E-3</v>
      </c>
      <c r="U1453" s="87">
        <f t="shared" si="138"/>
        <v>9.9850232958960004E-4</v>
      </c>
      <c r="V1453" s="87">
        <f t="shared" si="138"/>
        <v>6.6741070876932176E-3</v>
      </c>
      <c r="W1453" s="87">
        <f t="shared" si="138"/>
        <v>3.6297680505787311E-3</v>
      </c>
      <c r="X1453" s="87">
        <f t="shared" si="133"/>
        <v>-1.1976191046715762E-2</v>
      </c>
      <c r="Y1453" s="87">
        <f t="shared" si="133"/>
        <v>-2.8368813351995039E-3</v>
      </c>
      <c r="Z1453" s="87">
        <f t="shared" si="133"/>
        <v>-9.950330853168092E-3</v>
      </c>
      <c r="AA1453" s="87">
        <f t="shared" si="135"/>
        <v>1.6992357529598428E-3</v>
      </c>
      <c r="AB1453" s="87">
        <f t="shared" si="135"/>
        <v>5.6232575543620393E-3</v>
      </c>
      <c r="AC1453" s="87">
        <f t="shared" si="135"/>
        <v>1.3540963477294517E-3</v>
      </c>
      <c r="AD1453" s="87">
        <f t="shared" si="135"/>
        <v>5.0761530318607891E-3</v>
      </c>
      <c r="AE1453" s="90">
        <f t="shared" si="137"/>
        <v>6.8091654031577828E-4</v>
      </c>
    </row>
    <row r="1454" spans="1:31" ht="15.5" x14ac:dyDescent="0.35">
      <c r="A1454" s="82">
        <v>41876</v>
      </c>
      <c r="B1454" s="83">
        <v>11005.4</v>
      </c>
      <c r="C1454" s="84">
        <v>4557.3999999999996</v>
      </c>
      <c r="D1454" s="61">
        <v>589.29999999999995</v>
      </c>
      <c r="E1454" s="61">
        <v>37.5</v>
      </c>
      <c r="F1454" s="61">
        <v>101.3</v>
      </c>
      <c r="G1454" s="61">
        <v>45</v>
      </c>
      <c r="H1454" s="61">
        <v>27.6</v>
      </c>
      <c r="I1454" s="61">
        <v>25</v>
      </c>
      <c r="J1454" s="61">
        <v>35.200000000000003</v>
      </c>
      <c r="K1454" s="61">
        <v>10.4</v>
      </c>
      <c r="L1454" s="61">
        <v>59.3</v>
      </c>
      <c r="M1454" s="61">
        <v>53.8</v>
      </c>
      <c r="N1454" s="61">
        <v>73.900000000000006</v>
      </c>
      <c r="O1454" s="85">
        <v>39.799999999999997</v>
      </c>
      <c r="P1454" s="105"/>
      <c r="Q1454" s="87">
        <f t="shared" si="136"/>
        <v>5.2932109174862125E-3</v>
      </c>
      <c r="R1454" s="87">
        <f t="shared" si="139"/>
        <v>4.1557244913235066E-3</v>
      </c>
      <c r="S1454" s="87">
        <f t="shared" si="139"/>
        <v>-8.4810453730823189E-4</v>
      </c>
      <c r="T1454" s="87">
        <f t="shared" si="138"/>
        <v>-2.6631174194837732E-3</v>
      </c>
      <c r="U1454" s="87">
        <f t="shared" si="138"/>
        <v>1.0918222603873229E-2</v>
      </c>
      <c r="V1454" s="87">
        <f t="shared" si="138"/>
        <v>-2.2197567383128881E-3</v>
      </c>
      <c r="W1454" s="87">
        <f t="shared" si="138"/>
        <v>0</v>
      </c>
      <c r="X1454" s="87">
        <f t="shared" si="133"/>
        <v>4.0080213975388678E-3</v>
      </c>
      <c r="Y1454" s="87">
        <f t="shared" si="133"/>
        <v>0</v>
      </c>
      <c r="Z1454" s="87">
        <f t="shared" si="133"/>
        <v>3.9220713153281329E-2</v>
      </c>
      <c r="AA1454" s="87">
        <f t="shared" si="135"/>
        <v>6.7682153461388105E-3</v>
      </c>
      <c r="AB1454" s="87">
        <f t="shared" si="135"/>
        <v>5.5918132657777134E-3</v>
      </c>
      <c r="AC1454" s="87">
        <f t="shared" si="135"/>
        <v>0</v>
      </c>
      <c r="AD1454" s="87">
        <f t="shared" si="135"/>
        <v>7.5662403833156562E-3</v>
      </c>
      <c r="AE1454" s="90">
        <f t="shared" si="137"/>
        <v>5.0389855167950141E-3</v>
      </c>
    </row>
    <row r="1455" spans="1:31" ht="15.5" x14ac:dyDescent="0.35">
      <c r="A1455" s="82">
        <v>41877</v>
      </c>
      <c r="B1455" s="83">
        <v>11025.4</v>
      </c>
      <c r="C1455" s="84">
        <v>4570.6000000000004</v>
      </c>
      <c r="D1455" s="61">
        <v>587.5</v>
      </c>
      <c r="E1455" s="61">
        <v>37.6</v>
      </c>
      <c r="F1455" s="61">
        <v>100.9</v>
      </c>
      <c r="G1455" s="61">
        <v>44.9</v>
      </c>
      <c r="H1455" s="61">
        <v>27.5</v>
      </c>
      <c r="I1455" s="61">
        <v>25.1</v>
      </c>
      <c r="J1455" s="61">
        <v>35.1</v>
      </c>
      <c r="K1455" s="61">
        <v>10.6</v>
      </c>
      <c r="L1455" s="61">
        <v>59.7</v>
      </c>
      <c r="M1455" s="61">
        <v>54.2</v>
      </c>
      <c r="N1455" s="61">
        <v>73.599999999999994</v>
      </c>
      <c r="O1455" s="85">
        <v>39.700000000000003</v>
      </c>
      <c r="P1455" s="105"/>
      <c r="Q1455" s="87">
        <f t="shared" si="136"/>
        <v>1.8156404210696239E-3</v>
      </c>
      <c r="R1455" s="87">
        <f t="shared" si="139"/>
        <v>2.8922018407788238E-3</v>
      </c>
      <c r="S1455" s="87">
        <f t="shared" si="139"/>
        <v>-3.0591458255536034E-3</v>
      </c>
      <c r="T1455" s="87">
        <f t="shared" si="138"/>
        <v>2.6631174194836284E-3</v>
      </c>
      <c r="U1455" s="87">
        <f t="shared" si="138"/>
        <v>-3.956483895074369E-3</v>
      </c>
      <c r="V1455" s="87">
        <f t="shared" si="138"/>
        <v>-2.2246950221111624E-3</v>
      </c>
      <c r="W1455" s="87">
        <f t="shared" si="138"/>
        <v>-3.6297680505787237E-3</v>
      </c>
      <c r="X1455" s="87">
        <f t="shared" si="133"/>
        <v>3.9920212695374567E-3</v>
      </c>
      <c r="Y1455" s="87">
        <f t="shared" si="133"/>
        <v>-2.8449521322313617E-3</v>
      </c>
      <c r="Z1455" s="87">
        <f t="shared" si="133"/>
        <v>1.9048194970694411E-2</v>
      </c>
      <c r="AA1455" s="87">
        <f t="shared" si="135"/>
        <v>6.7227143948767375E-3</v>
      </c>
      <c r="AB1455" s="87">
        <f t="shared" si="135"/>
        <v>7.4074412778618176E-3</v>
      </c>
      <c r="AC1455" s="87">
        <f t="shared" si="135"/>
        <v>-4.0678022193256979E-3</v>
      </c>
      <c r="AD1455" s="87">
        <f t="shared" si="135"/>
        <v>-2.5157245972471359E-3</v>
      </c>
      <c r="AE1455" s="90">
        <f t="shared" si="137"/>
        <v>-1.4657702621655375E-3</v>
      </c>
    </row>
    <row r="1456" spans="1:31" ht="15.5" x14ac:dyDescent="0.35">
      <c r="A1456" s="82">
        <v>41878</v>
      </c>
      <c r="B1456" s="83">
        <v>11037.9</v>
      </c>
      <c r="C1456" s="84">
        <v>4569.6000000000004</v>
      </c>
      <c r="D1456" s="61">
        <v>580.9</v>
      </c>
      <c r="E1456" s="61">
        <v>37.799999999999997</v>
      </c>
      <c r="F1456" s="61">
        <v>100.7</v>
      </c>
      <c r="G1456" s="61">
        <v>44.8</v>
      </c>
      <c r="H1456" s="61">
        <v>27.4</v>
      </c>
      <c r="I1456" s="61">
        <v>25.2</v>
      </c>
      <c r="J1456" s="61">
        <v>34.9</v>
      </c>
      <c r="K1456" s="61">
        <v>10.8</v>
      </c>
      <c r="L1456" s="61">
        <v>60.1</v>
      </c>
      <c r="M1456" s="61">
        <v>54.5</v>
      </c>
      <c r="N1456" s="61">
        <v>73.5</v>
      </c>
      <c r="O1456" s="85">
        <v>39.700000000000003</v>
      </c>
      <c r="P1456" s="105"/>
      <c r="Q1456" s="87">
        <f t="shared" si="136"/>
        <v>1.1331035101203955E-3</v>
      </c>
      <c r="R1456" s="87">
        <f t="shared" si="139"/>
        <v>-2.1881359357340285E-4</v>
      </c>
      <c r="S1456" s="87">
        <f t="shared" si="139"/>
        <v>-1.1297621019827212E-2</v>
      </c>
      <c r="T1456" s="87">
        <f t="shared" si="138"/>
        <v>5.3050522296930981E-3</v>
      </c>
      <c r="U1456" s="87">
        <f t="shared" si="138"/>
        <v>-1.9841276350467041E-3</v>
      </c>
      <c r="V1456" s="87">
        <f t="shared" si="138"/>
        <v>-2.2296553272692031E-3</v>
      </c>
      <c r="W1456" s="87">
        <f t="shared" si="138"/>
        <v>-3.6429912785010919E-3</v>
      </c>
      <c r="X1456" s="87">
        <f t="shared" si="138"/>
        <v>3.9761483796394168E-3</v>
      </c>
      <c r="Y1456" s="87">
        <f t="shared" si="138"/>
        <v>-5.7143012634387758E-3</v>
      </c>
      <c r="Z1456" s="87">
        <f t="shared" si="138"/>
        <v>1.8692133012152546E-2</v>
      </c>
      <c r="AA1456" s="87">
        <f t="shared" si="135"/>
        <v>6.6778211426054479E-3</v>
      </c>
      <c r="AB1456" s="87">
        <f t="shared" si="135"/>
        <v>5.5197932235979017E-3</v>
      </c>
      <c r="AC1456" s="87">
        <f t="shared" si="135"/>
        <v>-1.3596195160394844E-3</v>
      </c>
      <c r="AD1456" s="87">
        <f t="shared" si="135"/>
        <v>0</v>
      </c>
      <c r="AE1456" s="90">
        <f t="shared" si="137"/>
        <v>-3.9404687785564883E-3</v>
      </c>
    </row>
    <row r="1457" spans="1:31" ht="15.5" x14ac:dyDescent="0.35">
      <c r="A1457" s="82">
        <v>41879</v>
      </c>
      <c r="B1457" s="83">
        <v>11009.7</v>
      </c>
      <c r="C1457" s="84">
        <v>4557.7</v>
      </c>
      <c r="D1457" s="61">
        <v>577.9</v>
      </c>
      <c r="E1457" s="61">
        <v>37.9</v>
      </c>
      <c r="F1457" s="61">
        <v>101.6</v>
      </c>
      <c r="G1457" s="61">
        <v>44.6</v>
      </c>
      <c r="H1457" s="61">
        <v>27.3</v>
      </c>
      <c r="I1457" s="61">
        <v>25.3</v>
      </c>
      <c r="J1457" s="61">
        <v>35</v>
      </c>
      <c r="K1457" s="61">
        <v>10.7</v>
      </c>
      <c r="L1457" s="61">
        <v>59.8</v>
      </c>
      <c r="M1457" s="61">
        <v>53.7</v>
      </c>
      <c r="N1457" s="61">
        <v>73.3</v>
      </c>
      <c r="O1457" s="85">
        <v>39.299999999999997</v>
      </c>
      <c r="P1457" s="105"/>
      <c r="Q1457" s="87">
        <f t="shared" si="136"/>
        <v>-2.558102957069308E-3</v>
      </c>
      <c r="R1457" s="87">
        <f t="shared" si="139"/>
        <v>-2.6075634070809417E-3</v>
      </c>
      <c r="S1457" s="87">
        <f t="shared" si="139"/>
        <v>-5.1777816747545138E-3</v>
      </c>
      <c r="T1457" s="87">
        <f t="shared" si="138"/>
        <v>2.6420094628387975E-3</v>
      </c>
      <c r="U1457" s="87">
        <f t="shared" si="138"/>
        <v>8.8977354198647891E-3</v>
      </c>
      <c r="V1457" s="87">
        <f t="shared" si="138"/>
        <v>-4.4742803949209663E-3</v>
      </c>
      <c r="W1457" s="87">
        <f t="shared" si="138"/>
        <v>-3.6563112031104319E-3</v>
      </c>
      <c r="X1457" s="87">
        <f t="shared" si="138"/>
        <v>3.9604012160969143E-3</v>
      </c>
      <c r="Y1457" s="87">
        <f t="shared" si="138"/>
        <v>2.8612322810321949E-3</v>
      </c>
      <c r="Z1457" s="87">
        <f t="shared" si="138"/>
        <v>-9.302392662313674E-3</v>
      </c>
      <c r="AA1457" s="87">
        <f t="shared" si="135"/>
        <v>-5.0041805845759497E-3</v>
      </c>
      <c r="AB1457" s="87">
        <f t="shared" si="135"/>
        <v>-1.4787700154379389E-2</v>
      </c>
      <c r="AC1457" s="87">
        <f t="shared" si="135"/>
        <v>-2.7247973261852539E-3</v>
      </c>
      <c r="AD1457" s="87">
        <f t="shared" si="135"/>
        <v>-1.0126668817929271E-2</v>
      </c>
      <c r="AE1457" s="90">
        <f t="shared" si="137"/>
        <v>-9.841529530715458E-4</v>
      </c>
    </row>
    <row r="1458" spans="1:31" ht="15.5" x14ac:dyDescent="0.35">
      <c r="A1458" s="82">
        <v>41880</v>
      </c>
      <c r="B1458" s="83">
        <v>11046.3</v>
      </c>
      <c r="C1458" s="84">
        <v>4580.3</v>
      </c>
      <c r="D1458" s="61">
        <v>578.20000000000005</v>
      </c>
      <c r="E1458" s="61">
        <v>38.200000000000003</v>
      </c>
      <c r="F1458" s="61">
        <v>102.2</v>
      </c>
      <c r="G1458" s="61">
        <v>44.9</v>
      </c>
      <c r="H1458" s="61">
        <v>27.5</v>
      </c>
      <c r="I1458" s="61">
        <v>25.7</v>
      </c>
      <c r="J1458" s="61">
        <v>35.1</v>
      </c>
      <c r="K1458" s="61">
        <v>10.8</v>
      </c>
      <c r="L1458" s="61">
        <v>59.8</v>
      </c>
      <c r="M1458" s="61">
        <v>54.3</v>
      </c>
      <c r="N1458" s="61">
        <v>72.599999999999994</v>
      </c>
      <c r="O1458" s="85">
        <v>39.1</v>
      </c>
      <c r="P1458" s="105"/>
      <c r="Q1458" s="87">
        <f t="shared" si="136"/>
        <v>3.3188278558740555E-3</v>
      </c>
      <c r="R1458" s="87">
        <f t="shared" si="139"/>
        <v>4.9463878483326966E-3</v>
      </c>
      <c r="S1458" s="87">
        <f t="shared" si="139"/>
        <v>5.1898625851353288E-4</v>
      </c>
      <c r="T1458" s="87">
        <f t="shared" si="138"/>
        <v>7.8844035241490557E-3</v>
      </c>
      <c r="U1458" s="87">
        <f t="shared" si="138"/>
        <v>5.8881426252225316E-3</v>
      </c>
      <c r="V1458" s="87">
        <f t="shared" si="138"/>
        <v>6.7039357221901344E-3</v>
      </c>
      <c r="W1458" s="87">
        <f t="shared" si="138"/>
        <v>7.2993024816115351E-3</v>
      </c>
      <c r="X1458" s="87">
        <f t="shared" si="138"/>
        <v>1.5686596167699473E-2</v>
      </c>
      <c r="Y1458" s="87">
        <f t="shared" si="138"/>
        <v>2.8530689824064807E-3</v>
      </c>
      <c r="Z1458" s="87">
        <f t="shared" si="138"/>
        <v>9.3023926623136306E-3</v>
      </c>
      <c r="AA1458" s="87">
        <f t="shared" si="135"/>
        <v>0</v>
      </c>
      <c r="AB1458" s="87">
        <f t="shared" si="135"/>
        <v>1.1111225425070629E-2</v>
      </c>
      <c r="AC1458" s="87">
        <f t="shared" si="135"/>
        <v>-9.5956870618554378E-3</v>
      </c>
      <c r="AD1458" s="87">
        <f t="shared" si="135"/>
        <v>-5.1020518838953985E-3</v>
      </c>
      <c r="AE1458" s="90">
        <f t="shared" si="137"/>
        <v>2.6981167072966635E-3</v>
      </c>
    </row>
    <row r="1459" spans="1:31" ht="15.5" x14ac:dyDescent="0.35">
      <c r="A1459" s="82">
        <v>41884</v>
      </c>
      <c r="B1459" s="83">
        <v>11038.1</v>
      </c>
      <c r="C1459" s="84">
        <v>4598.2</v>
      </c>
      <c r="D1459" s="61">
        <v>582.4</v>
      </c>
      <c r="E1459" s="61">
        <v>38.799999999999997</v>
      </c>
      <c r="F1459" s="61">
        <v>102.7</v>
      </c>
      <c r="G1459" s="61">
        <v>44.9</v>
      </c>
      <c r="H1459" s="61">
        <v>27.8</v>
      </c>
      <c r="I1459" s="61">
        <v>25.7</v>
      </c>
      <c r="J1459" s="61">
        <v>34.700000000000003</v>
      </c>
      <c r="K1459" s="61">
        <v>10.5</v>
      </c>
      <c r="L1459" s="61">
        <v>59.7</v>
      </c>
      <c r="M1459" s="61">
        <v>54.9</v>
      </c>
      <c r="N1459" s="61">
        <v>72.599999999999994</v>
      </c>
      <c r="O1459" s="85">
        <v>39.200000000000003</v>
      </c>
      <c r="P1459" s="105"/>
      <c r="Q1459" s="87">
        <f t="shared" si="136"/>
        <v>-7.4260567430695058E-4</v>
      </c>
      <c r="R1459" s="87">
        <f t="shared" si="139"/>
        <v>3.9004244033734523E-3</v>
      </c>
      <c r="S1459" s="87">
        <f t="shared" si="139"/>
        <v>7.2376673002303819E-3</v>
      </c>
      <c r="T1459" s="87">
        <f t="shared" si="138"/>
        <v>1.5584731016698111E-2</v>
      </c>
      <c r="U1459" s="87">
        <f t="shared" si="138"/>
        <v>4.8804391649085689E-3</v>
      </c>
      <c r="V1459" s="87">
        <f t="shared" si="138"/>
        <v>0</v>
      </c>
      <c r="W1459" s="87">
        <f t="shared" si="138"/>
        <v>1.0850016024065844E-2</v>
      </c>
      <c r="X1459" s="87">
        <f t="shared" si="138"/>
        <v>0</v>
      </c>
      <c r="Y1459" s="87">
        <f t="shared" si="138"/>
        <v>-1.1461443519006539E-2</v>
      </c>
      <c r="Z1459" s="87">
        <f t="shared" si="138"/>
        <v>-2.8170876966696335E-2</v>
      </c>
      <c r="AA1459" s="87">
        <f t="shared" si="135"/>
        <v>-1.6736405580295372E-3</v>
      </c>
      <c r="AB1459" s="87">
        <f t="shared" si="135"/>
        <v>1.0989121575595165E-2</v>
      </c>
      <c r="AC1459" s="87">
        <f t="shared" si="135"/>
        <v>0</v>
      </c>
      <c r="AD1459" s="87">
        <f t="shared" si="135"/>
        <v>2.5542798050967007E-3</v>
      </c>
      <c r="AE1459" s="90">
        <f t="shared" si="137"/>
        <v>4.9940529219961857E-3</v>
      </c>
    </row>
    <row r="1460" spans="1:31" ht="15.5" x14ac:dyDescent="0.35">
      <c r="A1460" s="82">
        <v>41885</v>
      </c>
      <c r="B1460" s="83">
        <v>11063.5</v>
      </c>
      <c r="C1460" s="84">
        <v>4572.6000000000004</v>
      </c>
      <c r="D1460" s="61">
        <v>586.5</v>
      </c>
      <c r="E1460" s="61">
        <v>38.700000000000003</v>
      </c>
      <c r="F1460" s="61">
        <v>98.6</v>
      </c>
      <c r="G1460" s="61">
        <v>44.5</v>
      </c>
      <c r="H1460" s="61">
        <v>27.6</v>
      </c>
      <c r="I1460" s="61">
        <v>25.6</v>
      </c>
      <c r="J1460" s="61">
        <v>34.799999999999997</v>
      </c>
      <c r="K1460" s="61">
        <v>10.6</v>
      </c>
      <c r="L1460" s="61">
        <v>60.1</v>
      </c>
      <c r="M1460" s="61">
        <v>55.1</v>
      </c>
      <c r="N1460" s="61">
        <v>73.3</v>
      </c>
      <c r="O1460" s="85">
        <v>39.299999999999997</v>
      </c>
      <c r="P1460" s="105"/>
      <c r="Q1460" s="87">
        <f t="shared" si="136"/>
        <v>2.2984771403285315E-3</v>
      </c>
      <c r="R1460" s="87">
        <f t="shared" si="139"/>
        <v>-5.5829516497091303E-3</v>
      </c>
      <c r="S1460" s="87">
        <f t="shared" si="139"/>
        <v>7.0151712110540802E-3</v>
      </c>
      <c r="T1460" s="87">
        <f t="shared" si="138"/>
        <v>-2.580646593491514E-3</v>
      </c>
      <c r="U1460" s="87">
        <f t="shared" si="138"/>
        <v>-4.0740855325922885E-2</v>
      </c>
      <c r="V1460" s="87">
        <f t="shared" si="138"/>
        <v>-8.9486055760140334E-3</v>
      </c>
      <c r="W1460" s="87">
        <f t="shared" si="138"/>
        <v>-7.2202479734870201E-3</v>
      </c>
      <c r="X1460" s="87">
        <f t="shared" si="138"/>
        <v>-3.8986404156571976E-3</v>
      </c>
      <c r="Y1460" s="87">
        <f t="shared" si="138"/>
        <v>2.877699827614974E-3</v>
      </c>
      <c r="Z1460" s="87">
        <f t="shared" si="138"/>
        <v>9.4787439545437387E-3</v>
      </c>
      <c r="AA1460" s="87">
        <f t="shared" si="135"/>
        <v>6.6778211426054479E-3</v>
      </c>
      <c r="AB1460" s="87">
        <f t="shared" si="135"/>
        <v>3.6363676433839335E-3</v>
      </c>
      <c r="AC1460" s="87">
        <f t="shared" si="135"/>
        <v>9.5956870618553354E-3</v>
      </c>
      <c r="AD1460" s="87">
        <f t="shared" si="135"/>
        <v>2.5477720787985617E-3</v>
      </c>
      <c r="AE1460" s="90">
        <f t="shared" si="137"/>
        <v>-1.095940860359056E-2</v>
      </c>
    </row>
    <row r="1461" spans="1:31" ht="15.5" x14ac:dyDescent="0.35">
      <c r="A1461" s="82">
        <v>41886</v>
      </c>
      <c r="B1461" s="83">
        <v>11030.4</v>
      </c>
      <c r="C1461" s="84">
        <v>4562.3</v>
      </c>
      <c r="D1461" s="61">
        <v>590.6</v>
      </c>
      <c r="E1461" s="61">
        <v>39</v>
      </c>
      <c r="F1461" s="61">
        <v>97.8</v>
      </c>
      <c r="G1461" s="61">
        <v>44.7</v>
      </c>
      <c r="H1461" s="61">
        <v>27.3</v>
      </c>
      <c r="I1461" s="61">
        <v>25.6</v>
      </c>
      <c r="J1461" s="61">
        <v>34.200000000000003</v>
      </c>
      <c r="K1461" s="61">
        <v>10.8</v>
      </c>
      <c r="L1461" s="61">
        <v>59.9</v>
      </c>
      <c r="M1461" s="61">
        <v>55.3</v>
      </c>
      <c r="N1461" s="61">
        <v>74.099999999999994</v>
      </c>
      <c r="O1461" s="85">
        <v>39.6</v>
      </c>
      <c r="P1461" s="105"/>
      <c r="Q1461" s="87">
        <f t="shared" si="136"/>
        <v>-2.9963043884395557E-3</v>
      </c>
      <c r="R1461" s="87">
        <f t="shared" si="139"/>
        <v>-2.255088586626952E-3</v>
      </c>
      <c r="S1461" s="87">
        <f t="shared" si="139"/>
        <v>6.9663012162921355E-3</v>
      </c>
      <c r="T1461" s="87">
        <f t="shared" si="138"/>
        <v>7.7220460939103185E-3</v>
      </c>
      <c r="U1461" s="87">
        <f t="shared" si="138"/>
        <v>-8.1466845678180265E-3</v>
      </c>
      <c r="V1461" s="87">
        <f t="shared" si="138"/>
        <v>4.4843124473285863E-3</v>
      </c>
      <c r="W1461" s="87">
        <f t="shared" si="138"/>
        <v>-1.0929070532190317E-2</v>
      </c>
      <c r="X1461" s="87">
        <f t="shared" si="138"/>
        <v>0</v>
      </c>
      <c r="Y1461" s="87">
        <f t="shared" si="138"/>
        <v>-1.7391742711868996E-2</v>
      </c>
      <c r="Z1461" s="87">
        <f t="shared" si="138"/>
        <v>1.8692133012152546E-2</v>
      </c>
      <c r="AA1461" s="87">
        <f t="shared" si="135"/>
        <v>-3.3333364197582274E-3</v>
      </c>
      <c r="AB1461" s="87">
        <f t="shared" si="135"/>
        <v>3.623192369420331E-3</v>
      </c>
      <c r="AC1461" s="87">
        <f t="shared" si="135"/>
        <v>1.0854923409435465E-2</v>
      </c>
      <c r="AD1461" s="87">
        <f t="shared" si="135"/>
        <v>7.6045993852194328E-3</v>
      </c>
      <c r="AE1461" s="90">
        <f t="shared" si="137"/>
        <v>-4.1603425852325274E-5</v>
      </c>
    </row>
    <row r="1462" spans="1:31" ht="15.5" x14ac:dyDescent="0.35">
      <c r="A1462" s="82">
        <v>41887</v>
      </c>
      <c r="B1462" s="83">
        <v>11073.4</v>
      </c>
      <c r="C1462" s="84">
        <v>4582.8999999999996</v>
      </c>
      <c r="D1462" s="61">
        <v>593.6</v>
      </c>
      <c r="E1462" s="61">
        <v>39.1</v>
      </c>
      <c r="F1462" s="61">
        <v>98.3</v>
      </c>
      <c r="G1462" s="61">
        <v>45.1</v>
      </c>
      <c r="H1462" s="61">
        <v>27.3</v>
      </c>
      <c r="I1462" s="61">
        <v>25.1</v>
      </c>
      <c r="J1462" s="61">
        <v>34.200000000000003</v>
      </c>
      <c r="K1462" s="61">
        <v>10.9</v>
      </c>
      <c r="L1462" s="61">
        <v>60.2</v>
      </c>
      <c r="M1462" s="61">
        <v>54.8</v>
      </c>
      <c r="N1462" s="61">
        <v>74.400000000000006</v>
      </c>
      <c r="O1462" s="85">
        <v>39.700000000000003</v>
      </c>
      <c r="P1462" s="105"/>
      <c r="Q1462" s="87">
        <f t="shared" si="136"/>
        <v>3.8907386281035921E-3</v>
      </c>
      <c r="R1462" s="87">
        <f t="shared" si="139"/>
        <v>4.5051031888589648E-3</v>
      </c>
      <c r="S1462" s="87">
        <f t="shared" si="139"/>
        <v>5.0667225433484418E-3</v>
      </c>
      <c r="T1462" s="87">
        <f t="shared" si="138"/>
        <v>2.5608208616736505E-3</v>
      </c>
      <c r="U1462" s="87">
        <f t="shared" si="138"/>
        <v>5.0994501123492611E-3</v>
      </c>
      <c r="V1462" s="87">
        <f t="shared" si="138"/>
        <v>8.9087448891094299E-3</v>
      </c>
      <c r="W1462" s="87">
        <f t="shared" si="138"/>
        <v>0</v>
      </c>
      <c r="X1462" s="87">
        <f t="shared" si="138"/>
        <v>-1.972450534777859E-2</v>
      </c>
      <c r="Y1462" s="87">
        <f t="shared" si="138"/>
        <v>0</v>
      </c>
      <c r="Z1462" s="87">
        <f t="shared" si="138"/>
        <v>9.2166551049240476E-3</v>
      </c>
      <c r="AA1462" s="87">
        <f t="shared" si="135"/>
        <v>4.9958471933716697E-3</v>
      </c>
      <c r="AB1462" s="87">
        <f t="shared" si="135"/>
        <v>-9.0827145743192506E-3</v>
      </c>
      <c r="AC1462" s="87">
        <f t="shared" si="135"/>
        <v>4.040409537005127E-3</v>
      </c>
      <c r="AD1462" s="87">
        <f t="shared" si="135"/>
        <v>2.5220694327099391E-3</v>
      </c>
      <c r="AE1462" s="90">
        <f t="shared" si="137"/>
        <v>4.5984379421973101E-3</v>
      </c>
    </row>
    <row r="1463" spans="1:31" ht="15.5" x14ac:dyDescent="0.35">
      <c r="A1463" s="82">
        <v>41890</v>
      </c>
      <c r="B1463" s="83">
        <v>11007.4</v>
      </c>
      <c r="C1463" s="84">
        <v>4592.3</v>
      </c>
      <c r="D1463" s="61">
        <v>598</v>
      </c>
      <c r="E1463" s="61">
        <v>40.299999999999997</v>
      </c>
      <c r="F1463" s="61">
        <v>98.1</v>
      </c>
      <c r="G1463" s="61">
        <v>46</v>
      </c>
      <c r="H1463" s="61">
        <v>26.8</v>
      </c>
      <c r="I1463" s="61">
        <v>24.9</v>
      </c>
      <c r="J1463" s="61">
        <v>34.299999999999997</v>
      </c>
      <c r="K1463" s="61">
        <v>10.8</v>
      </c>
      <c r="L1463" s="61">
        <v>60.8</v>
      </c>
      <c r="M1463" s="61">
        <v>54.6</v>
      </c>
      <c r="N1463" s="61">
        <v>74.599999999999994</v>
      </c>
      <c r="O1463" s="85">
        <v>40.5</v>
      </c>
      <c r="P1463" s="105"/>
      <c r="Q1463" s="87">
        <f t="shared" si="136"/>
        <v>-5.9780620769742882E-3</v>
      </c>
      <c r="R1463" s="87">
        <f t="shared" si="139"/>
        <v>2.0490023735188429E-3</v>
      </c>
      <c r="S1463" s="87">
        <f t="shared" si="139"/>
        <v>7.3850620974610336E-3</v>
      </c>
      <c r="T1463" s="87">
        <f t="shared" si="138"/>
        <v>3.0229001961317076E-2</v>
      </c>
      <c r="U1463" s="87">
        <f t="shared" si="138"/>
        <v>-2.0366605818034592E-3</v>
      </c>
      <c r="V1463" s="87">
        <f t="shared" si="138"/>
        <v>1.9759149980462392E-2</v>
      </c>
      <c r="W1463" s="87">
        <f t="shared" si="138"/>
        <v>-1.8484814674103102E-2</v>
      </c>
      <c r="X1463" s="87">
        <f t="shared" si="138"/>
        <v>-8.0000426670763757E-3</v>
      </c>
      <c r="Y1463" s="87">
        <f t="shared" si="138"/>
        <v>2.9197101033346246E-3</v>
      </c>
      <c r="Z1463" s="87">
        <f t="shared" si="138"/>
        <v>-9.2166551049239522E-3</v>
      </c>
      <c r="AA1463" s="87">
        <f t="shared" si="135"/>
        <v>9.9174366573459242E-3</v>
      </c>
      <c r="AB1463" s="87">
        <f t="shared" si="135"/>
        <v>-3.6563112031104319E-3</v>
      </c>
      <c r="AC1463" s="87">
        <f t="shared" si="135"/>
        <v>2.6845653706687612E-3</v>
      </c>
      <c r="AD1463" s="87">
        <f t="shared" si="135"/>
        <v>1.9950786419348693E-2</v>
      </c>
      <c r="AE1463" s="90">
        <f t="shared" si="137"/>
        <v>4.618890721693995E-3</v>
      </c>
    </row>
    <row r="1464" spans="1:31" ht="15.5" x14ac:dyDescent="0.35">
      <c r="A1464" s="82">
        <v>41891</v>
      </c>
      <c r="B1464" s="83">
        <v>10945.6</v>
      </c>
      <c r="C1464" s="84">
        <v>4552.3</v>
      </c>
      <c r="D1464" s="61">
        <v>590.5</v>
      </c>
      <c r="E1464" s="61">
        <v>40.6</v>
      </c>
      <c r="F1464" s="61">
        <v>96.1</v>
      </c>
      <c r="G1464" s="61">
        <v>46.4</v>
      </c>
      <c r="H1464" s="61">
        <v>26.8</v>
      </c>
      <c r="I1464" s="61">
        <v>24.7</v>
      </c>
      <c r="J1464" s="61">
        <v>33.6</v>
      </c>
      <c r="K1464" s="61">
        <v>10.8</v>
      </c>
      <c r="L1464" s="61">
        <v>60.5</v>
      </c>
      <c r="M1464" s="61">
        <v>54.2</v>
      </c>
      <c r="N1464" s="61">
        <v>74.2</v>
      </c>
      <c r="O1464" s="85">
        <v>40.799999999999997</v>
      </c>
      <c r="P1464" s="105"/>
      <c r="Q1464" s="87">
        <f t="shared" si="136"/>
        <v>-5.6302248669419224E-3</v>
      </c>
      <c r="R1464" s="87">
        <f t="shared" si="139"/>
        <v>-8.74838814469555E-3</v>
      </c>
      <c r="S1464" s="87">
        <f t="shared" si="139"/>
        <v>-1.2621118313214788E-2</v>
      </c>
      <c r="T1464" s="87">
        <f t="shared" si="138"/>
        <v>7.4165976550498395E-3</v>
      </c>
      <c r="U1464" s="87">
        <f t="shared" si="138"/>
        <v>-2.0598050595070569E-2</v>
      </c>
      <c r="V1464" s="87">
        <f t="shared" si="138"/>
        <v>8.6580627431145311E-3</v>
      </c>
      <c r="W1464" s="87">
        <f t="shared" si="138"/>
        <v>0</v>
      </c>
      <c r="X1464" s="87">
        <f t="shared" si="138"/>
        <v>-8.0645598367304078E-3</v>
      </c>
      <c r="Y1464" s="87">
        <f t="shared" si="138"/>
        <v>-2.0619287202735592E-2</v>
      </c>
      <c r="Z1464" s="87">
        <f t="shared" si="138"/>
        <v>0</v>
      </c>
      <c r="AA1464" s="87">
        <f t="shared" si="135"/>
        <v>-4.9464239353254622E-3</v>
      </c>
      <c r="AB1464" s="87">
        <f t="shared" si="135"/>
        <v>-7.352974305258806E-3</v>
      </c>
      <c r="AC1464" s="87">
        <f t="shared" si="135"/>
        <v>-5.3763570363802938E-3</v>
      </c>
      <c r="AD1464" s="87">
        <f t="shared" si="135"/>
        <v>7.38010729762246E-3</v>
      </c>
      <c r="AE1464" s="90">
        <f t="shared" si="137"/>
        <v>-1.1310074750493584E-2</v>
      </c>
    </row>
    <row r="1465" spans="1:31" ht="15.5" x14ac:dyDescent="0.35">
      <c r="A1465" s="82">
        <v>41892</v>
      </c>
      <c r="B1465" s="83">
        <v>10972.2</v>
      </c>
      <c r="C1465" s="84">
        <v>4586.5</v>
      </c>
      <c r="D1465" s="61">
        <v>587.1</v>
      </c>
      <c r="E1465" s="61">
        <v>40.299999999999997</v>
      </c>
      <c r="F1465" s="61">
        <v>97.8</v>
      </c>
      <c r="G1465" s="61">
        <v>46.3</v>
      </c>
      <c r="H1465" s="61">
        <v>27</v>
      </c>
      <c r="I1465" s="61">
        <v>24.7</v>
      </c>
      <c r="J1465" s="61">
        <v>33.700000000000003</v>
      </c>
      <c r="K1465" s="61">
        <v>10.6</v>
      </c>
      <c r="L1465" s="61">
        <v>60.4</v>
      </c>
      <c r="M1465" s="61">
        <v>54.5</v>
      </c>
      <c r="N1465" s="61">
        <v>74</v>
      </c>
      <c r="O1465" s="85">
        <v>40.799999999999997</v>
      </c>
      <c r="P1465" s="105"/>
      <c r="Q1465" s="87">
        <f t="shared" si="136"/>
        <v>2.4272521019086351E-3</v>
      </c>
      <c r="R1465" s="87">
        <f t="shared" si="139"/>
        <v>7.484606218528058E-3</v>
      </c>
      <c r="S1465" s="87">
        <f t="shared" si="139"/>
        <v>-5.7744725672767101E-3</v>
      </c>
      <c r="T1465" s="87">
        <f t="shared" si="138"/>
        <v>-7.4165976550498187E-3</v>
      </c>
      <c r="U1465" s="87">
        <f t="shared" si="138"/>
        <v>1.753526106452484E-2</v>
      </c>
      <c r="V1465" s="87">
        <f t="shared" si="138"/>
        <v>-2.1574981400212367E-3</v>
      </c>
      <c r="W1465" s="87">
        <f t="shared" si="138"/>
        <v>7.4349784875179905E-3</v>
      </c>
      <c r="X1465" s="87">
        <f t="shared" si="138"/>
        <v>0</v>
      </c>
      <c r="Y1465" s="87">
        <f t="shared" si="138"/>
        <v>2.97177038915748E-3</v>
      </c>
      <c r="Z1465" s="87">
        <f t="shared" si="138"/>
        <v>-1.8692133012152633E-2</v>
      </c>
      <c r="AA1465" s="87">
        <f t="shared" si="135"/>
        <v>-1.6542600960265763E-3</v>
      </c>
      <c r="AB1465" s="87">
        <f t="shared" si="135"/>
        <v>5.5197932235979017E-3</v>
      </c>
      <c r="AC1465" s="87">
        <f t="shared" si="135"/>
        <v>-2.6990569691650581E-3</v>
      </c>
      <c r="AD1465" s="87">
        <f t="shared" si="135"/>
        <v>0</v>
      </c>
      <c r="AE1465" s="90">
        <f t="shared" si="137"/>
        <v>5.5669536017552874E-3</v>
      </c>
    </row>
    <row r="1466" spans="1:31" ht="15.5" x14ac:dyDescent="0.35">
      <c r="A1466" s="82">
        <v>41893</v>
      </c>
      <c r="B1466" s="83">
        <v>10976</v>
      </c>
      <c r="C1466" s="84">
        <v>4591.8</v>
      </c>
      <c r="D1466" s="61">
        <v>586</v>
      </c>
      <c r="E1466" s="61">
        <v>40.9</v>
      </c>
      <c r="F1466" s="61">
        <v>99.6</v>
      </c>
      <c r="G1466" s="61">
        <v>46.5</v>
      </c>
      <c r="H1466" s="61">
        <v>27</v>
      </c>
      <c r="I1466" s="61">
        <v>24.8</v>
      </c>
      <c r="J1466" s="61">
        <v>33.6</v>
      </c>
      <c r="K1466" s="61">
        <v>10.7</v>
      </c>
      <c r="L1466" s="61">
        <v>59.8</v>
      </c>
      <c r="M1466" s="61">
        <v>54.2</v>
      </c>
      <c r="N1466" s="61">
        <v>73.5</v>
      </c>
      <c r="O1466" s="85">
        <v>40.799999999999997</v>
      </c>
      <c r="P1466" s="105"/>
      <c r="Q1466" s="87">
        <f t="shared" si="136"/>
        <v>3.4626985702410242E-4</v>
      </c>
      <c r="R1466" s="87">
        <f t="shared" si="139"/>
        <v>1.1548980942201544E-3</v>
      </c>
      <c r="S1466" s="87">
        <f t="shared" si="139"/>
        <v>-1.8753734931276707E-3</v>
      </c>
      <c r="T1466" s="87">
        <f t="shared" si="138"/>
        <v>1.4778594096118902E-2</v>
      </c>
      <c r="U1466" s="87">
        <f t="shared" si="138"/>
        <v>1.8237587549780793E-2</v>
      </c>
      <c r="V1466" s="87">
        <f t="shared" si="138"/>
        <v>4.3103515011222631E-3</v>
      </c>
      <c r="W1466" s="87">
        <f t="shared" si="138"/>
        <v>0</v>
      </c>
      <c r="X1466" s="87">
        <f t="shared" si="138"/>
        <v>4.040409537005127E-3</v>
      </c>
      <c r="Y1466" s="87">
        <f t="shared" si="138"/>
        <v>-2.9717703891574817E-3</v>
      </c>
      <c r="Z1466" s="87">
        <f t="shared" si="138"/>
        <v>9.3897403498389171E-3</v>
      </c>
      <c r="AA1466" s="87">
        <f t="shared" si="135"/>
        <v>-9.9834439841832625E-3</v>
      </c>
      <c r="AB1466" s="87">
        <f t="shared" si="135"/>
        <v>-5.5197932235978098E-3</v>
      </c>
      <c r="AC1466" s="87">
        <f t="shared" si="135"/>
        <v>-6.7796869853788038E-3</v>
      </c>
      <c r="AD1466" s="87">
        <f t="shared" si="135"/>
        <v>0</v>
      </c>
      <c r="AE1466" s="90">
        <f t="shared" si="137"/>
        <v>5.0119726688158915E-3</v>
      </c>
    </row>
    <row r="1467" spans="1:31" ht="15.5" x14ac:dyDescent="0.35">
      <c r="A1467" s="82">
        <v>41894</v>
      </c>
      <c r="B1467" s="83">
        <v>10911.4</v>
      </c>
      <c r="C1467" s="84">
        <v>4567.6000000000004</v>
      </c>
      <c r="D1467" s="61">
        <v>583.29999999999995</v>
      </c>
      <c r="E1467" s="61">
        <v>41.5</v>
      </c>
      <c r="F1467" s="61">
        <v>101.1</v>
      </c>
      <c r="G1467" s="61">
        <v>46.6</v>
      </c>
      <c r="H1467" s="61">
        <v>27</v>
      </c>
      <c r="I1467" s="61">
        <v>24.5</v>
      </c>
      <c r="J1467" s="61">
        <v>33.4</v>
      </c>
      <c r="K1467" s="61">
        <v>11</v>
      </c>
      <c r="L1467" s="61">
        <v>59.3</v>
      </c>
      <c r="M1467" s="61">
        <v>54.8</v>
      </c>
      <c r="N1467" s="61">
        <v>73.3</v>
      </c>
      <c r="O1467" s="85">
        <v>40.700000000000003</v>
      </c>
      <c r="P1467" s="105"/>
      <c r="Q1467" s="87">
        <f t="shared" si="136"/>
        <v>-5.9029567314156763E-3</v>
      </c>
      <c r="R1467" s="87">
        <f t="shared" si="139"/>
        <v>-5.2842012164374405E-3</v>
      </c>
      <c r="S1467" s="87">
        <f t="shared" si="139"/>
        <v>-4.6181558174207878E-3</v>
      </c>
      <c r="T1467" s="87">
        <f t="shared" si="138"/>
        <v>1.456336418789651E-2</v>
      </c>
      <c r="U1467" s="87">
        <f t="shared" si="138"/>
        <v>1.4947961435873148E-2</v>
      </c>
      <c r="V1467" s="87">
        <f t="shared" si="138"/>
        <v>2.148228538289605E-3</v>
      </c>
      <c r="W1467" s="87">
        <f t="shared" si="138"/>
        <v>0</v>
      </c>
      <c r="X1467" s="87">
        <f t="shared" si="138"/>
        <v>-1.2170535620255179E-2</v>
      </c>
      <c r="Y1467" s="87">
        <f t="shared" si="138"/>
        <v>-5.9701669865039079E-3</v>
      </c>
      <c r="Z1467" s="87">
        <f t="shared" si="138"/>
        <v>2.7651531330510164E-2</v>
      </c>
      <c r="AA1467" s="87">
        <f t="shared" si="135"/>
        <v>-8.3963549529062782E-3</v>
      </c>
      <c r="AB1467" s="87">
        <f t="shared" si="135"/>
        <v>1.1009285508369175E-2</v>
      </c>
      <c r="AC1467" s="87">
        <f t="shared" si="135"/>
        <v>-2.7247973261852539E-3</v>
      </c>
      <c r="AD1467" s="87">
        <f t="shared" si="135"/>
        <v>-2.4539889615665914E-3</v>
      </c>
      <c r="AE1467" s="90">
        <f t="shared" si="137"/>
        <v>1.0399632681202197E-3</v>
      </c>
    </row>
    <row r="1468" spans="1:31" ht="15.5" x14ac:dyDescent="0.35">
      <c r="A1468" s="82">
        <v>41897</v>
      </c>
      <c r="B1468" s="83">
        <v>10909.3</v>
      </c>
      <c r="C1468" s="84">
        <v>4518.8999999999996</v>
      </c>
      <c r="D1468" s="61">
        <v>577</v>
      </c>
      <c r="E1468" s="61">
        <v>42.1</v>
      </c>
      <c r="F1468" s="61">
        <v>101.4</v>
      </c>
      <c r="G1468" s="61">
        <v>46.1</v>
      </c>
      <c r="H1468" s="61">
        <v>26.9</v>
      </c>
      <c r="I1468" s="61">
        <v>24.2</v>
      </c>
      <c r="J1468" s="61">
        <v>34</v>
      </c>
      <c r="K1468" s="61">
        <v>10.8</v>
      </c>
      <c r="L1468" s="61">
        <v>59.5</v>
      </c>
      <c r="M1468" s="61">
        <v>54.8</v>
      </c>
      <c r="N1468" s="61">
        <v>73.7</v>
      </c>
      <c r="O1468" s="85">
        <v>40.5</v>
      </c>
      <c r="P1468" s="105"/>
      <c r="Q1468" s="87">
        <f t="shared" si="136"/>
        <v>-1.9247778544996162E-4</v>
      </c>
      <c r="R1468" s="87">
        <f t="shared" si="139"/>
        <v>-1.0719301450613934E-2</v>
      </c>
      <c r="S1468" s="87">
        <f t="shared" si="139"/>
        <v>-1.085936725149232E-2</v>
      </c>
      <c r="T1468" s="87">
        <f t="shared" si="138"/>
        <v>1.4354313451683122E-2</v>
      </c>
      <c r="U1468" s="87">
        <f t="shared" si="138"/>
        <v>2.9629651306572699E-3</v>
      </c>
      <c r="V1468" s="87">
        <f t="shared" si="138"/>
        <v>-1.0787591128997352E-2</v>
      </c>
      <c r="W1468" s="87">
        <f t="shared" si="138"/>
        <v>-3.710579396535713E-3</v>
      </c>
      <c r="X1468" s="87">
        <f t="shared" si="138"/>
        <v>-1.2320484388040624E-2</v>
      </c>
      <c r="Y1468" s="87">
        <f t="shared" si="138"/>
        <v>1.7804624633506686E-2</v>
      </c>
      <c r="Z1468" s="87">
        <f t="shared" si="138"/>
        <v>-1.834913866819643E-2</v>
      </c>
      <c r="AA1468" s="87">
        <f t="shared" si="135"/>
        <v>3.3670065479042485E-3</v>
      </c>
      <c r="AB1468" s="87">
        <f t="shared" si="135"/>
        <v>0</v>
      </c>
      <c r="AC1468" s="87">
        <f t="shared" si="135"/>
        <v>5.4421903026852575E-3</v>
      </c>
      <c r="AD1468" s="87">
        <f t="shared" si="135"/>
        <v>-4.926118336055889E-3</v>
      </c>
      <c r="AE1468" s="90">
        <f t="shared" si="137"/>
        <v>-6.1438638847992576E-3</v>
      </c>
    </row>
    <row r="1469" spans="1:31" ht="15.5" x14ac:dyDescent="0.35">
      <c r="A1469" s="82">
        <v>41898</v>
      </c>
      <c r="B1469" s="83">
        <v>10980.1</v>
      </c>
      <c r="C1469" s="84">
        <v>4552.8</v>
      </c>
      <c r="D1469" s="61">
        <v>581</v>
      </c>
      <c r="E1469" s="61">
        <v>41.7</v>
      </c>
      <c r="F1469" s="61">
        <v>98.9</v>
      </c>
      <c r="G1469" s="61">
        <v>46.3</v>
      </c>
      <c r="H1469" s="61">
        <v>26.9</v>
      </c>
      <c r="I1469" s="61">
        <v>24.3</v>
      </c>
      <c r="J1469" s="61">
        <v>34.6</v>
      </c>
      <c r="K1469" s="61">
        <v>10.7</v>
      </c>
      <c r="L1469" s="61">
        <v>59.3</v>
      </c>
      <c r="M1469" s="61">
        <v>54.7</v>
      </c>
      <c r="N1469" s="61">
        <v>73</v>
      </c>
      <c r="O1469" s="85">
        <v>40.4</v>
      </c>
      <c r="P1469" s="105"/>
      <c r="Q1469" s="87">
        <f t="shared" si="136"/>
        <v>6.4689070413717839E-3</v>
      </c>
      <c r="R1469" s="87">
        <f t="shared" si="139"/>
        <v>7.4738269120350129E-3</v>
      </c>
      <c r="S1469" s="87">
        <f t="shared" si="139"/>
        <v>6.9084903438116092E-3</v>
      </c>
      <c r="T1469" s="87">
        <f t="shared" si="138"/>
        <v>-9.5466118835798881E-3</v>
      </c>
      <c r="U1469" s="87">
        <f t="shared" si="138"/>
        <v>-2.4963852528416375E-2</v>
      </c>
      <c r="V1469" s="87">
        <f t="shared" si="138"/>
        <v>4.3290110895854786E-3</v>
      </c>
      <c r="W1469" s="87">
        <f t="shared" si="138"/>
        <v>0</v>
      </c>
      <c r="X1469" s="87">
        <f t="shared" si="138"/>
        <v>4.1237171838621562E-3</v>
      </c>
      <c r="Y1469" s="87">
        <f t="shared" si="138"/>
        <v>1.7493157447517119E-2</v>
      </c>
      <c r="Z1469" s="87">
        <f t="shared" si="138"/>
        <v>-9.302392662313674E-3</v>
      </c>
      <c r="AA1469" s="87">
        <f t="shared" si="135"/>
        <v>-3.3670065479044068E-3</v>
      </c>
      <c r="AB1469" s="87">
        <f t="shared" si="135"/>
        <v>-1.8264845260341873E-3</v>
      </c>
      <c r="AC1469" s="87">
        <f t="shared" si="135"/>
        <v>-9.543358046899859E-3</v>
      </c>
      <c r="AD1469" s="87">
        <f t="shared" si="135"/>
        <v>-2.4721891453891483E-3</v>
      </c>
      <c r="AE1469" s="90">
        <f t="shared" si="137"/>
        <v>-3.175799436031591E-3</v>
      </c>
    </row>
    <row r="1470" spans="1:31" ht="15.5" x14ac:dyDescent="0.35">
      <c r="A1470" s="82">
        <v>41899</v>
      </c>
      <c r="B1470" s="83">
        <v>10973.7</v>
      </c>
      <c r="C1470" s="84">
        <v>4562.2</v>
      </c>
      <c r="D1470" s="61">
        <v>587.1</v>
      </c>
      <c r="E1470" s="61">
        <v>42.3</v>
      </c>
      <c r="F1470" s="61">
        <v>100.6</v>
      </c>
      <c r="G1470" s="61">
        <v>46.2</v>
      </c>
      <c r="H1470" s="61">
        <v>26.6</v>
      </c>
      <c r="I1470" s="61">
        <v>24.5</v>
      </c>
      <c r="J1470" s="61">
        <v>35.1</v>
      </c>
      <c r="K1470" s="61">
        <v>10.9</v>
      </c>
      <c r="L1470" s="61">
        <v>59.3</v>
      </c>
      <c r="M1470" s="61">
        <v>54.8</v>
      </c>
      <c r="N1470" s="61">
        <v>72.8</v>
      </c>
      <c r="O1470" s="85">
        <v>40.5</v>
      </c>
      <c r="P1470" s="105"/>
      <c r="Q1470" s="87">
        <f t="shared" si="136"/>
        <v>-5.8304258773422617E-4</v>
      </c>
      <c r="R1470" s="87">
        <f t="shared" si="139"/>
        <v>2.0625350153239438E-3</v>
      </c>
      <c r="S1470" s="87">
        <f t="shared" si="139"/>
        <v>1.0444406218229126E-2</v>
      </c>
      <c r="T1470" s="87">
        <f t="shared" si="138"/>
        <v>1.4285957247476434E-2</v>
      </c>
      <c r="U1470" s="87">
        <f t="shared" si="138"/>
        <v>1.7043019036972223E-2</v>
      </c>
      <c r="V1470" s="87">
        <f t="shared" si="138"/>
        <v>-2.1621630044951256E-3</v>
      </c>
      <c r="W1470" s="87">
        <f t="shared" si="138"/>
        <v>-1.1215070820139957E-2</v>
      </c>
      <c r="X1470" s="87">
        <f t="shared" si="138"/>
        <v>8.1967672041784907E-3</v>
      </c>
      <c r="Y1470" s="87">
        <f t="shared" si="138"/>
        <v>1.4347448408141575E-2</v>
      </c>
      <c r="Z1470" s="87">
        <f t="shared" si="138"/>
        <v>1.8519047767237531E-2</v>
      </c>
      <c r="AA1470" s="87">
        <f t="shared" si="135"/>
        <v>0</v>
      </c>
      <c r="AB1470" s="87">
        <f t="shared" si="135"/>
        <v>1.8264845260342812E-3</v>
      </c>
      <c r="AC1470" s="87">
        <f t="shared" si="135"/>
        <v>-2.7434859457508326E-3</v>
      </c>
      <c r="AD1470" s="87">
        <f t="shared" si="135"/>
        <v>2.4721891453890728E-3</v>
      </c>
      <c r="AE1470" s="90">
        <f t="shared" si="137"/>
        <v>8.8497441128248203E-3</v>
      </c>
    </row>
    <row r="1471" spans="1:31" ht="15.5" x14ac:dyDescent="0.35">
      <c r="A1471" s="82">
        <v>41900</v>
      </c>
      <c r="B1471" s="83">
        <v>11024.1</v>
      </c>
      <c r="C1471" s="84">
        <v>4593.3999999999996</v>
      </c>
      <c r="D1471" s="61">
        <v>593</v>
      </c>
      <c r="E1471" s="61">
        <v>41.4</v>
      </c>
      <c r="F1471" s="61">
        <v>101.6</v>
      </c>
      <c r="G1471" s="61">
        <v>46.5</v>
      </c>
      <c r="H1471" s="61">
        <v>26.4</v>
      </c>
      <c r="I1471" s="61">
        <v>24.5</v>
      </c>
      <c r="J1471" s="61">
        <v>35.200000000000003</v>
      </c>
      <c r="K1471" s="61">
        <v>10.7</v>
      </c>
      <c r="L1471" s="61">
        <v>59.8</v>
      </c>
      <c r="M1471" s="61">
        <v>55.5</v>
      </c>
      <c r="N1471" s="61">
        <v>73.099999999999994</v>
      </c>
      <c r="O1471" s="85">
        <v>40.6</v>
      </c>
      <c r="P1471" s="105"/>
      <c r="Q1471" s="87">
        <f t="shared" si="136"/>
        <v>4.5822844274206881E-3</v>
      </c>
      <c r="R1471" s="87">
        <f t="shared" si="139"/>
        <v>6.815527278076371E-3</v>
      </c>
      <c r="S1471" s="87">
        <f t="shared" si="139"/>
        <v>9.9992359275850786E-3</v>
      </c>
      <c r="T1471" s="87">
        <f t="shared" si="138"/>
        <v>-2.1506205220963505E-2</v>
      </c>
      <c r="U1471" s="87">
        <f t="shared" si="138"/>
        <v>9.8912774787427004E-3</v>
      </c>
      <c r="V1471" s="87">
        <f t="shared" si="138"/>
        <v>6.4725145056172984E-3</v>
      </c>
      <c r="W1471" s="87">
        <f t="shared" si="138"/>
        <v>-7.5472056353829663E-3</v>
      </c>
      <c r="X1471" s="87">
        <f t="shared" si="138"/>
        <v>0</v>
      </c>
      <c r="Y1471" s="87">
        <f t="shared" si="138"/>
        <v>2.8449521322313448E-3</v>
      </c>
      <c r="Z1471" s="87">
        <f t="shared" si="138"/>
        <v>-1.8519047767237642E-2</v>
      </c>
      <c r="AA1471" s="87">
        <f t="shared" si="135"/>
        <v>8.396354952906358E-3</v>
      </c>
      <c r="AB1471" s="87">
        <f t="shared" si="135"/>
        <v>1.2692826798419097E-2</v>
      </c>
      <c r="AC1471" s="87">
        <f t="shared" si="135"/>
        <v>4.1124115530925195E-3</v>
      </c>
      <c r="AD1471" s="87">
        <f t="shared" si="135"/>
        <v>2.4660924951934683E-3</v>
      </c>
      <c r="AE1471" s="90">
        <f t="shared" si="137"/>
        <v>8.0984141221894842E-3</v>
      </c>
    </row>
    <row r="1472" spans="1:31" ht="15.5" x14ac:dyDescent="0.35">
      <c r="A1472" s="82">
        <v>41901</v>
      </c>
      <c r="B1472" s="83">
        <v>10989.6</v>
      </c>
      <c r="C1472" s="84">
        <v>4579.8</v>
      </c>
      <c r="D1472" s="61">
        <v>597.79999999999995</v>
      </c>
      <c r="E1472" s="61">
        <v>39.6</v>
      </c>
      <c r="F1472" s="61">
        <v>100.9</v>
      </c>
      <c r="G1472" s="61">
        <v>46.6</v>
      </c>
      <c r="H1472" s="61">
        <v>25.9</v>
      </c>
      <c r="I1472" s="61">
        <v>23.8</v>
      </c>
      <c r="J1472" s="61">
        <v>35.1</v>
      </c>
      <c r="K1472" s="61">
        <v>10.1</v>
      </c>
      <c r="L1472" s="61">
        <v>60.5</v>
      </c>
      <c r="M1472" s="61">
        <v>55.7</v>
      </c>
      <c r="N1472" s="61">
        <v>72.3</v>
      </c>
      <c r="O1472" s="85">
        <v>40.700000000000003</v>
      </c>
      <c r="P1472" s="105"/>
      <c r="Q1472" s="87">
        <f t="shared" si="136"/>
        <v>-3.1344143188637872E-3</v>
      </c>
      <c r="R1472" s="87">
        <f t="shared" si="139"/>
        <v>-2.9651615498347554E-3</v>
      </c>
      <c r="S1472" s="87">
        <f t="shared" si="139"/>
        <v>8.061850852111847E-3</v>
      </c>
      <c r="T1472" s="87">
        <f t="shared" si="138"/>
        <v>-4.445176257083381E-2</v>
      </c>
      <c r="U1472" s="87">
        <f t="shared" si="138"/>
        <v>-6.9136077848181206E-3</v>
      </c>
      <c r="V1472" s="87">
        <f t="shared" si="138"/>
        <v>2.148228538289605E-3</v>
      </c>
      <c r="W1472" s="87">
        <f t="shared" si="138"/>
        <v>-1.9121041446778397E-2</v>
      </c>
      <c r="X1472" s="87">
        <f t="shared" si="138"/>
        <v>-2.8987536873252298E-2</v>
      </c>
      <c r="Y1472" s="87">
        <f t="shared" si="138"/>
        <v>-2.8449521322313617E-3</v>
      </c>
      <c r="Z1472" s="87">
        <f t="shared" si="138"/>
        <v>-5.770831762064673E-2</v>
      </c>
      <c r="AA1472" s="87">
        <f t="shared" si="135"/>
        <v>1.1637704080209829E-2</v>
      </c>
      <c r="AB1472" s="87">
        <f t="shared" si="135"/>
        <v>3.5971261808494747E-3</v>
      </c>
      <c r="AC1472" s="87">
        <f t="shared" si="135"/>
        <v>-1.1004237591013816E-2</v>
      </c>
      <c r="AD1472" s="87">
        <f t="shared" ref="AD1472:AD1535" si="140">+LN(O1472/O1471)</f>
        <v>2.460025840862399E-3</v>
      </c>
      <c r="AE1472" s="90">
        <f t="shared" si="137"/>
        <v>-2.0643813324270271E-4</v>
      </c>
    </row>
    <row r="1473" spans="1:31" ht="15.5" x14ac:dyDescent="0.35">
      <c r="A1473" s="82">
        <v>41904</v>
      </c>
      <c r="B1473" s="83">
        <v>10892.6</v>
      </c>
      <c r="C1473" s="84">
        <v>4527.7</v>
      </c>
      <c r="D1473" s="61">
        <v>593.1</v>
      </c>
      <c r="E1473" s="61">
        <v>38.200000000000003</v>
      </c>
      <c r="F1473" s="61">
        <v>100.6</v>
      </c>
      <c r="G1473" s="61">
        <v>47</v>
      </c>
      <c r="H1473" s="61">
        <v>25.7</v>
      </c>
      <c r="I1473" s="61">
        <v>23.7</v>
      </c>
      <c r="J1473" s="61">
        <v>34.799999999999997</v>
      </c>
      <c r="K1473" s="61">
        <v>10.1</v>
      </c>
      <c r="L1473" s="61">
        <v>60.3</v>
      </c>
      <c r="M1473" s="61">
        <v>55.2</v>
      </c>
      <c r="N1473" s="61">
        <v>71.5</v>
      </c>
      <c r="O1473" s="85">
        <v>40.1</v>
      </c>
      <c r="P1473" s="105"/>
      <c r="Q1473" s="87">
        <f t="shared" si="136"/>
        <v>-8.865711432666807E-3</v>
      </c>
      <c r="R1473" s="87">
        <f t="shared" si="139"/>
        <v>-1.1441244761342926E-2</v>
      </c>
      <c r="S1473" s="87">
        <f t="shared" si="139"/>
        <v>-7.8932310051564626E-3</v>
      </c>
      <c r="T1473" s="87">
        <f t="shared" si="138"/>
        <v>-3.5993602647905368E-2</v>
      </c>
      <c r="U1473" s="87">
        <f t="shared" si="138"/>
        <v>-2.9776696939245034E-3</v>
      </c>
      <c r="V1473" s="87">
        <f t="shared" si="138"/>
        <v>8.5470605784583476E-3</v>
      </c>
      <c r="W1473" s="87">
        <f t="shared" si="138"/>
        <v>-7.7519768043179359E-3</v>
      </c>
      <c r="X1473" s="87">
        <f t="shared" si="138"/>
        <v>-4.2105325363436053E-3</v>
      </c>
      <c r="Y1473" s="87">
        <f t="shared" si="138"/>
        <v>-8.5837436913915547E-3</v>
      </c>
      <c r="Z1473" s="87">
        <f t="shared" si="138"/>
        <v>0</v>
      </c>
      <c r="AA1473" s="87">
        <f t="shared" si="138"/>
        <v>-3.3112613036560315E-3</v>
      </c>
      <c r="AB1473" s="87">
        <f t="shared" si="138"/>
        <v>-9.0171936501887446E-3</v>
      </c>
      <c r="AC1473" s="87">
        <f t="shared" si="138"/>
        <v>-1.1126679464756992E-2</v>
      </c>
      <c r="AD1473" s="87">
        <f t="shared" si="140"/>
        <v>-1.4851758136025814E-2</v>
      </c>
      <c r="AE1473" s="90">
        <f t="shared" si="137"/>
        <v>-8.3969892829199762E-3</v>
      </c>
    </row>
    <row r="1474" spans="1:31" ht="15.5" x14ac:dyDescent="0.35">
      <c r="A1474" s="82">
        <v>41905</v>
      </c>
      <c r="B1474" s="83">
        <v>10815.4</v>
      </c>
      <c r="C1474" s="84">
        <v>4508.7</v>
      </c>
      <c r="D1474" s="61">
        <v>590.20000000000005</v>
      </c>
      <c r="E1474" s="61">
        <v>37.9</v>
      </c>
      <c r="F1474" s="61">
        <v>100.5</v>
      </c>
      <c r="G1474" s="61">
        <v>46.5</v>
      </c>
      <c r="H1474" s="61">
        <v>25.3</v>
      </c>
      <c r="I1474" s="61">
        <v>23.4</v>
      </c>
      <c r="J1474" s="61">
        <v>34.799999999999997</v>
      </c>
      <c r="K1474" s="61">
        <v>10</v>
      </c>
      <c r="L1474" s="61">
        <v>59.7</v>
      </c>
      <c r="M1474" s="61">
        <v>54.6</v>
      </c>
      <c r="N1474" s="61">
        <v>70.3</v>
      </c>
      <c r="O1474" s="85">
        <v>39.9</v>
      </c>
      <c r="P1474" s="105"/>
      <c r="Q1474" s="87">
        <f t="shared" si="136"/>
        <v>-7.1126152070687407E-3</v>
      </c>
      <c r="R1474" s="87">
        <f t="shared" si="139"/>
        <v>-4.2052206629785852E-3</v>
      </c>
      <c r="S1474" s="87">
        <f t="shared" si="139"/>
        <v>-4.9015563358418262E-3</v>
      </c>
      <c r="T1474" s="87">
        <f t="shared" si="138"/>
        <v>-7.8844035241489828E-3</v>
      </c>
      <c r="U1474" s="87">
        <f t="shared" si="138"/>
        <v>-9.9453016650834724E-4</v>
      </c>
      <c r="V1474" s="87">
        <f t="shared" si="138"/>
        <v>-1.0695289116747919E-2</v>
      </c>
      <c r="W1474" s="87">
        <f t="shared" si="138"/>
        <v>-1.5686596167699508E-2</v>
      </c>
      <c r="X1474" s="87">
        <f t="shared" si="138"/>
        <v>-1.2739025777429826E-2</v>
      </c>
      <c r="Y1474" s="87">
        <f t="shared" si="138"/>
        <v>0</v>
      </c>
      <c r="Z1474" s="87">
        <f t="shared" si="138"/>
        <v>-9.950330853168092E-3</v>
      </c>
      <c r="AA1474" s="87">
        <f t="shared" si="138"/>
        <v>-1.0000083334583311E-2</v>
      </c>
      <c r="AB1474" s="87">
        <f t="shared" si="138"/>
        <v>-1.0929070532190317E-2</v>
      </c>
      <c r="AC1474" s="87">
        <f t="shared" si="138"/>
        <v>-1.6925650883342781E-2</v>
      </c>
      <c r="AD1474" s="87">
        <f t="shared" si="140"/>
        <v>-5.0000104167057515E-3</v>
      </c>
      <c r="AE1474" s="90">
        <f t="shared" si="137"/>
        <v>-3.5876268247329157E-3</v>
      </c>
    </row>
    <row r="1475" spans="1:31" ht="15.5" x14ac:dyDescent="0.35">
      <c r="A1475" s="82">
        <v>41906</v>
      </c>
      <c r="B1475" s="83">
        <v>10885.6</v>
      </c>
      <c r="C1475" s="84">
        <v>4555.2</v>
      </c>
      <c r="D1475" s="61">
        <v>590.29999999999995</v>
      </c>
      <c r="E1475" s="61">
        <v>38.9</v>
      </c>
      <c r="F1475" s="61">
        <v>101.2</v>
      </c>
      <c r="G1475" s="61">
        <v>46.3</v>
      </c>
      <c r="H1475" s="61">
        <v>24.9</v>
      </c>
      <c r="I1475" s="61">
        <v>23.1</v>
      </c>
      <c r="J1475" s="61">
        <v>34.5</v>
      </c>
      <c r="K1475" s="61">
        <v>10.199999999999999</v>
      </c>
      <c r="L1475" s="61">
        <v>60.2</v>
      </c>
      <c r="M1475" s="61">
        <v>54.7</v>
      </c>
      <c r="N1475" s="61">
        <v>70.3</v>
      </c>
      <c r="O1475" s="85">
        <v>40</v>
      </c>
      <c r="P1475" s="105"/>
      <c r="Q1475" s="87">
        <f t="shared" si="136"/>
        <v>6.4697705053888346E-3</v>
      </c>
      <c r="R1475" s="87">
        <f t="shared" si="139"/>
        <v>1.0260573915614782E-2</v>
      </c>
      <c r="S1475" s="87">
        <f t="shared" si="139"/>
        <v>1.6941973780451884E-4</v>
      </c>
      <c r="T1475" s="87">
        <f t="shared" si="138"/>
        <v>2.6043138536019875E-2</v>
      </c>
      <c r="U1475" s="87">
        <f t="shared" si="138"/>
        <v>6.9410293542347627E-3</v>
      </c>
      <c r="V1475" s="87">
        <f t="shared" si="138"/>
        <v>-4.3103515011223229E-3</v>
      </c>
      <c r="W1475" s="87">
        <f t="shared" si="138"/>
        <v>-1.5936592262812754E-2</v>
      </c>
      <c r="X1475" s="87">
        <f t="shared" si="138"/>
        <v>-1.2903404835907729E-2</v>
      </c>
      <c r="Y1475" s="87">
        <f t="shared" si="138"/>
        <v>-8.6580627431145415E-3</v>
      </c>
      <c r="Z1475" s="87">
        <f t="shared" si="138"/>
        <v>1.980262729617973E-2</v>
      </c>
      <c r="AA1475" s="87">
        <f t="shared" si="138"/>
        <v>8.3403319162189508E-3</v>
      </c>
      <c r="AB1475" s="87">
        <f t="shared" ref="AB1475:AD1538" si="141">+LN(M1475/M1474)</f>
        <v>1.8298266770761572E-3</v>
      </c>
      <c r="AC1475" s="87">
        <f t="shared" si="141"/>
        <v>0</v>
      </c>
      <c r="AD1475" s="87">
        <f t="shared" si="140"/>
        <v>2.5031302181184748E-3</v>
      </c>
      <c r="AE1475" s="90">
        <f t="shared" si="137"/>
        <v>5.41415326921356E-3</v>
      </c>
    </row>
    <row r="1476" spans="1:31" ht="15.5" x14ac:dyDescent="0.35">
      <c r="A1476" s="82">
        <v>41907</v>
      </c>
      <c r="B1476" s="83">
        <v>10722.2</v>
      </c>
      <c r="C1476" s="84">
        <v>4466.8</v>
      </c>
      <c r="D1476" s="61">
        <v>584.70000000000005</v>
      </c>
      <c r="E1476" s="61">
        <v>38.799999999999997</v>
      </c>
      <c r="F1476" s="61">
        <v>97.7</v>
      </c>
      <c r="G1476" s="61">
        <v>46</v>
      </c>
      <c r="H1476" s="61">
        <v>24.9</v>
      </c>
      <c r="I1476" s="61">
        <v>22.9</v>
      </c>
      <c r="J1476" s="61">
        <v>34.799999999999997</v>
      </c>
      <c r="K1476" s="61">
        <v>10</v>
      </c>
      <c r="L1476" s="61">
        <v>59.6</v>
      </c>
      <c r="M1476" s="61">
        <v>54.1</v>
      </c>
      <c r="N1476" s="61">
        <v>69.8</v>
      </c>
      <c r="O1476" s="85">
        <v>39.6</v>
      </c>
      <c r="P1476" s="105"/>
      <c r="Q1476" s="87">
        <f t="shared" si="136"/>
        <v>-1.5124456426798506E-2</v>
      </c>
      <c r="R1476" s="87">
        <f t="shared" si="139"/>
        <v>-1.9597168952135997E-2</v>
      </c>
      <c r="S1476" s="87">
        <f t="shared" si="139"/>
        <v>-9.5319870650187148E-3</v>
      </c>
      <c r="T1476" s="87">
        <f t="shared" si="139"/>
        <v>-2.5740039951728773E-3</v>
      </c>
      <c r="U1476" s="87">
        <f t="shared" si="139"/>
        <v>-3.5197197804628134E-2</v>
      </c>
      <c r="V1476" s="87">
        <f t="shared" si="139"/>
        <v>-6.5005646030933161E-3</v>
      </c>
      <c r="W1476" s="87">
        <f t="shared" si="139"/>
        <v>0</v>
      </c>
      <c r="X1476" s="87">
        <f t="shared" si="139"/>
        <v>-8.6957069675540448E-3</v>
      </c>
      <c r="Y1476" s="87">
        <f t="shared" si="139"/>
        <v>8.6580627431145311E-3</v>
      </c>
      <c r="Z1476" s="87">
        <f t="shared" si="139"/>
        <v>-1.9802627296179643E-2</v>
      </c>
      <c r="AA1476" s="87">
        <f t="shared" si="139"/>
        <v>-1.0016778243471344E-2</v>
      </c>
      <c r="AB1476" s="87">
        <f t="shared" si="141"/>
        <v>-1.1029523575499732E-2</v>
      </c>
      <c r="AC1476" s="87">
        <f t="shared" si="141"/>
        <v>-7.137789048292406E-3</v>
      </c>
      <c r="AD1476" s="87">
        <f t="shared" si="140"/>
        <v>-1.0050335853501451E-2</v>
      </c>
      <c r="AE1476" s="90">
        <f t="shared" si="137"/>
        <v>-1.9950697376820273E-2</v>
      </c>
    </row>
    <row r="1477" spans="1:31" ht="15.5" x14ac:dyDescent="0.35">
      <c r="A1477" s="82">
        <v>41908</v>
      </c>
      <c r="B1477" s="83">
        <v>10798.9</v>
      </c>
      <c r="C1477" s="84">
        <v>4512.2</v>
      </c>
      <c r="D1477" s="61">
        <v>585</v>
      </c>
      <c r="E1477" s="61">
        <v>39</v>
      </c>
      <c r="F1477" s="61">
        <v>98.4</v>
      </c>
      <c r="G1477" s="61">
        <v>45.8</v>
      </c>
      <c r="H1477" s="61">
        <v>25</v>
      </c>
      <c r="I1477" s="61">
        <v>23</v>
      </c>
      <c r="J1477" s="61">
        <v>34.799999999999997</v>
      </c>
      <c r="K1477" s="61">
        <v>9.5</v>
      </c>
      <c r="L1477" s="61">
        <v>58.6</v>
      </c>
      <c r="M1477" s="61">
        <v>53.9</v>
      </c>
      <c r="N1477" s="61">
        <v>69.900000000000006</v>
      </c>
      <c r="O1477" s="85">
        <v>43.7</v>
      </c>
      <c r="P1477" s="105"/>
      <c r="Q1477" s="87">
        <f t="shared" si="136"/>
        <v>7.127918623357001E-3</v>
      </c>
      <c r="R1477" s="87">
        <f t="shared" si="139"/>
        <v>1.0112570865013628E-2</v>
      </c>
      <c r="S1477" s="87">
        <f t="shared" si="139"/>
        <v>5.1295205023169457E-4</v>
      </c>
      <c r="T1477" s="87">
        <f t="shared" si="139"/>
        <v>5.1413995004186523E-3</v>
      </c>
      <c r="U1477" s="87">
        <f t="shared" si="139"/>
        <v>7.1392450094708128E-3</v>
      </c>
      <c r="V1477" s="87">
        <f t="shared" si="139"/>
        <v>-4.3573053689558126E-3</v>
      </c>
      <c r="W1477" s="87">
        <f t="shared" si="139"/>
        <v>4.0080213975388678E-3</v>
      </c>
      <c r="X1477" s="87">
        <f t="shared" si="139"/>
        <v>4.3573053689558473E-3</v>
      </c>
      <c r="Y1477" s="87">
        <f t="shared" si="139"/>
        <v>0</v>
      </c>
      <c r="Z1477" s="87">
        <f t="shared" si="139"/>
        <v>-5.1293294387550578E-2</v>
      </c>
      <c r="AA1477" s="87">
        <f t="shared" si="139"/>
        <v>-1.6920877488337177E-2</v>
      </c>
      <c r="AB1477" s="87">
        <f t="shared" si="141"/>
        <v>-3.7037079374844144E-3</v>
      </c>
      <c r="AC1477" s="87">
        <f t="shared" si="141"/>
        <v>1.4316394714378922E-3</v>
      </c>
      <c r="AD1477" s="87">
        <f t="shared" si="140"/>
        <v>9.8518983841109659E-2</v>
      </c>
      <c r="AE1477" s="90">
        <f t="shared" si="137"/>
        <v>1.7197599923720844E-2</v>
      </c>
    </row>
    <row r="1478" spans="1:31" ht="15.5" x14ac:dyDescent="0.35">
      <c r="A1478" s="82">
        <v>41911</v>
      </c>
      <c r="B1478" s="83">
        <v>10749</v>
      </c>
      <c r="C1478" s="84">
        <v>4505.8999999999996</v>
      </c>
      <c r="D1478" s="61">
        <v>581.6</v>
      </c>
      <c r="E1478" s="61">
        <v>40.200000000000003</v>
      </c>
      <c r="F1478" s="61">
        <v>98.6</v>
      </c>
      <c r="G1478" s="61">
        <v>45.8</v>
      </c>
      <c r="H1478" s="61">
        <v>25.1</v>
      </c>
      <c r="I1478" s="61">
        <v>22.8</v>
      </c>
      <c r="J1478" s="61">
        <v>34.6</v>
      </c>
      <c r="K1478" s="61">
        <v>9.6</v>
      </c>
      <c r="L1478" s="61">
        <v>58.8</v>
      </c>
      <c r="M1478" s="61">
        <v>53.1</v>
      </c>
      <c r="N1478" s="61">
        <v>69.099999999999994</v>
      </c>
      <c r="O1478" s="85">
        <v>44.1</v>
      </c>
      <c r="P1478" s="105"/>
      <c r="Q1478" s="87">
        <f t="shared" si="136"/>
        <v>-4.6315501001435479E-3</v>
      </c>
      <c r="R1478" s="87">
        <f t="shared" si="139"/>
        <v>-1.3971903227673493E-3</v>
      </c>
      <c r="S1478" s="87">
        <f t="shared" si="139"/>
        <v>-5.8289210125468177E-3</v>
      </c>
      <c r="T1478" s="87">
        <f t="shared" si="139"/>
        <v>3.0305349495329058E-2</v>
      </c>
      <c r="U1478" s="87">
        <f t="shared" si="139"/>
        <v>2.0304575503819213E-3</v>
      </c>
      <c r="V1478" s="87">
        <f t="shared" si="139"/>
        <v>0</v>
      </c>
      <c r="W1478" s="87">
        <f t="shared" si="139"/>
        <v>3.9920212695374567E-3</v>
      </c>
      <c r="X1478" s="87">
        <f t="shared" si="139"/>
        <v>-8.7336799687545534E-3</v>
      </c>
      <c r="Y1478" s="87">
        <f t="shared" si="139"/>
        <v>-5.7637047167499065E-3</v>
      </c>
      <c r="Z1478" s="87">
        <f t="shared" si="139"/>
        <v>1.0471299867295437E-2</v>
      </c>
      <c r="AA1478" s="87">
        <f t="shared" si="139"/>
        <v>3.4071583216141346E-3</v>
      </c>
      <c r="AB1478" s="87">
        <f t="shared" si="141"/>
        <v>-1.4953549667058245E-2</v>
      </c>
      <c r="AC1478" s="87">
        <f t="shared" si="141"/>
        <v>-1.1510918466140557E-2</v>
      </c>
      <c r="AD1478" s="87">
        <f t="shared" si="140"/>
        <v>9.1116803512558131E-3</v>
      </c>
      <c r="AE1478" s="90">
        <f t="shared" si="137"/>
        <v>-4.372102140846807E-4</v>
      </c>
    </row>
    <row r="1479" spans="1:31" ht="15.5" x14ac:dyDescent="0.35">
      <c r="A1479" s="82">
        <v>41912</v>
      </c>
      <c r="B1479" s="83">
        <v>10702.9</v>
      </c>
      <c r="C1479" s="84">
        <v>4493.3999999999996</v>
      </c>
      <c r="D1479" s="61">
        <v>584.5</v>
      </c>
      <c r="E1479" s="61">
        <v>40.4</v>
      </c>
      <c r="F1479" s="61">
        <v>100.5</v>
      </c>
      <c r="G1479" s="61">
        <v>46</v>
      </c>
      <c r="H1479" s="61">
        <v>25.1</v>
      </c>
      <c r="I1479" s="61">
        <v>22.3</v>
      </c>
      <c r="J1479" s="61">
        <v>34.299999999999997</v>
      </c>
      <c r="K1479" s="61">
        <v>9.8000000000000007</v>
      </c>
      <c r="L1479" s="61">
        <v>59.3</v>
      </c>
      <c r="M1479" s="61">
        <v>53.7</v>
      </c>
      <c r="N1479" s="61">
        <v>68.599999999999994</v>
      </c>
      <c r="O1479" s="85">
        <v>44.2</v>
      </c>
      <c r="P1479" s="105"/>
      <c r="Q1479" s="87">
        <f t="shared" si="136"/>
        <v>-4.2979942071464999E-3</v>
      </c>
      <c r="R1479" s="87">
        <f t="shared" si="139"/>
        <v>-2.7779956305070794E-3</v>
      </c>
      <c r="S1479" s="87">
        <f t="shared" si="139"/>
        <v>4.9738546928134574E-3</v>
      </c>
      <c r="T1479" s="87">
        <f t="shared" si="139"/>
        <v>4.962789342128876E-3</v>
      </c>
      <c r="U1479" s="87">
        <f t="shared" si="139"/>
        <v>1.9086465890540701E-2</v>
      </c>
      <c r="V1479" s="87">
        <f t="shared" si="139"/>
        <v>4.3573053689558473E-3</v>
      </c>
      <c r="W1479" s="87">
        <f t="shared" si="139"/>
        <v>0</v>
      </c>
      <c r="X1479" s="87">
        <f t="shared" si="139"/>
        <v>-2.2173857494321967E-2</v>
      </c>
      <c r="Y1479" s="87">
        <f t="shared" si="139"/>
        <v>-8.7083278917844207E-3</v>
      </c>
      <c r="Z1479" s="87">
        <f t="shared" si="139"/>
        <v>2.0619287202735825E-2</v>
      </c>
      <c r="AA1479" s="87">
        <f t="shared" si="139"/>
        <v>8.4674510990985965E-3</v>
      </c>
      <c r="AB1479" s="87">
        <f t="shared" si="141"/>
        <v>1.123607326692597E-2</v>
      </c>
      <c r="AC1479" s="87">
        <f t="shared" si="141"/>
        <v>-7.2621960417846715E-3</v>
      </c>
      <c r="AD1479" s="87">
        <f t="shared" si="140"/>
        <v>2.2650066308520615E-3</v>
      </c>
      <c r="AE1479" s="90">
        <f t="shared" si="137"/>
        <v>6.3563382915976059E-3</v>
      </c>
    </row>
    <row r="1480" spans="1:31" ht="15.5" x14ac:dyDescent="0.35">
      <c r="A1480" s="82">
        <v>41913</v>
      </c>
      <c r="B1480" s="83">
        <v>10571.5</v>
      </c>
      <c r="C1480" s="84">
        <v>4422.1000000000004</v>
      </c>
      <c r="D1480" s="61">
        <v>578</v>
      </c>
      <c r="E1480" s="61">
        <v>40.1</v>
      </c>
      <c r="F1480" s="61">
        <v>98.7</v>
      </c>
      <c r="G1480" s="61">
        <v>45.8</v>
      </c>
      <c r="H1480" s="61">
        <v>25</v>
      </c>
      <c r="I1480" s="61">
        <v>22</v>
      </c>
      <c r="J1480" s="61">
        <v>34.1</v>
      </c>
      <c r="K1480" s="61">
        <v>9.3000000000000007</v>
      </c>
      <c r="L1480" s="61">
        <v>58.5</v>
      </c>
      <c r="M1480" s="61">
        <v>52.1</v>
      </c>
      <c r="N1480" s="61">
        <v>68.599999999999994</v>
      </c>
      <c r="O1480" s="85">
        <v>43.8</v>
      </c>
      <c r="P1480" s="105"/>
      <c r="Q1480" s="87">
        <f t="shared" si="136"/>
        <v>-1.2353031900993596E-2</v>
      </c>
      <c r="R1480" s="87">
        <f t="shared" si="139"/>
        <v>-1.5994957119963203E-2</v>
      </c>
      <c r="S1480" s="87">
        <f t="shared" si="139"/>
        <v>-1.1182912239745641E-2</v>
      </c>
      <c r="T1480" s="87">
        <f t="shared" si="139"/>
        <v>-7.4534506545807788E-3</v>
      </c>
      <c r="U1480" s="87">
        <f t="shared" si="139"/>
        <v>-1.8072781059694506E-2</v>
      </c>
      <c r="V1480" s="87">
        <f t="shared" si="139"/>
        <v>-4.3573053689558126E-3</v>
      </c>
      <c r="W1480" s="87">
        <f t="shared" si="139"/>
        <v>-3.9920212695375608E-3</v>
      </c>
      <c r="X1480" s="87">
        <f t="shared" si="139"/>
        <v>-1.354422510775726E-2</v>
      </c>
      <c r="Y1480" s="87">
        <f t="shared" si="139"/>
        <v>-5.8479698824229886E-3</v>
      </c>
      <c r="Z1480" s="87">
        <f t="shared" si="139"/>
        <v>-5.2367985517315925E-2</v>
      </c>
      <c r="AA1480" s="87">
        <f t="shared" si="139"/>
        <v>-1.3582551765868945E-2</v>
      </c>
      <c r="AB1480" s="87">
        <f t="shared" si="141"/>
        <v>-3.0248052755497853E-2</v>
      </c>
      <c r="AC1480" s="87">
        <f t="shared" si="141"/>
        <v>0</v>
      </c>
      <c r="AD1480" s="87">
        <f t="shared" si="140"/>
        <v>-9.0909717012520753E-3</v>
      </c>
      <c r="AE1480" s="90">
        <f t="shared" si="137"/>
        <v>-1.4341125450692178E-2</v>
      </c>
    </row>
    <row r="1481" spans="1:31" ht="15.5" x14ac:dyDescent="0.35">
      <c r="A1481" s="82">
        <v>41914</v>
      </c>
      <c r="B1481" s="83">
        <v>10555.7</v>
      </c>
      <c r="C1481" s="84">
        <v>4430.2</v>
      </c>
      <c r="D1481" s="61">
        <v>574.1</v>
      </c>
      <c r="E1481" s="61">
        <v>39.700000000000003</v>
      </c>
      <c r="F1481" s="61">
        <v>98</v>
      </c>
      <c r="G1481" s="61">
        <v>45.6</v>
      </c>
      <c r="H1481" s="61">
        <v>25.1</v>
      </c>
      <c r="I1481" s="61">
        <v>21.7</v>
      </c>
      <c r="J1481" s="61">
        <v>33.200000000000003</v>
      </c>
      <c r="K1481" s="61">
        <v>9.1999999999999993</v>
      </c>
      <c r="L1481" s="61">
        <v>58.3</v>
      </c>
      <c r="M1481" s="61">
        <v>51.9</v>
      </c>
      <c r="N1481" s="61">
        <v>69.099999999999994</v>
      </c>
      <c r="O1481" s="85">
        <v>43.4</v>
      </c>
      <c r="P1481" s="105"/>
      <c r="Q1481" s="87">
        <f t="shared" si="136"/>
        <v>-1.495702501566578E-3</v>
      </c>
      <c r="R1481" s="87">
        <f t="shared" si="139"/>
        <v>1.8300333835476713E-3</v>
      </c>
      <c r="S1481" s="87">
        <f t="shared" si="139"/>
        <v>-6.770271498786281E-3</v>
      </c>
      <c r="T1481" s="87">
        <f t="shared" si="139"/>
        <v>-1.0025146619378707E-2</v>
      </c>
      <c r="U1481" s="87">
        <f t="shared" si="139"/>
        <v>-7.1174677688639896E-3</v>
      </c>
      <c r="V1481" s="87">
        <f t="shared" si="139"/>
        <v>-4.3763745997987772E-3</v>
      </c>
      <c r="W1481" s="87">
        <f t="shared" si="139"/>
        <v>3.9920212695374567E-3</v>
      </c>
      <c r="X1481" s="87">
        <f t="shared" si="139"/>
        <v>-1.373019281190202E-2</v>
      </c>
      <c r="Y1481" s="87">
        <f t="shared" si="139"/>
        <v>-2.6747508367028223E-2</v>
      </c>
      <c r="Z1481" s="87">
        <f t="shared" si="139"/>
        <v>-1.081091610421573E-2</v>
      </c>
      <c r="AA1481" s="87">
        <f t="shared" si="139"/>
        <v>-3.4246608813642146E-3</v>
      </c>
      <c r="AB1481" s="87">
        <f t="shared" si="141"/>
        <v>-3.8461585874783868E-3</v>
      </c>
      <c r="AC1481" s="87">
        <f t="shared" si="141"/>
        <v>7.2621960417846958E-3</v>
      </c>
      <c r="AD1481" s="87">
        <f t="shared" si="140"/>
        <v>-9.1743762760412694E-3</v>
      </c>
      <c r="AE1481" s="90">
        <f t="shared" si="137"/>
        <v>-4.5838346458155904E-3</v>
      </c>
    </row>
    <row r="1482" spans="1:31" ht="15.5" x14ac:dyDescent="0.35">
      <c r="A1482" s="82">
        <v>41915</v>
      </c>
      <c r="B1482" s="83">
        <v>10635.5</v>
      </c>
      <c r="C1482" s="84">
        <v>4475.6000000000004</v>
      </c>
      <c r="D1482" s="61">
        <v>583.5</v>
      </c>
      <c r="E1482" s="61">
        <v>40.700000000000003</v>
      </c>
      <c r="F1482" s="61">
        <v>99</v>
      </c>
      <c r="G1482" s="61">
        <v>45.6</v>
      </c>
      <c r="H1482" s="61">
        <v>25.8</v>
      </c>
      <c r="I1482" s="61">
        <v>22.2</v>
      </c>
      <c r="J1482" s="61">
        <v>32.6</v>
      </c>
      <c r="K1482" s="61">
        <v>9.6999999999999993</v>
      </c>
      <c r="L1482" s="61">
        <v>59.2</v>
      </c>
      <c r="M1482" s="61">
        <v>52.9</v>
      </c>
      <c r="N1482" s="61">
        <v>69.900000000000006</v>
      </c>
      <c r="O1482" s="85">
        <v>44.6</v>
      </c>
      <c r="P1482" s="105"/>
      <c r="Q1482" s="87">
        <f t="shared" si="136"/>
        <v>7.5314637403482354E-3</v>
      </c>
      <c r="R1482" s="87">
        <f t="shared" si="139"/>
        <v>1.0195691186605375E-2</v>
      </c>
      <c r="S1482" s="87">
        <f t="shared" si="139"/>
        <v>1.6240854553019546E-2</v>
      </c>
      <c r="T1482" s="87">
        <f t="shared" si="139"/>
        <v>2.4876904755404477E-2</v>
      </c>
      <c r="U1482" s="87">
        <f t="shared" si="139"/>
        <v>1.0152371464017908E-2</v>
      </c>
      <c r="V1482" s="87">
        <f t="shared" si="139"/>
        <v>0</v>
      </c>
      <c r="W1482" s="87">
        <f t="shared" si="139"/>
        <v>2.7506645789833514E-2</v>
      </c>
      <c r="X1482" s="87">
        <f t="shared" si="139"/>
        <v>2.2780028331819906E-2</v>
      </c>
      <c r="Y1482" s="87">
        <f t="shared" si="139"/>
        <v>-1.8237587549780901E-2</v>
      </c>
      <c r="Z1482" s="87">
        <f t="shared" si="139"/>
        <v>5.292240145434253E-2</v>
      </c>
      <c r="AA1482" s="87">
        <f t="shared" si="139"/>
        <v>1.531944853351346E-2</v>
      </c>
      <c r="AB1482" s="87">
        <f t="shared" si="141"/>
        <v>1.9084548692410698E-2</v>
      </c>
      <c r="AC1482" s="87">
        <f t="shared" si="141"/>
        <v>1.1510918466140491E-2</v>
      </c>
      <c r="AD1482" s="87">
        <f t="shared" si="140"/>
        <v>2.7274417919659306E-2</v>
      </c>
      <c r="AE1482" s="90">
        <f t="shared" si="137"/>
        <v>1.4029001883885056E-2</v>
      </c>
    </row>
    <row r="1483" spans="1:31" ht="15.5" x14ac:dyDescent="0.35">
      <c r="A1483" s="82">
        <v>41918</v>
      </c>
      <c r="B1483" s="83">
        <v>10647.5</v>
      </c>
      <c r="C1483" s="84">
        <v>4454.8</v>
      </c>
      <c r="D1483" s="61">
        <v>585.4</v>
      </c>
      <c r="E1483" s="61">
        <v>41</v>
      </c>
      <c r="F1483" s="61">
        <v>99.4</v>
      </c>
      <c r="G1483" s="61">
        <v>45.9</v>
      </c>
      <c r="H1483" s="61">
        <v>25.6</v>
      </c>
      <c r="I1483" s="61">
        <v>22.2</v>
      </c>
      <c r="J1483" s="61">
        <v>32.6</v>
      </c>
      <c r="K1483" s="61">
        <v>9.3000000000000007</v>
      </c>
      <c r="L1483" s="61">
        <v>59.3</v>
      </c>
      <c r="M1483" s="61">
        <v>52.8</v>
      </c>
      <c r="N1483" s="61">
        <v>69.3</v>
      </c>
      <c r="O1483" s="85">
        <v>44.3</v>
      </c>
      <c r="P1483" s="105"/>
      <c r="Q1483" s="87">
        <f t="shared" si="136"/>
        <v>1.1276606936633773E-3</v>
      </c>
      <c r="R1483" s="87">
        <f t="shared" si="139"/>
        <v>-4.6582544146210143E-3</v>
      </c>
      <c r="S1483" s="87">
        <f t="shared" si="139"/>
        <v>3.2509225311747507E-3</v>
      </c>
      <c r="T1483" s="87">
        <f t="shared" si="139"/>
        <v>7.3439742557585052E-3</v>
      </c>
      <c r="U1483" s="87">
        <f t="shared" si="139"/>
        <v>4.0322635279384511E-3</v>
      </c>
      <c r="V1483" s="87">
        <f t="shared" si="139"/>
        <v>6.5574005461590396E-3</v>
      </c>
      <c r="W1483" s="87">
        <f t="shared" si="139"/>
        <v>-7.7821404420549628E-3</v>
      </c>
      <c r="X1483" s="87">
        <f t="shared" si="139"/>
        <v>0</v>
      </c>
      <c r="Y1483" s="87">
        <f t="shared" si="139"/>
        <v>0</v>
      </c>
      <c r="Z1483" s="87">
        <f t="shared" si="139"/>
        <v>-4.211148535012673E-2</v>
      </c>
      <c r="AA1483" s="87">
        <f t="shared" si="139"/>
        <v>1.6877641137196147E-3</v>
      </c>
      <c r="AB1483" s="87">
        <f t="shared" si="141"/>
        <v>-1.8921481520379265E-3</v>
      </c>
      <c r="AC1483" s="87">
        <f t="shared" si="141"/>
        <v>-8.6207430439071992E-3</v>
      </c>
      <c r="AD1483" s="87">
        <f t="shared" si="140"/>
        <v>-6.7491819749285614E-3</v>
      </c>
      <c r="AE1483" s="90">
        <f t="shared" si="137"/>
        <v>-1.1192078625951003E-4</v>
      </c>
    </row>
    <row r="1484" spans="1:31" ht="15.5" x14ac:dyDescent="0.35">
      <c r="A1484" s="82">
        <v>41919</v>
      </c>
      <c r="B1484" s="83">
        <v>10484.5</v>
      </c>
      <c r="C1484" s="84">
        <v>4385.2</v>
      </c>
      <c r="D1484" s="61">
        <v>574.1</v>
      </c>
      <c r="E1484" s="61">
        <v>40.799999999999997</v>
      </c>
      <c r="F1484" s="61">
        <v>98.7</v>
      </c>
      <c r="G1484" s="61">
        <v>45.4</v>
      </c>
      <c r="H1484" s="61">
        <v>25.2</v>
      </c>
      <c r="I1484" s="61">
        <v>21.7</v>
      </c>
      <c r="J1484" s="61">
        <v>32.9</v>
      </c>
      <c r="K1484" s="61">
        <v>9.1999999999999993</v>
      </c>
      <c r="L1484" s="61">
        <v>58.5</v>
      </c>
      <c r="M1484" s="61">
        <v>51.4</v>
      </c>
      <c r="N1484" s="61">
        <v>68.8</v>
      </c>
      <c r="O1484" s="85">
        <v>44</v>
      </c>
      <c r="P1484" s="105"/>
      <c r="Q1484" s="87">
        <f t="shared" si="136"/>
        <v>-1.5427146770568211E-2</v>
      </c>
      <c r="R1484" s="87">
        <f t="shared" si="139"/>
        <v>-1.5746931718560186E-2</v>
      </c>
      <c r="S1484" s="87">
        <f t="shared" si="139"/>
        <v>-1.9491777084194278E-2</v>
      </c>
      <c r="T1484" s="87">
        <f t="shared" si="139"/>
        <v>-4.8899852941919038E-3</v>
      </c>
      <c r="U1484" s="87">
        <f t="shared" si="139"/>
        <v>-7.067167223092443E-3</v>
      </c>
      <c r="V1484" s="87">
        <f t="shared" si="139"/>
        <v>-1.0953012019197206E-2</v>
      </c>
      <c r="W1484" s="87">
        <f t="shared" si="139"/>
        <v>-1.5748356968139282E-2</v>
      </c>
      <c r="X1484" s="87">
        <f t="shared" si="139"/>
        <v>-2.2780028331819885E-2</v>
      </c>
      <c r="Y1484" s="87">
        <f t="shared" si="139"/>
        <v>9.1603693986641952E-3</v>
      </c>
      <c r="Z1484" s="87">
        <f t="shared" si="139"/>
        <v>-1.081091610421573E-2</v>
      </c>
      <c r="AA1484" s="87">
        <f t="shared" si="139"/>
        <v>-1.3582551765868945E-2</v>
      </c>
      <c r="AB1484" s="87">
        <f t="shared" si="141"/>
        <v>-2.687301825109634E-2</v>
      </c>
      <c r="AC1484" s="87">
        <f t="shared" si="141"/>
        <v>-7.2411612565595855E-3</v>
      </c>
      <c r="AD1484" s="87">
        <f t="shared" si="140"/>
        <v>-6.7950431328286896E-3</v>
      </c>
      <c r="AE1484" s="90">
        <f t="shared" si="137"/>
        <v>-1.3273319961430149E-2</v>
      </c>
    </row>
    <row r="1485" spans="1:31" ht="15.5" x14ac:dyDescent="0.35">
      <c r="A1485" s="82">
        <v>41920</v>
      </c>
      <c r="B1485" s="83">
        <v>10645.7</v>
      </c>
      <c r="C1485" s="84">
        <v>4468.6000000000004</v>
      </c>
      <c r="D1485" s="61">
        <v>567.6</v>
      </c>
      <c r="E1485" s="61">
        <v>40.1</v>
      </c>
      <c r="F1485" s="61">
        <v>98.3</v>
      </c>
      <c r="G1485" s="61">
        <v>45.3</v>
      </c>
      <c r="H1485" s="61">
        <v>25</v>
      </c>
      <c r="I1485" s="61">
        <v>21.2</v>
      </c>
      <c r="J1485" s="61">
        <v>32.9</v>
      </c>
      <c r="K1485" s="61">
        <v>7.9</v>
      </c>
      <c r="L1485" s="61">
        <v>58.6</v>
      </c>
      <c r="M1485" s="61">
        <v>50.8</v>
      </c>
      <c r="N1485" s="61">
        <v>68.3</v>
      </c>
      <c r="O1485" s="85">
        <v>43.8</v>
      </c>
      <c r="P1485" s="105"/>
      <c r="Q1485" s="87">
        <f t="shared" si="136"/>
        <v>1.5258078710879008E-2</v>
      </c>
      <c r="R1485" s="87">
        <f t="shared" si="139"/>
        <v>1.8839925645001105E-2</v>
      </c>
      <c r="S1485" s="87">
        <f t="shared" si="139"/>
        <v>-1.1386651887703528E-2</v>
      </c>
      <c r="T1485" s="87">
        <f t="shared" si="139"/>
        <v>-1.7305747097592451E-2</v>
      </c>
      <c r="U1485" s="87">
        <f t="shared" si="139"/>
        <v>-4.0609192863150694E-3</v>
      </c>
      <c r="V1485" s="87">
        <f t="shared" si="139"/>
        <v>-2.2050725583139812E-3</v>
      </c>
      <c r="W1485" s="87">
        <f t="shared" si="139"/>
        <v>-7.9681696491768449E-3</v>
      </c>
      <c r="X1485" s="87">
        <f t="shared" si="139"/>
        <v>-2.3311078868447108E-2</v>
      </c>
      <c r="Y1485" s="87">
        <f t="shared" si="139"/>
        <v>0</v>
      </c>
      <c r="Z1485" s="87">
        <f t="shared" si="139"/>
        <v>-0.15234072458201864</v>
      </c>
      <c r="AA1485" s="87">
        <f t="shared" si="139"/>
        <v>1.7079423451561158E-3</v>
      </c>
      <c r="AB1485" s="87">
        <f t="shared" si="141"/>
        <v>-1.1741817876683287E-2</v>
      </c>
      <c r="AC1485" s="87">
        <f t="shared" si="141"/>
        <v>-7.2939783625536108E-3</v>
      </c>
      <c r="AD1485" s="87">
        <f t="shared" si="140"/>
        <v>-4.5558165358608018E-3</v>
      </c>
      <c r="AE1485" s="90">
        <f t="shared" si="137"/>
        <v>5.9870760668052079E-4</v>
      </c>
    </row>
    <row r="1486" spans="1:31" ht="15.5" x14ac:dyDescent="0.35">
      <c r="A1486" s="82">
        <v>41921</v>
      </c>
      <c r="B1486" s="83">
        <v>10409.4</v>
      </c>
      <c r="C1486" s="84">
        <v>4378.3</v>
      </c>
      <c r="D1486" s="61">
        <v>569</v>
      </c>
      <c r="E1486" s="61">
        <v>40.4</v>
      </c>
      <c r="F1486" s="61">
        <v>100.6</v>
      </c>
      <c r="G1486" s="61">
        <v>45.7</v>
      </c>
      <c r="H1486" s="61">
        <v>25.6</v>
      </c>
      <c r="I1486" s="61">
        <v>20.9</v>
      </c>
      <c r="J1486" s="61">
        <v>32.5</v>
      </c>
      <c r="K1486" s="61">
        <v>7.6</v>
      </c>
      <c r="L1486" s="61">
        <v>59.1</v>
      </c>
      <c r="M1486" s="61">
        <v>50.2</v>
      </c>
      <c r="N1486" s="61">
        <v>68.5</v>
      </c>
      <c r="O1486" s="85">
        <v>43.6</v>
      </c>
      <c r="P1486" s="105"/>
      <c r="Q1486" s="87">
        <f t="shared" ref="Q1486:Q1549" si="142">+LN(B1486/B1485)</f>
        <v>-2.2446810677342194E-2</v>
      </c>
      <c r="R1486" s="87">
        <f t="shared" si="139"/>
        <v>-2.0414639269886313E-2</v>
      </c>
      <c r="S1486" s="87">
        <f t="shared" si="139"/>
        <v>2.4634888404433922E-3</v>
      </c>
      <c r="T1486" s="87">
        <f t="shared" si="139"/>
        <v>7.4534506545807519E-3</v>
      </c>
      <c r="U1486" s="87">
        <f t="shared" si="139"/>
        <v>2.312823051251791E-2</v>
      </c>
      <c r="V1486" s="87">
        <f t="shared" si="139"/>
        <v>8.7912654111707237E-3</v>
      </c>
      <c r="W1486" s="87">
        <f t="shared" si="139"/>
        <v>2.3716526617316065E-2</v>
      </c>
      <c r="X1486" s="87">
        <f t="shared" ref="X1486:AD1545" si="143">+LN(I1486/I1485)</f>
        <v>-1.4252022707201502E-2</v>
      </c>
      <c r="Y1486" s="87">
        <f t="shared" si="143"/>
        <v>-1.2232568435634408E-2</v>
      </c>
      <c r="Z1486" s="87">
        <f t="shared" si="143"/>
        <v>-3.8714512180690511E-2</v>
      </c>
      <c r="AA1486" s="87">
        <f t="shared" si="143"/>
        <v>8.4962278290855991E-3</v>
      </c>
      <c r="AB1486" s="87">
        <f t="shared" si="141"/>
        <v>-1.1881327886752563E-2</v>
      </c>
      <c r="AC1486" s="87">
        <f t="shared" si="141"/>
        <v>2.9239786914352821E-3</v>
      </c>
      <c r="AD1486" s="87">
        <f t="shared" si="140"/>
        <v>-4.5766670274117547E-3</v>
      </c>
      <c r="AE1486" s="90">
        <f t="shared" si="137"/>
        <v>6.5893959466967829E-4</v>
      </c>
    </row>
    <row r="1487" spans="1:31" ht="15.5" x14ac:dyDescent="0.35">
      <c r="A1487" s="82">
        <v>41922</v>
      </c>
      <c r="B1487" s="83">
        <v>10293.1</v>
      </c>
      <c r="C1487" s="84">
        <v>4276.2</v>
      </c>
      <c r="D1487" s="61">
        <v>555</v>
      </c>
      <c r="E1487" s="61">
        <v>39.6</v>
      </c>
      <c r="F1487" s="61">
        <v>100.3</v>
      </c>
      <c r="G1487" s="61">
        <v>44</v>
      </c>
      <c r="H1487" s="61">
        <v>24.7</v>
      </c>
      <c r="I1487" s="61">
        <v>20.100000000000001</v>
      </c>
      <c r="J1487" s="61">
        <v>31.5</v>
      </c>
      <c r="K1487" s="61">
        <v>7.1</v>
      </c>
      <c r="L1487" s="61">
        <v>58.7</v>
      </c>
      <c r="M1487" s="61">
        <v>49.7</v>
      </c>
      <c r="N1487" s="61">
        <v>68.2</v>
      </c>
      <c r="O1487" s="85">
        <v>43.5</v>
      </c>
      <c r="P1487" s="105"/>
      <c r="Q1487" s="87">
        <f t="shared" si="142"/>
        <v>-1.123547624044873E-2</v>
      </c>
      <c r="R1487" s="87">
        <f t="shared" ref="R1487:W1523" si="144">+LN(C1487/C1486)</f>
        <v>-2.3595756439619836E-2</v>
      </c>
      <c r="S1487" s="87">
        <f t="shared" si="144"/>
        <v>-2.4912320379896456E-2</v>
      </c>
      <c r="T1487" s="87">
        <f t="shared" si="144"/>
        <v>-2.0000666706669428E-2</v>
      </c>
      <c r="U1487" s="87">
        <f t="shared" si="144"/>
        <v>-2.9865626977489674E-3</v>
      </c>
      <c r="V1487" s="87">
        <f t="shared" si="144"/>
        <v>-3.7908663981897961E-2</v>
      </c>
      <c r="W1487" s="87">
        <f t="shared" si="144"/>
        <v>-3.5789107851585393E-2</v>
      </c>
      <c r="X1487" s="87">
        <f t="shared" si="143"/>
        <v>-3.9029343905735113E-2</v>
      </c>
      <c r="Y1487" s="87">
        <f t="shared" si="143"/>
        <v>-3.1252543504104426E-2</v>
      </c>
      <c r="Z1487" s="87">
        <f t="shared" si="143"/>
        <v>-6.8053463245015641E-2</v>
      </c>
      <c r="AA1487" s="87">
        <f t="shared" si="143"/>
        <v>-6.791197578001733E-3</v>
      </c>
      <c r="AB1487" s="87">
        <f t="shared" si="141"/>
        <v>-1.001009359510046E-2</v>
      </c>
      <c r="AC1487" s="87">
        <f t="shared" si="141"/>
        <v>-4.3891804187630957E-3</v>
      </c>
      <c r="AD1487" s="87">
        <f t="shared" si="140"/>
        <v>-2.296212260350268E-3</v>
      </c>
      <c r="AE1487" s="90">
        <f t="shared" ref="AE1487:AE1550" si="145">+SUMPRODUCT(Q1487:AD1487,$Q$8:$AD$8)</f>
        <v>-1.5499306445863927E-2</v>
      </c>
    </row>
    <row r="1488" spans="1:31" ht="15.5" x14ac:dyDescent="0.35">
      <c r="A1488" s="82">
        <v>41925</v>
      </c>
      <c r="B1488" s="83">
        <v>10166.700000000001</v>
      </c>
      <c r="C1488" s="84">
        <v>4213.7</v>
      </c>
      <c r="D1488" s="61">
        <v>544.4</v>
      </c>
      <c r="E1488" s="61">
        <v>38.299999999999997</v>
      </c>
      <c r="F1488" s="61">
        <v>99.8</v>
      </c>
      <c r="G1488" s="61">
        <v>43.5</v>
      </c>
      <c r="H1488" s="61">
        <v>24</v>
      </c>
      <c r="I1488" s="61">
        <v>19.600000000000001</v>
      </c>
      <c r="J1488" s="61">
        <v>31.4</v>
      </c>
      <c r="K1488" s="61">
        <v>7</v>
      </c>
      <c r="L1488" s="61">
        <v>56</v>
      </c>
      <c r="M1488" s="61">
        <v>48.9</v>
      </c>
      <c r="N1488" s="61">
        <v>67.099999999999994</v>
      </c>
      <c r="O1488" s="85">
        <v>42.6</v>
      </c>
      <c r="P1488" s="105"/>
      <c r="Q1488" s="87">
        <f t="shared" si="142"/>
        <v>-1.2356094209345459E-2</v>
      </c>
      <c r="R1488" s="87">
        <f t="shared" si="144"/>
        <v>-1.4723643173168792E-2</v>
      </c>
      <c r="S1488" s="87">
        <f t="shared" si="144"/>
        <v>-1.928384296912353E-2</v>
      </c>
      <c r="T1488" s="87">
        <f t="shared" si="144"/>
        <v>-3.3379222073834716E-2</v>
      </c>
      <c r="U1488" s="87">
        <f t="shared" si="144"/>
        <v>-4.9975116504715096E-3</v>
      </c>
      <c r="V1488" s="87">
        <f t="shared" si="144"/>
        <v>-1.1428695823622744E-2</v>
      </c>
      <c r="W1488" s="87">
        <f t="shared" si="144"/>
        <v>-2.8749413285985823E-2</v>
      </c>
      <c r="X1488" s="87">
        <f t="shared" si="143"/>
        <v>-2.5190248828558519E-2</v>
      </c>
      <c r="Y1488" s="87">
        <f t="shared" si="143"/>
        <v>-3.1796529173797957E-3</v>
      </c>
      <c r="Z1488" s="87">
        <f t="shared" si="143"/>
        <v>-1.4184634991956413E-2</v>
      </c>
      <c r="AA1488" s="87">
        <f t="shared" si="143"/>
        <v>-4.7088036098901567E-2</v>
      </c>
      <c r="AB1488" s="87">
        <f t="shared" si="141"/>
        <v>-1.6227536621756807E-2</v>
      </c>
      <c r="AC1488" s="87">
        <f t="shared" si="141"/>
        <v>-1.6260520871780405E-2</v>
      </c>
      <c r="AD1488" s="87">
        <f t="shared" si="140"/>
        <v>-2.0906684819313601E-2</v>
      </c>
      <c r="AE1488" s="90">
        <f t="shared" si="145"/>
        <v>-1.4029165295820474E-2</v>
      </c>
    </row>
    <row r="1489" spans="1:31" ht="15.5" x14ac:dyDescent="0.35">
      <c r="A1489" s="82">
        <v>41926</v>
      </c>
      <c r="B1489" s="83">
        <v>10185.9</v>
      </c>
      <c r="C1489" s="84">
        <v>4227.2</v>
      </c>
      <c r="D1489" s="61">
        <v>544.5</v>
      </c>
      <c r="E1489" s="61">
        <v>37.700000000000003</v>
      </c>
      <c r="F1489" s="61">
        <v>98.6</v>
      </c>
      <c r="G1489" s="61">
        <v>43.6</v>
      </c>
      <c r="H1489" s="61">
        <v>24</v>
      </c>
      <c r="I1489" s="61">
        <v>19.600000000000001</v>
      </c>
      <c r="J1489" s="61">
        <v>31.6</v>
      </c>
      <c r="K1489" s="61">
        <v>7</v>
      </c>
      <c r="L1489" s="61">
        <v>55.7</v>
      </c>
      <c r="M1489" s="61">
        <v>48.7</v>
      </c>
      <c r="N1489" s="61">
        <v>67.2</v>
      </c>
      <c r="O1489" s="85">
        <v>42.4</v>
      </c>
      <c r="P1489" s="105"/>
      <c r="Q1489" s="87">
        <f t="shared" si="142"/>
        <v>1.8867373893893485E-3</v>
      </c>
      <c r="R1489" s="87">
        <f t="shared" si="144"/>
        <v>3.1987137652950163E-3</v>
      </c>
      <c r="S1489" s="87">
        <f t="shared" si="144"/>
        <v>1.8367159570416793E-4</v>
      </c>
      <c r="T1489" s="87">
        <f t="shared" si="144"/>
        <v>-1.578980173263508E-2</v>
      </c>
      <c r="U1489" s="87">
        <f t="shared" si="144"/>
        <v>-1.2096921708828571E-2</v>
      </c>
      <c r="V1489" s="87">
        <f t="shared" si="144"/>
        <v>2.296212260350157E-3</v>
      </c>
      <c r="W1489" s="87">
        <f t="shared" si="144"/>
        <v>0</v>
      </c>
      <c r="X1489" s="87">
        <f t="shared" si="143"/>
        <v>0</v>
      </c>
      <c r="Y1489" s="87">
        <f t="shared" si="143"/>
        <v>6.3492276786587445E-3</v>
      </c>
      <c r="Z1489" s="87">
        <f t="shared" si="143"/>
        <v>0</v>
      </c>
      <c r="AA1489" s="87">
        <f t="shared" si="143"/>
        <v>-5.3715438019108766E-3</v>
      </c>
      <c r="AB1489" s="87">
        <f t="shared" si="141"/>
        <v>-4.0983663922821365E-3</v>
      </c>
      <c r="AC1489" s="87">
        <f t="shared" si="141"/>
        <v>1.4892035514678331E-3</v>
      </c>
      <c r="AD1489" s="87">
        <f t="shared" si="140"/>
        <v>-4.7058910374127277E-3</v>
      </c>
      <c r="AE1489" s="90">
        <f t="shared" si="145"/>
        <v>-3.0183914324281519E-3</v>
      </c>
    </row>
    <row r="1490" spans="1:31" ht="15.5" x14ac:dyDescent="0.35">
      <c r="A1490" s="82">
        <v>41927</v>
      </c>
      <c r="B1490" s="83">
        <v>10109.700000000001</v>
      </c>
      <c r="C1490" s="84">
        <v>4215.3</v>
      </c>
      <c r="D1490" s="61">
        <v>528.4</v>
      </c>
      <c r="E1490" s="61">
        <v>36.200000000000003</v>
      </c>
      <c r="F1490" s="61">
        <v>95.2</v>
      </c>
      <c r="G1490" s="61">
        <v>42.1</v>
      </c>
      <c r="H1490" s="61">
        <v>23.3</v>
      </c>
      <c r="I1490" s="61">
        <v>18.899999999999999</v>
      </c>
      <c r="J1490" s="61">
        <v>31.4</v>
      </c>
      <c r="K1490" s="61">
        <v>6.7</v>
      </c>
      <c r="L1490" s="61">
        <v>54.3</v>
      </c>
      <c r="M1490" s="61">
        <v>46.2</v>
      </c>
      <c r="N1490" s="61">
        <v>66.900000000000006</v>
      </c>
      <c r="O1490" s="85">
        <v>42.1</v>
      </c>
      <c r="P1490" s="105"/>
      <c r="Q1490" s="87">
        <f t="shared" si="142"/>
        <v>-7.5090520161894886E-3</v>
      </c>
      <c r="R1490" s="87">
        <f t="shared" si="144"/>
        <v>-2.819072047601825E-3</v>
      </c>
      <c r="S1490" s="87">
        <f t="shared" si="144"/>
        <v>-3.0014369724844978E-2</v>
      </c>
      <c r="T1490" s="87">
        <f t="shared" si="144"/>
        <v>-4.0600975622239646E-2</v>
      </c>
      <c r="U1490" s="87">
        <f t="shared" si="144"/>
        <v>-3.5091319811270061E-2</v>
      </c>
      <c r="V1490" s="87">
        <f t="shared" si="144"/>
        <v>-3.5009409666652863E-2</v>
      </c>
      <c r="W1490" s="87">
        <f t="shared" si="144"/>
        <v>-2.9600469776290744E-2</v>
      </c>
      <c r="X1490" s="87">
        <f t="shared" si="143"/>
        <v>-3.6367644170874951E-2</v>
      </c>
      <c r="Y1490" s="87">
        <f t="shared" si="143"/>
        <v>-6.3492276786588919E-3</v>
      </c>
      <c r="Z1490" s="87">
        <f t="shared" si="143"/>
        <v>-4.3802622658392888E-2</v>
      </c>
      <c r="AA1490" s="87">
        <f t="shared" si="143"/>
        <v>-2.5455919993348702E-2</v>
      </c>
      <c r="AB1490" s="87">
        <f t="shared" si="141"/>
        <v>-5.2699232000850985E-2</v>
      </c>
      <c r="AC1490" s="87">
        <f t="shared" si="141"/>
        <v>-4.4742803949210774E-3</v>
      </c>
      <c r="AD1490" s="87">
        <f t="shared" si="140"/>
        <v>-7.1006215495763155E-3</v>
      </c>
      <c r="AE1490" s="90">
        <f t="shared" si="145"/>
        <v>-2.052919169015845E-2</v>
      </c>
    </row>
    <row r="1491" spans="1:31" ht="15.5" x14ac:dyDescent="0.35">
      <c r="A1491" s="82">
        <v>41928</v>
      </c>
      <c r="B1491" s="83">
        <v>10123.700000000001</v>
      </c>
      <c r="C1491" s="84">
        <v>4217.3999999999996</v>
      </c>
      <c r="D1491" s="61">
        <v>525</v>
      </c>
      <c r="E1491" s="61">
        <v>36.9</v>
      </c>
      <c r="F1491" s="61">
        <v>95.4</v>
      </c>
      <c r="G1491" s="61">
        <v>42.2</v>
      </c>
      <c r="H1491" s="61">
        <v>23.9</v>
      </c>
      <c r="I1491" s="61">
        <v>19.399999999999999</v>
      </c>
      <c r="J1491" s="61">
        <v>31.4</v>
      </c>
      <c r="K1491" s="61">
        <v>7</v>
      </c>
      <c r="L1491" s="61">
        <v>52.5</v>
      </c>
      <c r="M1491" s="61">
        <v>46.9</v>
      </c>
      <c r="N1491" s="61">
        <v>67</v>
      </c>
      <c r="O1491" s="85">
        <v>41.9</v>
      </c>
      <c r="P1491" s="105"/>
      <c r="Q1491" s="87">
        <f t="shared" si="142"/>
        <v>1.3838506859171029E-3</v>
      </c>
      <c r="R1491" s="87">
        <f t="shared" si="144"/>
        <v>4.9806112951034033E-4</v>
      </c>
      <c r="S1491" s="87">
        <f t="shared" si="144"/>
        <v>-6.4553100565464703E-3</v>
      </c>
      <c r="T1491" s="87">
        <f t="shared" si="144"/>
        <v>1.9152432214755918E-2</v>
      </c>
      <c r="U1491" s="87">
        <f t="shared" si="144"/>
        <v>2.0986366569212054E-3</v>
      </c>
      <c r="V1491" s="87">
        <f t="shared" si="144"/>
        <v>2.3724803536303955E-3</v>
      </c>
      <c r="W1491" s="87">
        <f t="shared" si="144"/>
        <v>2.5425098365809959E-2</v>
      </c>
      <c r="X1491" s="87">
        <f t="shared" si="143"/>
        <v>2.6111144003685804E-2</v>
      </c>
      <c r="Y1491" s="87">
        <f t="shared" si="143"/>
        <v>0</v>
      </c>
      <c r="Z1491" s="87">
        <f t="shared" si="143"/>
        <v>4.380262265839284E-2</v>
      </c>
      <c r="AA1491" s="87">
        <f t="shared" si="143"/>
        <v>-3.3711057342311605E-2</v>
      </c>
      <c r="AB1491" s="87">
        <f t="shared" si="141"/>
        <v>1.5037877364540502E-2</v>
      </c>
      <c r="AC1491" s="87">
        <f t="shared" si="141"/>
        <v>1.4936522567831501E-3</v>
      </c>
      <c r="AD1491" s="87">
        <f t="shared" si="140"/>
        <v>-4.7619137602437026E-3</v>
      </c>
      <c r="AE1491" s="90">
        <f t="shared" si="145"/>
        <v>-1.7193117921182439E-3</v>
      </c>
    </row>
    <row r="1492" spans="1:31" ht="15.5" x14ac:dyDescent="0.35">
      <c r="A1492" s="82">
        <v>41929</v>
      </c>
      <c r="B1492" s="83">
        <v>10250.5</v>
      </c>
      <c r="C1492" s="84">
        <v>4258.3999999999996</v>
      </c>
      <c r="D1492" s="61">
        <v>518.4</v>
      </c>
      <c r="E1492" s="61">
        <v>38.299999999999997</v>
      </c>
      <c r="F1492" s="61">
        <v>96.8</v>
      </c>
      <c r="G1492" s="61">
        <v>42.8</v>
      </c>
      <c r="H1492" s="61">
        <v>25</v>
      </c>
      <c r="I1492" s="61">
        <v>20.100000000000001</v>
      </c>
      <c r="J1492" s="61">
        <v>31.7</v>
      </c>
      <c r="K1492" s="61">
        <v>7.2</v>
      </c>
      <c r="L1492" s="61">
        <v>53.5</v>
      </c>
      <c r="M1492" s="61">
        <v>48.3</v>
      </c>
      <c r="N1492" s="61">
        <v>68.3</v>
      </c>
      <c r="O1492" s="85">
        <v>43.5</v>
      </c>
      <c r="P1492" s="105"/>
      <c r="Q1492" s="87">
        <f t="shared" si="142"/>
        <v>1.2447275194969867E-2</v>
      </c>
      <c r="R1492" s="87">
        <f t="shared" si="144"/>
        <v>9.6746784486330412E-3</v>
      </c>
      <c r="S1492" s="87">
        <f t="shared" si="144"/>
        <v>-1.2651117553558803E-2</v>
      </c>
      <c r="T1492" s="87">
        <f t="shared" si="144"/>
        <v>3.7238345140118791E-2</v>
      </c>
      <c r="U1492" s="87">
        <f t="shared" si="144"/>
        <v>1.4568415828290413E-2</v>
      </c>
      <c r="V1492" s="87">
        <f t="shared" si="144"/>
        <v>1.4117881545784803E-2</v>
      </c>
      <c r="W1492" s="87">
        <f t="shared" si="144"/>
        <v>4.4997365930735722E-2</v>
      </c>
      <c r="X1492" s="87">
        <f t="shared" si="143"/>
        <v>3.5446748995747707E-2</v>
      </c>
      <c r="Y1492" s="87">
        <f t="shared" si="143"/>
        <v>9.5087879690273561E-3</v>
      </c>
      <c r="Z1492" s="87">
        <f t="shared" si="143"/>
        <v>2.8170876966696439E-2</v>
      </c>
      <c r="AA1492" s="87">
        <f t="shared" si="143"/>
        <v>1.8868484304382736E-2</v>
      </c>
      <c r="AB1492" s="87">
        <f t="shared" si="141"/>
        <v>2.9413885206293192E-2</v>
      </c>
      <c r="AC1492" s="87">
        <f t="shared" si="141"/>
        <v>1.9217147185778351E-2</v>
      </c>
      <c r="AD1492" s="87">
        <f t="shared" si="140"/>
        <v>3.7475111166546483E-2</v>
      </c>
      <c r="AE1492" s="90">
        <f t="shared" si="145"/>
        <v>7.9168856975957141E-3</v>
      </c>
    </row>
    <row r="1493" spans="1:31" ht="15.5" x14ac:dyDescent="0.35">
      <c r="A1493" s="82">
        <v>41932</v>
      </c>
      <c r="B1493" s="83">
        <v>10327.299999999999</v>
      </c>
      <c r="C1493" s="84">
        <v>4316.1000000000004</v>
      </c>
      <c r="D1493" s="61">
        <v>519.1</v>
      </c>
      <c r="E1493" s="61">
        <v>38.299999999999997</v>
      </c>
      <c r="F1493" s="61">
        <v>98.2</v>
      </c>
      <c r="G1493" s="61">
        <v>42.8</v>
      </c>
      <c r="H1493" s="61">
        <v>25.3</v>
      </c>
      <c r="I1493" s="61">
        <v>20.100000000000001</v>
      </c>
      <c r="J1493" s="61">
        <v>31.6</v>
      </c>
      <c r="K1493" s="61">
        <v>7.2</v>
      </c>
      <c r="L1493" s="61">
        <v>53.9</v>
      </c>
      <c r="M1493" s="61">
        <v>48.4</v>
      </c>
      <c r="N1493" s="61">
        <v>68.599999999999994</v>
      </c>
      <c r="O1493" s="85">
        <v>43.4</v>
      </c>
      <c r="P1493" s="105"/>
      <c r="Q1493" s="87">
        <f t="shared" si="142"/>
        <v>7.4643894477710322E-3</v>
      </c>
      <c r="R1493" s="87">
        <f t="shared" si="144"/>
        <v>1.345871385254963E-2</v>
      </c>
      <c r="S1493" s="87">
        <f t="shared" si="144"/>
        <v>1.3493977951185875E-3</v>
      </c>
      <c r="T1493" s="87">
        <f t="shared" si="144"/>
        <v>0</v>
      </c>
      <c r="U1493" s="87">
        <f t="shared" si="144"/>
        <v>1.435922107788888E-2</v>
      </c>
      <c r="V1493" s="87">
        <f t="shared" si="144"/>
        <v>0</v>
      </c>
      <c r="W1493" s="87">
        <f t="shared" si="144"/>
        <v>1.1928570865273812E-2</v>
      </c>
      <c r="X1493" s="87">
        <f t="shared" si="143"/>
        <v>0</v>
      </c>
      <c r="Y1493" s="87">
        <f t="shared" si="143"/>
        <v>-3.1595602903684815E-3</v>
      </c>
      <c r="Z1493" s="87">
        <f t="shared" si="143"/>
        <v>0</v>
      </c>
      <c r="AA1493" s="87">
        <f t="shared" si="143"/>
        <v>7.4488240129904747E-3</v>
      </c>
      <c r="AB1493" s="87">
        <f t="shared" si="141"/>
        <v>2.0682530640590605E-3</v>
      </c>
      <c r="AC1493" s="87">
        <f t="shared" si="141"/>
        <v>4.3827681550951342E-3</v>
      </c>
      <c r="AD1493" s="87">
        <f t="shared" si="140"/>
        <v>-2.3014969882792745E-3</v>
      </c>
      <c r="AE1493" s="90">
        <f t="shared" si="145"/>
        <v>8.2554021438382297E-3</v>
      </c>
    </row>
    <row r="1494" spans="1:31" ht="15.5" x14ac:dyDescent="0.35">
      <c r="A1494" s="82">
        <v>41933</v>
      </c>
      <c r="B1494" s="83">
        <v>10500.8</v>
      </c>
      <c r="C1494" s="84">
        <v>4419.5</v>
      </c>
      <c r="D1494" s="61">
        <v>530.20000000000005</v>
      </c>
      <c r="E1494" s="61">
        <v>39.5</v>
      </c>
      <c r="F1494" s="61">
        <v>101.3</v>
      </c>
      <c r="G1494" s="61">
        <v>44.2</v>
      </c>
      <c r="H1494" s="61">
        <v>24.9</v>
      </c>
      <c r="I1494" s="61">
        <v>20.5</v>
      </c>
      <c r="J1494" s="61">
        <v>32.6</v>
      </c>
      <c r="K1494" s="61">
        <v>7.6</v>
      </c>
      <c r="L1494" s="61">
        <v>54.3</v>
      </c>
      <c r="M1494" s="61">
        <v>49.6</v>
      </c>
      <c r="N1494" s="61">
        <v>69.7</v>
      </c>
      <c r="O1494" s="85">
        <v>44.5</v>
      </c>
      <c r="P1494" s="105"/>
      <c r="Q1494" s="87">
        <f t="shared" si="142"/>
        <v>1.6660570407057349E-2</v>
      </c>
      <c r="R1494" s="87">
        <f t="shared" si="144"/>
        <v>2.3674350789905513E-2</v>
      </c>
      <c r="S1494" s="87">
        <f t="shared" si="144"/>
        <v>2.1157751021741809E-2</v>
      </c>
      <c r="T1494" s="87">
        <f t="shared" si="144"/>
        <v>3.085077572047603E-2</v>
      </c>
      <c r="U1494" s="87">
        <f t="shared" si="144"/>
        <v>3.1080195894217386E-2</v>
      </c>
      <c r="V1494" s="87">
        <f t="shared" si="144"/>
        <v>3.2186686495901499E-2</v>
      </c>
      <c r="W1494" s="87">
        <f t="shared" si="144"/>
        <v>-1.5936592262812754E-2</v>
      </c>
      <c r="X1494" s="87">
        <f t="shared" si="143"/>
        <v>1.9705071079332337E-2</v>
      </c>
      <c r="Y1494" s="87">
        <f t="shared" si="143"/>
        <v>3.1155167779795479E-2</v>
      </c>
      <c r="Z1494" s="87">
        <f t="shared" si="143"/>
        <v>5.4067221270275793E-2</v>
      </c>
      <c r="AA1494" s="87">
        <f t="shared" si="143"/>
        <v>7.3937490249381919E-3</v>
      </c>
      <c r="AB1494" s="87">
        <f t="shared" si="141"/>
        <v>2.4491020008295911E-2</v>
      </c>
      <c r="AC1494" s="87">
        <f t="shared" si="141"/>
        <v>1.5907783034638755E-2</v>
      </c>
      <c r="AD1494" s="87">
        <f t="shared" si="140"/>
        <v>2.50297480658353E-2</v>
      </c>
      <c r="AE1494" s="90">
        <f t="shared" si="145"/>
        <v>2.5219945694728449E-2</v>
      </c>
    </row>
    <row r="1495" spans="1:31" ht="15.5" x14ac:dyDescent="0.35">
      <c r="A1495" s="82">
        <v>41934</v>
      </c>
      <c r="B1495" s="83">
        <v>10405.799999999999</v>
      </c>
      <c r="C1495" s="84">
        <v>4382.8999999999996</v>
      </c>
      <c r="D1495" s="61">
        <v>540.20000000000005</v>
      </c>
      <c r="E1495" s="61">
        <v>41.8</v>
      </c>
      <c r="F1495" s="61">
        <v>102.6</v>
      </c>
      <c r="G1495" s="61">
        <v>44.2</v>
      </c>
      <c r="H1495" s="61">
        <v>25.8</v>
      </c>
      <c r="I1495" s="61">
        <v>20.8</v>
      </c>
      <c r="J1495" s="61">
        <v>32.700000000000003</v>
      </c>
      <c r="K1495" s="61">
        <v>7.4</v>
      </c>
      <c r="L1495" s="61">
        <v>55</v>
      </c>
      <c r="M1495" s="61">
        <v>49.9</v>
      </c>
      <c r="N1495" s="61">
        <v>62.6</v>
      </c>
      <c r="O1495" s="85">
        <v>44.9</v>
      </c>
      <c r="P1495" s="105"/>
      <c r="Q1495" s="87">
        <f t="shared" si="142"/>
        <v>-9.0881017348631611E-3</v>
      </c>
      <c r="R1495" s="87">
        <f t="shared" si="144"/>
        <v>-8.3159617656953944E-3</v>
      </c>
      <c r="S1495" s="87">
        <f t="shared" si="144"/>
        <v>1.8685147503590068E-2</v>
      </c>
      <c r="T1495" s="87">
        <f t="shared" si="144"/>
        <v>5.659566762363432E-2</v>
      </c>
      <c r="U1495" s="87">
        <f t="shared" si="144"/>
        <v>1.2751521482031423E-2</v>
      </c>
      <c r="V1495" s="87">
        <f t="shared" si="144"/>
        <v>0</v>
      </c>
      <c r="W1495" s="87">
        <f t="shared" si="144"/>
        <v>3.5506688456909817E-2</v>
      </c>
      <c r="X1495" s="87">
        <f t="shared" si="143"/>
        <v>1.4528100562909808E-2</v>
      </c>
      <c r="Y1495" s="87">
        <f t="shared" si="143"/>
        <v>3.0627895305457308E-3</v>
      </c>
      <c r="Z1495" s="87">
        <f t="shared" si="143"/>
        <v>-2.666824708216118E-2</v>
      </c>
      <c r="AA1495" s="87">
        <f t="shared" si="143"/>
        <v>1.2808958292581241E-2</v>
      </c>
      <c r="AB1495" s="87">
        <f t="shared" si="141"/>
        <v>6.0301690265912311E-3</v>
      </c>
      <c r="AC1495" s="87">
        <f t="shared" si="141"/>
        <v>-0.10743503966042542</v>
      </c>
      <c r="AD1495" s="87">
        <f t="shared" si="140"/>
        <v>8.9486055760140144E-3</v>
      </c>
      <c r="AE1495" s="90">
        <f t="shared" si="145"/>
        <v>7.7114912030000673E-3</v>
      </c>
    </row>
    <row r="1496" spans="1:31" ht="15.5" x14ac:dyDescent="0.35">
      <c r="A1496" s="82">
        <v>41935</v>
      </c>
      <c r="B1496" s="83">
        <v>10519.3</v>
      </c>
      <c r="C1496" s="84">
        <v>4452.8</v>
      </c>
      <c r="D1496" s="61">
        <v>545.5</v>
      </c>
      <c r="E1496" s="61">
        <v>42.3</v>
      </c>
      <c r="F1496" s="61">
        <v>103.6</v>
      </c>
      <c r="G1496" s="61">
        <v>44.5</v>
      </c>
      <c r="H1496" s="61">
        <v>25.6</v>
      </c>
      <c r="I1496" s="61">
        <v>20.5</v>
      </c>
      <c r="J1496" s="61">
        <v>31.9</v>
      </c>
      <c r="K1496" s="61">
        <v>7.4</v>
      </c>
      <c r="L1496" s="61">
        <v>56.2</v>
      </c>
      <c r="M1496" s="61">
        <v>50.3</v>
      </c>
      <c r="N1496" s="61">
        <v>61.7</v>
      </c>
      <c r="O1496" s="85">
        <v>45</v>
      </c>
      <c r="P1496" s="105"/>
      <c r="Q1496" s="87">
        <f t="shared" si="142"/>
        <v>1.0848322169272498E-2</v>
      </c>
      <c r="R1496" s="87">
        <f t="shared" si="144"/>
        <v>1.5822506036319215E-2</v>
      </c>
      <c r="S1496" s="87">
        <f t="shared" si="144"/>
        <v>9.7633639146103134E-3</v>
      </c>
      <c r="T1496" s="87">
        <f t="shared" si="144"/>
        <v>1.1890746521521554E-2</v>
      </c>
      <c r="U1496" s="87">
        <f t="shared" si="144"/>
        <v>9.6993970887135784E-3</v>
      </c>
      <c r="V1496" s="87">
        <f t="shared" si="144"/>
        <v>6.7644000885420628E-3</v>
      </c>
      <c r="W1496" s="87">
        <f t="shared" si="144"/>
        <v>-7.7821404420549628E-3</v>
      </c>
      <c r="X1496" s="87">
        <f t="shared" si="143"/>
        <v>-1.4528100562909856E-2</v>
      </c>
      <c r="Y1496" s="87">
        <f t="shared" si="143"/>
        <v>-2.4769068112408973E-2</v>
      </c>
      <c r="Z1496" s="87">
        <f t="shared" si="143"/>
        <v>0</v>
      </c>
      <c r="AA1496" s="87">
        <f t="shared" si="143"/>
        <v>2.158357166717461E-2</v>
      </c>
      <c r="AB1496" s="87">
        <f t="shared" si="141"/>
        <v>7.9840743482205486E-3</v>
      </c>
      <c r="AC1496" s="87">
        <f t="shared" si="141"/>
        <v>-1.4481347194710732E-2</v>
      </c>
      <c r="AD1496" s="87">
        <f t="shared" si="140"/>
        <v>2.2246950221111086E-3</v>
      </c>
      <c r="AE1496" s="90">
        <f t="shared" si="145"/>
        <v>1.0644980088046943E-2</v>
      </c>
    </row>
    <row r="1497" spans="1:31" ht="15.5" x14ac:dyDescent="0.35">
      <c r="A1497" s="82">
        <v>41936</v>
      </c>
      <c r="B1497" s="83">
        <v>10582.6</v>
      </c>
      <c r="C1497" s="84">
        <v>4483.7</v>
      </c>
      <c r="D1497" s="61">
        <v>545.20000000000005</v>
      </c>
      <c r="E1497" s="61">
        <v>42.4</v>
      </c>
      <c r="F1497" s="61">
        <v>104.5</v>
      </c>
      <c r="G1497" s="61">
        <v>45.2</v>
      </c>
      <c r="H1497" s="61">
        <v>25.4</v>
      </c>
      <c r="I1497" s="61">
        <v>20.7</v>
      </c>
      <c r="J1497" s="61">
        <v>33</v>
      </c>
      <c r="K1497" s="61">
        <v>7.5</v>
      </c>
      <c r="L1497" s="61">
        <v>56.6</v>
      </c>
      <c r="M1497" s="61">
        <v>50.2</v>
      </c>
      <c r="N1497" s="61">
        <v>63.5</v>
      </c>
      <c r="O1497" s="85">
        <v>45</v>
      </c>
      <c r="P1497" s="105"/>
      <c r="Q1497" s="87">
        <f t="shared" si="142"/>
        <v>5.9994777595221739E-3</v>
      </c>
      <c r="R1497" s="87">
        <f t="shared" si="144"/>
        <v>6.9154866327055184E-3</v>
      </c>
      <c r="S1497" s="87">
        <f t="shared" si="144"/>
        <v>-5.501054507479232E-4</v>
      </c>
      <c r="T1497" s="87">
        <f t="shared" si="144"/>
        <v>2.361276185679907E-3</v>
      </c>
      <c r="U1497" s="87">
        <f t="shared" si="144"/>
        <v>8.6497415794831584E-3</v>
      </c>
      <c r="V1497" s="87">
        <f t="shared" si="144"/>
        <v>1.5607897665990968E-2</v>
      </c>
      <c r="W1497" s="87">
        <f t="shared" si="144"/>
        <v>-7.8431774610260054E-3</v>
      </c>
      <c r="X1497" s="87">
        <f t="shared" si="143"/>
        <v>9.7088141269609032E-3</v>
      </c>
      <c r="Y1497" s="87">
        <f t="shared" si="143"/>
        <v>3.3901551675681416E-2</v>
      </c>
      <c r="Z1497" s="87">
        <f t="shared" si="143"/>
        <v>1.342302033214055E-2</v>
      </c>
      <c r="AA1497" s="87">
        <f t="shared" si="143"/>
        <v>7.0922283094918366E-3</v>
      </c>
      <c r="AB1497" s="87">
        <f t="shared" si="141"/>
        <v>-1.990050408009925E-3</v>
      </c>
      <c r="AC1497" s="87">
        <f t="shared" si="141"/>
        <v>2.8755974987303722E-2</v>
      </c>
      <c r="AD1497" s="87">
        <f t="shared" si="140"/>
        <v>0</v>
      </c>
      <c r="AE1497" s="90">
        <f t="shared" si="145"/>
        <v>4.3851533026157364E-3</v>
      </c>
    </row>
    <row r="1498" spans="1:31" ht="15.5" x14ac:dyDescent="0.35">
      <c r="A1498" s="82">
        <v>41939</v>
      </c>
      <c r="B1498" s="83">
        <v>10544.4</v>
      </c>
      <c r="C1498" s="84">
        <v>4485.8999999999996</v>
      </c>
      <c r="D1498" s="61">
        <v>547.20000000000005</v>
      </c>
      <c r="E1498" s="61">
        <v>43.3</v>
      </c>
      <c r="F1498" s="61">
        <v>104.7</v>
      </c>
      <c r="G1498" s="61">
        <v>45.7</v>
      </c>
      <c r="H1498" s="61">
        <v>25.5</v>
      </c>
      <c r="I1498" s="61">
        <v>20.2</v>
      </c>
      <c r="J1498" s="61">
        <v>33.5</v>
      </c>
      <c r="K1498" s="61">
        <v>7.3</v>
      </c>
      <c r="L1498" s="61">
        <v>55.9</v>
      </c>
      <c r="M1498" s="61">
        <v>50.3</v>
      </c>
      <c r="N1498" s="61">
        <v>63</v>
      </c>
      <c r="O1498" s="85">
        <v>45.2</v>
      </c>
      <c r="P1498" s="105"/>
      <c r="Q1498" s="87">
        <f t="shared" si="142"/>
        <v>-3.6162296235919306E-3</v>
      </c>
      <c r="R1498" s="87">
        <f t="shared" si="144"/>
        <v>4.9054585357560332E-4</v>
      </c>
      <c r="S1498" s="87">
        <f t="shared" si="144"/>
        <v>3.6616664859631738E-3</v>
      </c>
      <c r="T1498" s="87">
        <f t="shared" si="144"/>
        <v>2.1004272770531997E-2</v>
      </c>
      <c r="U1498" s="87">
        <f t="shared" si="144"/>
        <v>1.9120464716254415E-3</v>
      </c>
      <c r="V1498" s="87">
        <f t="shared" si="144"/>
        <v>1.1001211061973583E-2</v>
      </c>
      <c r="W1498" s="87">
        <f t="shared" si="144"/>
        <v>3.929278139889557E-3</v>
      </c>
      <c r="X1498" s="87">
        <f t="shared" si="143"/>
        <v>-2.4451095864164309E-2</v>
      </c>
      <c r="Y1498" s="87">
        <f t="shared" si="143"/>
        <v>1.5037877364540502E-2</v>
      </c>
      <c r="Z1498" s="87">
        <f t="shared" si="143"/>
        <v>-2.7028672387919374E-2</v>
      </c>
      <c r="AA1498" s="87">
        <f t="shared" si="143"/>
        <v>-1.2444605048083864E-2</v>
      </c>
      <c r="AB1498" s="87">
        <f t="shared" si="141"/>
        <v>1.9900504080097876E-3</v>
      </c>
      <c r="AC1498" s="87">
        <f t="shared" si="141"/>
        <v>-7.9051795071132611E-3</v>
      </c>
      <c r="AD1498" s="87">
        <f t="shared" si="140"/>
        <v>4.4345970678657748E-3</v>
      </c>
      <c r="AE1498" s="90">
        <f t="shared" si="145"/>
        <v>2.3047917214852227E-3</v>
      </c>
    </row>
    <row r="1499" spans="1:31" ht="15.5" x14ac:dyDescent="0.35">
      <c r="A1499" s="82">
        <v>41940</v>
      </c>
      <c r="B1499" s="83">
        <v>10677.9</v>
      </c>
      <c r="C1499" s="84">
        <v>4564.3</v>
      </c>
      <c r="D1499" s="61">
        <v>550.4</v>
      </c>
      <c r="E1499" s="61">
        <v>44.9</v>
      </c>
      <c r="F1499" s="61">
        <v>105.4</v>
      </c>
      <c r="G1499" s="61">
        <v>45.8</v>
      </c>
      <c r="H1499" s="61">
        <v>25.7</v>
      </c>
      <c r="I1499" s="61">
        <v>20.6</v>
      </c>
      <c r="J1499" s="61">
        <v>33.9</v>
      </c>
      <c r="K1499" s="61">
        <v>7.3</v>
      </c>
      <c r="L1499" s="61">
        <v>54.1</v>
      </c>
      <c r="M1499" s="61">
        <v>51.6</v>
      </c>
      <c r="N1499" s="61">
        <v>63.8</v>
      </c>
      <c r="O1499" s="85">
        <v>45.7</v>
      </c>
      <c r="P1499" s="105"/>
      <c r="Q1499" s="87">
        <f t="shared" si="142"/>
        <v>1.2581271676846573E-2</v>
      </c>
      <c r="R1499" s="87">
        <f t="shared" si="144"/>
        <v>1.7326017378015802E-2</v>
      </c>
      <c r="S1499" s="87">
        <f t="shared" si="144"/>
        <v>5.8309203107931437E-3</v>
      </c>
      <c r="T1499" s="87">
        <f t="shared" si="144"/>
        <v>3.6285159739764587E-2</v>
      </c>
      <c r="U1499" s="87">
        <f t="shared" si="144"/>
        <v>6.6635182307709147E-3</v>
      </c>
      <c r="V1499" s="87">
        <f t="shared" si="144"/>
        <v>2.1857932199802256E-3</v>
      </c>
      <c r="W1499" s="87">
        <f t="shared" si="144"/>
        <v>7.8125397367936247E-3</v>
      </c>
      <c r="X1499" s="87">
        <f t="shared" si="143"/>
        <v>1.9608471388376337E-2</v>
      </c>
      <c r="Y1499" s="87">
        <f t="shared" si="143"/>
        <v>1.1869575555383729E-2</v>
      </c>
      <c r="Z1499" s="87">
        <f t="shared" si="143"/>
        <v>0</v>
      </c>
      <c r="AA1499" s="87">
        <f t="shared" si="143"/>
        <v>-3.2730194308617629E-2</v>
      </c>
      <c r="AB1499" s="87">
        <f t="shared" si="141"/>
        <v>2.5516595381823524E-2</v>
      </c>
      <c r="AC1499" s="87">
        <f t="shared" si="141"/>
        <v>1.2618463959211464E-2</v>
      </c>
      <c r="AD1499" s="87">
        <f t="shared" si="140"/>
        <v>1.1001211061973583E-2</v>
      </c>
      <c r="AE1499" s="90">
        <f t="shared" si="145"/>
        <v>1.0143070369858105E-2</v>
      </c>
    </row>
    <row r="1500" spans="1:31" ht="15.5" x14ac:dyDescent="0.35">
      <c r="A1500" s="82">
        <v>41941</v>
      </c>
      <c r="B1500" s="83">
        <v>10646.7</v>
      </c>
      <c r="C1500" s="84">
        <v>4549.2</v>
      </c>
      <c r="D1500" s="61">
        <v>556</v>
      </c>
      <c r="E1500" s="61">
        <v>45.1</v>
      </c>
      <c r="F1500" s="61">
        <v>106.4</v>
      </c>
      <c r="G1500" s="61">
        <v>46.3</v>
      </c>
      <c r="H1500" s="61">
        <v>26.7</v>
      </c>
      <c r="I1500" s="61">
        <v>22.6</v>
      </c>
      <c r="J1500" s="61">
        <v>33.299999999999997</v>
      </c>
      <c r="K1500" s="61">
        <v>7.4</v>
      </c>
      <c r="L1500" s="61">
        <v>55.6</v>
      </c>
      <c r="M1500" s="61">
        <v>51.8</v>
      </c>
      <c r="N1500" s="61">
        <v>63.6</v>
      </c>
      <c r="O1500" s="85">
        <v>45.7</v>
      </c>
      <c r="P1500" s="105"/>
      <c r="Q1500" s="87">
        <f t="shared" si="142"/>
        <v>-2.9262000002697689E-3</v>
      </c>
      <c r="R1500" s="87">
        <f t="shared" si="144"/>
        <v>-3.3137683256339329E-3</v>
      </c>
      <c r="S1500" s="87">
        <f t="shared" si="144"/>
        <v>1.0123007631448598E-2</v>
      </c>
      <c r="T1500" s="87">
        <f t="shared" si="144"/>
        <v>4.444451760424197E-3</v>
      </c>
      <c r="U1500" s="87">
        <f t="shared" si="144"/>
        <v>9.4429408002820875E-3</v>
      </c>
      <c r="V1500" s="87">
        <f t="shared" si="144"/>
        <v>1.0857869972049086E-2</v>
      </c>
      <c r="W1500" s="87">
        <f t="shared" si="144"/>
        <v>3.8172573505029811E-2</v>
      </c>
      <c r="X1500" s="87">
        <f t="shared" si="143"/>
        <v>9.2658830482704763E-2</v>
      </c>
      <c r="Y1500" s="87">
        <f t="shared" si="143"/>
        <v>-1.7857617400006461E-2</v>
      </c>
      <c r="Z1500" s="87">
        <f t="shared" si="143"/>
        <v>1.3605652055778678E-2</v>
      </c>
      <c r="AA1500" s="87">
        <f t="shared" si="143"/>
        <v>2.7349015404100764E-2</v>
      </c>
      <c r="AB1500" s="87">
        <f t="shared" si="141"/>
        <v>3.8684767779203319E-3</v>
      </c>
      <c r="AC1500" s="87">
        <f t="shared" si="141"/>
        <v>-3.1397200046676412E-3</v>
      </c>
      <c r="AD1500" s="87">
        <f t="shared" si="140"/>
        <v>0</v>
      </c>
      <c r="AE1500" s="90">
        <f t="shared" si="145"/>
        <v>4.6704627507235495E-3</v>
      </c>
    </row>
    <row r="1501" spans="1:31" ht="15.5" x14ac:dyDescent="0.35">
      <c r="A1501" s="82">
        <v>41942</v>
      </c>
      <c r="B1501" s="83">
        <v>10712.2</v>
      </c>
      <c r="C1501" s="84">
        <v>4566.1000000000004</v>
      </c>
      <c r="D1501" s="61">
        <v>552.1</v>
      </c>
      <c r="E1501" s="61">
        <v>45.1</v>
      </c>
      <c r="F1501" s="61">
        <v>105.9</v>
      </c>
      <c r="G1501" s="61">
        <v>45.8</v>
      </c>
      <c r="H1501" s="61">
        <v>26.8</v>
      </c>
      <c r="I1501" s="61">
        <v>22.9</v>
      </c>
      <c r="J1501" s="61">
        <v>33.4</v>
      </c>
      <c r="K1501" s="61">
        <v>7.5</v>
      </c>
      <c r="L1501" s="61">
        <v>55.7</v>
      </c>
      <c r="M1501" s="61">
        <v>52.3</v>
      </c>
      <c r="N1501" s="61">
        <v>63.6</v>
      </c>
      <c r="O1501" s="85">
        <v>45.8</v>
      </c>
      <c r="P1501" s="105"/>
      <c r="Q1501" s="87">
        <f t="shared" si="142"/>
        <v>6.1332938800780033E-3</v>
      </c>
      <c r="R1501" s="87">
        <f t="shared" si="144"/>
        <v>3.7080555470743724E-3</v>
      </c>
      <c r="S1501" s="87">
        <f t="shared" si="144"/>
        <v>-7.0391049605833629E-3</v>
      </c>
      <c r="T1501" s="87">
        <f t="shared" si="144"/>
        <v>0</v>
      </c>
      <c r="U1501" s="87">
        <f t="shared" si="144"/>
        <v>-4.7103243001832412E-3</v>
      </c>
      <c r="V1501" s="87">
        <f t="shared" si="144"/>
        <v>-1.0857869972049069E-2</v>
      </c>
      <c r="W1501" s="87">
        <f t="shared" si="144"/>
        <v>3.7383221106071581E-3</v>
      </c>
      <c r="X1501" s="87">
        <f t="shared" si="143"/>
        <v>1.3187004281953681E-2</v>
      </c>
      <c r="Y1501" s="87">
        <f t="shared" si="143"/>
        <v>2.9985029962566329E-3</v>
      </c>
      <c r="Z1501" s="87">
        <f t="shared" si="143"/>
        <v>1.342302033214055E-2</v>
      </c>
      <c r="AA1501" s="87">
        <f t="shared" si="143"/>
        <v>1.7969456767016347E-3</v>
      </c>
      <c r="AB1501" s="87">
        <f t="shared" si="141"/>
        <v>9.6062218054399334E-3</v>
      </c>
      <c r="AC1501" s="87">
        <f t="shared" si="141"/>
        <v>0</v>
      </c>
      <c r="AD1501" s="87">
        <f t="shared" si="140"/>
        <v>2.1857932199802256E-3</v>
      </c>
      <c r="AE1501" s="90">
        <f t="shared" si="145"/>
        <v>-2.0305004537958492E-3</v>
      </c>
    </row>
    <row r="1502" spans="1:31" ht="15.5" x14ac:dyDescent="0.35">
      <c r="A1502" s="82">
        <v>41943</v>
      </c>
      <c r="B1502" s="83">
        <v>10845</v>
      </c>
      <c r="C1502" s="84">
        <v>4630.7</v>
      </c>
      <c r="D1502" s="61">
        <v>564.79999999999995</v>
      </c>
      <c r="E1502" s="61">
        <v>45.7</v>
      </c>
      <c r="F1502" s="61">
        <v>107.2</v>
      </c>
      <c r="G1502" s="61">
        <v>46.5</v>
      </c>
      <c r="H1502" s="61">
        <v>28.2</v>
      </c>
      <c r="I1502" s="61">
        <v>23.8</v>
      </c>
      <c r="J1502" s="61">
        <v>33.9</v>
      </c>
      <c r="K1502" s="61">
        <v>7.5</v>
      </c>
      <c r="L1502" s="61">
        <v>57.7</v>
      </c>
      <c r="M1502" s="61">
        <v>53.6</v>
      </c>
      <c r="N1502" s="61">
        <v>63.6</v>
      </c>
      <c r="O1502" s="85">
        <v>46.3</v>
      </c>
      <c r="P1502" s="105"/>
      <c r="Q1502" s="87">
        <f t="shared" si="142"/>
        <v>1.2320865414522089E-2</v>
      </c>
      <c r="R1502" s="87">
        <f t="shared" si="144"/>
        <v>1.4048595700144143E-2</v>
      </c>
      <c r="S1502" s="87">
        <f t="shared" si="144"/>
        <v>2.2742496889033167E-2</v>
      </c>
      <c r="T1502" s="87">
        <f t="shared" si="144"/>
        <v>1.3216051391526462E-2</v>
      </c>
      <c r="U1502" s="87">
        <f t="shared" si="144"/>
        <v>1.2200996029340798E-2</v>
      </c>
      <c r="V1502" s="87">
        <f t="shared" si="144"/>
        <v>1.5168221473171444E-2</v>
      </c>
      <c r="W1502" s="87">
        <f t="shared" si="144"/>
        <v>5.0920090427256946E-2</v>
      </c>
      <c r="X1502" s="87">
        <f t="shared" si="143"/>
        <v>3.8548670117235243E-2</v>
      </c>
      <c r="Y1502" s="87">
        <f t="shared" si="143"/>
        <v>1.4859114403749905E-2</v>
      </c>
      <c r="Z1502" s="87">
        <f t="shared" si="143"/>
        <v>0</v>
      </c>
      <c r="AA1502" s="87">
        <f t="shared" si="143"/>
        <v>3.5277026580815454E-2</v>
      </c>
      <c r="AB1502" s="87">
        <f t="shared" si="141"/>
        <v>2.4552697005879087E-2</v>
      </c>
      <c r="AC1502" s="87">
        <f t="shared" si="141"/>
        <v>0</v>
      </c>
      <c r="AD1502" s="87">
        <f t="shared" si="140"/>
        <v>1.0857869972049086E-2</v>
      </c>
      <c r="AE1502" s="90">
        <f t="shared" si="145"/>
        <v>1.567773204564642E-2</v>
      </c>
    </row>
    <row r="1503" spans="1:31" ht="15.5" x14ac:dyDescent="0.35">
      <c r="A1503" s="82">
        <v>41946</v>
      </c>
      <c r="B1503" s="83">
        <v>10808.7</v>
      </c>
      <c r="C1503" s="84">
        <v>4638.8999999999996</v>
      </c>
      <c r="D1503" s="61">
        <v>561.6</v>
      </c>
      <c r="E1503" s="61">
        <v>45.9</v>
      </c>
      <c r="F1503" s="61">
        <v>108</v>
      </c>
      <c r="G1503" s="61">
        <v>46.7</v>
      </c>
      <c r="H1503" s="61">
        <v>28</v>
      </c>
      <c r="I1503" s="61">
        <v>24.3</v>
      </c>
      <c r="J1503" s="61">
        <v>33.1</v>
      </c>
      <c r="K1503" s="61">
        <v>7.5</v>
      </c>
      <c r="L1503" s="61">
        <v>57.6</v>
      </c>
      <c r="M1503" s="61">
        <v>54.1</v>
      </c>
      <c r="N1503" s="61">
        <v>63.5</v>
      </c>
      <c r="O1503" s="85">
        <v>46.4</v>
      </c>
      <c r="P1503" s="105"/>
      <c r="Q1503" s="87">
        <f t="shared" si="142"/>
        <v>-3.3527788788428586E-3</v>
      </c>
      <c r="R1503" s="87">
        <f t="shared" si="144"/>
        <v>1.7692245919864933E-3</v>
      </c>
      <c r="S1503" s="87">
        <f t="shared" si="144"/>
        <v>-5.6818334674308343E-3</v>
      </c>
      <c r="T1503" s="87">
        <f t="shared" si="144"/>
        <v>4.3668191663403895E-3</v>
      </c>
      <c r="U1503" s="87">
        <f t="shared" si="144"/>
        <v>7.4349784875179905E-3</v>
      </c>
      <c r="V1503" s="87">
        <f t="shared" si="144"/>
        <v>4.2918520815410843E-3</v>
      </c>
      <c r="W1503" s="87">
        <f t="shared" si="144"/>
        <v>-7.1174677688639896E-3</v>
      </c>
      <c r="X1503" s="87">
        <f t="shared" si="143"/>
        <v>2.0790769669073689E-2</v>
      </c>
      <c r="Y1503" s="87">
        <f t="shared" si="143"/>
        <v>-2.3881732003387245E-2</v>
      </c>
      <c r="Z1503" s="87">
        <f t="shared" si="143"/>
        <v>0</v>
      </c>
      <c r="AA1503" s="87">
        <f t="shared" si="143"/>
        <v>-1.7346058122083075E-3</v>
      </c>
      <c r="AB1503" s="87">
        <f t="shared" si="141"/>
        <v>9.285117775679478E-3</v>
      </c>
      <c r="AC1503" s="87">
        <f t="shared" si="141"/>
        <v>-1.573564447430552E-3</v>
      </c>
      <c r="AD1503" s="87">
        <f t="shared" si="140"/>
        <v>2.1574981400213143E-3</v>
      </c>
      <c r="AE1503" s="90">
        <f t="shared" si="145"/>
        <v>1.255074135664151E-3</v>
      </c>
    </row>
    <row r="1504" spans="1:31" ht="15.5" x14ac:dyDescent="0.35">
      <c r="A1504" s="82">
        <v>41947</v>
      </c>
      <c r="B1504" s="83">
        <v>10758.1</v>
      </c>
      <c r="C1504" s="84">
        <v>4623.6000000000004</v>
      </c>
      <c r="D1504" s="61">
        <v>558.29999999999995</v>
      </c>
      <c r="E1504" s="61">
        <v>45.7</v>
      </c>
      <c r="F1504" s="61">
        <v>107.7</v>
      </c>
      <c r="G1504" s="61">
        <v>47.3</v>
      </c>
      <c r="H1504" s="61">
        <v>27.9</v>
      </c>
      <c r="I1504" s="61">
        <v>23.8</v>
      </c>
      <c r="J1504" s="61">
        <v>32.4</v>
      </c>
      <c r="K1504" s="61">
        <v>7.3</v>
      </c>
      <c r="L1504" s="61">
        <v>58.9</v>
      </c>
      <c r="M1504" s="61">
        <v>53.5</v>
      </c>
      <c r="N1504" s="61">
        <v>62.6</v>
      </c>
      <c r="O1504" s="85">
        <v>46.3</v>
      </c>
      <c r="P1504" s="105"/>
      <c r="Q1504" s="87">
        <f t="shared" si="142"/>
        <v>-4.6924061840776521E-3</v>
      </c>
      <c r="R1504" s="87">
        <f t="shared" si="144"/>
        <v>-3.3036467293821414E-3</v>
      </c>
      <c r="S1504" s="87">
        <f t="shared" si="144"/>
        <v>-5.8934003952866897E-3</v>
      </c>
      <c r="T1504" s="87">
        <f t="shared" si="144"/>
        <v>-4.3668191663404025E-3</v>
      </c>
      <c r="U1504" s="87">
        <f t="shared" si="144"/>
        <v>-2.7816429618768026E-3</v>
      </c>
      <c r="V1504" s="87">
        <f t="shared" si="144"/>
        <v>1.2766130823035533E-2</v>
      </c>
      <c r="W1504" s="87">
        <f t="shared" si="144"/>
        <v>-3.577821347884078E-3</v>
      </c>
      <c r="X1504" s="87">
        <f t="shared" si="143"/>
        <v>-2.079076966907378E-2</v>
      </c>
      <c r="Y1504" s="87">
        <f t="shared" si="143"/>
        <v>-2.1374859584733563E-2</v>
      </c>
      <c r="Z1504" s="87">
        <f t="shared" si="143"/>
        <v>-2.7028672387919374E-2</v>
      </c>
      <c r="AA1504" s="87">
        <f t="shared" si="143"/>
        <v>2.2318522955695443E-2</v>
      </c>
      <c r="AB1504" s="87">
        <f t="shared" si="141"/>
        <v>-1.1152531950475003E-2</v>
      </c>
      <c r="AC1504" s="87">
        <f t="shared" si="141"/>
        <v>-1.4274627792593052E-2</v>
      </c>
      <c r="AD1504" s="87">
        <f t="shared" si="140"/>
        <v>-2.1574981400212367E-3</v>
      </c>
      <c r="AE1504" s="90">
        <f t="shared" si="145"/>
        <v>-3.7732606695810886E-3</v>
      </c>
    </row>
    <row r="1505" spans="1:31" ht="15.5" x14ac:dyDescent="0.35">
      <c r="A1505" s="82">
        <v>41948</v>
      </c>
      <c r="B1505" s="83">
        <v>10824.1</v>
      </c>
      <c r="C1505" s="84">
        <v>4620.7</v>
      </c>
      <c r="D1505" s="61">
        <v>554.20000000000005</v>
      </c>
      <c r="E1505" s="61">
        <v>47.3</v>
      </c>
      <c r="F1505" s="61">
        <v>108.1</v>
      </c>
      <c r="G1505" s="61">
        <v>47.3</v>
      </c>
      <c r="H1505" s="61">
        <v>28.3</v>
      </c>
      <c r="I1505" s="61">
        <v>24.1</v>
      </c>
      <c r="J1505" s="61">
        <v>32.4</v>
      </c>
      <c r="K1505" s="61">
        <v>7.2</v>
      </c>
      <c r="L1505" s="61">
        <v>59.4</v>
      </c>
      <c r="M1505" s="61">
        <v>54</v>
      </c>
      <c r="N1505" s="61">
        <v>63.1</v>
      </c>
      <c r="O1505" s="85">
        <v>46.9</v>
      </c>
      <c r="P1505" s="105"/>
      <c r="Q1505" s="87">
        <f t="shared" si="142"/>
        <v>6.1161703386438003E-3</v>
      </c>
      <c r="R1505" s="87">
        <f t="shared" si="144"/>
        <v>-6.2741367007388012E-4</v>
      </c>
      <c r="S1505" s="87">
        <f t="shared" si="144"/>
        <v>-7.3708198874365954E-3</v>
      </c>
      <c r="T1505" s="87">
        <f t="shared" si="144"/>
        <v>3.4411997597728186E-2</v>
      </c>
      <c r="U1505" s="87">
        <f t="shared" si="144"/>
        <v>3.7071404828195836E-3</v>
      </c>
      <c r="V1505" s="87">
        <f t="shared" si="144"/>
        <v>0</v>
      </c>
      <c r="W1505" s="87">
        <f t="shared" si="144"/>
        <v>1.4235115821872129E-2</v>
      </c>
      <c r="X1505" s="87">
        <f t="shared" si="143"/>
        <v>1.2526259819180256E-2</v>
      </c>
      <c r="Y1505" s="87">
        <f t="shared" si="143"/>
        <v>0</v>
      </c>
      <c r="Z1505" s="87">
        <f t="shared" si="143"/>
        <v>-1.3793322132335761E-2</v>
      </c>
      <c r="AA1505" s="87">
        <f t="shared" si="143"/>
        <v>8.4531357110581903E-3</v>
      </c>
      <c r="AB1505" s="87">
        <f t="shared" si="141"/>
        <v>9.3023926623134103E-3</v>
      </c>
      <c r="AC1505" s="87">
        <f t="shared" si="141"/>
        <v>7.9554914411146798E-3</v>
      </c>
      <c r="AD1505" s="87">
        <f t="shared" si="140"/>
        <v>1.2875714360045367E-2</v>
      </c>
      <c r="AE1505" s="90">
        <f t="shared" si="145"/>
        <v>2.7905684975863408E-4</v>
      </c>
    </row>
    <row r="1506" spans="1:31" ht="15.5" x14ac:dyDescent="0.35">
      <c r="A1506" s="82">
        <v>41949</v>
      </c>
      <c r="B1506" s="83">
        <v>10843.5</v>
      </c>
      <c r="C1506" s="84">
        <v>4638.5</v>
      </c>
      <c r="D1506" s="61">
        <v>550.6</v>
      </c>
      <c r="E1506" s="61">
        <v>46.6</v>
      </c>
      <c r="F1506" s="61">
        <v>107.8</v>
      </c>
      <c r="G1506" s="61">
        <v>47.8</v>
      </c>
      <c r="H1506" s="61">
        <v>28.7</v>
      </c>
      <c r="I1506" s="61">
        <v>24.5</v>
      </c>
      <c r="J1506" s="61">
        <v>32.6</v>
      </c>
      <c r="K1506" s="61">
        <v>7.2</v>
      </c>
      <c r="L1506" s="61">
        <v>59.2</v>
      </c>
      <c r="M1506" s="61">
        <v>53.6</v>
      </c>
      <c r="N1506" s="61">
        <v>63.4</v>
      </c>
      <c r="O1506" s="85">
        <v>47.3</v>
      </c>
      <c r="P1506" s="105"/>
      <c r="Q1506" s="87">
        <f t="shared" si="142"/>
        <v>1.7906925717634059E-3</v>
      </c>
      <c r="R1506" s="87">
        <f t="shared" si="144"/>
        <v>3.8448293432877642E-3</v>
      </c>
      <c r="S1506" s="87">
        <f t="shared" si="144"/>
        <v>-6.5170397203711877E-3</v>
      </c>
      <c r="T1506" s="87">
        <f t="shared" si="144"/>
        <v>-1.4909754366287038E-2</v>
      </c>
      <c r="U1506" s="87">
        <f t="shared" si="144"/>
        <v>-2.7790661702657648E-3</v>
      </c>
      <c r="V1506" s="87">
        <f t="shared" si="144"/>
        <v>1.0515343999522907E-2</v>
      </c>
      <c r="W1506" s="87">
        <f t="shared" si="144"/>
        <v>1.4035318116383365E-2</v>
      </c>
      <c r="X1506" s="87">
        <f t="shared" si="143"/>
        <v>1.6461277054071931E-2</v>
      </c>
      <c r="Y1506" s="87">
        <f t="shared" si="143"/>
        <v>6.1538655743782859E-3</v>
      </c>
      <c r="Z1506" s="87">
        <f t="shared" si="143"/>
        <v>0</v>
      </c>
      <c r="AA1506" s="87">
        <f t="shared" si="143"/>
        <v>-3.3726844786391187E-3</v>
      </c>
      <c r="AB1506" s="87">
        <f t="shared" si="141"/>
        <v>-7.4349784875180902E-3</v>
      </c>
      <c r="AC1506" s="87">
        <f t="shared" si="141"/>
        <v>4.7430918960126318E-3</v>
      </c>
      <c r="AD1506" s="87">
        <f t="shared" si="140"/>
        <v>8.4926200456535966E-3</v>
      </c>
      <c r="AE1506" s="90">
        <f t="shared" si="145"/>
        <v>-5.1785501393190186E-4</v>
      </c>
    </row>
    <row r="1507" spans="1:31" ht="15.5" x14ac:dyDescent="0.35">
      <c r="A1507" s="82">
        <v>41950</v>
      </c>
      <c r="B1507" s="83">
        <v>10864.6</v>
      </c>
      <c r="C1507" s="84">
        <v>4632.5</v>
      </c>
      <c r="D1507" s="61">
        <v>549.4</v>
      </c>
      <c r="E1507" s="61">
        <v>47.9</v>
      </c>
      <c r="F1507" s="61">
        <v>108.6</v>
      </c>
      <c r="G1507" s="61">
        <v>48.3</v>
      </c>
      <c r="H1507" s="61">
        <v>28.7</v>
      </c>
      <c r="I1507" s="61">
        <v>25</v>
      </c>
      <c r="J1507" s="61">
        <v>32.700000000000003</v>
      </c>
      <c r="K1507" s="61">
        <v>7.5</v>
      </c>
      <c r="L1507" s="61">
        <v>59.1</v>
      </c>
      <c r="M1507" s="61">
        <v>53.9</v>
      </c>
      <c r="N1507" s="61">
        <v>63.3</v>
      </c>
      <c r="O1507" s="85">
        <v>46.8</v>
      </c>
      <c r="P1507" s="105"/>
      <c r="Q1507" s="87">
        <f t="shared" si="142"/>
        <v>1.9439754418685512E-3</v>
      </c>
      <c r="R1507" s="87">
        <f t="shared" si="144"/>
        <v>-1.2943589338114021E-3</v>
      </c>
      <c r="S1507" s="87">
        <f t="shared" si="144"/>
        <v>-2.1818190473335236E-3</v>
      </c>
      <c r="T1507" s="87">
        <f t="shared" si="144"/>
        <v>2.7514963285269367E-2</v>
      </c>
      <c r="U1507" s="87">
        <f t="shared" si="144"/>
        <v>7.3937490249381919E-3</v>
      </c>
      <c r="V1507" s="87">
        <f t="shared" si="144"/>
        <v>1.040592116111682E-2</v>
      </c>
      <c r="W1507" s="87">
        <f t="shared" si="144"/>
        <v>0</v>
      </c>
      <c r="X1507" s="87">
        <f t="shared" si="143"/>
        <v>2.0202707317519469E-2</v>
      </c>
      <c r="Y1507" s="87">
        <f t="shared" si="143"/>
        <v>3.0627895305457308E-3</v>
      </c>
      <c r="Z1507" s="87">
        <f t="shared" si="143"/>
        <v>4.08219945202552E-2</v>
      </c>
      <c r="AA1507" s="87">
        <f t="shared" si="143"/>
        <v>-1.6906174779075501E-3</v>
      </c>
      <c r="AB1507" s="87">
        <f t="shared" si="141"/>
        <v>5.5814098381950445E-3</v>
      </c>
      <c r="AC1507" s="87">
        <f t="shared" si="141"/>
        <v>-1.5785322930497267E-3</v>
      </c>
      <c r="AD1507" s="87">
        <f t="shared" si="140"/>
        <v>-1.0627092574286238E-2</v>
      </c>
      <c r="AE1507" s="90">
        <f t="shared" si="145"/>
        <v>-2.0428477973395221E-4</v>
      </c>
    </row>
    <row r="1508" spans="1:31" ht="15.5" x14ac:dyDescent="0.35">
      <c r="A1508" s="82">
        <v>41953</v>
      </c>
      <c r="B1508" s="83">
        <v>10892.6</v>
      </c>
      <c r="C1508" s="84">
        <v>4651.6000000000004</v>
      </c>
      <c r="D1508" s="61">
        <v>551.6</v>
      </c>
      <c r="E1508" s="61">
        <v>48.8</v>
      </c>
      <c r="F1508" s="61">
        <v>108.7</v>
      </c>
      <c r="G1508" s="61">
        <v>48.6</v>
      </c>
      <c r="H1508" s="61">
        <v>28.8</v>
      </c>
      <c r="I1508" s="61">
        <v>24.9</v>
      </c>
      <c r="J1508" s="61">
        <v>32.799999999999997</v>
      </c>
      <c r="K1508" s="61">
        <v>7.2</v>
      </c>
      <c r="L1508" s="61">
        <v>57.7</v>
      </c>
      <c r="M1508" s="61">
        <v>54.4</v>
      </c>
      <c r="N1508" s="61">
        <v>63.7</v>
      </c>
      <c r="O1508" s="85">
        <v>47</v>
      </c>
      <c r="P1508" s="105"/>
      <c r="Q1508" s="87">
        <f t="shared" si="142"/>
        <v>2.5738620279986239E-3</v>
      </c>
      <c r="R1508" s="87">
        <f t="shared" si="144"/>
        <v>4.1145672593733652E-3</v>
      </c>
      <c r="S1508" s="87">
        <f t="shared" si="144"/>
        <v>3.9963722579733933E-3</v>
      </c>
      <c r="T1508" s="87">
        <f t="shared" si="144"/>
        <v>1.8614808442232011E-2</v>
      </c>
      <c r="U1508" s="87">
        <f t="shared" si="144"/>
        <v>9.2038662732874855E-4</v>
      </c>
      <c r="V1508" s="87">
        <f t="shared" si="144"/>
        <v>6.1919702479212007E-3</v>
      </c>
      <c r="W1508" s="87">
        <f t="shared" si="144"/>
        <v>3.4782643763247925E-3</v>
      </c>
      <c r="X1508" s="87">
        <f t="shared" si="143"/>
        <v>-4.0080213975388218E-3</v>
      </c>
      <c r="Y1508" s="87">
        <f t="shared" si="143"/>
        <v>3.0534374868902482E-3</v>
      </c>
      <c r="Z1508" s="87">
        <f t="shared" si="143"/>
        <v>-4.0821994520255048E-2</v>
      </c>
      <c r="AA1508" s="87">
        <f t="shared" si="143"/>
        <v>-2.3973750897998632E-2</v>
      </c>
      <c r="AB1508" s="87">
        <f t="shared" si="141"/>
        <v>9.2336759469455239E-3</v>
      </c>
      <c r="AC1508" s="87">
        <f t="shared" si="141"/>
        <v>6.2992334279871505E-3</v>
      </c>
      <c r="AD1508" s="87">
        <f t="shared" si="140"/>
        <v>4.264398786457518E-3</v>
      </c>
      <c r="AE1508" s="90">
        <f t="shared" si="145"/>
        <v>3.1848351671869644E-3</v>
      </c>
    </row>
    <row r="1509" spans="1:31" ht="15.5" x14ac:dyDescent="0.35">
      <c r="A1509" s="82">
        <v>41954</v>
      </c>
      <c r="B1509" s="83">
        <v>10907.5</v>
      </c>
      <c r="C1509" s="84">
        <v>4660.6000000000004</v>
      </c>
      <c r="D1509" s="61">
        <v>556.20000000000005</v>
      </c>
      <c r="E1509" s="61">
        <v>48.1</v>
      </c>
      <c r="F1509" s="61">
        <v>108.4</v>
      </c>
      <c r="G1509" s="61">
        <v>48.6</v>
      </c>
      <c r="H1509" s="61">
        <v>29</v>
      </c>
      <c r="I1509" s="61">
        <v>25.1</v>
      </c>
      <c r="J1509" s="61">
        <v>33</v>
      </c>
      <c r="K1509" s="61">
        <v>7.1</v>
      </c>
      <c r="L1509" s="61">
        <v>59.2</v>
      </c>
      <c r="M1509" s="61">
        <v>54.7</v>
      </c>
      <c r="N1509" s="61">
        <v>64.3</v>
      </c>
      <c r="O1509" s="85">
        <v>47.3</v>
      </c>
      <c r="P1509" s="105"/>
      <c r="Q1509" s="87">
        <f t="shared" si="142"/>
        <v>1.3669664194361172E-3</v>
      </c>
      <c r="R1509" s="87">
        <f t="shared" si="144"/>
        <v>1.9329487773496225E-3</v>
      </c>
      <c r="S1509" s="87">
        <f t="shared" si="144"/>
        <v>8.3047958807178669E-3</v>
      </c>
      <c r="T1509" s="87">
        <f t="shared" si="144"/>
        <v>-1.4448135747385928E-2</v>
      </c>
      <c r="U1509" s="87">
        <f t="shared" si="144"/>
        <v>-2.7637051216178555E-3</v>
      </c>
      <c r="V1509" s="87">
        <f t="shared" si="144"/>
        <v>0</v>
      </c>
      <c r="W1509" s="87">
        <f t="shared" si="144"/>
        <v>6.920442844573757E-3</v>
      </c>
      <c r="X1509" s="87">
        <f t="shared" si="143"/>
        <v>8.0000426670763704E-3</v>
      </c>
      <c r="Y1509" s="87">
        <f t="shared" si="143"/>
        <v>6.0790460763821925E-3</v>
      </c>
      <c r="Z1509" s="87">
        <f t="shared" si="143"/>
        <v>-1.3986241974739952E-2</v>
      </c>
      <c r="AA1509" s="87">
        <f t="shared" si="143"/>
        <v>2.5664368375906122E-2</v>
      </c>
      <c r="AB1509" s="87">
        <f t="shared" si="141"/>
        <v>5.4995555660386697E-3</v>
      </c>
      <c r="AC1509" s="87">
        <f t="shared" si="141"/>
        <v>9.3750686654558817E-3</v>
      </c>
      <c r="AD1509" s="87">
        <f t="shared" si="140"/>
        <v>6.3626937878286504E-3</v>
      </c>
      <c r="AE1509" s="90">
        <f t="shared" si="145"/>
        <v>2.9938698883365433E-3</v>
      </c>
    </row>
    <row r="1510" spans="1:31" ht="15.5" x14ac:dyDescent="0.35">
      <c r="A1510" s="82">
        <v>41955</v>
      </c>
      <c r="B1510" s="83">
        <v>10884</v>
      </c>
      <c r="C1510" s="84">
        <v>4675.1000000000004</v>
      </c>
      <c r="D1510" s="61">
        <v>555.5</v>
      </c>
      <c r="E1510" s="61">
        <v>49.2</v>
      </c>
      <c r="F1510" s="61">
        <v>109.4</v>
      </c>
      <c r="G1510" s="61">
        <v>48.5</v>
      </c>
      <c r="H1510" s="61">
        <v>29</v>
      </c>
      <c r="I1510" s="61">
        <v>25</v>
      </c>
      <c r="J1510" s="61">
        <v>33.4</v>
      </c>
      <c r="K1510" s="61">
        <v>7.2</v>
      </c>
      <c r="L1510" s="61">
        <v>59.1</v>
      </c>
      <c r="M1510" s="61">
        <v>54.6</v>
      </c>
      <c r="N1510" s="61">
        <v>64.8</v>
      </c>
      <c r="O1510" s="85">
        <v>47.1</v>
      </c>
      <c r="P1510" s="105"/>
      <c r="Q1510" s="87">
        <f t="shared" si="142"/>
        <v>-2.1568050946277864E-3</v>
      </c>
      <c r="R1510" s="87">
        <f t="shared" si="144"/>
        <v>3.1063576721102877E-3</v>
      </c>
      <c r="S1510" s="87">
        <f t="shared" si="144"/>
        <v>-1.2593327201798131E-3</v>
      </c>
      <c r="T1510" s="87">
        <f t="shared" si="144"/>
        <v>2.2611446386546989E-2</v>
      </c>
      <c r="U1510" s="87">
        <f t="shared" si="144"/>
        <v>9.1828009823349821E-3</v>
      </c>
      <c r="V1510" s="87">
        <f t="shared" si="144"/>
        <v>-2.059732963010616E-3</v>
      </c>
      <c r="W1510" s="87">
        <f t="shared" si="144"/>
        <v>0</v>
      </c>
      <c r="X1510" s="87">
        <f t="shared" si="143"/>
        <v>-3.9920212695375608E-3</v>
      </c>
      <c r="Y1510" s="87">
        <f t="shared" si="143"/>
        <v>1.2048338516174355E-2</v>
      </c>
      <c r="Z1510" s="87">
        <f t="shared" si="143"/>
        <v>1.398624197473987E-2</v>
      </c>
      <c r="AA1510" s="87">
        <f t="shared" si="143"/>
        <v>-1.6906174779075501E-3</v>
      </c>
      <c r="AB1510" s="87">
        <f t="shared" si="141"/>
        <v>-1.8298266770762272E-3</v>
      </c>
      <c r="AC1510" s="87">
        <f t="shared" si="141"/>
        <v>7.7459721146553289E-3</v>
      </c>
      <c r="AD1510" s="87">
        <f t="shared" si="140"/>
        <v>-4.237294475515155E-3</v>
      </c>
      <c r="AE1510" s="90">
        <f t="shared" si="145"/>
        <v>2.6731228722070254E-3</v>
      </c>
    </row>
    <row r="1511" spans="1:31" ht="15.5" x14ac:dyDescent="0.35">
      <c r="A1511" s="82">
        <v>41956</v>
      </c>
      <c r="B1511" s="83">
        <v>10868.9</v>
      </c>
      <c r="C1511" s="84">
        <v>4680.1000000000004</v>
      </c>
      <c r="D1511" s="61">
        <v>554.1</v>
      </c>
      <c r="E1511" s="61">
        <v>50</v>
      </c>
      <c r="F1511" s="61">
        <v>111.6</v>
      </c>
      <c r="G1511" s="61">
        <v>48.7</v>
      </c>
      <c r="H1511" s="61">
        <v>29.2</v>
      </c>
      <c r="I1511" s="61">
        <v>25.1</v>
      </c>
      <c r="J1511" s="61">
        <v>33.4</v>
      </c>
      <c r="K1511" s="61">
        <v>6.9</v>
      </c>
      <c r="L1511" s="61">
        <v>59.2</v>
      </c>
      <c r="M1511" s="61">
        <v>54.2</v>
      </c>
      <c r="N1511" s="61">
        <v>64</v>
      </c>
      <c r="O1511" s="85">
        <v>47.8</v>
      </c>
      <c r="P1511" s="105"/>
      <c r="Q1511" s="87">
        <f t="shared" si="142"/>
        <v>-1.3883208606995565E-3</v>
      </c>
      <c r="R1511" s="87">
        <f t="shared" si="144"/>
        <v>1.0689243364294912E-3</v>
      </c>
      <c r="S1511" s="87">
        <f t="shared" si="144"/>
        <v>-2.5234332063806481E-3</v>
      </c>
      <c r="T1511" s="87">
        <f t="shared" si="144"/>
        <v>1.6129381929883498E-2</v>
      </c>
      <c r="U1511" s="87">
        <f t="shared" si="144"/>
        <v>1.9910159959329654E-2</v>
      </c>
      <c r="V1511" s="87">
        <f t="shared" si="144"/>
        <v>4.1152321451065794E-3</v>
      </c>
      <c r="W1511" s="87">
        <f t="shared" si="144"/>
        <v>6.8728792877620504E-3</v>
      </c>
      <c r="X1511" s="87">
        <f t="shared" si="143"/>
        <v>3.9920212695374567E-3</v>
      </c>
      <c r="Y1511" s="87">
        <f t="shared" si="143"/>
        <v>0</v>
      </c>
      <c r="Z1511" s="87">
        <f t="shared" si="143"/>
        <v>-4.2559614418795889E-2</v>
      </c>
      <c r="AA1511" s="87">
        <f t="shared" si="143"/>
        <v>1.6906174779074521E-3</v>
      </c>
      <c r="AB1511" s="87">
        <f t="shared" si="141"/>
        <v>-7.352974305258806E-3</v>
      </c>
      <c r="AC1511" s="87">
        <f t="shared" si="141"/>
        <v>-1.2422519998557096E-2</v>
      </c>
      <c r="AD1511" s="87">
        <f t="shared" si="140"/>
        <v>1.4752638475038224E-2</v>
      </c>
      <c r="AE1511" s="90">
        <f t="shared" si="145"/>
        <v>7.0678843097792743E-3</v>
      </c>
    </row>
    <row r="1512" spans="1:31" ht="15.5" x14ac:dyDescent="0.35">
      <c r="A1512" s="82">
        <v>41957</v>
      </c>
      <c r="B1512" s="83">
        <v>10880.6</v>
      </c>
      <c r="C1512" s="84">
        <v>4688.5</v>
      </c>
      <c r="D1512" s="61">
        <v>552.5</v>
      </c>
      <c r="E1512" s="61">
        <v>50.5</v>
      </c>
      <c r="F1512" s="61">
        <v>113.1</v>
      </c>
      <c r="G1512" s="61">
        <v>49.4</v>
      </c>
      <c r="H1512" s="61">
        <v>29.4</v>
      </c>
      <c r="I1512" s="61">
        <v>25.1</v>
      </c>
      <c r="J1512" s="61">
        <v>33.4</v>
      </c>
      <c r="K1512" s="61">
        <v>7.1</v>
      </c>
      <c r="L1512" s="61">
        <v>58.8</v>
      </c>
      <c r="M1512" s="61">
        <v>54.4</v>
      </c>
      <c r="N1512" s="61">
        <v>64</v>
      </c>
      <c r="O1512" s="85">
        <v>47.5</v>
      </c>
      <c r="P1512" s="105"/>
      <c r="Q1512" s="87">
        <f t="shared" si="142"/>
        <v>1.0758869057767777E-3</v>
      </c>
      <c r="R1512" s="87">
        <f t="shared" si="144"/>
        <v>1.7932246549019757E-3</v>
      </c>
      <c r="S1512" s="87">
        <f t="shared" si="144"/>
        <v>-2.8917424813961236E-3</v>
      </c>
      <c r="T1512" s="87">
        <f t="shared" si="144"/>
        <v>9.950330853168092E-3</v>
      </c>
      <c r="U1512" s="87">
        <f t="shared" si="144"/>
        <v>1.3351333174864196E-2</v>
      </c>
      <c r="V1512" s="87">
        <f t="shared" si="144"/>
        <v>1.4271394105332541E-2</v>
      </c>
      <c r="W1512" s="87">
        <f t="shared" si="144"/>
        <v>6.8259650703998906E-3</v>
      </c>
      <c r="X1512" s="87">
        <f t="shared" si="143"/>
        <v>0</v>
      </c>
      <c r="Y1512" s="87">
        <f t="shared" si="143"/>
        <v>0</v>
      </c>
      <c r="Z1512" s="87">
        <f t="shared" si="143"/>
        <v>2.8573372444055948E-2</v>
      </c>
      <c r="AA1512" s="87">
        <f t="shared" si="143"/>
        <v>-6.7796869853788038E-3</v>
      </c>
      <c r="AB1512" s="87">
        <f t="shared" si="141"/>
        <v>3.683245416296368E-3</v>
      </c>
      <c r="AC1512" s="87">
        <f t="shared" si="141"/>
        <v>0</v>
      </c>
      <c r="AD1512" s="87">
        <f t="shared" si="140"/>
        <v>-6.2959284568146999E-3</v>
      </c>
      <c r="AE1512" s="90">
        <f t="shared" si="145"/>
        <v>2.7433241277737353E-3</v>
      </c>
    </row>
    <row r="1513" spans="1:31" ht="15.5" x14ac:dyDescent="0.35">
      <c r="A1513" s="82">
        <v>41960</v>
      </c>
      <c r="B1513" s="83">
        <v>10883.3</v>
      </c>
      <c r="C1513" s="84">
        <v>4671</v>
      </c>
      <c r="D1513" s="61">
        <v>544.4</v>
      </c>
      <c r="E1513" s="61">
        <v>50.9</v>
      </c>
      <c r="F1513" s="61">
        <v>113.3</v>
      </c>
      <c r="G1513" s="61">
        <v>49.1</v>
      </c>
      <c r="H1513" s="61">
        <v>29.4</v>
      </c>
      <c r="I1513" s="61">
        <v>25.3</v>
      </c>
      <c r="J1513" s="61">
        <v>33.6</v>
      </c>
      <c r="K1513" s="61">
        <v>7.2</v>
      </c>
      <c r="L1513" s="61">
        <v>59.3</v>
      </c>
      <c r="M1513" s="61">
        <v>54.2</v>
      </c>
      <c r="N1513" s="61">
        <v>64.3</v>
      </c>
      <c r="O1513" s="85">
        <v>47.5</v>
      </c>
      <c r="P1513" s="105"/>
      <c r="Q1513" s="87">
        <f t="shared" si="142"/>
        <v>2.4811729642679648E-4</v>
      </c>
      <c r="R1513" s="87">
        <f t="shared" si="144"/>
        <v>-3.739520357571796E-3</v>
      </c>
      <c r="S1513" s="87">
        <f t="shared" si="144"/>
        <v>-1.476916261459689E-2</v>
      </c>
      <c r="T1513" s="87">
        <f t="shared" si="144"/>
        <v>7.8895872751629237E-3</v>
      </c>
      <c r="U1513" s="87">
        <f t="shared" si="144"/>
        <v>1.7667849118858921E-3</v>
      </c>
      <c r="V1513" s="87">
        <f t="shared" si="144"/>
        <v>-6.0913893934018172E-3</v>
      </c>
      <c r="W1513" s="87">
        <f t="shared" si="144"/>
        <v>0</v>
      </c>
      <c r="X1513" s="87">
        <f t="shared" si="143"/>
        <v>7.9365495957363415E-3</v>
      </c>
      <c r="Y1513" s="87">
        <f t="shared" si="143"/>
        <v>5.9701669865039747E-3</v>
      </c>
      <c r="Z1513" s="87">
        <f t="shared" si="143"/>
        <v>1.398624197473987E-2</v>
      </c>
      <c r="AA1513" s="87">
        <f t="shared" si="143"/>
        <v>8.4674510990985965E-3</v>
      </c>
      <c r="AB1513" s="87">
        <f t="shared" si="141"/>
        <v>-3.6832454162962934E-3</v>
      </c>
      <c r="AC1513" s="87">
        <f t="shared" si="141"/>
        <v>4.676547883901803E-3</v>
      </c>
      <c r="AD1513" s="87">
        <f t="shared" si="140"/>
        <v>0</v>
      </c>
      <c r="AE1513" s="90">
        <f t="shared" si="145"/>
        <v>-4.939606997950729E-3</v>
      </c>
    </row>
    <row r="1514" spans="1:31" ht="15.5" x14ac:dyDescent="0.35">
      <c r="A1514" s="82">
        <v>41961</v>
      </c>
      <c r="B1514" s="83">
        <v>10941.7</v>
      </c>
      <c r="C1514" s="84">
        <v>4702.3999999999996</v>
      </c>
      <c r="D1514" s="61">
        <v>543.79999999999995</v>
      </c>
      <c r="E1514" s="61">
        <v>51.3</v>
      </c>
      <c r="F1514" s="61">
        <v>113.9</v>
      </c>
      <c r="G1514" s="61">
        <v>48.7</v>
      </c>
      <c r="H1514" s="61">
        <v>29.4</v>
      </c>
      <c r="I1514" s="61">
        <v>25.3</v>
      </c>
      <c r="J1514" s="61">
        <v>34.1</v>
      </c>
      <c r="K1514" s="61">
        <v>7.2</v>
      </c>
      <c r="L1514" s="61">
        <v>59.2</v>
      </c>
      <c r="M1514" s="61">
        <v>54.5</v>
      </c>
      <c r="N1514" s="61">
        <v>64.900000000000006</v>
      </c>
      <c r="O1514" s="85">
        <v>47.9</v>
      </c>
      <c r="P1514" s="105"/>
      <c r="Q1514" s="87">
        <f t="shared" si="142"/>
        <v>5.3516737120981022E-3</v>
      </c>
      <c r="R1514" s="87">
        <f t="shared" si="144"/>
        <v>6.6998351625447454E-3</v>
      </c>
      <c r="S1514" s="87">
        <f t="shared" si="144"/>
        <v>-1.1027385789407463E-3</v>
      </c>
      <c r="T1514" s="87">
        <f t="shared" si="144"/>
        <v>7.8278286202466962E-3</v>
      </c>
      <c r="U1514" s="87">
        <f t="shared" si="144"/>
        <v>5.2817024191759831E-3</v>
      </c>
      <c r="V1514" s="87">
        <f t="shared" si="144"/>
        <v>-8.1800047119308071E-3</v>
      </c>
      <c r="W1514" s="87">
        <f t="shared" si="144"/>
        <v>0</v>
      </c>
      <c r="X1514" s="87">
        <f t="shared" si="143"/>
        <v>0</v>
      </c>
      <c r="Y1514" s="87">
        <f t="shared" si="143"/>
        <v>1.4771317320312503E-2</v>
      </c>
      <c r="Z1514" s="87">
        <f t="shared" si="143"/>
        <v>0</v>
      </c>
      <c r="AA1514" s="87">
        <f t="shared" si="143"/>
        <v>-1.6877641137196297E-3</v>
      </c>
      <c r="AB1514" s="87">
        <f t="shared" si="141"/>
        <v>5.5197932235979017E-3</v>
      </c>
      <c r="AC1514" s="87">
        <f t="shared" si="141"/>
        <v>9.2879924664707215E-3</v>
      </c>
      <c r="AD1514" s="87">
        <f t="shared" si="140"/>
        <v>8.3857933762739641E-3</v>
      </c>
      <c r="AE1514" s="90">
        <f t="shared" si="145"/>
        <v>4.2149458310072746E-3</v>
      </c>
    </row>
    <row r="1515" spans="1:31" ht="15.5" x14ac:dyDescent="0.35">
      <c r="A1515" s="82">
        <v>41962</v>
      </c>
      <c r="B1515" s="83">
        <v>10927.5</v>
      </c>
      <c r="C1515" s="84">
        <v>4675.7</v>
      </c>
      <c r="D1515" s="61">
        <v>539.20000000000005</v>
      </c>
      <c r="E1515" s="61">
        <v>50</v>
      </c>
      <c r="F1515" s="61">
        <v>113.8</v>
      </c>
      <c r="G1515" s="61">
        <v>47.9</v>
      </c>
      <c r="H1515" s="61">
        <v>29.7</v>
      </c>
      <c r="I1515" s="61">
        <v>25.5</v>
      </c>
      <c r="J1515" s="61">
        <v>35.799999999999997</v>
      </c>
      <c r="K1515" s="61">
        <v>7.2</v>
      </c>
      <c r="L1515" s="61">
        <v>59.1</v>
      </c>
      <c r="M1515" s="61">
        <v>54.5</v>
      </c>
      <c r="N1515" s="61">
        <v>65</v>
      </c>
      <c r="O1515" s="85">
        <v>48.2</v>
      </c>
      <c r="P1515" s="105"/>
      <c r="Q1515" s="87">
        <f t="shared" si="142"/>
        <v>-1.2986302192692922E-3</v>
      </c>
      <c r="R1515" s="87">
        <f t="shared" si="144"/>
        <v>-5.6941325303546007E-3</v>
      </c>
      <c r="S1515" s="87">
        <f t="shared" si="144"/>
        <v>-8.4949726002728869E-3</v>
      </c>
      <c r="T1515" s="87">
        <f t="shared" si="144"/>
        <v>-2.5667746748577733E-2</v>
      </c>
      <c r="U1515" s="87">
        <f t="shared" si="144"/>
        <v>-8.7834876090595786E-4</v>
      </c>
      <c r="V1515" s="87">
        <f t="shared" si="144"/>
        <v>-1.6563525671674691E-2</v>
      </c>
      <c r="W1515" s="87">
        <f t="shared" si="144"/>
        <v>1.0152371464018128E-2</v>
      </c>
      <c r="X1515" s="87">
        <f t="shared" si="143"/>
        <v>7.8740564309058656E-3</v>
      </c>
      <c r="Y1515" s="87">
        <f t="shared" si="143"/>
        <v>4.8650509117183473E-2</v>
      </c>
      <c r="Z1515" s="87">
        <f t="shared" si="143"/>
        <v>0</v>
      </c>
      <c r="AA1515" s="87">
        <f t="shared" si="143"/>
        <v>-1.6906174779075501E-3</v>
      </c>
      <c r="AB1515" s="87">
        <f t="shared" si="141"/>
        <v>0</v>
      </c>
      <c r="AC1515" s="87">
        <f t="shared" si="141"/>
        <v>1.5396461855926144E-3</v>
      </c>
      <c r="AD1515" s="87">
        <f t="shared" si="140"/>
        <v>6.2435166396852407E-3</v>
      </c>
      <c r="AE1515" s="90">
        <f t="shared" si="145"/>
        <v>-3.6860982206712318E-3</v>
      </c>
    </row>
    <row r="1516" spans="1:31" ht="15.5" x14ac:dyDescent="0.35">
      <c r="A1516" s="82">
        <v>41963</v>
      </c>
      <c r="B1516" s="83">
        <v>10938</v>
      </c>
      <c r="C1516" s="84">
        <v>4701.8999999999996</v>
      </c>
      <c r="D1516" s="61">
        <v>541.5</v>
      </c>
      <c r="E1516" s="61">
        <v>50.3</v>
      </c>
      <c r="F1516" s="61">
        <v>114.9</v>
      </c>
      <c r="G1516" s="61">
        <v>47.9</v>
      </c>
      <c r="H1516" s="61">
        <v>29.8</v>
      </c>
      <c r="I1516" s="61">
        <v>25.7</v>
      </c>
      <c r="J1516" s="61">
        <v>35.6</v>
      </c>
      <c r="K1516" s="61">
        <v>7.2</v>
      </c>
      <c r="L1516" s="61">
        <v>58.9</v>
      </c>
      <c r="M1516" s="61">
        <v>54</v>
      </c>
      <c r="N1516" s="61">
        <v>65</v>
      </c>
      <c r="O1516" s="85">
        <v>48.2</v>
      </c>
      <c r="P1516" s="105"/>
      <c r="Q1516" s="87">
        <f t="shared" si="142"/>
        <v>9.6041716924844E-4</v>
      </c>
      <c r="R1516" s="87">
        <f t="shared" si="144"/>
        <v>5.5877981938338437E-3</v>
      </c>
      <c r="S1516" s="87">
        <f t="shared" si="144"/>
        <v>4.2565068429479425E-3</v>
      </c>
      <c r="T1516" s="87">
        <f t="shared" si="144"/>
        <v>5.9820716775474689E-3</v>
      </c>
      <c r="U1516" s="87">
        <f t="shared" si="144"/>
        <v>9.6196631624795477E-3</v>
      </c>
      <c r="V1516" s="87">
        <f t="shared" si="144"/>
        <v>0</v>
      </c>
      <c r="W1516" s="87">
        <f t="shared" si="144"/>
        <v>3.3613477027049274E-3</v>
      </c>
      <c r="X1516" s="87">
        <f t="shared" si="143"/>
        <v>7.8125397367936247E-3</v>
      </c>
      <c r="Y1516" s="87">
        <f t="shared" si="143"/>
        <v>-5.6022555486696752E-3</v>
      </c>
      <c r="Z1516" s="87">
        <f t="shared" si="143"/>
        <v>0</v>
      </c>
      <c r="AA1516" s="87">
        <f t="shared" si="143"/>
        <v>-3.3898337545115397E-3</v>
      </c>
      <c r="AB1516" s="87">
        <f t="shared" si="141"/>
        <v>-9.2166551049239522E-3</v>
      </c>
      <c r="AC1516" s="87">
        <f t="shared" si="141"/>
        <v>0</v>
      </c>
      <c r="AD1516" s="87">
        <f t="shared" si="140"/>
        <v>0</v>
      </c>
      <c r="AE1516" s="90">
        <f t="shared" si="145"/>
        <v>5.6717236275434044E-3</v>
      </c>
    </row>
    <row r="1517" spans="1:31" ht="15.5" x14ac:dyDescent="0.35">
      <c r="A1517" s="82">
        <v>41964</v>
      </c>
      <c r="B1517" s="83">
        <v>11025.7</v>
      </c>
      <c r="C1517" s="84">
        <v>4713</v>
      </c>
      <c r="D1517" s="61">
        <v>545</v>
      </c>
      <c r="E1517" s="61">
        <v>51</v>
      </c>
      <c r="F1517" s="61">
        <v>116</v>
      </c>
      <c r="G1517" s="61">
        <v>47.6</v>
      </c>
      <c r="H1517" s="61">
        <v>30.2</v>
      </c>
      <c r="I1517" s="61">
        <v>26.3</v>
      </c>
      <c r="J1517" s="61">
        <v>36.299999999999997</v>
      </c>
      <c r="K1517" s="61">
        <v>7.3</v>
      </c>
      <c r="L1517" s="61">
        <v>59.3</v>
      </c>
      <c r="M1517" s="61">
        <v>55.4</v>
      </c>
      <c r="N1517" s="61">
        <v>66.400000000000006</v>
      </c>
      <c r="O1517" s="85">
        <v>48.3</v>
      </c>
      <c r="P1517" s="105"/>
      <c r="Q1517" s="87">
        <f t="shared" si="142"/>
        <v>7.9859464562851753E-3</v>
      </c>
      <c r="R1517" s="87">
        <f t="shared" si="144"/>
        <v>2.3579655955988724E-3</v>
      </c>
      <c r="S1517" s="87">
        <f t="shared" si="144"/>
        <v>6.4427282221987117E-3</v>
      </c>
      <c r="T1517" s="87">
        <f t="shared" si="144"/>
        <v>1.3820555618632316E-2</v>
      </c>
      <c r="U1517" s="87">
        <f t="shared" si="144"/>
        <v>9.5280062516545135E-3</v>
      </c>
      <c r="V1517" s="87">
        <f t="shared" si="144"/>
        <v>-6.2827431794951804E-3</v>
      </c>
      <c r="W1517" s="87">
        <f t="shared" si="144"/>
        <v>1.3333530869465168E-2</v>
      </c>
      <c r="X1517" s="87">
        <f t="shared" si="143"/>
        <v>2.3077947282544888E-2</v>
      </c>
      <c r="Y1517" s="87">
        <f t="shared" si="143"/>
        <v>1.9472103412820099E-2</v>
      </c>
      <c r="Z1517" s="87">
        <f t="shared" si="143"/>
        <v>1.3793322132335769E-2</v>
      </c>
      <c r="AA1517" s="87">
        <f t="shared" si="143"/>
        <v>6.7682153461388105E-3</v>
      </c>
      <c r="AB1517" s="87">
        <f t="shared" si="141"/>
        <v>2.5595547188963723E-2</v>
      </c>
      <c r="AC1517" s="87">
        <f t="shared" si="141"/>
        <v>2.1309786586751242E-2</v>
      </c>
      <c r="AD1517" s="87">
        <f t="shared" si="140"/>
        <v>2.0725396019723751E-3</v>
      </c>
      <c r="AE1517" s="90">
        <f t="shared" si="145"/>
        <v>5.5693390538636275E-3</v>
      </c>
    </row>
    <row r="1518" spans="1:31" ht="15.5" x14ac:dyDescent="0.35">
      <c r="A1518" s="82">
        <v>41967</v>
      </c>
      <c r="B1518" s="83">
        <v>11041.4</v>
      </c>
      <c r="C1518" s="84">
        <v>4754.8999999999996</v>
      </c>
      <c r="D1518" s="61">
        <v>544.20000000000005</v>
      </c>
      <c r="E1518" s="61">
        <v>51.1</v>
      </c>
      <c r="F1518" s="61">
        <v>116.6</v>
      </c>
      <c r="G1518" s="61">
        <v>47.4</v>
      </c>
      <c r="H1518" s="61">
        <v>30.6</v>
      </c>
      <c r="I1518" s="61">
        <v>26.4</v>
      </c>
      <c r="J1518" s="61">
        <v>34.4</v>
      </c>
      <c r="K1518" s="61">
        <v>7.4</v>
      </c>
      <c r="L1518" s="61">
        <v>59</v>
      </c>
      <c r="M1518" s="61">
        <v>55.9</v>
      </c>
      <c r="N1518" s="61">
        <v>66</v>
      </c>
      <c r="O1518" s="85">
        <v>48.9</v>
      </c>
      <c r="P1518" s="105"/>
      <c r="Q1518" s="87">
        <f t="shared" si="142"/>
        <v>1.42293302237561E-3</v>
      </c>
      <c r="R1518" s="87">
        <f t="shared" si="144"/>
        <v>8.8510173403990901E-3</v>
      </c>
      <c r="S1518" s="87">
        <f t="shared" si="144"/>
        <v>-1.4689683140980219E-3</v>
      </c>
      <c r="T1518" s="87">
        <f t="shared" si="144"/>
        <v>1.9588644853329716E-3</v>
      </c>
      <c r="U1518" s="87">
        <f t="shared" si="144"/>
        <v>5.1590828100272022E-3</v>
      </c>
      <c r="V1518" s="87">
        <f t="shared" si="144"/>
        <v>-4.2105325363436053E-3</v>
      </c>
      <c r="W1518" s="87">
        <f t="shared" si="144"/>
        <v>1.3158084577511201E-2</v>
      </c>
      <c r="X1518" s="87">
        <f t="shared" si="143"/>
        <v>3.7950709685515343E-3</v>
      </c>
      <c r="Y1518" s="87">
        <f t="shared" si="143"/>
        <v>-5.3761176891452399E-2</v>
      </c>
      <c r="Z1518" s="87">
        <f t="shared" si="143"/>
        <v>1.3605652055778678E-2</v>
      </c>
      <c r="AA1518" s="87">
        <f t="shared" si="143"/>
        <v>-5.0718620979602284E-3</v>
      </c>
      <c r="AB1518" s="87">
        <f t="shared" si="141"/>
        <v>8.9847864078152571E-3</v>
      </c>
      <c r="AC1518" s="87">
        <f t="shared" si="141"/>
        <v>-6.0423144559626982E-3</v>
      </c>
      <c r="AD1518" s="87">
        <f t="shared" si="140"/>
        <v>1.2345835822299362E-2</v>
      </c>
      <c r="AE1518" s="90">
        <f t="shared" si="145"/>
        <v>5.198814965707981E-3</v>
      </c>
    </row>
    <row r="1519" spans="1:31" ht="15.5" x14ac:dyDescent="0.35">
      <c r="A1519" s="82">
        <v>41968</v>
      </c>
      <c r="B1519" s="83">
        <v>11029.4</v>
      </c>
      <c r="C1519" s="84">
        <v>4758.3</v>
      </c>
      <c r="D1519" s="61">
        <v>546.9</v>
      </c>
      <c r="E1519" s="61">
        <v>51.6</v>
      </c>
      <c r="F1519" s="61">
        <v>117.5</v>
      </c>
      <c r="G1519" s="61">
        <v>47.5</v>
      </c>
      <c r="H1519" s="61">
        <v>30.7</v>
      </c>
      <c r="I1519" s="61">
        <v>26.4</v>
      </c>
      <c r="J1519" s="61">
        <v>34.5</v>
      </c>
      <c r="K1519" s="61">
        <v>7.8</v>
      </c>
      <c r="L1519" s="61">
        <v>59.1</v>
      </c>
      <c r="M1519" s="61">
        <v>55.7</v>
      </c>
      <c r="N1519" s="61">
        <v>65.8</v>
      </c>
      <c r="O1519" s="85">
        <v>48.6</v>
      </c>
      <c r="P1519" s="105"/>
      <c r="Q1519" s="87">
        <f t="shared" si="142"/>
        <v>-1.0874097162277272E-3</v>
      </c>
      <c r="R1519" s="87">
        <f t="shared" si="144"/>
        <v>7.1479631349394019E-4</v>
      </c>
      <c r="S1519" s="87">
        <f t="shared" si="144"/>
        <v>4.9491440035809905E-3</v>
      </c>
      <c r="T1519" s="87">
        <f t="shared" si="144"/>
        <v>9.737175277858244E-3</v>
      </c>
      <c r="U1519" s="87">
        <f t="shared" si="144"/>
        <v>7.6890596678216164E-3</v>
      </c>
      <c r="V1519" s="87">
        <f t="shared" si="144"/>
        <v>2.1074823395647994E-3</v>
      </c>
      <c r="W1519" s="87">
        <f t="shared" si="144"/>
        <v>3.2626456348163694E-3</v>
      </c>
      <c r="X1519" s="87">
        <f t="shared" si="143"/>
        <v>0</v>
      </c>
      <c r="Y1519" s="87">
        <f t="shared" si="143"/>
        <v>2.9027596579614102E-3</v>
      </c>
      <c r="Z1519" s="87">
        <f t="shared" si="143"/>
        <v>5.2643733485421881E-2</v>
      </c>
      <c r="AA1519" s="87">
        <f t="shared" si="143"/>
        <v>1.6934805063331477E-3</v>
      </c>
      <c r="AB1519" s="87">
        <f t="shared" si="141"/>
        <v>-3.5842332278150498E-3</v>
      </c>
      <c r="AC1519" s="87">
        <f t="shared" si="141"/>
        <v>-3.034903695154047E-3</v>
      </c>
      <c r="AD1519" s="87">
        <f t="shared" si="140"/>
        <v>-6.1538655743782235E-3</v>
      </c>
      <c r="AE1519" s="90">
        <f t="shared" si="145"/>
        <v>3.1138018033622797E-3</v>
      </c>
    </row>
    <row r="1520" spans="1:31" ht="15.5" x14ac:dyDescent="0.35">
      <c r="A1520" s="82">
        <v>41969</v>
      </c>
      <c r="B1520" s="83">
        <v>11047.9</v>
      </c>
      <c r="C1520" s="84">
        <v>4787.3</v>
      </c>
      <c r="D1520" s="61">
        <v>545.20000000000005</v>
      </c>
      <c r="E1520" s="61">
        <v>51.5</v>
      </c>
      <c r="F1520" s="61">
        <v>117.8</v>
      </c>
      <c r="G1520" s="61">
        <v>47.3</v>
      </c>
      <c r="H1520" s="61">
        <v>30.8</v>
      </c>
      <c r="I1520" s="61">
        <v>26.5</v>
      </c>
      <c r="J1520" s="61">
        <v>34.1</v>
      </c>
      <c r="K1520" s="61">
        <v>7.7</v>
      </c>
      <c r="L1520" s="61">
        <v>59.4</v>
      </c>
      <c r="M1520" s="61">
        <v>55.6</v>
      </c>
      <c r="N1520" s="61">
        <v>66.2</v>
      </c>
      <c r="O1520" s="85">
        <v>48.6</v>
      </c>
      <c r="P1520" s="105"/>
      <c r="Q1520" s="87">
        <f t="shared" si="142"/>
        <v>1.6759299669925729E-3</v>
      </c>
      <c r="R1520" s="87">
        <f t="shared" si="144"/>
        <v>6.0761165817396915E-3</v>
      </c>
      <c r="S1520" s="87">
        <f t="shared" si="144"/>
        <v>-3.1132705303493729E-3</v>
      </c>
      <c r="T1520" s="87">
        <f t="shared" si="144"/>
        <v>-1.9398648178265917E-3</v>
      </c>
      <c r="U1520" s="87">
        <f t="shared" si="144"/>
        <v>2.5499376332727051E-3</v>
      </c>
      <c r="V1520" s="87">
        <f t="shared" si="144"/>
        <v>-4.2194155427083217E-3</v>
      </c>
      <c r="W1520" s="87">
        <f t="shared" si="144"/>
        <v>3.2520353863773159E-3</v>
      </c>
      <c r="X1520" s="87">
        <f t="shared" si="143"/>
        <v>3.7807228399061523E-3</v>
      </c>
      <c r="Y1520" s="87">
        <f t="shared" si="143"/>
        <v>-1.1661939747842975E-2</v>
      </c>
      <c r="Z1520" s="87">
        <f t="shared" si="143"/>
        <v>-1.2903404835907841E-2</v>
      </c>
      <c r="AA1520" s="87">
        <f t="shared" si="143"/>
        <v>5.0633019565466345E-3</v>
      </c>
      <c r="AB1520" s="87">
        <f t="shared" si="141"/>
        <v>-1.7969456767016304E-3</v>
      </c>
      <c r="AC1520" s="87">
        <f t="shared" si="141"/>
        <v>6.0606246116911748E-3</v>
      </c>
      <c r="AD1520" s="87">
        <f t="shared" si="140"/>
        <v>0</v>
      </c>
      <c r="AE1520" s="90">
        <f t="shared" si="145"/>
        <v>1.6389787138844777E-3</v>
      </c>
    </row>
    <row r="1521" spans="1:31" ht="15.5" x14ac:dyDescent="0.35">
      <c r="A1521" s="82">
        <v>41971</v>
      </c>
      <c r="B1521" s="83">
        <v>10955.4</v>
      </c>
      <c r="C1521" s="84">
        <v>4791.6000000000004</v>
      </c>
      <c r="D1521" s="61">
        <v>544.5</v>
      </c>
      <c r="E1521" s="61">
        <v>51.6</v>
      </c>
      <c r="F1521" s="61">
        <v>118.1</v>
      </c>
      <c r="G1521" s="61">
        <v>47.6</v>
      </c>
      <c r="H1521" s="61">
        <v>30.9</v>
      </c>
      <c r="I1521" s="61">
        <v>27</v>
      </c>
      <c r="J1521" s="61">
        <v>34.200000000000003</v>
      </c>
      <c r="K1521" s="61">
        <v>7.7</v>
      </c>
      <c r="L1521" s="61">
        <v>59.7</v>
      </c>
      <c r="M1521" s="61">
        <v>55.5</v>
      </c>
      <c r="N1521" s="61">
        <v>66.3</v>
      </c>
      <c r="O1521" s="85">
        <v>49.1</v>
      </c>
      <c r="P1521" s="105"/>
      <c r="Q1521" s="87">
        <f t="shared" si="142"/>
        <v>-8.4078792654012635E-3</v>
      </c>
      <c r="R1521" s="87">
        <f t="shared" si="144"/>
        <v>8.9780669781232877E-4</v>
      </c>
      <c r="S1521" s="87">
        <f t="shared" si="144"/>
        <v>-1.2847574493624265E-3</v>
      </c>
      <c r="T1521" s="87">
        <f t="shared" si="144"/>
        <v>1.9398648178266761E-3</v>
      </c>
      <c r="U1521" s="87">
        <f t="shared" si="144"/>
        <v>2.5434519858303691E-3</v>
      </c>
      <c r="V1521" s="87">
        <f t="shared" si="144"/>
        <v>6.322465739487108E-3</v>
      </c>
      <c r="W1521" s="87">
        <f t="shared" si="144"/>
        <v>3.2414939241710229E-3</v>
      </c>
      <c r="X1521" s="87">
        <f t="shared" si="143"/>
        <v>1.8692133012152546E-2</v>
      </c>
      <c r="Y1521" s="87">
        <f t="shared" si="143"/>
        <v>2.9282597790883597E-3</v>
      </c>
      <c r="Z1521" s="87">
        <f t="shared" si="143"/>
        <v>0</v>
      </c>
      <c r="AA1521" s="87">
        <f t="shared" si="143"/>
        <v>5.0377940299573022E-3</v>
      </c>
      <c r="AB1521" s="87">
        <f t="shared" si="141"/>
        <v>-1.8001805041478545E-3</v>
      </c>
      <c r="AC1521" s="87">
        <f t="shared" si="141"/>
        <v>1.5094342488541186E-3</v>
      </c>
      <c r="AD1521" s="87">
        <f t="shared" si="140"/>
        <v>1.023550389402671E-2</v>
      </c>
      <c r="AE1521" s="90">
        <f t="shared" si="145"/>
        <v>1.8643645498387579E-3</v>
      </c>
    </row>
    <row r="1522" spans="1:31" ht="15.5" x14ac:dyDescent="0.35">
      <c r="A1522" s="82">
        <v>41974</v>
      </c>
      <c r="B1522" s="83">
        <v>10888.6</v>
      </c>
      <c r="C1522" s="84">
        <v>4727.3999999999996</v>
      </c>
      <c r="D1522" s="61">
        <v>538.6</v>
      </c>
      <c r="E1522" s="61">
        <v>49.7</v>
      </c>
      <c r="F1522" s="61">
        <v>111.3</v>
      </c>
      <c r="G1522" s="61">
        <v>47.7</v>
      </c>
      <c r="H1522" s="61">
        <v>30.9</v>
      </c>
      <c r="I1522" s="61">
        <v>26.7</v>
      </c>
      <c r="J1522" s="61">
        <v>34.200000000000003</v>
      </c>
      <c r="K1522" s="61">
        <v>7.5</v>
      </c>
      <c r="L1522" s="61">
        <v>60.3</v>
      </c>
      <c r="M1522" s="61">
        <v>54.2</v>
      </c>
      <c r="N1522" s="61">
        <v>66.3</v>
      </c>
      <c r="O1522" s="85">
        <v>48.8</v>
      </c>
      <c r="P1522" s="105"/>
      <c r="Q1522" s="87">
        <f t="shared" si="142"/>
        <v>-6.1161150184403804E-3</v>
      </c>
      <c r="R1522" s="87">
        <f t="shared" si="144"/>
        <v>-1.3489016377478713E-2</v>
      </c>
      <c r="S1522" s="87">
        <f t="shared" si="144"/>
        <v>-1.0894761995516596E-2</v>
      </c>
      <c r="T1522" s="87">
        <f t="shared" si="144"/>
        <v>-3.751673938493396E-2</v>
      </c>
      <c r="U1522" s="87">
        <f t="shared" si="144"/>
        <v>-5.9302464921817441E-2</v>
      </c>
      <c r="V1522" s="87">
        <f t="shared" si="144"/>
        <v>2.0986366569212054E-3</v>
      </c>
      <c r="W1522" s="87">
        <f t="shared" si="144"/>
        <v>0</v>
      </c>
      <c r="X1522" s="87">
        <f t="shared" si="143"/>
        <v>-1.1173300598125302E-2</v>
      </c>
      <c r="Y1522" s="87">
        <f t="shared" si="143"/>
        <v>0</v>
      </c>
      <c r="Z1522" s="87">
        <f t="shared" si="143"/>
        <v>-2.6317308317373417E-2</v>
      </c>
      <c r="AA1522" s="87">
        <f t="shared" si="143"/>
        <v>1.0000083334583179E-2</v>
      </c>
      <c r="AB1522" s="87">
        <f t="shared" si="141"/>
        <v>-2.3702112306788283E-2</v>
      </c>
      <c r="AC1522" s="87">
        <f t="shared" si="141"/>
        <v>0</v>
      </c>
      <c r="AD1522" s="87">
        <f t="shared" si="140"/>
        <v>-6.1287219413734993E-3</v>
      </c>
      <c r="AE1522" s="90">
        <f t="shared" si="145"/>
        <v>-2.4934728511851651E-2</v>
      </c>
    </row>
    <row r="1523" spans="1:31" ht="15.5" x14ac:dyDescent="0.35">
      <c r="A1523" s="82">
        <v>41975</v>
      </c>
      <c r="B1523" s="83">
        <v>10940.1</v>
      </c>
      <c r="C1523" s="84">
        <v>4755.8</v>
      </c>
      <c r="D1523" s="61">
        <v>534.70000000000005</v>
      </c>
      <c r="E1523" s="61">
        <v>50</v>
      </c>
      <c r="F1523" s="61">
        <v>112.8</v>
      </c>
      <c r="G1523" s="61">
        <v>48.2</v>
      </c>
      <c r="H1523" s="61">
        <v>31.6</v>
      </c>
      <c r="I1523" s="61">
        <v>26.8</v>
      </c>
      <c r="J1523" s="61">
        <v>34.200000000000003</v>
      </c>
      <c r="K1523" s="61">
        <v>7.4</v>
      </c>
      <c r="L1523" s="61">
        <v>60.3</v>
      </c>
      <c r="M1523" s="61">
        <v>54.7</v>
      </c>
      <c r="N1523" s="61">
        <v>66.3</v>
      </c>
      <c r="O1523" s="85">
        <v>48.8</v>
      </c>
      <c r="P1523" s="105"/>
      <c r="Q1523" s="87">
        <f t="shared" si="142"/>
        <v>4.7185673497182707E-3</v>
      </c>
      <c r="R1523" s="87">
        <f t="shared" si="144"/>
        <v>5.9895573020995324E-3</v>
      </c>
      <c r="S1523" s="87">
        <f t="shared" si="144"/>
        <v>-7.267338422812619E-3</v>
      </c>
      <c r="T1523" s="87">
        <f t="shared" ref="T1523:X1578" si="146">+LN(E1523/E1522)</f>
        <v>6.0180723255629448E-3</v>
      </c>
      <c r="U1523" s="87">
        <f t="shared" si="146"/>
        <v>1.3387080782459279E-2</v>
      </c>
      <c r="V1523" s="87">
        <f t="shared" si="146"/>
        <v>1.042762316225916E-2</v>
      </c>
      <c r="W1523" s="87">
        <f t="shared" si="146"/>
        <v>2.2400936689166713E-2</v>
      </c>
      <c r="X1523" s="87">
        <f t="shared" si="143"/>
        <v>3.7383221106071581E-3</v>
      </c>
      <c r="Y1523" s="87">
        <f t="shared" si="143"/>
        <v>0</v>
      </c>
      <c r="Z1523" s="87">
        <f t="shared" si="143"/>
        <v>-1.3423020332140661E-2</v>
      </c>
      <c r="AA1523" s="87">
        <f t="shared" si="143"/>
        <v>0</v>
      </c>
      <c r="AB1523" s="87">
        <f t="shared" si="141"/>
        <v>9.1828009823349821E-3</v>
      </c>
      <c r="AC1523" s="87">
        <f t="shared" si="141"/>
        <v>0</v>
      </c>
      <c r="AD1523" s="87">
        <f t="shared" si="140"/>
        <v>0</v>
      </c>
      <c r="AE1523" s="90">
        <f t="shared" si="145"/>
        <v>3.4956308569589981E-3</v>
      </c>
    </row>
    <row r="1524" spans="1:31" ht="15.5" x14ac:dyDescent="0.35">
      <c r="A1524" s="82">
        <v>41976</v>
      </c>
      <c r="B1524" s="83">
        <v>10987.3</v>
      </c>
      <c r="C1524" s="84">
        <v>4774.5</v>
      </c>
      <c r="D1524" s="61">
        <v>535.20000000000005</v>
      </c>
      <c r="E1524" s="61">
        <v>50.2</v>
      </c>
      <c r="F1524" s="61">
        <v>115.1</v>
      </c>
      <c r="G1524" s="61">
        <v>47.8</v>
      </c>
      <c r="H1524" s="61">
        <v>31.9</v>
      </c>
      <c r="I1524" s="61">
        <v>27.2</v>
      </c>
      <c r="J1524" s="61">
        <v>34.200000000000003</v>
      </c>
      <c r="K1524" s="61">
        <v>6.9</v>
      </c>
      <c r="L1524" s="61">
        <v>60.3</v>
      </c>
      <c r="M1524" s="61">
        <v>55</v>
      </c>
      <c r="N1524" s="61">
        <v>65</v>
      </c>
      <c r="O1524" s="85">
        <v>48.8</v>
      </c>
      <c r="P1524" s="105"/>
      <c r="Q1524" s="87">
        <f t="shared" si="142"/>
        <v>4.3051226229005764E-3</v>
      </c>
      <c r="R1524" s="87">
        <f t="shared" ref="R1524:V1587" si="147">+LN(C1524/C1523)</f>
        <v>3.9243306084602312E-3</v>
      </c>
      <c r="S1524" s="87">
        <f t="shared" si="147"/>
        <v>9.3466685933290758E-4</v>
      </c>
      <c r="T1524" s="87">
        <f t="shared" si="146"/>
        <v>3.9920212695374567E-3</v>
      </c>
      <c r="U1524" s="87">
        <f t="shared" si="146"/>
        <v>2.0184976663878373E-2</v>
      </c>
      <c r="V1524" s="87">
        <f t="shared" si="146"/>
        <v>-8.3333815591444104E-3</v>
      </c>
      <c r="W1524" s="87">
        <f t="shared" si="146"/>
        <v>9.4488891979322889E-3</v>
      </c>
      <c r="X1524" s="87">
        <f t="shared" si="143"/>
        <v>1.4815085785140682E-2</v>
      </c>
      <c r="Y1524" s="87">
        <f t="shared" si="143"/>
        <v>0</v>
      </c>
      <c r="Z1524" s="87">
        <f t="shared" si="143"/>
        <v>-6.9958588606910344E-2</v>
      </c>
      <c r="AA1524" s="87">
        <f t="shared" si="143"/>
        <v>0</v>
      </c>
      <c r="AB1524" s="87">
        <f t="shared" si="141"/>
        <v>5.4694758045352549E-3</v>
      </c>
      <c r="AC1524" s="87">
        <f t="shared" si="141"/>
        <v>-1.9802627296179643E-2</v>
      </c>
      <c r="AD1524" s="87">
        <f t="shared" si="140"/>
        <v>0</v>
      </c>
      <c r="AE1524" s="90">
        <f t="shared" si="145"/>
        <v>7.2216198349330501E-3</v>
      </c>
    </row>
    <row r="1525" spans="1:31" ht="15.5" x14ac:dyDescent="0.35">
      <c r="A1525" s="82">
        <v>41977</v>
      </c>
      <c r="B1525" s="83">
        <v>10952.3</v>
      </c>
      <c r="C1525" s="84">
        <v>4769.3999999999996</v>
      </c>
      <c r="D1525" s="61">
        <v>534.9</v>
      </c>
      <c r="E1525" s="61">
        <v>49.9</v>
      </c>
      <c r="F1525" s="61">
        <v>115.3</v>
      </c>
      <c r="G1525" s="61">
        <v>48.2</v>
      </c>
      <c r="H1525" s="61">
        <v>32</v>
      </c>
      <c r="I1525" s="61">
        <v>27.1</v>
      </c>
      <c r="J1525" s="61">
        <v>34.700000000000003</v>
      </c>
      <c r="K1525" s="61">
        <v>6.6</v>
      </c>
      <c r="L1525" s="61">
        <v>60.5</v>
      </c>
      <c r="M1525" s="61">
        <v>54.7</v>
      </c>
      <c r="N1525" s="61">
        <v>63.4</v>
      </c>
      <c r="O1525" s="85">
        <v>49</v>
      </c>
      <c r="P1525" s="105"/>
      <c r="Q1525" s="87">
        <f t="shared" si="142"/>
        <v>-3.1905804746749475E-3</v>
      </c>
      <c r="R1525" s="87">
        <f t="shared" si="147"/>
        <v>-1.0687455831353196E-3</v>
      </c>
      <c r="S1525" s="87">
        <f t="shared" si="147"/>
        <v>-5.6069527681441909E-4</v>
      </c>
      <c r="T1525" s="87">
        <f t="shared" si="146"/>
        <v>-5.994023940210637E-3</v>
      </c>
      <c r="U1525" s="87">
        <f t="shared" si="146"/>
        <v>1.7361115471765172E-3</v>
      </c>
      <c r="V1525" s="87">
        <f t="shared" si="146"/>
        <v>8.3333815591444607E-3</v>
      </c>
      <c r="W1525" s="87">
        <f t="shared" si="146"/>
        <v>3.1298930089277868E-3</v>
      </c>
      <c r="X1525" s="87">
        <f t="shared" si="143"/>
        <v>-3.6832454162962934E-3</v>
      </c>
      <c r="Y1525" s="87">
        <f t="shared" si="143"/>
        <v>1.4514042884254012E-2</v>
      </c>
      <c r="Z1525" s="87">
        <f t="shared" si="143"/>
        <v>-4.4451762570833921E-2</v>
      </c>
      <c r="AA1525" s="87">
        <f t="shared" si="143"/>
        <v>3.3112613036560051E-3</v>
      </c>
      <c r="AB1525" s="87">
        <f t="shared" si="141"/>
        <v>-5.4694758045353209E-3</v>
      </c>
      <c r="AC1525" s="87">
        <f t="shared" si="141"/>
        <v>-2.4923408452456851E-2</v>
      </c>
      <c r="AD1525" s="87">
        <f t="shared" si="140"/>
        <v>4.0899852515250664E-3</v>
      </c>
      <c r="AE1525" s="90">
        <f t="shared" si="145"/>
        <v>5.0904594535532079E-4</v>
      </c>
    </row>
    <row r="1526" spans="1:31" ht="15.5" x14ac:dyDescent="0.35">
      <c r="A1526" s="82">
        <v>41978</v>
      </c>
      <c r="B1526" s="83">
        <v>10970.3</v>
      </c>
      <c r="C1526" s="84">
        <v>4780.8</v>
      </c>
      <c r="D1526" s="61">
        <v>527.29999999999995</v>
      </c>
      <c r="E1526" s="61">
        <v>50.5</v>
      </c>
      <c r="F1526" s="61">
        <v>114.6</v>
      </c>
      <c r="G1526" s="61">
        <v>48.4</v>
      </c>
      <c r="H1526" s="61">
        <v>32.200000000000003</v>
      </c>
      <c r="I1526" s="61">
        <v>27.2</v>
      </c>
      <c r="J1526" s="61">
        <v>35.299999999999997</v>
      </c>
      <c r="K1526" s="61">
        <v>6.6</v>
      </c>
      <c r="L1526" s="61">
        <v>60.8</v>
      </c>
      <c r="M1526" s="61">
        <v>55.5</v>
      </c>
      <c r="N1526" s="61">
        <v>64.2</v>
      </c>
      <c r="O1526" s="85">
        <v>49.4</v>
      </c>
      <c r="P1526" s="105"/>
      <c r="Q1526" s="87">
        <f t="shared" si="142"/>
        <v>1.6421413559469403E-3</v>
      </c>
      <c r="R1526" s="87">
        <f t="shared" si="147"/>
        <v>2.3873856913215765E-3</v>
      </c>
      <c r="S1526" s="87">
        <f t="shared" si="147"/>
        <v>-1.4310167000780336E-2</v>
      </c>
      <c r="T1526" s="87">
        <f t="shared" si="146"/>
        <v>1.1952333523841173E-2</v>
      </c>
      <c r="U1526" s="87">
        <f t="shared" si="146"/>
        <v>-6.0896229943742108E-3</v>
      </c>
      <c r="V1526" s="87">
        <f t="shared" si="146"/>
        <v>4.1407926660313871E-3</v>
      </c>
      <c r="W1526" s="87">
        <f t="shared" si="146"/>
        <v>6.2305497506361628E-3</v>
      </c>
      <c r="X1526" s="87">
        <f t="shared" si="143"/>
        <v>3.683245416296368E-3</v>
      </c>
      <c r="Y1526" s="87">
        <f t="shared" si="143"/>
        <v>1.7143276986437438E-2</v>
      </c>
      <c r="Z1526" s="87">
        <f t="shared" si="143"/>
        <v>0</v>
      </c>
      <c r="AA1526" s="87">
        <f t="shared" si="143"/>
        <v>4.9464239353253954E-3</v>
      </c>
      <c r="AB1526" s="87">
        <f t="shared" si="141"/>
        <v>1.4519311324453148E-2</v>
      </c>
      <c r="AC1526" s="87">
        <f t="shared" si="141"/>
        <v>1.2539349252735392E-2</v>
      </c>
      <c r="AD1526" s="87">
        <f t="shared" si="140"/>
        <v>8.1301260832500888E-3</v>
      </c>
      <c r="AE1526" s="90">
        <f t="shared" si="145"/>
        <v>-4.2269487872689509E-3</v>
      </c>
    </row>
    <row r="1527" spans="1:31" ht="15.5" x14ac:dyDescent="0.35">
      <c r="A1527" s="82">
        <v>41981</v>
      </c>
      <c r="B1527" s="83">
        <v>10863.5</v>
      </c>
      <c r="C1527" s="84">
        <v>4740.7</v>
      </c>
      <c r="D1527" s="61">
        <v>527</v>
      </c>
      <c r="E1527" s="61">
        <v>49.2</v>
      </c>
      <c r="F1527" s="61">
        <v>111.6</v>
      </c>
      <c r="G1527" s="61">
        <v>47.4</v>
      </c>
      <c r="H1527" s="61">
        <v>32</v>
      </c>
      <c r="I1527" s="61">
        <v>26.7</v>
      </c>
      <c r="J1527" s="61">
        <v>34.5</v>
      </c>
      <c r="K1527" s="61">
        <v>6.1</v>
      </c>
      <c r="L1527" s="61">
        <v>61</v>
      </c>
      <c r="M1527" s="61">
        <v>56</v>
      </c>
      <c r="N1527" s="61">
        <v>63.2</v>
      </c>
      <c r="O1527" s="85">
        <v>48.7</v>
      </c>
      <c r="P1527" s="105"/>
      <c r="Q1527" s="87">
        <f t="shared" si="142"/>
        <v>-9.7830750308969035E-3</v>
      </c>
      <c r="R1527" s="87">
        <f t="shared" si="147"/>
        <v>-8.4230923879448933E-3</v>
      </c>
      <c r="S1527" s="87">
        <f t="shared" si="147"/>
        <v>-5.6909799506163342E-4</v>
      </c>
      <c r="T1527" s="87">
        <f t="shared" si="146"/>
        <v>-2.6079712783051621E-2</v>
      </c>
      <c r="U1527" s="87">
        <f t="shared" si="146"/>
        <v>-2.6526754333428597E-2</v>
      </c>
      <c r="V1527" s="87">
        <f t="shared" si="146"/>
        <v>-2.0877585021555255E-2</v>
      </c>
      <c r="W1527" s="87">
        <f t="shared" si="146"/>
        <v>-6.2305497506361975E-3</v>
      </c>
      <c r="X1527" s="87">
        <f t="shared" si="143"/>
        <v>-1.8553407895747834E-2</v>
      </c>
      <c r="Y1527" s="87">
        <f t="shared" si="143"/>
        <v>-2.2923639901936965E-2</v>
      </c>
      <c r="Z1527" s="87">
        <f t="shared" si="143"/>
        <v>-7.8780877853114342E-2</v>
      </c>
      <c r="AA1527" s="87">
        <f t="shared" si="143"/>
        <v>3.2840752011900187E-3</v>
      </c>
      <c r="AB1527" s="87">
        <f t="shared" si="141"/>
        <v>8.9686699827603161E-3</v>
      </c>
      <c r="AC1527" s="87">
        <f t="shared" si="141"/>
        <v>-1.5698909543103753E-2</v>
      </c>
      <c r="AD1527" s="87">
        <f t="shared" si="140"/>
        <v>-1.4271394105332682E-2</v>
      </c>
      <c r="AE1527" s="90">
        <f t="shared" si="145"/>
        <v>-1.20111154440719E-2</v>
      </c>
    </row>
    <row r="1528" spans="1:31" ht="15.5" x14ac:dyDescent="0.35">
      <c r="A1528" s="82">
        <v>41982</v>
      </c>
      <c r="B1528" s="83">
        <v>10821.2</v>
      </c>
      <c r="C1528" s="84">
        <v>4766.5</v>
      </c>
      <c r="D1528" s="61">
        <v>523.4</v>
      </c>
      <c r="E1528" s="61">
        <v>48.3</v>
      </c>
      <c r="F1528" s="61">
        <v>109.4</v>
      </c>
      <c r="G1528" s="61">
        <v>47.1</v>
      </c>
      <c r="H1528" s="61">
        <v>31.7</v>
      </c>
      <c r="I1528" s="61">
        <v>26.1</v>
      </c>
      <c r="J1528" s="61">
        <v>34.299999999999997</v>
      </c>
      <c r="K1528" s="61">
        <v>5.9</v>
      </c>
      <c r="L1528" s="61">
        <v>58.8</v>
      </c>
      <c r="M1528" s="61">
        <v>55.2</v>
      </c>
      <c r="N1528" s="61">
        <v>62.9</v>
      </c>
      <c r="O1528" s="85">
        <v>48</v>
      </c>
      <c r="P1528" s="105"/>
      <c r="Q1528" s="87">
        <f t="shared" si="142"/>
        <v>-3.9013731942796398E-3</v>
      </c>
      <c r="R1528" s="87">
        <f t="shared" si="147"/>
        <v>5.4274788231342972E-3</v>
      </c>
      <c r="S1528" s="87">
        <f t="shared" si="147"/>
        <v>-6.8545584453168478E-3</v>
      </c>
      <c r="T1528" s="87">
        <f t="shared" si="146"/>
        <v>-1.8462062839735557E-2</v>
      </c>
      <c r="U1528" s="87">
        <f t="shared" si="146"/>
        <v>-1.991015995932964E-2</v>
      </c>
      <c r="V1528" s="87">
        <f t="shared" si="146"/>
        <v>-6.3492276786586681E-3</v>
      </c>
      <c r="W1528" s="87">
        <f t="shared" si="146"/>
        <v>-9.4192219164916397E-3</v>
      </c>
      <c r="X1528" s="87">
        <f t="shared" si="143"/>
        <v>-2.2728251077556064E-2</v>
      </c>
      <c r="Y1528" s="87">
        <f t="shared" si="143"/>
        <v>-5.8139698654199566E-3</v>
      </c>
      <c r="Z1528" s="87">
        <f t="shared" si="143"/>
        <v>-3.3336420267591718E-2</v>
      </c>
      <c r="AA1528" s="87">
        <f t="shared" si="143"/>
        <v>-3.6732009268730006E-2</v>
      </c>
      <c r="AB1528" s="87">
        <f t="shared" si="141"/>
        <v>-1.4388737452099556E-2</v>
      </c>
      <c r="AC1528" s="87">
        <f t="shared" si="141"/>
        <v>-4.7581374464169233E-3</v>
      </c>
      <c r="AD1528" s="87">
        <f t="shared" si="140"/>
        <v>-1.4478019180653225E-2</v>
      </c>
      <c r="AE1528" s="90">
        <f t="shared" si="145"/>
        <v>-7.832759113127535E-3</v>
      </c>
    </row>
    <row r="1529" spans="1:31" ht="15.5" x14ac:dyDescent="0.35">
      <c r="A1529" s="82">
        <v>41983</v>
      </c>
      <c r="B1529" s="83">
        <v>10662.2</v>
      </c>
      <c r="C1529" s="84">
        <v>4684</v>
      </c>
      <c r="D1529" s="61">
        <v>527.5</v>
      </c>
      <c r="E1529" s="61">
        <v>49.2</v>
      </c>
      <c r="F1529" s="61">
        <v>111.5</v>
      </c>
      <c r="G1529" s="61">
        <v>46.7</v>
      </c>
      <c r="H1529" s="61">
        <v>32.1</v>
      </c>
      <c r="I1529" s="61">
        <v>26.9</v>
      </c>
      <c r="J1529" s="61">
        <v>35</v>
      </c>
      <c r="K1529" s="61">
        <v>6</v>
      </c>
      <c r="L1529" s="61">
        <v>59.7</v>
      </c>
      <c r="M1529" s="61">
        <v>54.9</v>
      </c>
      <c r="N1529" s="61">
        <v>64.099999999999994</v>
      </c>
      <c r="O1529" s="85">
        <v>48.2</v>
      </c>
      <c r="P1529" s="105"/>
      <c r="Q1529" s="87">
        <f t="shared" si="142"/>
        <v>-1.4802396567527283E-2</v>
      </c>
      <c r="R1529" s="87">
        <f t="shared" si="147"/>
        <v>-1.7459837216024832E-2</v>
      </c>
      <c r="S1529" s="87">
        <f t="shared" si="147"/>
        <v>7.8028752541760464E-3</v>
      </c>
      <c r="T1529" s="87">
        <f t="shared" si="146"/>
        <v>1.8462062839735571E-2</v>
      </c>
      <c r="U1529" s="87">
        <f t="shared" si="146"/>
        <v>1.9013700912292673E-2</v>
      </c>
      <c r="V1529" s="87">
        <f t="shared" si="146"/>
        <v>-8.5288363475204357E-3</v>
      </c>
      <c r="W1529" s="87">
        <f t="shared" si="146"/>
        <v>1.2539349252735392E-2</v>
      </c>
      <c r="X1529" s="87">
        <f t="shared" si="143"/>
        <v>3.0190972279145516E-2</v>
      </c>
      <c r="Y1529" s="87">
        <f t="shared" si="143"/>
        <v>2.0202707317519469E-2</v>
      </c>
      <c r="Z1529" s="87">
        <f t="shared" si="143"/>
        <v>1.6807118316381191E-2</v>
      </c>
      <c r="AA1529" s="87">
        <f t="shared" si="143"/>
        <v>1.5190165493975238E-2</v>
      </c>
      <c r="AB1529" s="87">
        <f t="shared" si="141"/>
        <v>-5.449604767564703E-3</v>
      </c>
      <c r="AC1529" s="87">
        <f t="shared" si="141"/>
        <v>1.8898200220229554E-2</v>
      </c>
      <c r="AD1529" s="87">
        <f t="shared" si="140"/>
        <v>4.158010148663677E-3</v>
      </c>
      <c r="AE1529" s="90">
        <f t="shared" si="145"/>
        <v>2.9929994929700863E-3</v>
      </c>
    </row>
    <row r="1530" spans="1:31" ht="15.5" x14ac:dyDescent="0.35">
      <c r="A1530" s="82">
        <v>41984</v>
      </c>
      <c r="B1530" s="83">
        <v>10690.2</v>
      </c>
      <c r="C1530" s="84">
        <v>4708.2</v>
      </c>
      <c r="D1530" s="61">
        <v>529.20000000000005</v>
      </c>
      <c r="E1530" s="61">
        <v>49.4</v>
      </c>
      <c r="F1530" s="61">
        <v>111.3</v>
      </c>
      <c r="G1530" s="61">
        <v>46.7</v>
      </c>
      <c r="H1530" s="61">
        <v>32.299999999999997</v>
      </c>
      <c r="I1530" s="61">
        <v>27</v>
      </c>
      <c r="J1530" s="61">
        <v>34.9</v>
      </c>
      <c r="K1530" s="61">
        <v>6.1</v>
      </c>
      <c r="L1530" s="61">
        <v>59.2</v>
      </c>
      <c r="M1530" s="61">
        <v>55.1</v>
      </c>
      <c r="N1530" s="61">
        <v>63.7</v>
      </c>
      <c r="O1530" s="85">
        <v>48.4</v>
      </c>
      <c r="P1530" s="105"/>
      <c r="Q1530" s="87">
        <f t="shared" si="142"/>
        <v>2.6226575044903731E-3</v>
      </c>
      <c r="R1530" s="87">
        <f t="shared" si="147"/>
        <v>5.1532236438745103E-3</v>
      </c>
      <c r="S1530" s="87">
        <f t="shared" si="147"/>
        <v>3.2175668905791138E-3</v>
      </c>
      <c r="T1530" s="87">
        <f t="shared" si="146"/>
        <v>4.0568006956142478E-3</v>
      </c>
      <c r="U1530" s="87">
        <f t="shared" si="146"/>
        <v>-1.7953326186743745E-3</v>
      </c>
      <c r="V1530" s="87">
        <f t="shared" si="146"/>
        <v>0</v>
      </c>
      <c r="W1530" s="87">
        <f t="shared" si="146"/>
        <v>6.2112000926404553E-3</v>
      </c>
      <c r="X1530" s="87">
        <f t="shared" si="143"/>
        <v>3.7105793965357746E-3</v>
      </c>
      <c r="Y1530" s="87">
        <f t="shared" si="143"/>
        <v>-2.8612322810322348E-3</v>
      </c>
      <c r="Z1530" s="87">
        <f t="shared" si="143"/>
        <v>1.6529301951210506E-2</v>
      </c>
      <c r="AA1530" s="87">
        <f t="shared" si="143"/>
        <v>-8.4104785085964036E-3</v>
      </c>
      <c r="AB1530" s="87">
        <f t="shared" si="141"/>
        <v>3.6363676433839335E-3</v>
      </c>
      <c r="AC1530" s="87">
        <f t="shared" si="141"/>
        <v>-6.2598013485065541E-3</v>
      </c>
      <c r="AD1530" s="87">
        <f t="shared" si="140"/>
        <v>4.1407926660313871E-3</v>
      </c>
      <c r="AE1530" s="90">
        <f t="shared" si="145"/>
        <v>2.4766104879451051E-3</v>
      </c>
    </row>
    <row r="1531" spans="1:31" ht="15.5" x14ac:dyDescent="0.35">
      <c r="A1531" s="82">
        <v>41985</v>
      </c>
      <c r="B1531" s="83">
        <v>10500.5</v>
      </c>
      <c r="C1531" s="84">
        <v>4653.6000000000004</v>
      </c>
      <c r="D1531" s="61">
        <v>521.5</v>
      </c>
      <c r="E1531" s="61">
        <v>49.5</v>
      </c>
      <c r="F1531" s="61">
        <v>109.6</v>
      </c>
      <c r="G1531" s="61">
        <v>46.7</v>
      </c>
      <c r="H1531" s="61">
        <v>32</v>
      </c>
      <c r="I1531" s="61">
        <v>26.4</v>
      </c>
      <c r="J1531" s="61">
        <v>34.200000000000003</v>
      </c>
      <c r="K1531" s="61">
        <v>6.1</v>
      </c>
      <c r="L1531" s="61">
        <v>57.7</v>
      </c>
      <c r="M1531" s="61">
        <v>52.8</v>
      </c>
      <c r="N1531" s="61">
        <v>63</v>
      </c>
      <c r="O1531" s="85">
        <v>48.1</v>
      </c>
      <c r="P1531" s="105"/>
      <c r="Q1531" s="87">
        <f t="shared" si="142"/>
        <v>-1.7904558858496376E-2</v>
      </c>
      <c r="R1531" s="87">
        <f t="shared" si="147"/>
        <v>-1.1664555764930624E-2</v>
      </c>
      <c r="S1531" s="87">
        <f t="shared" si="147"/>
        <v>-1.4657157799973581E-2</v>
      </c>
      <c r="T1531" s="87">
        <f t="shared" si="146"/>
        <v>2.0222453807678706E-3</v>
      </c>
      <c r="U1531" s="87">
        <f t="shared" si="146"/>
        <v>-1.5391883767584031E-2</v>
      </c>
      <c r="V1531" s="87">
        <f t="shared" si="146"/>
        <v>0</v>
      </c>
      <c r="W1531" s="87">
        <f t="shared" si="146"/>
        <v>-9.3313274288841924E-3</v>
      </c>
      <c r="X1531" s="87">
        <f t="shared" si="143"/>
        <v>-2.2472855852058628E-2</v>
      </c>
      <c r="Y1531" s="87">
        <f t="shared" si="143"/>
        <v>-2.0261185139821856E-2</v>
      </c>
      <c r="Z1531" s="87">
        <f t="shared" si="143"/>
        <v>0</v>
      </c>
      <c r="AA1531" s="87">
        <f t="shared" si="143"/>
        <v>-2.5664368375906112E-2</v>
      </c>
      <c r="AB1531" s="87">
        <f t="shared" si="141"/>
        <v>-4.2638525446653128E-2</v>
      </c>
      <c r="AC1531" s="87">
        <f t="shared" si="141"/>
        <v>-1.1049836186585046E-2</v>
      </c>
      <c r="AD1531" s="87">
        <f t="shared" si="140"/>
        <v>-6.2176366108704501E-3</v>
      </c>
      <c r="AE1531" s="90">
        <f t="shared" si="145"/>
        <v>-1.2944407562764042E-2</v>
      </c>
    </row>
    <row r="1532" spans="1:31" ht="15.5" x14ac:dyDescent="0.35">
      <c r="A1532" s="82">
        <v>41988</v>
      </c>
      <c r="B1532" s="83">
        <v>10411.200000000001</v>
      </c>
      <c r="C1532" s="84">
        <v>4605.2</v>
      </c>
      <c r="D1532" s="61">
        <v>515.4</v>
      </c>
      <c r="E1532" s="61">
        <v>49.5</v>
      </c>
      <c r="F1532" s="61">
        <v>106.4</v>
      </c>
      <c r="G1532" s="61">
        <v>46.6</v>
      </c>
      <c r="H1532" s="61">
        <v>32</v>
      </c>
      <c r="I1532" s="61">
        <v>26.4</v>
      </c>
      <c r="J1532" s="61">
        <v>34.299999999999997</v>
      </c>
      <c r="K1532" s="61">
        <v>6.2</v>
      </c>
      <c r="L1532" s="61">
        <v>56.8</v>
      </c>
      <c r="M1532" s="61">
        <v>51.4</v>
      </c>
      <c r="N1532" s="61">
        <v>61.7</v>
      </c>
      <c r="O1532" s="85">
        <v>47.4</v>
      </c>
      <c r="P1532" s="105"/>
      <c r="Q1532" s="87">
        <f t="shared" si="142"/>
        <v>-8.5407253187632613E-3</v>
      </c>
      <c r="R1532" s="87">
        <f t="shared" si="147"/>
        <v>-1.0455013797042488E-2</v>
      </c>
      <c r="S1532" s="87">
        <f t="shared" si="147"/>
        <v>-1.1765976222562492E-2</v>
      </c>
      <c r="T1532" s="87">
        <f t="shared" si="146"/>
        <v>0</v>
      </c>
      <c r="U1532" s="87">
        <f t="shared" si="146"/>
        <v>-2.9631797606371E-2</v>
      </c>
      <c r="V1532" s="87">
        <f t="shared" si="146"/>
        <v>-2.1436235432514528E-3</v>
      </c>
      <c r="W1532" s="87">
        <f t="shared" si="146"/>
        <v>0</v>
      </c>
      <c r="X1532" s="87">
        <f t="shared" si="143"/>
        <v>0</v>
      </c>
      <c r="Y1532" s="87">
        <f t="shared" si="143"/>
        <v>2.9197101033346246E-3</v>
      </c>
      <c r="Z1532" s="87">
        <f t="shared" si="143"/>
        <v>1.6260520871780326E-2</v>
      </c>
      <c r="AA1532" s="87">
        <f t="shared" si="143"/>
        <v>-1.5720847786948305E-2</v>
      </c>
      <c r="AB1532" s="87">
        <f t="shared" si="141"/>
        <v>-2.687301825109634E-2</v>
      </c>
      <c r="AC1532" s="87">
        <f t="shared" si="141"/>
        <v>-2.0850795480190483E-2</v>
      </c>
      <c r="AD1532" s="87">
        <f t="shared" si="140"/>
        <v>-1.4659948410684742E-2</v>
      </c>
      <c r="AE1532" s="90">
        <f t="shared" si="145"/>
        <v>-1.6833308184220172E-2</v>
      </c>
    </row>
    <row r="1533" spans="1:31" ht="15.5" x14ac:dyDescent="0.35">
      <c r="A1533" s="82">
        <v>41989</v>
      </c>
      <c r="B1533" s="83">
        <v>10390</v>
      </c>
      <c r="C1533" s="84">
        <v>4547.8</v>
      </c>
      <c r="D1533" s="61">
        <v>497.2</v>
      </c>
      <c r="E1533" s="61">
        <v>48.8</v>
      </c>
      <c r="F1533" s="61">
        <v>106.3</v>
      </c>
      <c r="G1533" s="61">
        <v>45.1</v>
      </c>
      <c r="H1533" s="61">
        <v>31.6</v>
      </c>
      <c r="I1533" s="61">
        <v>26.3</v>
      </c>
      <c r="J1533" s="61">
        <v>33.9</v>
      </c>
      <c r="K1533" s="61">
        <v>6.3</v>
      </c>
      <c r="L1533" s="61">
        <v>56.8</v>
      </c>
      <c r="M1533" s="61">
        <v>50.6</v>
      </c>
      <c r="N1533" s="61">
        <v>59.6</v>
      </c>
      <c r="O1533" s="85">
        <v>46.5</v>
      </c>
      <c r="P1533" s="105"/>
      <c r="Q1533" s="87">
        <f t="shared" si="142"/>
        <v>-2.0383446474465765E-3</v>
      </c>
      <c r="R1533" s="87">
        <f t="shared" si="147"/>
        <v>-1.2542500269818379E-2</v>
      </c>
      <c r="S1533" s="87">
        <f t="shared" si="147"/>
        <v>-3.5950938581708572E-2</v>
      </c>
      <c r="T1533" s="87">
        <f t="shared" si="146"/>
        <v>-1.4242356715543216E-2</v>
      </c>
      <c r="U1533" s="87">
        <f t="shared" si="146"/>
        <v>-9.4029155964185521E-4</v>
      </c>
      <c r="V1533" s="87">
        <f t="shared" si="146"/>
        <v>-3.2718294622967513E-2</v>
      </c>
      <c r="W1533" s="87">
        <f t="shared" si="146"/>
        <v>-1.2578782206860073E-2</v>
      </c>
      <c r="X1533" s="87">
        <f t="shared" si="143"/>
        <v>-3.7950709685514979E-3</v>
      </c>
      <c r="Y1533" s="87">
        <f t="shared" si="143"/>
        <v>-1.1730339785489605E-2</v>
      </c>
      <c r="Z1533" s="87">
        <f t="shared" si="143"/>
        <v>1.600034134644112E-2</v>
      </c>
      <c r="AA1533" s="87">
        <f t="shared" si="143"/>
        <v>0</v>
      </c>
      <c r="AB1533" s="87">
        <f t="shared" si="141"/>
        <v>-1.5686596167699508E-2</v>
      </c>
      <c r="AC1533" s="87">
        <f t="shared" si="141"/>
        <v>-3.4628356840038108E-2</v>
      </c>
      <c r="AD1533" s="87">
        <f t="shared" si="140"/>
        <v>-1.9169916107720172E-2</v>
      </c>
      <c r="AE1533" s="90">
        <f t="shared" si="145"/>
        <v>-1.6883683664229373E-2</v>
      </c>
    </row>
    <row r="1534" spans="1:31" ht="15.5" x14ac:dyDescent="0.35">
      <c r="A1534" s="82">
        <v>41990</v>
      </c>
      <c r="B1534" s="83">
        <v>10603.5</v>
      </c>
      <c r="C1534" s="84">
        <v>4644.3</v>
      </c>
      <c r="D1534" s="61">
        <v>499.1</v>
      </c>
      <c r="E1534" s="61">
        <v>48.9</v>
      </c>
      <c r="F1534" s="61">
        <v>106.8</v>
      </c>
      <c r="G1534" s="61">
        <v>44.9</v>
      </c>
      <c r="H1534" s="61">
        <v>31.6</v>
      </c>
      <c r="I1534" s="61">
        <v>26.5</v>
      </c>
      <c r="J1534" s="61">
        <v>34.200000000000003</v>
      </c>
      <c r="K1534" s="61">
        <v>6.4</v>
      </c>
      <c r="L1534" s="61">
        <v>56.6</v>
      </c>
      <c r="M1534" s="61">
        <v>50.9</v>
      </c>
      <c r="N1534" s="61">
        <v>58.2</v>
      </c>
      <c r="O1534" s="85">
        <v>46.5</v>
      </c>
      <c r="P1534" s="105"/>
      <c r="Q1534" s="87">
        <f t="shared" si="142"/>
        <v>2.0340330185845353E-2</v>
      </c>
      <c r="R1534" s="87">
        <f t="shared" si="147"/>
        <v>2.0997061684838645E-2</v>
      </c>
      <c r="S1534" s="87">
        <f t="shared" si="147"/>
        <v>3.8141168390075715E-3</v>
      </c>
      <c r="T1534" s="87">
        <f t="shared" si="146"/>
        <v>2.047083621724823E-3</v>
      </c>
      <c r="U1534" s="87">
        <f t="shared" si="146"/>
        <v>4.6926411781922249E-3</v>
      </c>
      <c r="V1534" s="87">
        <f t="shared" si="146"/>
        <v>-4.4444517604241294E-3</v>
      </c>
      <c r="W1534" s="87">
        <f t="shared" si="146"/>
        <v>0</v>
      </c>
      <c r="X1534" s="87">
        <f t="shared" si="143"/>
        <v>7.5757938084577226E-3</v>
      </c>
      <c r="Y1534" s="87">
        <f t="shared" si="143"/>
        <v>8.8106296821551262E-3</v>
      </c>
      <c r="Z1534" s="87">
        <f t="shared" si="143"/>
        <v>1.5748356968139331E-2</v>
      </c>
      <c r="AA1534" s="87">
        <f t="shared" si="143"/>
        <v>-3.5273405179682992E-3</v>
      </c>
      <c r="AB1534" s="87">
        <f t="shared" si="141"/>
        <v>5.9113472630571645E-3</v>
      </c>
      <c r="AC1534" s="87">
        <f t="shared" si="141"/>
        <v>-2.3770219333911959E-2</v>
      </c>
      <c r="AD1534" s="87">
        <f t="shared" si="140"/>
        <v>0</v>
      </c>
      <c r="AE1534" s="90">
        <f t="shared" si="145"/>
        <v>8.7522838991399392E-3</v>
      </c>
    </row>
    <row r="1535" spans="1:31" ht="15.5" x14ac:dyDescent="0.35">
      <c r="A1535" s="82">
        <v>41991</v>
      </c>
      <c r="B1535" s="83">
        <v>10831.6</v>
      </c>
      <c r="C1535" s="84">
        <v>4748.3999999999996</v>
      </c>
      <c r="D1535" s="61">
        <v>506.6</v>
      </c>
      <c r="E1535" s="61">
        <v>50.4</v>
      </c>
      <c r="F1535" s="61">
        <v>110.7</v>
      </c>
      <c r="G1535" s="61">
        <v>46.3</v>
      </c>
      <c r="H1535" s="61">
        <v>32.299999999999997</v>
      </c>
      <c r="I1535" s="61">
        <v>27.4</v>
      </c>
      <c r="J1535" s="61">
        <v>34.6</v>
      </c>
      <c r="K1535" s="61">
        <v>6.7</v>
      </c>
      <c r="L1535" s="61">
        <v>58.1</v>
      </c>
      <c r="M1535" s="61">
        <v>52.5</v>
      </c>
      <c r="N1535" s="61">
        <v>60.7</v>
      </c>
      <c r="O1535" s="85">
        <v>47.5</v>
      </c>
      <c r="P1535" s="105"/>
      <c r="Q1535" s="87">
        <f t="shared" si="142"/>
        <v>2.1283652569235336E-2</v>
      </c>
      <c r="R1535" s="87">
        <f t="shared" si="147"/>
        <v>2.2167057964849333E-2</v>
      </c>
      <c r="S1535" s="87">
        <f t="shared" si="147"/>
        <v>1.4915261092011363E-2</v>
      </c>
      <c r="T1535" s="87">
        <f t="shared" si="146"/>
        <v>3.0213778596496633E-2</v>
      </c>
      <c r="U1535" s="87">
        <f t="shared" si="146"/>
        <v>3.586591318849687E-2</v>
      </c>
      <c r="V1535" s="87">
        <f t="shared" si="146"/>
        <v>3.0704166343979676E-2</v>
      </c>
      <c r="W1535" s="87">
        <f t="shared" si="146"/>
        <v>2.1910109635744326E-2</v>
      </c>
      <c r="X1535" s="87">
        <f t="shared" si="143"/>
        <v>3.3398280401848009E-2</v>
      </c>
      <c r="Y1535" s="87">
        <f t="shared" si="143"/>
        <v>1.1628037995118993E-2</v>
      </c>
      <c r="Z1535" s="87">
        <f t="shared" si="143"/>
        <v>4.5809536031294201E-2</v>
      </c>
      <c r="AA1535" s="87">
        <f t="shared" si="143"/>
        <v>2.6156678648728261E-2</v>
      </c>
      <c r="AB1535" s="87">
        <f t="shared" si="141"/>
        <v>3.0950246041101061E-2</v>
      </c>
      <c r="AC1535" s="87">
        <f t="shared" si="141"/>
        <v>4.2058343328060507E-2</v>
      </c>
      <c r="AD1535" s="87">
        <f t="shared" si="140"/>
        <v>2.1277398447284879E-2</v>
      </c>
      <c r="AE1535" s="90">
        <f t="shared" si="145"/>
        <v>2.3852889897778548E-2</v>
      </c>
    </row>
    <row r="1536" spans="1:31" ht="15.5" x14ac:dyDescent="0.35">
      <c r="A1536" s="82">
        <v>41992</v>
      </c>
      <c r="B1536" s="83">
        <v>10890.2</v>
      </c>
      <c r="C1536" s="84">
        <v>4765.3999999999996</v>
      </c>
      <c r="D1536" s="61">
        <v>508.9</v>
      </c>
      <c r="E1536" s="61">
        <v>50.8</v>
      </c>
      <c r="F1536" s="61">
        <v>111.7</v>
      </c>
      <c r="G1536" s="61">
        <v>47.2</v>
      </c>
      <c r="H1536" s="61">
        <v>32.9</v>
      </c>
      <c r="I1536" s="61">
        <v>27.7</v>
      </c>
      <c r="J1536" s="61">
        <v>35.4</v>
      </c>
      <c r="K1536" s="61">
        <v>6.4</v>
      </c>
      <c r="L1536" s="61">
        <v>59</v>
      </c>
      <c r="M1536" s="61">
        <v>53.2</v>
      </c>
      <c r="N1536" s="61">
        <v>62</v>
      </c>
      <c r="O1536" s="85">
        <v>46.4</v>
      </c>
      <c r="P1536" s="105"/>
      <c r="Q1536" s="87">
        <f t="shared" si="142"/>
        <v>5.3955143829202672E-3</v>
      </c>
      <c r="R1536" s="87">
        <f t="shared" si="147"/>
        <v>3.5737598211696164E-3</v>
      </c>
      <c r="S1536" s="87">
        <f t="shared" si="147"/>
        <v>4.529796027212144E-3</v>
      </c>
      <c r="T1536" s="87">
        <f t="shared" si="146"/>
        <v>7.9051795071132473E-3</v>
      </c>
      <c r="U1536" s="87">
        <f t="shared" si="146"/>
        <v>8.9928663605638066E-3</v>
      </c>
      <c r="V1536" s="87">
        <f t="shared" si="146"/>
        <v>1.9251931499321525E-2</v>
      </c>
      <c r="W1536" s="87">
        <f t="shared" si="146"/>
        <v>1.8405427542715343E-2</v>
      </c>
      <c r="X1536" s="87">
        <f t="shared" si="143"/>
        <v>1.0889399799268317E-2</v>
      </c>
      <c r="Y1536" s="87">
        <f t="shared" si="143"/>
        <v>2.2858138076050184E-2</v>
      </c>
      <c r="Z1536" s="87">
        <f t="shared" si="143"/>
        <v>-4.5809536031294222E-2</v>
      </c>
      <c r="AA1536" s="87">
        <f t="shared" si="143"/>
        <v>1.5371780047853783E-2</v>
      </c>
      <c r="AB1536" s="87">
        <f t="shared" si="141"/>
        <v>1.3245226750020723E-2</v>
      </c>
      <c r="AC1536" s="87">
        <f t="shared" si="141"/>
        <v>2.1190686979638836E-2</v>
      </c>
      <c r="AD1536" s="87">
        <f t="shared" si="141"/>
        <v>-2.3430251808385996E-2</v>
      </c>
      <c r="AE1536" s="90">
        <f t="shared" si="145"/>
        <v>2.120896310753702E-3</v>
      </c>
    </row>
    <row r="1537" spans="1:31" ht="15.5" x14ac:dyDescent="0.35">
      <c r="A1537" s="82">
        <v>41995</v>
      </c>
      <c r="B1537" s="83">
        <v>10920</v>
      </c>
      <c r="C1537" s="84">
        <v>4781.3999999999996</v>
      </c>
      <c r="D1537" s="61">
        <v>520.6</v>
      </c>
      <c r="E1537" s="61">
        <v>51</v>
      </c>
      <c r="F1537" s="61">
        <v>112</v>
      </c>
      <c r="G1537" s="61">
        <v>47.7</v>
      </c>
      <c r="H1537" s="61">
        <v>33.700000000000003</v>
      </c>
      <c r="I1537" s="61">
        <v>28.1</v>
      </c>
      <c r="J1537" s="61">
        <v>35.4</v>
      </c>
      <c r="K1537" s="61">
        <v>6.4</v>
      </c>
      <c r="L1537" s="61">
        <v>58.6</v>
      </c>
      <c r="M1537" s="61">
        <v>53.5</v>
      </c>
      <c r="N1537" s="61">
        <v>62.9</v>
      </c>
      <c r="O1537" s="85">
        <v>47.5</v>
      </c>
      <c r="P1537" s="105"/>
      <c r="Q1537" s="87">
        <f t="shared" si="142"/>
        <v>2.7326680676222214E-3</v>
      </c>
      <c r="R1537" s="87">
        <f t="shared" si="147"/>
        <v>3.3519116312088833E-3</v>
      </c>
      <c r="S1537" s="87">
        <f t="shared" si="147"/>
        <v>2.2730458965678036E-2</v>
      </c>
      <c r="T1537" s="87">
        <f t="shared" si="146"/>
        <v>3.929278139889557E-3</v>
      </c>
      <c r="U1537" s="87">
        <f t="shared" si="146"/>
        <v>2.6821652199395755E-3</v>
      </c>
      <c r="V1537" s="87">
        <f t="shared" si="146"/>
        <v>1.053750530278592E-2</v>
      </c>
      <c r="W1537" s="87">
        <f t="shared" si="146"/>
        <v>2.4025179586990051E-2</v>
      </c>
      <c r="X1537" s="87">
        <f t="shared" si="143"/>
        <v>1.4337163146407249E-2</v>
      </c>
      <c r="Y1537" s="87">
        <f t="shared" si="143"/>
        <v>0</v>
      </c>
      <c r="Z1537" s="87">
        <f t="shared" si="143"/>
        <v>0</v>
      </c>
      <c r="AA1537" s="87">
        <f t="shared" si="143"/>
        <v>-6.8027473227525231E-3</v>
      </c>
      <c r="AB1537" s="87">
        <f t="shared" si="141"/>
        <v>5.6232575543620393E-3</v>
      </c>
      <c r="AC1537" s="87">
        <f t="shared" si="141"/>
        <v>1.4411778661303184E-2</v>
      </c>
      <c r="AD1537" s="87">
        <f t="shared" si="141"/>
        <v>2.3430251808386003E-2</v>
      </c>
      <c r="AE1537" s="90">
        <f t="shared" si="145"/>
        <v>1.1274239493960919E-2</v>
      </c>
    </row>
    <row r="1538" spans="1:31" ht="15.5" x14ac:dyDescent="0.35">
      <c r="A1538" s="82">
        <v>41996</v>
      </c>
      <c r="B1538" s="83">
        <v>10951.8</v>
      </c>
      <c r="C1538" s="84">
        <v>4765.3999999999996</v>
      </c>
      <c r="D1538" s="61">
        <v>533.70000000000005</v>
      </c>
      <c r="E1538" s="61">
        <v>49.9</v>
      </c>
      <c r="F1538" s="61">
        <v>112.5</v>
      </c>
      <c r="G1538" s="61">
        <v>48.1</v>
      </c>
      <c r="H1538" s="61">
        <v>33.6</v>
      </c>
      <c r="I1538" s="61">
        <v>28.1</v>
      </c>
      <c r="J1538" s="61">
        <v>35.5</v>
      </c>
      <c r="K1538" s="61">
        <v>6.5</v>
      </c>
      <c r="L1538" s="61">
        <v>57</v>
      </c>
      <c r="M1538" s="61">
        <v>54.2</v>
      </c>
      <c r="N1538" s="61">
        <v>62.9</v>
      </c>
      <c r="O1538" s="85">
        <v>47.8</v>
      </c>
      <c r="P1538" s="105"/>
      <c r="Q1538" s="87">
        <f t="shared" si="142"/>
        <v>2.9078559978974279E-3</v>
      </c>
      <c r="R1538" s="87">
        <f t="shared" si="147"/>
        <v>-3.3519116312088855E-3</v>
      </c>
      <c r="S1538" s="87">
        <f t="shared" si="147"/>
        <v>2.4851890779434147E-2</v>
      </c>
      <c r="T1538" s="87">
        <f t="shared" si="146"/>
        <v>-2.1804629966852826E-2</v>
      </c>
      <c r="U1538" s="87">
        <f t="shared" si="146"/>
        <v>4.4543503493803746E-3</v>
      </c>
      <c r="V1538" s="87">
        <f t="shared" si="146"/>
        <v>8.3507792174198885E-3</v>
      </c>
      <c r="W1538" s="87">
        <f t="shared" si="146"/>
        <v>-2.9717703891574817E-3</v>
      </c>
      <c r="X1538" s="87">
        <f t="shared" si="143"/>
        <v>0</v>
      </c>
      <c r="Y1538" s="87">
        <f t="shared" si="143"/>
        <v>2.8208763416414846E-3</v>
      </c>
      <c r="Z1538" s="87">
        <f t="shared" si="143"/>
        <v>1.5504186535965254E-2</v>
      </c>
      <c r="AA1538" s="87">
        <f t="shared" si="143"/>
        <v>-2.7683428748416856E-2</v>
      </c>
      <c r="AB1538" s="87">
        <f t="shared" si="141"/>
        <v>1.2999254543639817E-2</v>
      </c>
      <c r="AC1538" s="87">
        <f t="shared" si="141"/>
        <v>0</v>
      </c>
      <c r="AD1538" s="87">
        <f t="shared" si="141"/>
        <v>6.2959284568146106E-3</v>
      </c>
      <c r="AE1538" s="90">
        <f t="shared" si="145"/>
        <v>8.3099477985626845E-3</v>
      </c>
    </row>
    <row r="1539" spans="1:31" ht="15.5" x14ac:dyDescent="0.35">
      <c r="A1539" s="82">
        <v>41997</v>
      </c>
      <c r="B1539" s="83">
        <v>10955.1</v>
      </c>
      <c r="C1539" s="84">
        <v>4773.5</v>
      </c>
      <c r="D1539" s="61">
        <v>535.1</v>
      </c>
      <c r="E1539" s="61">
        <v>50.2</v>
      </c>
      <c r="F1539" s="61">
        <v>112</v>
      </c>
      <c r="G1539" s="61">
        <v>48.1</v>
      </c>
      <c r="H1539" s="61">
        <v>33.700000000000003</v>
      </c>
      <c r="I1539" s="61">
        <v>28.1</v>
      </c>
      <c r="J1539" s="61">
        <v>35.6</v>
      </c>
      <c r="K1539" s="61">
        <v>6.5</v>
      </c>
      <c r="L1539" s="61">
        <v>57.3</v>
      </c>
      <c r="M1539" s="61">
        <v>54.7</v>
      </c>
      <c r="N1539" s="61">
        <v>62.7</v>
      </c>
      <c r="O1539" s="85">
        <v>48</v>
      </c>
      <c r="P1539" s="105"/>
      <c r="Q1539" s="87">
        <f t="shared" si="142"/>
        <v>3.0127494305096027E-4</v>
      </c>
      <c r="R1539" s="87">
        <f t="shared" si="147"/>
        <v>1.69830943753945E-3</v>
      </c>
      <c r="S1539" s="87">
        <f t="shared" si="147"/>
        <v>2.6197619773597417E-3</v>
      </c>
      <c r="T1539" s="87">
        <f t="shared" si="146"/>
        <v>5.9940239402106466E-3</v>
      </c>
      <c r="U1539" s="87">
        <f t="shared" si="146"/>
        <v>-4.4543503493803087E-3</v>
      </c>
      <c r="V1539" s="87">
        <f t="shared" si="146"/>
        <v>0</v>
      </c>
      <c r="W1539" s="87">
        <f t="shared" si="146"/>
        <v>2.97177038915748E-3</v>
      </c>
      <c r="X1539" s="87">
        <f t="shared" si="143"/>
        <v>0</v>
      </c>
      <c r="Y1539" s="87">
        <f t="shared" si="143"/>
        <v>2.8129413766146577E-3</v>
      </c>
      <c r="Z1539" s="87">
        <f t="shared" si="143"/>
        <v>0</v>
      </c>
      <c r="AA1539" s="87">
        <f t="shared" si="143"/>
        <v>5.249355886143745E-3</v>
      </c>
      <c r="AB1539" s="87">
        <f t="shared" si="143"/>
        <v>9.1828009823349821E-3</v>
      </c>
      <c r="AC1539" s="87">
        <f t="shared" si="143"/>
        <v>-3.1847160675197244E-3</v>
      </c>
      <c r="AD1539" s="87">
        <f t="shared" si="143"/>
        <v>4.175371410480592E-3</v>
      </c>
      <c r="AE1539" s="90">
        <f t="shared" si="145"/>
        <v>5.0987549564415497E-4</v>
      </c>
    </row>
    <row r="1540" spans="1:31" ht="15.5" x14ac:dyDescent="0.35">
      <c r="A1540" s="82">
        <v>41999</v>
      </c>
      <c r="B1540" s="83">
        <v>10985.4</v>
      </c>
      <c r="C1540" s="84">
        <v>4806.8999999999996</v>
      </c>
      <c r="D1540" s="61">
        <v>535.5</v>
      </c>
      <c r="E1540" s="61">
        <v>50.6</v>
      </c>
      <c r="F1540" s="61">
        <v>112</v>
      </c>
      <c r="G1540" s="61">
        <v>47.8</v>
      </c>
      <c r="H1540" s="61">
        <v>33.9</v>
      </c>
      <c r="I1540" s="61">
        <v>28.3</v>
      </c>
      <c r="J1540" s="61">
        <v>35.4</v>
      </c>
      <c r="K1540" s="61">
        <v>6.4</v>
      </c>
      <c r="L1540" s="61">
        <v>57.6</v>
      </c>
      <c r="M1540" s="61">
        <v>54.8</v>
      </c>
      <c r="N1540" s="61">
        <v>63.3</v>
      </c>
      <c r="O1540" s="85">
        <v>48.1</v>
      </c>
      <c r="P1540" s="105"/>
      <c r="Q1540" s="87">
        <f t="shared" si="142"/>
        <v>2.7620172067695219E-3</v>
      </c>
      <c r="R1540" s="87">
        <f t="shared" si="147"/>
        <v>6.9725972438559915E-3</v>
      </c>
      <c r="S1540" s="87">
        <f t="shared" si="147"/>
        <v>7.472445705445402E-4</v>
      </c>
      <c r="T1540" s="87">
        <f t="shared" si="146"/>
        <v>7.9365495957363415E-3</v>
      </c>
      <c r="U1540" s="87">
        <f t="shared" si="146"/>
        <v>0</v>
      </c>
      <c r="V1540" s="87">
        <f t="shared" si="146"/>
        <v>-6.2565376143052598E-3</v>
      </c>
      <c r="W1540" s="87">
        <f t="shared" si="146"/>
        <v>5.9171770280885185E-3</v>
      </c>
      <c r="X1540" s="87">
        <f t="shared" si="143"/>
        <v>7.0922283094918366E-3</v>
      </c>
      <c r="Y1540" s="87">
        <f t="shared" si="143"/>
        <v>-5.633817718256131E-3</v>
      </c>
      <c r="Z1540" s="87">
        <f t="shared" si="143"/>
        <v>-1.5504186535965199E-2</v>
      </c>
      <c r="AA1540" s="87">
        <f t="shared" si="143"/>
        <v>5.2219439811518461E-3</v>
      </c>
      <c r="AB1540" s="87">
        <f t="shared" si="143"/>
        <v>1.8264845260342812E-3</v>
      </c>
      <c r="AC1540" s="87">
        <f t="shared" si="143"/>
        <v>9.5238815112553207E-3</v>
      </c>
      <c r="AD1540" s="87">
        <f t="shared" si="143"/>
        <v>2.0811662038246709E-3</v>
      </c>
      <c r="AE1540" s="90">
        <f t="shared" si="145"/>
        <v>2.5617542369319184E-3</v>
      </c>
    </row>
    <row r="1541" spans="1:31" ht="15.5" x14ac:dyDescent="0.35">
      <c r="A1541" s="82">
        <v>42002</v>
      </c>
      <c r="B1541" s="83">
        <v>10988</v>
      </c>
      <c r="C1541" s="84">
        <v>4806.8999999999996</v>
      </c>
      <c r="D1541" s="61">
        <v>537.20000000000005</v>
      </c>
      <c r="E1541" s="61">
        <v>50.5</v>
      </c>
      <c r="F1541" s="61">
        <v>113.7</v>
      </c>
      <c r="G1541" s="61">
        <v>47.3</v>
      </c>
      <c r="H1541" s="61">
        <v>33.6</v>
      </c>
      <c r="I1541" s="61">
        <v>28.3</v>
      </c>
      <c r="J1541" s="61">
        <v>35.5</v>
      </c>
      <c r="K1541" s="61">
        <v>6.4</v>
      </c>
      <c r="L1541" s="61">
        <v>57.5</v>
      </c>
      <c r="M1541" s="61">
        <v>54.6</v>
      </c>
      <c r="N1541" s="61">
        <v>63.4</v>
      </c>
      <c r="O1541" s="85">
        <v>48.3</v>
      </c>
      <c r="P1541" s="105"/>
      <c r="Q1541" s="87">
        <f t="shared" si="142"/>
        <v>2.3664976855048973E-4</v>
      </c>
      <c r="R1541" s="87">
        <f t="shared" si="147"/>
        <v>0</v>
      </c>
      <c r="S1541" s="87">
        <f t="shared" si="147"/>
        <v>3.1695747612790395E-3</v>
      </c>
      <c r="T1541" s="87">
        <f t="shared" si="146"/>
        <v>-1.9782400121057075E-3</v>
      </c>
      <c r="U1541" s="87">
        <f t="shared" si="146"/>
        <v>1.5064529461395868E-2</v>
      </c>
      <c r="V1541" s="87">
        <f t="shared" si="146"/>
        <v>-1.0515343999523008E-2</v>
      </c>
      <c r="W1541" s="87">
        <f t="shared" si="146"/>
        <v>-8.8889474172459283E-3</v>
      </c>
      <c r="X1541" s="87">
        <f t="shared" si="143"/>
        <v>0</v>
      </c>
      <c r="Y1541" s="87">
        <f t="shared" si="143"/>
        <v>2.8208763416414846E-3</v>
      </c>
      <c r="Z1541" s="87">
        <f t="shared" si="143"/>
        <v>0</v>
      </c>
      <c r="AA1541" s="87">
        <f t="shared" si="143"/>
        <v>-1.7376198985408486E-3</v>
      </c>
      <c r="AB1541" s="87">
        <f t="shared" si="143"/>
        <v>-3.6563112031104319E-3</v>
      </c>
      <c r="AC1541" s="87">
        <f t="shared" si="143"/>
        <v>1.5785322930497896E-3</v>
      </c>
      <c r="AD1541" s="87">
        <f t="shared" si="143"/>
        <v>4.1493835468113969E-3</v>
      </c>
      <c r="AE1541" s="90">
        <f t="shared" si="145"/>
        <v>5.7398240595682134E-3</v>
      </c>
    </row>
    <row r="1542" spans="1:31" ht="15.5" x14ac:dyDescent="0.35">
      <c r="A1542" s="82">
        <v>42003</v>
      </c>
      <c r="B1542" s="83">
        <v>10933</v>
      </c>
      <c r="C1542" s="84">
        <v>4777.3999999999996</v>
      </c>
      <c r="D1542" s="61">
        <v>533.6</v>
      </c>
      <c r="E1542" s="61">
        <v>50.4</v>
      </c>
      <c r="F1542" s="61">
        <v>112.1</v>
      </c>
      <c r="G1542" s="61">
        <v>46.8</v>
      </c>
      <c r="H1542" s="61">
        <v>34.1</v>
      </c>
      <c r="I1542" s="61">
        <v>28.4</v>
      </c>
      <c r="J1542" s="61">
        <v>35.5</v>
      </c>
      <c r="K1542" s="61">
        <v>6.4</v>
      </c>
      <c r="L1542" s="61">
        <v>57.3</v>
      </c>
      <c r="M1542" s="61">
        <v>54.5</v>
      </c>
      <c r="N1542" s="61">
        <v>63.5</v>
      </c>
      <c r="O1542" s="85">
        <v>48.3</v>
      </c>
      <c r="P1542" s="105"/>
      <c r="Q1542" s="87">
        <f t="shared" si="142"/>
        <v>-5.0180297806796401E-3</v>
      </c>
      <c r="R1542" s="87">
        <f t="shared" si="147"/>
        <v>-6.1559202360846029E-3</v>
      </c>
      <c r="S1542" s="87">
        <f t="shared" si="147"/>
        <v>-6.7239700476685897E-3</v>
      </c>
      <c r="T1542" s="87">
        <f t="shared" si="146"/>
        <v>-1.9821612039912112E-3</v>
      </c>
      <c r="U1542" s="87">
        <f t="shared" si="146"/>
        <v>-1.4172070678376216E-2</v>
      </c>
      <c r="V1542" s="87">
        <f t="shared" si="146"/>
        <v>-1.0627092574286238E-2</v>
      </c>
      <c r="W1542" s="87">
        <f t="shared" si="146"/>
        <v>1.4771317320312503E-2</v>
      </c>
      <c r="X1542" s="87">
        <f t="shared" si="143"/>
        <v>3.5273405179684406E-3</v>
      </c>
      <c r="Y1542" s="87">
        <f t="shared" si="143"/>
        <v>0</v>
      </c>
      <c r="Z1542" s="87">
        <f t="shared" si="143"/>
        <v>0</v>
      </c>
      <c r="AA1542" s="87">
        <f t="shared" si="143"/>
        <v>-3.4843240826109225E-3</v>
      </c>
      <c r="AB1542" s="87">
        <f t="shared" si="143"/>
        <v>-1.8331810816609605E-3</v>
      </c>
      <c r="AC1542" s="87">
        <f t="shared" si="143"/>
        <v>1.5760444554657142E-3</v>
      </c>
      <c r="AD1542" s="87">
        <f t="shared" si="143"/>
        <v>0</v>
      </c>
      <c r="AE1542" s="90">
        <f t="shared" si="145"/>
        <v>-7.866113067374593E-3</v>
      </c>
    </row>
    <row r="1543" spans="1:31" ht="15.5" x14ac:dyDescent="0.35">
      <c r="A1543" s="82">
        <v>42004</v>
      </c>
      <c r="B1543" s="83">
        <v>10839.2</v>
      </c>
      <c r="C1543" s="84">
        <v>4736</v>
      </c>
      <c r="D1543" s="61">
        <v>530.20000000000005</v>
      </c>
      <c r="E1543" s="61">
        <v>50.5</v>
      </c>
      <c r="F1543" s="61">
        <v>110.2</v>
      </c>
      <c r="G1543" s="61">
        <v>46.5</v>
      </c>
      <c r="H1543" s="61">
        <v>34</v>
      </c>
      <c r="I1543" s="61">
        <v>28.5</v>
      </c>
      <c r="J1543" s="61">
        <v>35.299999999999997</v>
      </c>
      <c r="K1543" s="61">
        <v>6.4</v>
      </c>
      <c r="L1543" s="61">
        <v>56.7</v>
      </c>
      <c r="M1543" s="61">
        <v>54.1</v>
      </c>
      <c r="N1543" s="61">
        <v>63</v>
      </c>
      <c r="O1543" s="85">
        <v>48</v>
      </c>
      <c r="P1543" s="105"/>
      <c r="Q1543" s="87">
        <f t="shared" si="142"/>
        <v>-8.616545902263309E-3</v>
      </c>
      <c r="R1543" s="87">
        <f t="shared" si="147"/>
        <v>-8.7035678820177199E-3</v>
      </c>
      <c r="S1543" s="87">
        <f t="shared" si="147"/>
        <v>-6.3922007464887838E-3</v>
      </c>
      <c r="T1543" s="87">
        <f t="shared" si="146"/>
        <v>1.9821612039912025E-3</v>
      </c>
      <c r="U1543" s="87">
        <f t="shared" si="146"/>
        <v>-1.7094433359300068E-2</v>
      </c>
      <c r="V1543" s="87">
        <f t="shared" si="146"/>
        <v>-6.4308903302904025E-3</v>
      </c>
      <c r="W1543" s="87">
        <f t="shared" si="146"/>
        <v>-2.9368596733097135E-3</v>
      </c>
      <c r="X1543" s="87">
        <f t="shared" si="143"/>
        <v>3.5149421074445919E-3</v>
      </c>
      <c r="Y1543" s="87">
        <f t="shared" si="143"/>
        <v>-5.6497325421191328E-3</v>
      </c>
      <c r="Z1543" s="87">
        <f t="shared" si="143"/>
        <v>0</v>
      </c>
      <c r="AA1543" s="87">
        <f t="shared" si="143"/>
        <v>-1.0526412986987392E-2</v>
      </c>
      <c r="AB1543" s="87">
        <f t="shared" si="143"/>
        <v>-7.366515816762554E-3</v>
      </c>
      <c r="AC1543" s="87">
        <f t="shared" si="143"/>
        <v>-7.9051795071132611E-3</v>
      </c>
      <c r="AD1543" s="87">
        <f t="shared" si="143"/>
        <v>-6.2305497506359745E-3</v>
      </c>
      <c r="AE1543" s="90">
        <f t="shared" si="145"/>
        <v>-1.0125566060891855E-2</v>
      </c>
    </row>
    <row r="1544" spans="1:31" ht="15.5" x14ac:dyDescent="0.35">
      <c r="A1544" s="82">
        <v>42006</v>
      </c>
      <c r="B1544" s="83">
        <v>10830.9</v>
      </c>
      <c r="C1544" s="84">
        <v>4726.8</v>
      </c>
      <c r="D1544" s="61">
        <v>527.9</v>
      </c>
      <c r="E1544" s="61">
        <v>49.5</v>
      </c>
      <c r="F1544" s="61">
        <v>107.4</v>
      </c>
      <c r="G1544" s="61">
        <v>46.5</v>
      </c>
      <c r="H1544" s="61">
        <v>33</v>
      </c>
      <c r="I1544" s="61">
        <v>27.8</v>
      </c>
      <c r="J1544" s="61">
        <v>35.200000000000003</v>
      </c>
      <c r="K1544" s="61">
        <v>6.2</v>
      </c>
      <c r="L1544" s="61">
        <v>57</v>
      </c>
      <c r="M1544" s="61">
        <v>53.6</v>
      </c>
      <c r="N1544" s="61">
        <v>61.8</v>
      </c>
      <c r="O1544" s="85">
        <v>47.1</v>
      </c>
      <c r="P1544" s="105"/>
      <c r="Q1544" s="87">
        <f t="shared" si="142"/>
        <v>-7.660324969312089E-4</v>
      </c>
      <c r="R1544" s="87">
        <f t="shared" si="147"/>
        <v>-1.9444567989810372E-3</v>
      </c>
      <c r="S1544" s="87">
        <f t="shared" si="147"/>
        <v>-4.3474220253547028E-3</v>
      </c>
      <c r="T1544" s="87">
        <f t="shared" si="146"/>
        <v>-2.0000666706669543E-2</v>
      </c>
      <c r="U1544" s="87">
        <f t="shared" si="146"/>
        <v>-2.5736714644049821E-2</v>
      </c>
      <c r="V1544" s="87">
        <f t="shared" si="146"/>
        <v>0</v>
      </c>
      <c r="W1544" s="87">
        <f t="shared" si="146"/>
        <v>-2.985296314968116E-2</v>
      </c>
      <c r="X1544" s="87">
        <f t="shared" si="143"/>
        <v>-2.4868066578013423E-2</v>
      </c>
      <c r="Y1544" s="87">
        <f t="shared" si="143"/>
        <v>-2.8368813351995039E-3</v>
      </c>
      <c r="Z1544" s="87">
        <f t="shared" si="143"/>
        <v>-3.1748698314580298E-2</v>
      </c>
      <c r="AA1544" s="87">
        <f t="shared" si="143"/>
        <v>5.2770571008438193E-3</v>
      </c>
      <c r="AB1544" s="87">
        <f t="shared" si="143"/>
        <v>-9.2851177756795404E-3</v>
      </c>
      <c r="AC1544" s="87">
        <f t="shared" si="143"/>
        <v>-1.9231361927887644E-2</v>
      </c>
      <c r="AD1544" s="87">
        <f t="shared" si="143"/>
        <v>-1.8928009885518796E-2</v>
      </c>
      <c r="AE1544" s="90">
        <f t="shared" si="145"/>
        <v>-1.1515413013511298E-2</v>
      </c>
    </row>
    <row r="1545" spans="1:31" ht="15.5" x14ac:dyDescent="0.35">
      <c r="A1545" s="82">
        <v>42009</v>
      </c>
      <c r="B1545" s="83">
        <v>10607.7</v>
      </c>
      <c r="C1545" s="84">
        <v>4652.6000000000004</v>
      </c>
      <c r="D1545" s="61">
        <v>517.79999999999995</v>
      </c>
      <c r="E1545" s="61">
        <v>48.9</v>
      </c>
      <c r="F1545" s="61">
        <v>105.4</v>
      </c>
      <c r="G1545" s="61">
        <v>46.3</v>
      </c>
      <c r="H1545" s="61">
        <v>32.5</v>
      </c>
      <c r="I1545" s="61">
        <v>27.4</v>
      </c>
      <c r="J1545" s="61">
        <v>34.700000000000003</v>
      </c>
      <c r="K1545" s="61">
        <v>6.2</v>
      </c>
      <c r="L1545" s="61">
        <v>57.6</v>
      </c>
      <c r="M1545" s="61">
        <v>51.9</v>
      </c>
      <c r="N1545" s="61">
        <v>60.4</v>
      </c>
      <c r="O1545" s="85">
        <v>46.6</v>
      </c>
      <c r="P1545" s="105"/>
      <c r="Q1545" s="87">
        <f t="shared" si="142"/>
        <v>-2.082300755253488E-2</v>
      </c>
      <c r="R1545" s="87">
        <f t="shared" si="147"/>
        <v>-1.5822237658916858E-2</v>
      </c>
      <c r="S1545" s="87">
        <f t="shared" si="147"/>
        <v>-1.9317804512133357E-2</v>
      </c>
      <c r="T1545" s="87">
        <f t="shared" si="146"/>
        <v>-1.2195273093818355E-2</v>
      </c>
      <c r="U1545" s="87">
        <f t="shared" si="146"/>
        <v>-1.8797545967502341E-2</v>
      </c>
      <c r="V1545" s="87">
        <f t="shared" si="146"/>
        <v>-4.3103515011223229E-3</v>
      </c>
      <c r="W1545" s="87">
        <f t="shared" si="146"/>
        <v>-1.5267472130788421E-2</v>
      </c>
      <c r="X1545" s="87">
        <f t="shared" si="143"/>
        <v>-1.4493007302566864E-2</v>
      </c>
      <c r="Y1545" s="87">
        <f t="shared" ref="Y1545:AD1587" si="148">+LN(J1545/J1544)</f>
        <v>-1.4306395651237858E-2</v>
      </c>
      <c r="Z1545" s="87">
        <f t="shared" si="148"/>
        <v>0</v>
      </c>
      <c r="AA1545" s="87">
        <f t="shared" si="148"/>
        <v>1.0471299867295437E-2</v>
      </c>
      <c r="AB1545" s="87">
        <f t="shared" si="148"/>
        <v>-3.2230277904913361E-2</v>
      </c>
      <c r="AC1545" s="87">
        <f t="shared" si="148"/>
        <v>-2.2914259522875777E-2</v>
      </c>
      <c r="AD1545" s="87">
        <f t="shared" si="148"/>
        <v>-1.0672459890771872E-2</v>
      </c>
      <c r="AE1545" s="90">
        <f t="shared" si="145"/>
        <v>-1.7070424926056878E-2</v>
      </c>
    </row>
    <row r="1546" spans="1:31" ht="15.5" x14ac:dyDescent="0.35">
      <c r="A1546" s="82">
        <v>42010</v>
      </c>
      <c r="B1546" s="83">
        <v>10514.9</v>
      </c>
      <c r="C1546" s="84">
        <v>4592.7</v>
      </c>
      <c r="D1546" s="61">
        <v>505.6</v>
      </c>
      <c r="E1546" s="61">
        <v>48.3</v>
      </c>
      <c r="F1546" s="61">
        <v>104.6</v>
      </c>
      <c r="G1546" s="61">
        <v>45.5</v>
      </c>
      <c r="H1546" s="61">
        <v>31.8</v>
      </c>
      <c r="I1546" s="61">
        <v>27.4</v>
      </c>
      <c r="J1546" s="61">
        <v>34.799999999999997</v>
      </c>
      <c r="K1546" s="61">
        <v>6.3</v>
      </c>
      <c r="L1546" s="61">
        <v>58.3</v>
      </c>
      <c r="M1546" s="61">
        <v>50.3</v>
      </c>
      <c r="N1546" s="61">
        <v>59.5</v>
      </c>
      <c r="O1546" s="85">
        <v>46</v>
      </c>
      <c r="P1546" s="105"/>
      <c r="Q1546" s="87">
        <f t="shared" si="142"/>
        <v>-8.7868536146679058E-3</v>
      </c>
      <c r="R1546" s="87">
        <f t="shared" si="147"/>
        <v>-1.2958116699798581E-2</v>
      </c>
      <c r="S1546" s="87">
        <f t="shared" si="147"/>
        <v>-2.3843224484789483E-2</v>
      </c>
      <c r="T1546" s="87">
        <f t="shared" si="146"/>
        <v>-1.2345835822299379E-2</v>
      </c>
      <c r="U1546" s="87">
        <f t="shared" si="146"/>
        <v>-7.6190844764395171E-3</v>
      </c>
      <c r="V1546" s="87">
        <f t="shared" si="146"/>
        <v>-1.7429635135283648E-2</v>
      </c>
      <c r="W1546" s="87">
        <f t="shared" si="146"/>
        <v>-2.1773799549560619E-2</v>
      </c>
      <c r="X1546" s="87">
        <f t="shared" si="146"/>
        <v>0</v>
      </c>
      <c r="Y1546" s="87">
        <f t="shared" si="148"/>
        <v>2.877699827614974E-3</v>
      </c>
      <c r="Z1546" s="87">
        <f t="shared" si="148"/>
        <v>1.600034134644112E-2</v>
      </c>
      <c r="AA1546" s="87">
        <f t="shared" si="148"/>
        <v>1.2079525654601041E-2</v>
      </c>
      <c r="AB1546" s="87">
        <f t="shared" si="148"/>
        <v>-3.1313713066149496E-2</v>
      </c>
      <c r="AC1546" s="87">
        <f t="shared" si="148"/>
        <v>-1.5012792389185209E-2</v>
      </c>
      <c r="AD1546" s="87">
        <f t="shared" si="148"/>
        <v>-1.2959144642505228E-2</v>
      </c>
      <c r="AE1546" s="90">
        <f t="shared" si="145"/>
        <v>-1.4618375769286707E-2</v>
      </c>
    </row>
    <row r="1547" spans="1:31" ht="15.5" x14ac:dyDescent="0.35">
      <c r="A1547" s="82">
        <v>42011</v>
      </c>
      <c r="B1547" s="83">
        <v>10627.1</v>
      </c>
      <c r="C1547" s="84">
        <v>4650.5</v>
      </c>
      <c r="D1547" s="61">
        <v>503.7</v>
      </c>
      <c r="E1547" s="61">
        <v>48.5</v>
      </c>
      <c r="F1547" s="61">
        <v>106.7</v>
      </c>
      <c r="G1547" s="61">
        <v>45.5</v>
      </c>
      <c r="H1547" s="61">
        <v>31.8</v>
      </c>
      <c r="I1547" s="61">
        <v>28</v>
      </c>
      <c r="J1547" s="61">
        <v>35.299999999999997</v>
      </c>
      <c r="K1547" s="61">
        <v>7.5</v>
      </c>
      <c r="L1547" s="61">
        <v>60.4</v>
      </c>
      <c r="M1547" s="61">
        <v>50.7</v>
      </c>
      <c r="N1547" s="61">
        <v>60</v>
      </c>
      <c r="O1547" s="85">
        <v>46.6</v>
      </c>
      <c r="P1547" s="105"/>
      <c r="Q1547" s="87">
        <f t="shared" si="142"/>
        <v>1.0614043453747045E-2</v>
      </c>
      <c r="R1547" s="87">
        <f t="shared" si="147"/>
        <v>1.2506654276376502E-2</v>
      </c>
      <c r="S1547" s="87">
        <f t="shared" si="147"/>
        <v>-3.7649900810428874E-3</v>
      </c>
      <c r="T1547" s="87">
        <f t="shared" si="146"/>
        <v>4.1322372849105912E-3</v>
      </c>
      <c r="U1547" s="87">
        <f t="shared" si="146"/>
        <v>1.98776066768852E-2</v>
      </c>
      <c r="V1547" s="87">
        <f t="shared" si="146"/>
        <v>0</v>
      </c>
      <c r="W1547" s="87">
        <f t="shared" si="146"/>
        <v>0</v>
      </c>
      <c r="X1547" s="87">
        <f t="shared" si="146"/>
        <v>2.1661496781179467E-2</v>
      </c>
      <c r="Y1547" s="87">
        <f t="shared" si="148"/>
        <v>1.4265577158822439E-2</v>
      </c>
      <c r="Z1547" s="87">
        <f t="shared" si="148"/>
        <v>0.17435338714477774</v>
      </c>
      <c r="AA1547" s="87">
        <f t="shared" si="148"/>
        <v>3.5387011584322642E-2</v>
      </c>
      <c r="AB1547" s="87">
        <f t="shared" si="148"/>
        <v>7.9208334914440577E-3</v>
      </c>
      <c r="AC1547" s="87">
        <f t="shared" si="148"/>
        <v>8.3682496705165792E-3</v>
      </c>
      <c r="AD1547" s="87">
        <f t="shared" si="148"/>
        <v>1.2959144642505116E-2</v>
      </c>
      <c r="AE1547" s="90">
        <f t="shared" si="145"/>
        <v>9.9055388780231284E-3</v>
      </c>
    </row>
    <row r="1548" spans="1:31" ht="15.5" x14ac:dyDescent="0.35">
      <c r="A1548" s="82">
        <v>42012</v>
      </c>
      <c r="B1548" s="83">
        <v>10800.5</v>
      </c>
      <c r="C1548" s="84">
        <v>4736.2</v>
      </c>
      <c r="D1548" s="61">
        <v>495</v>
      </c>
      <c r="E1548" s="61">
        <v>48.7</v>
      </c>
      <c r="F1548" s="61">
        <v>108.7</v>
      </c>
      <c r="G1548" s="61">
        <v>46.7</v>
      </c>
      <c r="H1548" s="61">
        <v>27.3</v>
      </c>
      <c r="I1548" s="61">
        <v>28.4</v>
      </c>
      <c r="J1548" s="61">
        <v>35.700000000000003</v>
      </c>
      <c r="K1548" s="61">
        <v>7.6</v>
      </c>
      <c r="L1548" s="61">
        <v>61.9</v>
      </c>
      <c r="M1548" s="61">
        <v>51.4</v>
      </c>
      <c r="N1548" s="61">
        <v>61</v>
      </c>
      <c r="O1548" s="85">
        <v>47.8</v>
      </c>
      <c r="P1548" s="105"/>
      <c r="Q1548" s="87">
        <f t="shared" si="142"/>
        <v>1.6185087015132341E-2</v>
      </c>
      <c r="R1548" s="87">
        <f t="shared" si="147"/>
        <v>1.8260385719399797E-2</v>
      </c>
      <c r="S1548" s="87">
        <f t="shared" si="147"/>
        <v>-1.7423090182914512E-2</v>
      </c>
      <c r="T1548" s="87">
        <f t="shared" si="146"/>
        <v>4.1152321451065794E-3</v>
      </c>
      <c r="U1548" s="87">
        <f t="shared" si="146"/>
        <v>1.8570635819456033E-2</v>
      </c>
      <c r="V1548" s="87">
        <f t="shared" si="146"/>
        <v>2.6031838717947019E-2</v>
      </c>
      <c r="W1548" s="87">
        <f t="shared" si="146"/>
        <v>-0.15257958759521706</v>
      </c>
      <c r="X1548" s="87">
        <f t="shared" si="146"/>
        <v>1.4184634991956381E-2</v>
      </c>
      <c r="Y1548" s="87">
        <f t="shared" si="148"/>
        <v>1.1267724846342506E-2</v>
      </c>
      <c r="Z1548" s="87">
        <f t="shared" si="148"/>
        <v>1.3245226750020505E-2</v>
      </c>
      <c r="AA1548" s="87">
        <f t="shared" si="148"/>
        <v>2.4531074749781116E-2</v>
      </c>
      <c r="AB1548" s="87">
        <f t="shared" si="148"/>
        <v>1.3712261863981794E-2</v>
      </c>
      <c r="AC1548" s="87">
        <f t="shared" si="148"/>
        <v>1.6529301951210506E-2</v>
      </c>
      <c r="AD1548" s="87">
        <f t="shared" si="148"/>
        <v>2.5425098365809959E-2</v>
      </c>
      <c r="AE1548" s="90">
        <f t="shared" si="145"/>
        <v>8.7731077697072238E-3</v>
      </c>
    </row>
    <row r="1549" spans="1:31" ht="15.5" x14ac:dyDescent="0.35">
      <c r="A1549" s="82">
        <v>42013</v>
      </c>
      <c r="B1549" s="83">
        <v>10711.4</v>
      </c>
      <c r="C1549" s="84">
        <v>4704.1000000000004</v>
      </c>
      <c r="D1549" s="61">
        <v>498.7</v>
      </c>
      <c r="E1549" s="61">
        <v>49.6</v>
      </c>
      <c r="F1549" s="61">
        <v>110.2</v>
      </c>
      <c r="G1549" s="61">
        <v>46.9</v>
      </c>
      <c r="H1549" s="61">
        <v>26.7</v>
      </c>
      <c r="I1549" s="61">
        <v>28.2</v>
      </c>
      <c r="J1549" s="61">
        <v>35.700000000000003</v>
      </c>
      <c r="K1549" s="61">
        <v>7.8</v>
      </c>
      <c r="L1549" s="61">
        <v>62.2</v>
      </c>
      <c r="M1549" s="61">
        <v>50.9</v>
      </c>
      <c r="N1549" s="61">
        <v>61.7</v>
      </c>
      <c r="O1549" s="85">
        <v>47.8</v>
      </c>
      <c r="P1549" s="105"/>
      <c r="Q1549" s="87">
        <f t="shared" si="142"/>
        <v>-8.2838344839021912E-3</v>
      </c>
      <c r="R1549" s="87">
        <f t="shared" si="147"/>
        <v>-6.8006575460158522E-3</v>
      </c>
      <c r="S1549" s="87">
        <f t="shared" si="147"/>
        <v>7.4469499833864977E-3</v>
      </c>
      <c r="T1549" s="87">
        <f t="shared" si="146"/>
        <v>1.8311803642337688E-2</v>
      </c>
      <c r="U1549" s="87">
        <f t="shared" si="146"/>
        <v>1.3705102591650345E-2</v>
      </c>
      <c r="V1549" s="87">
        <f t="shared" si="146"/>
        <v>4.2735107773818641E-3</v>
      </c>
      <c r="W1549" s="87">
        <f t="shared" si="146"/>
        <v>-2.2223136784710235E-2</v>
      </c>
      <c r="X1549" s="87">
        <f t="shared" si="146"/>
        <v>-7.067167223092443E-3</v>
      </c>
      <c r="Y1549" s="87">
        <f t="shared" si="148"/>
        <v>0</v>
      </c>
      <c r="Z1549" s="87">
        <f t="shared" si="148"/>
        <v>2.5975486403260736E-2</v>
      </c>
      <c r="AA1549" s="87">
        <f t="shared" si="148"/>
        <v>4.8348200545833111E-3</v>
      </c>
      <c r="AB1549" s="87">
        <f t="shared" si="148"/>
        <v>-9.7752489046423301E-3</v>
      </c>
      <c r="AC1549" s="87">
        <f t="shared" si="148"/>
        <v>1.1410066738030959E-2</v>
      </c>
      <c r="AD1549" s="87">
        <f t="shared" si="148"/>
        <v>0</v>
      </c>
      <c r="AE1549" s="90">
        <f t="shared" si="145"/>
        <v>4.0605366700933081E-3</v>
      </c>
    </row>
    <row r="1550" spans="1:31" ht="15.5" x14ac:dyDescent="0.35">
      <c r="A1550" s="82">
        <v>42016</v>
      </c>
      <c r="B1550" s="83">
        <v>10640.7</v>
      </c>
      <c r="C1550" s="84">
        <v>4664.7</v>
      </c>
      <c r="D1550" s="61">
        <v>490.9</v>
      </c>
      <c r="E1550" s="61">
        <v>48.6</v>
      </c>
      <c r="F1550" s="61">
        <v>108.8</v>
      </c>
      <c r="G1550" s="61">
        <v>46.4</v>
      </c>
      <c r="H1550" s="61">
        <v>26</v>
      </c>
      <c r="I1550" s="61">
        <v>27.9</v>
      </c>
      <c r="J1550" s="61">
        <v>35.200000000000003</v>
      </c>
      <c r="K1550" s="61">
        <v>7.9</v>
      </c>
      <c r="L1550" s="61">
        <v>62.1</v>
      </c>
      <c r="M1550" s="61">
        <v>50</v>
      </c>
      <c r="N1550" s="61">
        <v>60.6</v>
      </c>
      <c r="O1550" s="85">
        <v>47.6</v>
      </c>
      <c r="P1550" s="105"/>
      <c r="Q1550" s="87">
        <f t="shared" ref="Q1550:Q1613" si="149">+LN(B1550/B1549)</f>
        <v>-6.6223236477776469E-3</v>
      </c>
      <c r="R1550" s="87">
        <f t="shared" si="147"/>
        <v>-8.4109453240253373E-3</v>
      </c>
      <c r="S1550" s="87">
        <f t="shared" si="147"/>
        <v>-1.5764271488070108E-2</v>
      </c>
      <c r="T1550" s="87">
        <f t="shared" si="146"/>
        <v>-2.0367302824433699E-2</v>
      </c>
      <c r="U1550" s="87">
        <f t="shared" si="146"/>
        <v>-1.2785562296971927E-2</v>
      </c>
      <c r="V1550" s="87">
        <f t="shared" si="146"/>
        <v>-1.0718216220024147E-2</v>
      </c>
      <c r="W1550" s="87">
        <f t="shared" si="146"/>
        <v>-2.6567027384721751E-2</v>
      </c>
      <c r="X1550" s="87">
        <f t="shared" si="146"/>
        <v>-1.069528911674803E-2</v>
      </c>
      <c r="Y1550" s="87">
        <f t="shared" si="148"/>
        <v>-1.4104606181541935E-2</v>
      </c>
      <c r="Z1550" s="87">
        <f t="shared" si="148"/>
        <v>1.2739025777429932E-2</v>
      </c>
      <c r="AA1550" s="87">
        <f t="shared" si="148"/>
        <v>-1.6090108057006626E-3</v>
      </c>
      <c r="AB1550" s="87">
        <f t="shared" si="148"/>
        <v>-1.7839918128331005E-2</v>
      </c>
      <c r="AC1550" s="87">
        <f t="shared" si="148"/>
        <v>-1.7989037836073342E-2</v>
      </c>
      <c r="AD1550" s="87">
        <f t="shared" si="148"/>
        <v>-4.1928782600359274E-3</v>
      </c>
      <c r="AE1550" s="90">
        <f t="shared" si="145"/>
        <v>-1.130191151530182E-2</v>
      </c>
    </row>
    <row r="1551" spans="1:31" ht="15.5" x14ac:dyDescent="0.35">
      <c r="A1551" s="82">
        <v>42017</v>
      </c>
      <c r="B1551" s="83">
        <v>10623</v>
      </c>
      <c r="C1551" s="84">
        <v>4661.5</v>
      </c>
      <c r="D1551" s="61">
        <v>497.3</v>
      </c>
      <c r="E1551" s="61">
        <v>47.4</v>
      </c>
      <c r="F1551" s="61">
        <v>108.9</v>
      </c>
      <c r="G1551" s="61">
        <v>46.1</v>
      </c>
      <c r="H1551" s="61">
        <v>25.3</v>
      </c>
      <c r="I1551" s="61">
        <v>25.8</v>
      </c>
      <c r="J1551" s="61">
        <v>34.6</v>
      </c>
      <c r="K1551" s="61">
        <v>7.9</v>
      </c>
      <c r="L1551" s="61">
        <v>61.7</v>
      </c>
      <c r="M1551" s="61">
        <v>49.2</v>
      </c>
      <c r="N1551" s="61">
        <v>61.6</v>
      </c>
      <c r="O1551" s="85">
        <v>47.3</v>
      </c>
      <c r="P1551" s="105"/>
      <c r="Q1551" s="87">
        <f t="shared" si="149"/>
        <v>-1.6648094252737695E-3</v>
      </c>
      <c r="R1551" s="87">
        <f t="shared" si="147"/>
        <v>-6.8623879513183682E-4</v>
      </c>
      <c r="S1551" s="87">
        <f t="shared" si="147"/>
        <v>1.2953024656686133E-2</v>
      </c>
      <c r="T1551" s="87">
        <f t="shared" si="146"/>
        <v>-2.5001302205417384E-2</v>
      </c>
      <c r="U1551" s="87">
        <f t="shared" si="146"/>
        <v>9.1869551707258633E-4</v>
      </c>
      <c r="V1551" s="87">
        <f t="shared" si="146"/>
        <v>-6.4865092296066615E-3</v>
      </c>
      <c r="W1551" s="87">
        <f t="shared" si="146"/>
        <v>-2.7292142288007512E-2</v>
      </c>
      <c r="X1551" s="87">
        <f t="shared" si="146"/>
        <v>-7.8252196899748133E-2</v>
      </c>
      <c r="Y1551" s="87">
        <f t="shared" si="148"/>
        <v>-1.7192400540372875E-2</v>
      </c>
      <c r="Z1551" s="87">
        <f t="shared" si="148"/>
        <v>0</v>
      </c>
      <c r="AA1551" s="87">
        <f t="shared" si="148"/>
        <v>-6.4620580280909798E-3</v>
      </c>
      <c r="AB1551" s="87">
        <f t="shared" si="148"/>
        <v>-1.6129381929883529E-2</v>
      </c>
      <c r="AC1551" s="87">
        <f t="shared" si="148"/>
        <v>1.6366977464205412E-2</v>
      </c>
      <c r="AD1551" s="87">
        <f t="shared" si="148"/>
        <v>-6.3224657394871263E-3</v>
      </c>
      <c r="AE1551" s="90">
        <f t="shared" ref="AE1551:AE1614" si="150">+SUMPRODUCT(Q1551:AD1551,$Q$8:$AD$8)</f>
        <v>3.0806906666616882E-3</v>
      </c>
    </row>
    <row r="1552" spans="1:31" ht="15.5" x14ac:dyDescent="0.35">
      <c r="A1552" s="82">
        <v>42018</v>
      </c>
      <c r="B1552" s="83">
        <v>10565.4</v>
      </c>
      <c r="C1552" s="84">
        <v>4639.3</v>
      </c>
      <c r="D1552" s="61">
        <v>498.2</v>
      </c>
      <c r="E1552" s="61">
        <v>47.1</v>
      </c>
      <c r="F1552" s="61">
        <v>108.5</v>
      </c>
      <c r="G1552" s="61">
        <v>45.6</v>
      </c>
      <c r="H1552" s="61">
        <v>24.9</v>
      </c>
      <c r="I1552" s="61">
        <v>24.7</v>
      </c>
      <c r="J1552" s="61">
        <v>34.4</v>
      </c>
      <c r="K1552" s="61">
        <v>7.7</v>
      </c>
      <c r="L1552" s="61">
        <v>61.5</v>
      </c>
      <c r="M1552" s="61">
        <v>48.1</v>
      </c>
      <c r="N1552" s="61">
        <v>60.3</v>
      </c>
      <c r="O1552" s="85">
        <v>46.5</v>
      </c>
      <c r="P1552" s="105"/>
      <c r="Q1552" s="87">
        <f t="shared" si="149"/>
        <v>-5.4369505852260901E-3</v>
      </c>
      <c r="R1552" s="87">
        <f t="shared" si="147"/>
        <v>-4.7737919662394481E-3</v>
      </c>
      <c r="S1552" s="87">
        <f t="shared" si="147"/>
        <v>1.8081371073871311E-3</v>
      </c>
      <c r="T1552" s="87">
        <f t="shared" si="146"/>
        <v>-6.3492276786586681E-3</v>
      </c>
      <c r="U1552" s="87">
        <f t="shared" si="146"/>
        <v>-3.6798569584006197E-3</v>
      </c>
      <c r="V1552" s="87">
        <f t="shared" si="146"/>
        <v>-1.0905233482262468E-2</v>
      </c>
      <c r="W1552" s="87">
        <f t="shared" si="146"/>
        <v>-1.5936592262812754E-2</v>
      </c>
      <c r="X1552" s="87">
        <f t="shared" si="146"/>
        <v>-4.3571248293640306E-2</v>
      </c>
      <c r="Y1552" s="87">
        <f t="shared" si="148"/>
        <v>-5.7971176843259579E-3</v>
      </c>
      <c r="Z1552" s="87">
        <f t="shared" si="148"/>
        <v>-2.564243061333767E-2</v>
      </c>
      <c r="AA1552" s="87">
        <f t="shared" si="148"/>
        <v>-3.2467560988699812E-3</v>
      </c>
      <c r="AB1552" s="87">
        <f t="shared" si="148"/>
        <v>-2.2611446386546916E-2</v>
      </c>
      <c r="AC1552" s="87">
        <f t="shared" si="148"/>
        <v>-2.1329766806334412E-2</v>
      </c>
      <c r="AD1552" s="87">
        <f t="shared" si="148"/>
        <v>-1.7057982904576625E-2</v>
      </c>
      <c r="AE1552" s="90">
        <f t="shared" si="150"/>
        <v>-4.02716121815694E-3</v>
      </c>
    </row>
    <row r="1553" spans="1:31" ht="15.5" x14ac:dyDescent="0.35">
      <c r="A1553" s="82">
        <v>42019</v>
      </c>
      <c r="B1553" s="83">
        <v>10514.6</v>
      </c>
      <c r="C1553" s="84">
        <v>4570.8</v>
      </c>
      <c r="D1553" s="61">
        <v>502</v>
      </c>
      <c r="E1553" s="61">
        <v>46.2</v>
      </c>
      <c r="F1553" s="61">
        <v>106.7</v>
      </c>
      <c r="G1553" s="61">
        <v>45.4</v>
      </c>
      <c r="H1553" s="61">
        <v>24.9</v>
      </c>
      <c r="I1553" s="61">
        <v>24.5</v>
      </c>
      <c r="J1553" s="61">
        <v>34.799999999999997</v>
      </c>
      <c r="K1553" s="61">
        <v>7.7</v>
      </c>
      <c r="L1553" s="61">
        <v>61.8</v>
      </c>
      <c r="M1553" s="61">
        <v>47.7</v>
      </c>
      <c r="N1553" s="61">
        <v>60.1</v>
      </c>
      <c r="O1553" s="85">
        <v>46.3</v>
      </c>
      <c r="P1553" s="105"/>
      <c r="Q1553" s="87">
        <f t="shared" si="149"/>
        <v>-4.8197436755212531E-3</v>
      </c>
      <c r="R1553" s="87">
        <f t="shared" si="147"/>
        <v>-1.4875248497950201E-2</v>
      </c>
      <c r="S1553" s="87">
        <f t="shared" si="147"/>
        <v>7.5985168636492038E-3</v>
      </c>
      <c r="T1553" s="87">
        <f t="shared" si="146"/>
        <v>-1.9293202934678896E-2</v>
      </c>
      <c r="U1553" s="87">
        <f t="shared" si="146"/>
        <v>-1.6729014672806554E-2</v>
      </c>
      <c r="V1553" s="87">
        <f t="shared" si="146"/>
        <v>-4.3956114730381093E-3</v>
      </c>
      <c r="W1553" s="87">
        <f t="shared" si="146"/>
        <v>0</v>
      </c>
      <c r="X1553" s="87">
        <f t="shared" si="146"/>
        <v>-8.1301260832501755E-3</v>
      </c>
      <c r="Y1553" s="87">
        <f t="shared" si="148"/>
        <v>1.1560822401076006E-2</v>
      </c>
      <c r="Z1553" s="87">
        <f t="shared" si="148"/>
        <v>0</v>
      </c>
      <c r="AA1553" s="87">
        <f t="shared" si="148"/>
        <v>4.8661896511729063E-3</v>
      </c>
      <c r="AB1553" s="87">
        <f t="shared" si="148"/>
        <v>-8.3507792174199631E-3</v>
      </c>
      <c r="AC1553" s="87">
        <f t="shared" si="148"/>
        <v>-3.322262191977848E-3</v>
      </c>
      <c r="AD1553" s="87">
        <f t="shared" si="148"/>
        <v>-4.3103515011223229E-3</v>
      </c>
      <c r="AE1553" s="90">
        <f t="shared" si="150"/>
        <v>-7.5416508993920812E-3</v>
      </c>
    </row>
    <row r="1554" spans="1:31" ht="15.5" x14ac:dyDescent="0.35">
      <c r="A1554" s="82">
        <v>42020</v>
      </c>
      <c r="B1554" s="83">
        <v>10660.3</v>
      </c>
      <c r="C1554" s="84">
        <v>4634.3999999999996</v>
      </c>
      <c r="D1554" s="61">
        <v>503.1</v>
      </c>
      <c r="E1554" s="61">
        <v>45.9</v>
      </c>
      <c r="F1554" s="61">
        <v>105.2</v>
      </c>
      <c r="G1554" s="61">
        <v>45.2</v>
      </c>
      <c r="H1554" s="61">
        <v>24.8</v>
      </c>
      <c r="I1554" s="61">
        <v>24.2</v>
      </c>
      <c r="J1554" s="61">
        <v>34.5</v>
      </c>
      <c r="K1554" s="61">
        <v>7.4</v>
      </c>
      <c r="L1554" s="61">
        <v>61.5</v>
      </c>
      <c r="M1554" s="61">
        <v>47.9</v>
      </c>
      <c r="N1554" s="61">
        <v>60.3</v>
      </c>
      <c r="O1554" s="85">
        <v>46</v>
      </c>
      <c r="P1554" s="105"/>
      <c r="Q1554" s="87">
        <f t="shared" si="149"/>
        <v>1.3761793393692424E-2</v>
      </c>
      <c r="R1554" s="87">
        <f t="shared" si="147"/>
        <v>1.3818496509855525E-2</v>
      </c>
      <c r="S1554" s="87">
        <f t="shared" si="147"/>
        <v>2.1888378055437492E-3</v>
      </c>
      <c r="T1554" s="87">
        <f t="shared" si="146"/>
        <v>-6.5146810211937538E-3</v>
      </c>
      <c r="U1554" s="87">
        <f t="shared" si="146"/>
        <v>-1.4157858004098217E-2</v>
      </c>
      <c r="V1554" s="87">
        <f t="shared" si="146"/>
        <v>-4.4150182091167202E-3</v>
      </c>
      <c r="W1554" s="87">
        <f t="shared" si="146"/>
        <v>-4.0241502997253797E-3</v>
      </c>
      <c r="X1554" s="87">
        <f t="shared" si="146"/>
        <v>-1.2320484388040624E-2</v>
      </c>
      <c r="Y1554" s="87">
        <f t="shared" si="148"/>
        <v>-8.6580627431145415E-3</v>
      </c>
      <c r="Z1554" s="87">
        <f t="shared" si="148"/>
        <v>-3.9740328649514108E-2</v>
      </c>
      <c r="AA1554" s="87">
        <f t="shared" si="148"/>
        <v>-4.8661896511728994E-3</v>
      </c>
      <c r="AB1554" s="87">
        <f t="shared" si="148"/>
        <v>4.1841065225738695E-3</v>
      </c>
      <c r="AC1554" s="87">
        <f t="shared" si="148"/>
        <v>3.3222621919778601E-3</v>
      </c>
      <c r="AD1554" s="87">
        <f t="shared" si="148"/>
        <v>-6.5005646030933161E-3</v>
      </c>
      <c r="AE1554" s="90">
        <f t="shared" si="150"/>
        <v>-5.5527662579091296E-5</v>
      </c>
    </row>
    <row r="1555" spans="1:31" ht="15.5" x14ac:dyDescent="0.35">
      <c r="A1555" s="82">
        <v>42024</v>
      </c>
      <c r="B1555" s="83">
        <v>10658.6</v>
      </c>
      <c r="C1555" s="84">
        <v>4654.8999999999996</v>
      </c>
      <c r="D1555" s="61">
        <v>509.4</v>
      </c>
      <c r="E1555" s="61">
        <v>46.8</v>
      </c>
      <c r="F1555" s="61">
        <v>106.5</v>
      </c>
      <c r="G1555" s="61">
        <v>45.6</v>
      </c>
      <c r="H1555" s="61">
        <v>25.2</v>
      </c>
      <c r="I1555" s="61">
        <v>24.5</v>
      </c>
      <c r="J1555" s="61">
        <v>35.1</v>
      </c>
      <c r="K1555" s="61">
        <v>7.2</v>
      </c>
      <c r="L1555" s="61">
        <v>61.9</v>
      </c>
      <c r="M1555" s="61">
        <v>48.2</v>
      </c>
      <c r="N1555" s="61">
        <v>60.9</v>
      </c>
      <c r="O1555" s="85">
        <v>46.3</v>
      </c>
      <c r="P1555" s="105"/>
      <c r="Q1555" s="87">
        <f t="shared" si="149"/>
        <v>-1.5948290048756254E-4</v>
      </c>
      <c r="R1555" s="87">
        <f t="shared" si="147"/>
        <v>4.4136874208842826E-3</v>
      </c>
      <c r="S1555" s="87">
        <f t="shared" si="147"/>
        <v>1.2444605048083746E-2</v>
      </c>
      <c r="T1555" s="87">
        <f t="shared" si="146"/>
        <v>1.9418085857101516E-2</v>
      </c>
      <c r="U1555" s="87">
        <f t="shared" si="146"/>
        <v>1.2281684845870229E-2</v>
      </c>
      <c r="V1555" s="87">
        <f t="shared" si="146"/>
        <v>8.8106296821549059E-3</v>
      </c>
      <c r="W1555" s="87">
        <f t="shared" si="146"/>
        <v>1.600034134644112E-2</v>
      </c>
      <c r="X1555" s="87">
        <f t="shared" si="146"/>
        <v>1.2320484388040657E-2</v>
      </c>
      <c r="Y1555" s="87">
        <f t="shared" si="148"/>
        <v>1.7241806434506173E-2</v>
      </c>
      <c r="Z1555" s="87">
        <f t="shared" si="148"/>
        <v>-2.7398974188114503E-2</v>
      </c>
      <c r="AA1555" s="87">
        <f t="shared" si="148"/>
        <v>6.483004878078312E-3</v>
      </c>
      <c r="AB1555" s="87">
        <f t="shared" si="148"/>
        <v>6.2435166396852407E-3</v>
      </c>
      <c r="AC1555" s="87">
        <f t="shared" si="148"/>
        <v>9.9010709827115368E-3</v>
      </c>
      <c r="AD1555" s="87">
        <f t="shared" si="148"/>
        <v>6.5005646030932424E-3</v>
      </c>
      <c r="AE1555" s="90">
        <f t="shared" si="150"/>
        <v>9.2682765925726964E-3</v>
      </c>
    </row>
    <row r="1556" spans="1:31" ht="15.5" x14ac:dyDescent="0.35">
      <c r="A1556" s="82">
        <v>42025</v>
      </c>
      <c r="B1556" s="83">
        <v>10720.4</v>
      </c>
      <c r="C1556" s="84">
        <v>4667.3999999999996</v>
      </c>
      <c r="D1556" s="61">
        <v>509.6</v>
      </c>
      <c r="E1556" s="61">
        <v>47.3</v>
      </c>
      <c r="F1556" s="61">
        <v>108.3</v>
      </c>
      <c r="G1556" s="61">
        <v>45.5</v>
      </c>
      <c r="H1556" s="61">
        <v>25.3</v>
      </c>
      <c r="I1556" s="61">
        <v>24.8</v>
      </c>
      <c r="J1556" s="61">
        <v>35.5</v>
      </c>
      <c r="K1556" s="61">
        <v>7.1</v>
      </c>
      <c r="L1556" s="61">
        <v>62.1</v>
      </c>
      <c r="M1556" s="61">
        <v>47.9</v>
      </c>
      <c r="N1556" s="61">
        <v>61.4</v>
      </c>
      <c r="O1556" s="85">
        <v>46.5</v>
      </c>
      <c r="P1556" s="105"/>
      <c r="Q1556" s="87">
        <f t="shared" si="149"/>
        <v>5.7813903490290244E-3</v>
      </c>
      <c r="R1556" s="87">
        <f t="shared" si="147"/>
        <v>2.6817432374848398E-3</v>
      </c>
      <c r="S1556" s="87">
        <f t="shared" si="147"/>
        <v>3.9254171259710843E-4</v>
      </c>
      <c r="T1556" s="87">
        <f t="shared" si="146"/>
        <v>1.0627092574286193E-2</v>
      </c>
      <c r="U1556" s="87">
        <f t="shared" si="146"/>
        <v>1.6760168857465101E-2</v>
      </c>
      <c r="V1556" s="87">
        <f t="shared" si="146"/>
        <v>-2.1953905634357262E-3</v>
      </c>
      <c r="W1556" s="87">
        <f t="shared" si="146"/>
        <v>3.9604012160969143E-3</v>
      </c>
      <c r="X1556" s="87">
        <f t="shared" si="146"/>
        <v>1.2170535620255114E-2</v>
      </c>
      <c r="Y1556" s="87">
        <f t="shared" si="148"/>
        <v>1.1331566009550018E-2</v>
      </c>
      <c r="Z1556" s="87">
        <f t="shared" si="148"/>
        <v>-1.3986241974739952E-2</v>
      </c>
      <c r="AA1556" s="87">
        <f t="shared" si="148"/>
        <v>3.2258092488827899E-3</v>
      </c>
      <c r="AB1556" s="87">
        <f t="shared" si="148"/>
        <v>-6.2435166396851592E-3</v>
      </c>
      <c r="AC1556" s="87">
        <f t="shared" si="148"/>
        <v>8.1766604372455389E-3</v>
      </c>
      <c r="AD1556" s="87">
        <f t="shared" si="148"/>
        <v>4.3103515011222631E-3</v>
      </c>
      <c r="AE1556" s="90">
        <f t="shared" si="150"/>
        <v>6.2350710431314958E-3</v>
      </c>
    </row>
    <row r="1557" spans="1:31" ht="15.5" x14ac:dyDescent="0.35">
      <c r="A1557" s="82">
        <v>42026</v>
      </c>
      <c r="B1557" s="83">
        <v>10859.3</v>
      </c>
      <c r="C1557" s="84">
        <v>4750.3999999999996</v>
      </c>
      <c r="D1557" s="61">
        <v>521.9</v>
      </c>
      <c r="E1557" s="61">
        <v>48</v>
      </c>
      <c r="F1557" s="61">
        <v>109.7</v>
      </c>
      <c r="G1557" s="61">
        <v>46.1</v>
      </c>
      <c r="H1557" s="61">
        <v>25.6</v>
      </c>
      <c r="I1557" s="61">
        <v>25.8</v>
      </c>
      <c r="J1557" s="61">
        <v>35.9</v>
      </c>
      <c r="K1557" s="61">
        <v>7.3</v>
      </c>
      <c r="L1557" s="61">
        <v>61.5</v>
      </c>
      <c r="M1557" s="61">
        <v>49.1</v>
      </c>
      <c r="N1557" s="61">
        <v>61.8</v>
      </c>
      <c r="O1557" s="85">
        <v>46.8</v>
      </c>
      <c r="P1557" s="105"/>
      <c r="Q1557" s="87">
        <f t="shared" si="149"/>
        <v>1.2873387327087352E-2</v>
      </c>
      <c r="R1557" s="87">
        <f t="shared" si="147"/>
        <v>1.7626653568712018E-2</v>
      </c>
      <c r="S1557" s="87">
        <f t="shared" si="147"/>
        <v>2.3849894391413936E-2</v>
      </c>
      <c r="T1557" s="87">
        <f t="shared" si="146"/>
        <v>1.469071541000381E-2</v>
      </c>
      <c r="U1557" s="87">
        <f t="shared" si="146"/>
        <v>1.2844213274239732E-2</v>
      </c>
      <c r="V1557" s="87">
        <f t="shared" si="146"/>
        <v>1.3100624045698056E-2</v>
      </c>
      <c r="W1557" s="87">
        <f t="shared" si="146"/>
        <v>1.1787955752042173E-2</v>
      </c>
      <c r="X1557" s="87">
        <f t="shared" si="146"/>
        <v>3.9530838756635218E-2</v>
      </c>
      <c r="Y1557" s="87">
        <f t="shared" si="148"/>
        <v>1.1204599012863062E-2</v>
      </c>
      <c r="Z1557" s="87">
        <f t="shared" si="148"/>
        <v>2.7779564107075671E-2</v>
      </c>
      <c r="AA1557" s="87">
        <f t="shared" si="148"/>
        <v>-9.7088141269609379E-3</v>
      </c>
      <c r="AB1557" s="87">
        <f t="shared" si="148"/>
        <v>2.4743530383605366E-2</v>
      </c>
      <c r="AC1557" s="87">
        <f t="shared" si="148"/>
        <v>6.4935293105483115E-3</v>
      </c>
      <c r="AD1557" s="87">
        <f t="shared" si="148"/>
        <v>6.4308903302903314E-3</v>
      </c>
      <c r="AE1557" s="90">
        <f t="shared" si="150"/>
        <v>1.6720285243593713E-2</v>
      </c>
    </row>
    <row r="1558" spans="1:31" ht="15.5" x14ac:dyDescent="0.35">
      <c r="A1558" s="82">
        <v>42027</v>
      </c>
      <c r="B1558" s="83">
        <v>10788.3</v>
      </c>
      <c r="C1558" s="84">
        <v>4757.8999999999996</v>
      </c>
      <c r="D1558" s="61">
        <v>535.79999999999995</v>
      </c>
      <c r="E1558" s="61">
        <v>48.6</v>
      </c>
      <c r="F1558" s="61">
        <v>111.5</v>
      </c>
      <c r="G1558" s="61">
        <v>46.8</v>
      </c>
      <c r="H1558" s="61">
        <v>25.7</v>
      </c>
      <c r="I1558" s="61">
        <v>25.4</v>
      </c>
      <c r="J1558" s="61">
        <v>35.799999999999997</v>
      </c>
      <c r="K1558" s="61">
        <v>7.4</v>
      </c>
      <c r="L1558" s="61">
        <v>62.4</v>
      </c>
      <c r="M1558" s="61">
        <v>48.7</v>
      </c>
      <c r="N1558" s="61">
        <v>61.2</v>
      </c>
      <c r="O1558" s="85">
        <v>47.8</v>
      </c>
      <c r="P1558" s="105"/>
      <c r="Q1558" s="87">
        <f t="shared" si="149"/>
        <v>-6.5596421393138331E-3</v>
      </c>
      <c r="R1558" s="87">
        <f t="shared" si="147"/>
        <v>1.5775693984104507E-3</v>
      </c>
      <c r="S1558" s="87">
        <f t="shared" si="147"/>
        <v>2.6284958461140786E-2</v>
      </c>
      <c r="T1558" s="87">
        <f t="shared" si="146"/>
        <v>1.242251999855711E-2</v>
      </c>
      <c r="U1558" s="87">
        <f t="shared" si="146"/>
        <v>1.6275223618988852E-2</v>
      </c>
      <c r="V1558" s="87">
        <f t="shared" si="146"/>
        <v>1.5070252920998173E-2</v>
      </c>
      <c r="W1558" s="87">
        <f t="shared" si="146"/>
        <v>3.8986404156573229E-3</v>
      </c>
      <c r="X1558" s="87">
        <f t="shared" si="146"/>
        <v>-1.562531790308087E-2</v>
      </c>
      <c r="Y1558" s="87">
        <f t="shared" si="148"/>
        <v>-2.7894020875786365E-3</v>
      </c>
      <c r="Z1558" s="87">
        <f t="shared" si="148"/>
        <v>1.3605652055778678E-2</v>
      </c>
      <c r="AA1558" s="87">
        <f t="shared" si="148"/>
        <v>1.4528100562909808E-2</v>
      </c>
      <c r="AB1558" s="87">
        <f t="shared" si="148"/>
        <v>-8.1800047119308071E-3</v>
      </c>
      <c r="AC1558" s="87">
        <f t="shared" si="148"/>
        <v>-9.7561749453645725E-3</v>
      </c>
      <c r="AD1558" s="87">
        <f t="shared" si="148"/>
        <v>2.1142436573809164E-2</v>
      </c>
      <c r="AE1558" s="90">
        <f t="shared" si="150"/>
        <v>1.5391718273728431E-2</v>
      </c>
    </row>
    <row r="1559" spans="1:31" ht="15.5" x14ac:dyDescent="0.35">
      <c r="A1559" s="82">
        <v>42030</v>
      </c>
      <c r="B1559" s="83">
        <v>10847.2</v>
      </c>
      <c r="C1559" s="84">
        <v>4771.8</v>
      </c>
      <c r="D1559" s="61">
        <v>532.1</v>
      </c>
      <c r="E1559" s="61">
        <v>49.1</v>
      </c>
      <c r="F1559" s="61">
        <v>112.8</v>
      </c>
      <c r="G1559" s="61">
        <v>46.2</v>
      </c>
      <c r="H1559" s="61">
        <v>25.8</v>
      </c>
      <c r="I1559" s="61">
        <v>25.4</v>
      </c>
      <c r="J1559" s="61">
        <v>35.6</v>
      </c>
      <c r="K1559" s="61">
        <v>7.4</v>
      </c>
      <c r="L1559" s="61">
        <v>62.1</v>
      </c>
      <c r="M1559" s="61">
        <v>48.6</v>
      </c>
      <c r="N1559" s="61">
        <v>60.5</v>
      </c>
      <c r="O1559" s="85">
        <v>47.8</v>
      </c>
      <c r="P1559" s="105"/>
      <c r="Q1559" s="87">
        <f t="shared" si="149"/>
        <v>5.444768598826099E-3</v>
      </c>
      <c r="R1559" s="87">
        <f t="shared" si="147"/>
        <v>2.9171977832388321E-3</v>
      </c>
      <c r="S1559" s="87">
        <f t="shared" si="147"/>
        <v>-6.9295155081846227E-3</v>
      </c>
      <c r="T1559" s="87">
        <f t="shared" si="146"/>
        <v>1.023550389402671E-2</v>
      </c>
      <c r="U1559" s="87">
        <f t="shared" si="146"/>
        <v>1.1591748163785151E-2</v>
      </c>
      <c r="V1559" s="87">
        <f t="shared" si="146"/>
        <v>-1.2903404835907729E-2</v>
      </c>
      <c r="W1559" s="87">
        <f t="shared" si="146"/>
        <v>3.8835000263976122E-3</v>
      </c>
      <c r="X1559" s="87">
        <f t="shared" si="146"/>
        <v>0</v>
      </c>
      <c r="Y1559" s="87">
        <f t="shared" si="148"/>
        <v>-5.6022555486696752E-3</v>
      </c>
      <c r="Z1559" s="87">
        <f t="shared" si="148"/>
        <v>0</v>
      </c>
      <c r="AA1559" s="87">
        <f t="shared" si="148"/>
        <v>-4.8192864359488828E-3</v>
      </c>
      <c r="AB1559" s="87">
        <f t="shared" si="148"/>
        <v>-2.055499182095999E-3</v>
      </c>
      <c r="AC1559" s="87">
        <f t="shared" si="148"/>
        <v>-1.150382448148469E-2</v>
      </c>
      <c r="AD1559" s="87">
        <f t="shared" si="148"/>
        <v>0</v>
      </c>
      <c r="AE1559" s="90">
        <f t="shared" si="150"/>
        <v>2.1602427156644896E-3</v>
      </c>
    </row>
    <row r="1560" spans="1:31" ht="15.5" x14ac:dyDescent="0.35">
      <c r="A1560" s="82">
        <v>42031</v>
      </c>
      <c r="B1560" s="83">
        <v>10781.8</v>
      </c>
      <c r="C1560" s="84">
        <v>4681.5</v>
      </c>
      <c r="D1560" s="61">
        <v>520.9</v>
      </c>
      <c r="E1560" s="61">
        <v>47.7</v>
      </c>
      <c r="F1560" s="61">
        <v>109</v>
      </c>
      <c r="G1560" s="61">
        <v>42.1</v>
      </c>
      <c r="H1560" s="61">
        <v>26</v>
      </c>
      <c r="I1560" s="61">
        <v>25.2</v>
      </c>
      <c r="J1560" s="61">
        <v>35.5</v>
      </c>
      <c r="K1560" s="61">
        <v>7.5</v>
      </c>
      <c r="L1560" s="61">
        <v>62.1</v>
      </c>
      <c r="M1560" s="61">
        <v>47.8</v>
      </c>
      <c r="N1560" s="61">
        <v>59.4</v>
      </c>
      <c r="O1560" s="85">
        <v>47.1</v>
      </c>
      <c r="P1560" s="105"/>
      <c r="Q1560" s="87">
        <f t="shared" si="149"/>
        <v>-6.0474547427707102E-3</v>
      </c>
      <c r="R1560" s="87">
        <f t="shared" si="147"/>
        <v>-1.9105020812200731E-2</v>
      </c>
      <c r="S1560" s="87">
        <f t="shared" si="147"/>
        <v>-2.1273356851177896E-2</v>
      </c>
      <c r="T1560" s="87">
        <f t="shared" si="146"/>
        <v>-2.8927636906179371E-2</v>
      </c>
      <c r="U1560" s="87">
        <f t="shared" si="146"/>
        <v>-3.4268456834814789E-2</v>
      </c>
      <c r="V1560" s="87">
        <f t="shared" si="146"/>
        <v>-9.293205739935749E-2</v>
      </c>
      <c r="W1560" s="87">
        <f t="shared" si="146"/>
        <v>7.7220460939103185E-3</v>
      </c>
      <c r="X1560" s="87">
        <f t="shared" si="146"/>
        <v>-7.9051795071132611E-3</v>
      </c>
      <c r="Y1560" s="87">
        <f t="shared" si="148"/>
        <v>-2.8129413766147236E-3</v>
      </c>
      <c r="Z1560" s="87">
        <f t="shared" si="148"/>
        <v>1.342302033214055E-2</v>
      </c>
      <c r="AA1560" s="87">
        <f t="shared" si="148"/>
        <v>0</v>
      </c>
      <c r="AB1560" s="87">
        <f t="shared" si="148"/>
        <v>-1.6597891409037828E-2</v>
      </c>
      <c r="AC1560" s="87">
        <f t="shared" si="148"/>
        <v>-1.8349138668196541E-2</v>
      </c>
      <c r="AD1560" s="87">
        <f t="shared" si="148"/>
        <v>-1.4752638475038183E-2</v>
      </c>
      <c r="AE1560" s="90">
        <f t="shared" si="150"/>
        <v>-2.3546624380505813E-2</v>
      </c>
    </row>
    <row r="1561" spans="1:31" ht="15.5" x14ac:dyDescent="0.35">
      <c r="A1561" s="82">
        <v>42032</v>
      </c>
      <c r="B1561" s="83">
        <v>10603.9</v>
      </c>
      <c r="C1561" s="84">
        <v>4638</v>
      </c>
      <c r="D1561" s="61">
        <v>512.4</v>
      </c>
      <c r="E1561" s="61">
        <v>46.3</v>
      </c>
      <c r="F1561" s="61">
        <v>115.3</v>
      </c>
      <c r="G1561" s="61">
        <v>41.2</v>
      </c>
      <c r="H1561" s="61">
        <v>25.7</v>
      </c>
      <c r="I1561" s="61">
        <v>23.9</v>
      </c>
      <c r="J1561" s="61">
        <v>36</v>
      </c>
      <c r="K1561" s="61">
        <v>7.5</v>
      </c>
      <c r="L1561" s="61">
        <v>61.3</v>
      </c>
      <c r="M1561" s="61">
        <v>46.8</v>
      </c>
      <c r="N1561" s="61">
        <v>65</v>
      </c>
      <c r="O1561" s="85">
        <v>46.6</v>
      </c>
      <c r="P1561" s="105"/>
      <c r="Q1561" s="87">
        <f t="shared" si="149"/>
        <v>-1.6637669444500475E-2</v>
      </c>
      <c r="R1561" s="87">
        <f t="shared" si="147"/>
        <v>-9.3353325634668687E-3</v>
      </c>
      <c r="S1561" s="87">
        <f t="shared" si="147"/>
        <v>-1.6452514728566622E-2</v>
      </c>
      <c r="T1561" s="87">
        <f t="shared" si="146"/>
        <v>-2.9789436802107213E-2</v>
      </c>
      <c r="U1561" s="87">
        <f t="shared" si="146"/>
        <v>5.618954504586967E-2</v>
      </c>
      <c r="V1561" s="87">
        <f t="shared" si="146"/>
        <v>-2.1609484332854988E-2</v>
      </c>
      <c r="W1561" s="87">
        <f t="shared" si="146"/>
        <v>-1.1605546120308003E-2</v>
      </c>
      <c r="X1561" s="87">
        <f t="shared" si="146"/>
        <v>-5.2965535579912681E-2</v>
      </c>
      <c r="Y1561" s="87">
        <f t="shared" si="148"/>
        <v>1.398624197473987E-2</v>
      </c>
      <c r="Z1561" s="87">
        <f t="shared" si="148"/>
        <v>0</v>
      </c>
      <c r="AA1561" s="87">
        <f t="shared" si="148"/>
        <v>-1.2966145997267423E-2</v>
      </c>
      <c r="AB1561" s="87">
        <f t="shared" si="148"/>
        <v>-2.1142436573809237E-2</v>
      </c>
      <c r="AC1561" s="87">
        <f t="shared" si="148"/>
        <v>9.0093043527037883E-2</v>
      </c>
      <c r="AD1561" s="87">
        <f t="shared" si="148"/>
        <v>-1.0672459890771872E-2</v>
      </c>
      <c r="AE1561" s="90">
        <f t="shared" si="150"/>
        <v>7.1545978818058301E-3</v>
      </c>
    </row>
    <row r="1562" spans="1:31" ht="15.5" x14ac:dyDescent="0.35">
      <c r="A1562" s="82">
        <v>42033</v>
      </c>
      <c r="B1562" s="83">
        <v>10691.6</v>
      </c>
      <c r="C1562" s="84">
        <v>4683.3999999999996</v>
      </c>
      <c r="D1562" s="61">
        <v>503.5</v>
      </c>
      <c r="E1562" s="61">
        <v>41.8</v>
      </c>
      <c r="F1562" s="61">
        <v>115.6</v>
      </c>
      <c r="G1562" s="61">
        <v>40.799999999999997</v>
      </c>
      <c r="H1562" s="61">
        <v>25.5</v>
      </c>
      <c r="I1562" s="61">
        <v>23.7</v>
      </c>
      <c r="J1562" s="61">
        <v>35.700000000000003</v>
      </c>
      <c r="K1562" s="61">
        <v>7.1</v>
      </c>
      <c r="L1562" s="61">
        <v>60.8</v>
      </c>
      <c r="M1562" s="61">
        <v>46.3</v>
      </c>
      <c r="N1562" s="61">
        <v>66.8</v>
      </c>
      <c r="O1562" s="85">
        <v>46.6</v>
      </c>
      <c r="P1562" s="105"/>
      <c r="Q1562" s="87">
        <f t="shared" si="149"/>
        <v>8.2365284496446461E-3</v>
      </c>
      <c r="R1562" s="87">
        <f t="shared" si="147"/>
        <v>9.7411030524350121E-3</v>
      </c>
      <c r="S1562" s="87">
        <f t="shared" si="147"/>
        <v>-1.7521857863962157E-2</v>
      </c>
      <c r="T1562" s="87">
        <f t="shared" si="146"/>
        <v>-0.10224562156147778</v>
      </c>
      <c r="U1562" s="87">
        <f t="shared" si="146"/>
        <v>2.5985289632637311E-3</v>
      </c>
      <c r="V1562" s="87">
        <f t="shared" si="146"/>
        <v>-9.756174945364798E-3</v>
      </c>
      <c r="W1562" s="87">
        <f t="shared" si="146"/>
        <v>-7.8125397367936247E-3</v>
      </c>
      <c r="X1562" s="87">
        <f t="shared" si="146"/>
        <v>-8.4034107963795041E-3</v>
      </c>
      <c r="Y1562" s="87">
        <f t="shared" si="148"/>
        <v>-8.3682496705165792E-3</v>
      </c>
      <c r="Z1562" s="87">
        <f t="shared" si="148"/>
        <v>-5.4808236494995027E-2</v>
      </c>
      <c r="AA1562" s="87">
        <f t="shared" si="148"/>
        <v>-8.190053970044367E-3</v>
      </c>
      <c r="AB1562" s="87">
        <f t="shared" si="148"/>
        <v>-1.0741241831412625E-2</v>
      </c>
      <c r="AC1562" s="87">
        <f t="shared" si="148"/>
        <v>2.7315810646962924E-2</v>
      </c>
      <c r="AD1562" s="87">
        <f t="shared" si="148"/>
        <v>0</v>
      </c>
      <c r="AE1562" s="90">
        <f t="shared" si="150"/>
        <v>-1.4668732993432727E-3</v>
      </c>
    </row>
    <row r="1563" spans="1:31" ht="15.5" x14ac:dyDescent="0.35">
      <c r="A1563" s="82">
        <v>42034</v>
      </c>
      <c r="B1563" s="83">
        <v>10537.2</v>
      </c>
      <c r="C1563" s="84">
        <v>4635.2</v>
      </c>
      <c r="D1563" s="61">
        <v>518.20000000000005</v>
      </c>
      <c r="E1563" s="61">
        <v>43.5</v>
      </c>
      <c r="F1563" s="61">
        <v>116.9</v>
      </c>
      <c r="G1563" s="61">
        <v>40.4</v>
      </c>
      <c r="H1563" s="61">
        <v>25.2</v>
      </c>
      <c r="I1563" s="61">
        <v>24.2</v>
      </c>
      <c r="J1563" s="61">
        <v>35.5</v>
      </c>
      <c r="K1563" s="61">
        <v>7.2</v>
      </c>
      <c r="L1563" s="61">
        <v>60</v>
      </c>
      <c r="M1563" s="61">
        <v>46.1</v>
      </c>
      <c r="N1563" s="61">
        <v>67</v>
      </c>
      <c r="O1563" s="85">
        <v>46.1</v>
      </c>
      <c r="P1563" s="105"/>
      <c r="Q1563" s="87">
        <f t="shared" si="149"/>
        <v>-1.4546533256522656E-2</v>
      </c>
      <c r="R1563" s="87">
        <f t="shared" si="147"/>
        <v>-1.0344993852826084E-2</v>
      </c>
      <c r="S1563" s="87">
        <f t="shared" si="147"/>
        <v>2.8777555969392594E-2</v>
      </c>
      <c r="T1563" s="87">
        <f t="shared" si="146"/>
        <v>3.9864598563927822E-2</v>
      </c>
      <c r="U1563" s="87">
        <f t="shared" si="146"/>
        <v>1.1182912239745749E-2</v>
      </c>
      <c r="V1563" s="87">
        <f t="shared" si="146"/>
        <v>-9.8522964430115944E-3</v>
      </c>
      <c r="W1563" s="87">
        <f t="shared" si="146"/>
        <v>-1.1834457647002909E-2</v>
      </c>
      <c r="X1563" s="87">
        <f t="shared" si="146"/>
        <v>2.0877585021555178E-2</v>
      </c>
      <c r="Y1563" s="87">
        <f t="shared" si="148"/>
        <v>-5.6179923042233727E-3</v>
      </c>
      <c r="Z1563" s="87">
        <f t="shared" si="148"/>
        <v>1.398624197473987E-2</v>
      </c>
      <c r="AA1563" s="87">
        <f t="shared" si="148"/>
        <v>-1.3245226750020567E-2</v>
      </c>
      <c r="AB1563" s="87">
        <f t="shared" si="148"/>
        <v>-4.3290110895854699E-3</v>
      </c>
      <c r="AC1563" s="87">
        <f t="shared" si="148"/>
        <v>2.9895388483659859E-3</v>
      </c>
      <c r="AD1563" s="87">
        <f t="shared" si="148"/>
        <v>-1.0787591128997352E-2</v>
      </c>
      <c r="AE1563" s="90">
        <f t="shared" si="150"/>
        <v>7.2105624778951369E-3</v>
      </c>
    </row>
    <row r="1564" spans="1:31" ht="15.5" x14ac:dyDescent="0.35">
      <c r="A1564" s="82">
        <v>42037</v>
      </c>
      <c r="B1564" s="83">
        <v>10669</v>
      </c>
      <c r="C1564" s="84">
        <v>4676.7</v>
      </c>
      <c r="D1564" s="61">
        <v>521.70000000000005</v>
      </c>
      <c r="E1564" s="61">
        <v>43.9</v>
      </c>
      <c r="F1564" s="61">
        <v>116.1</v>
      </c>
      <c r="G1564" s="61">
        <v>40.200000000000003</v>
      </c>
      <c r="H1564" s="61">
        <v>25</v>
      </c>
      <c r="I1564" s="61">
        <v>24</v>
      </c>
      <c r="J1564" s="61">
        <v>36.5</v>
      </c>
      <c r="K1564" s="61">
        <v>7</v>
      </c>
      <c r="L1564" s="61">
        <v>59.8</v>
      </c>
      <c r="M1564" s="61">
        <v>46.6</v>
      </c>
      <c r="N1564" s="61">
        <v>67.2</v>
      </c>
      <c r="O1564" s="85">
        <v>45.4</v>
      </c>
      <c r="P1564" s="105"/>
      <c r="Q1564" s="87">
        <f t="shared" si="149"/>
        <v>1.2430487037511024E-2</v>
      </c>
      <c r="R1564" s="87">
        <f t="shared" si="147"/>
        <v>8.9133849716590812E-3</v>
      </c>
      <c r="S1564" s="87">
        <f t="shared" si="147"/>
        <v>6.7314419003374959E-3</v>
      </c>
      <c r="T1564" s="87">
        <f t="shared" si="146"/>
        <v>9.1533819864872013E-3</v>
      </c>
      <c r="U1564" s="87">
        <f t="shared" si="146"/>
        <v>-6.8669797741770485E-3</v>
      </c>
      <c r="V1564" s="87">
        <f t="shared" si="146"/>
        <v>-4.962789342128902E-3</v>
      </c>
      <c r="W1564" s="87">
        <f t="shared" si="146"/>
        <v>-7.9681696491768449E-3</v>
      </c>
      <c r="X1564" s="87">
        <f t="shared" si="146"/>
        <v>-8.2988028146950658E-3</v>
      </c>
      <c r="Y1564" s="87">
        <f t="shared" si="148"/>
        <v>2.7779564107075671E-2</v>
      </c>
      <c r="Z1564" s="87">
        <f t="shared" si="148"/>
        <v>-2.8170876966696335E-2</v>
      </c>
      <c r="AA1564" s="87">
        <f t="shared" si="148"/>
        <v>-3.3389012655147096E-3</v>
      </c>
      <c r="AB1564" s="87">
        <f t="shared" si="148"/>
        <v>1.0787591128997385E-2</v>
      </c>
      <c r="AC1564" s="87">
        <f t="shared" si="148"/>
        <v>2.9806281381379411E-3</v>
      </c>
      <c r="AD1564" s="87">
        <f t="shared" si="148"/>
        <v>-1.5300844955300598E-2</v>
      </c>
      <c r="AE1564" s="90">
        <f t="shared" si="150"/>
        <v>8.1917214802871056E-4</v>
      </c>
    </row>
    <row r="1565" spans="1:31" ht="15.5" x14ac:dyDescent="0.35">
      <c r="A1565" s="82">
        <v>42038</v>
      </c>
      <c r="B1565" s="83">
        <v>10847.4</v>
      </c>
      <c r="C1565" s="84">
        <v>4727.7</v>
      </c>
      <c r="D1565" s="61">
        <v>526.79999999999995</v>
      </c>
      <c r="E1565" s="61">
        <v>44.4</v>
      </c>
      <c r="F1565" s="61">
        <v>117.6</v>
      </c>
      <c r="G1565" s="61">
        <v>41</v>
      </c>
      <c r="H1565" s="61">
        <v>25.6</v>
      </c>
      <c r="I1565" s="61">
        <v>24.6</v>
      </c>
      <c r="J1565" s="61">
        <v>37</v>
      </c>
      <c r="K1565" s="61">
        <v>7.3</v>
      </c>
      <c r="L1565" s="61">
        <v>59.9</v>
      </c>
      <c r="M1565" s="61">
        <v>48.1</v>
      </c>
      <c r="N1565" s="61">
        <v>69</v>
      </c>
      <c r="O1565" s="85">
        <v>46</v>
      </c>
      <c r="P1565" s="105"/>
      <c r="Q1565" s="87">
        <f t="shared" si="149"/>
        <v>1.658307972456247E-2</v>
      </c>
      <c r="R1565" s="87">
        <f t="shared" si="147"/>
        <v>1.0846093309390384E-2</v>
      </c>
      <c r="S1565" s="87">
        <f t="shared" si="147"/>
        <v>9.7282598407788055E-3</v>
      </c>
      <c r="T1565" s="87">
        <f t="shared" si="146"/>
        <v>1.1325149357053503E-2</v>
      </c>
      <c r="U1565" s="87">
        <f t="shared" si="146"/>
        <v>1.2837146760680682E-2</v>
      </c>
      <c r="V1565" s="87">
        <f t="shared" si="146"/>
        <v>1.9705071079332337E-2</v>
      </c>
      <c r="W1565" s="87">
        <f t="shared" si="146"/>
        <v>2.3716526617316065E-2</v>
      </c>
      <c r="X1565" s="87">
        <f t="shared" si="146"/>
        <v>2.4692612590371633E-2</v>
      </c>
      <c r="Y1565" s="87">
        <f t="shared" si="148"/>
        <v>1.3605652055778678E-2</v>
      </c>
      <c r="Z1565" s="87">
        <f t="shared" si="148"/>
        <v>4.1964199099032207E-2</v>
      </c>
      <c r="AA1565" s="87">
        <f t="shared" si="148"/>
        <v>1.6708441648177223E-3</v>
      </c>
      <c r="AB1565" s="87">
        <f t="shared" si="148"/>
        <v>3.1681635980115398E-2</v>
      </c>
      <c r="AC1565" s="87">
        <f t="shared" si="148"/>
        <v>2.6433257068155431E-2</v>
      </c>
      <c r="AD1565" s="87">
        <f t="shared" si="148"/>
        <v>1.3129291441792802E-2</v>
      </c>
      <c r="AE1565" s="90">
        <f t="shared" si="150"/>
        <v>1.1365669959689996E-2</v>
      </c>
    </row>
    <row r="1566" spans="1:31" ht="15.5" x14ac:dyDescent="0.35">
      <c r="A1566" s="82">
        <v>42039</v>
      </c>
      <c r="B1566" s="83">
        <v>10775</v>
      </c>
      <c r="C1566" s="84">
        <v>4716.7</v>
      </c>
      <c r="D1566" s="61">
        <v>525</v>
      </c>
      <c r="E1566" s="61">
        <v>43.9</v>
      </c>
      <c r="F1566" s="61">
        <v>118.3</v>
      </c>
      <c r="G1566" s="61">
        <v>41.4</v>
      </c>
      <c r="H1566" s="61">
        <v>26.1</v>
      </c>
      <c r="I1566" s="61">
        <v>24.5</v>
      </c>
      <c r="J1566" s="61">
        <v>36.299999999999997</v>
      </c>
      <c r="K1566" s="61">
        <v>7.5</v>
      </c>
      <c r="L1566" s="61">
        <v>58.3</v>
      </c>
      <c r="M1566" s="61">
        <v>48.6</v>
      </c>
      <c r="N1566" s="61">
        <v>69.8</v>
      </c>
      <c r="O1566" s="85">
        <v>46.1</v>
      </c>
      <c r="P1566" s="105"/>
      <c r="Q1566" s="87">
        <f t="shared" si="149"/>
        <v>-6.6967839440751492E-3</v>
      </c>
      <c r="R1566" s="87">
        <f t="shared" si="147"/>
        <v>-2.3294237800241691E-3</v>
      </c>
      <c r="S1566" s="87">
        <f t="shared" si="147"/>
        <v>-3.4227072775021715E-3</v>
      </c>
      <c r="T1566" s="87">
        <f t="shared" si="146"/>
        <v>-1.13251493570534E-2</v>
      </c>
      <c r="U1566" s="87">
        <f t="shared" si="146"/>
        <v>5.9347355198145265E-3</v>
      </c>
      <c r="V1566" s="87">
        <f t="shared" si="146"/>
        <v>9.7088141269609032E-3</v>
      </c>
      <c r="W1566" s="87">
        <f t="shared" si="146"/>
        <v>1.9342962843130935E-2</v>
      </c>
      <c r="X1566" s="87">
        <f t="shared" si="146"/>
        <v>-4.0733253876358982E-3</v>
      </c>
      <c r="Y1566" s="87">
        <f t="shared" si="148"/>
        <v>-1.9100171373419378E-2</v>
      </c>
      <c r="Z1566" s="87">
        <f t="shared" si="148"/>
        <v>2.7028672387919419E-2</v>
      </c>
      <c r="AA1566" s="87">
        <f t="shared" si="148"/>
        <v>-2.7074411764956976E-2</v>
      </c>
      <c r="AB1566" s="87">
        <f t="shared" si="148"/>
        <v>1.0341353794732531E-2</v>
      </c>
      <c r="AC1566" s="87">
        <f t="shared" si="148"/>
        <v>1.1527505171067414E-2</v>
      </c>
      <c r="AD1566" s="87">
        <f t="shared" si="148"/>
        <v>2.1715535135079325E-3</v>
      </c>
      <c r="AE1566" s="90">
        <f t="shared" si="150"/>
        <v>2.606325311787709E-4</v>
      </c>
    </row>
    <row r="1567" spans="1:31" ht="15.5" x14ac:dyDescent="0.35">
      <c r="A1567" s="82">
        <v>42040</v>
      </c>
      <c r="B1567" s="83">
        <v>10896.1</v>
      </c>
      <c r="C1567" s="84">
        <v>4765.1000000000004</v>
      </c>
      <c r="D1567" s="61">
        <v>525.6</v>
      </c>
      <c r="E1567" s="61">
        <v>43</v>
      </c>
      <c r="F1567" s="61">
        <v>119.3</v>
      </c>
      <c r="G1567" s="61">
        <v>41.9</v>
      </c>
      <c r="H1567" s="61">
        <v>25.2</v>
      </c>
      <c r="I1567" s="61">
        <v>24.9</v>
      </c>
      <c r="J1567" s="61">
        <v>36.5</v>
      </c>
      <c r="K1567" s="61">
        <v>7.7</v>
      </c>
      <c r="L1567" s="61">
        <v>58.5</v>
      </c>
      <c r="M1567" s="61">
        <v>48</v>
      </c>
      <c r="N1567" s="61">
        <v>69.900000000000006</v>
      </c>
      <c r="O1567" s="85">
        <v>46.3</v>
      </c>
      <c r="P1567" s="105"/>
      <c r="Q1567" s="87">
        <f t="shared" si="149"/>
        <v>1.1176291055113084E-2</v>
      </c>
      <c r="R1567" s="87">
        <f t="shared" si="147"/>
        <v>1.0209120710847695E-2</v>
      </c>
      <c r="S1567" s="87">
        <f t="shared" si="147"/>
        <v>1.1422045787769796E-3</v>
      </c>
      <c r="T1567" s="87">
        <f t="shared" si="146"/>
        <v>-2.0714204387563221E-2</v>
      </c>
      <c r="U1567" s="87">
        <f t="shared" si="146"/>
        <v>8.4175581195294422E-3</v>
      </c>
      <c r="V1567" s="87">
        <f t="shared" si="146"/>
        <v>1.2004946096823401E-2</v>
      </c>
      <c r="W1567" s="87">
        <f t="shared" si="146"/>
        <v>-3.5091319811270172E-2</v>
      </c>
      <c r="X1567" s="87">
        <f t="shared" si="146"/>
        <v>1.6194685919980606E-2</v>
      </c>
      <c r="Y1567" s="87">
        <f t="shared" si="148"/>
        <v>5.4945193176407798E-3</v>
      </c>
      <c r="Z1567" s="87">
        <f t="shared" si="148"/>
        <v>2.6317308317373358E-2</v>
      </c>
      <c r="AA1567" s="87">
        <f t="shared" si="148"/>
        <v>3.4246608813641747E-3</v>
      </c>
      <c r="AB1567" s="87">
        <f t="shared" si="148"/>
        <v>-1.2422519998557209E-2</v>
      </c>
      <c r="AC1567" s="87">
        <f t="shared" si="148"/>
        <v>1.4316394714378922E-3</v>
      </c>
      <c r="AD1567" s="87">
        <f t="shared" si="148"/>
        <v>4.3290110895854786E-3</v>
      </c>
      <c r="AE1567" s="90">
        <f t="shared" si="150"/>
        <v>6.327656613655923E-3</v>
      </c>
    </row>
    <row r="1568" spans="1:31" ht="15.5" x14ac:dyDescent="0.35">
      <c r="A1568" s="82">
        <v>42041</v>
      </c>
      <c r="B1568" s="83">
        <v>10847.5</v>
      </c>
      <c r="C1568" s="84">
        <v>4744.3999999999996</v>
      </c>
      <c r="D1568" s="61">
        <v>528.70000000000005</v>
      </c>
      <c r="E1568" s="61">
        <v>42.7</v>
      </c>
      <c r="F1568" s="61">
        <v>118.5</v>
      </c>
      <c r="G1568" s="61">
        <v>42.2</v>
      </c>
      <c r="H1568" s="61">
        <v>25.2</v>
      </c>
      <c r="I1568" s="61">
        <v>25</v>
      </c>
      <c r="J1568" s="61">
        <v>36.6</v>
      </c>
      <c r="K1568" s="61">
        <v>7.7</v>
      </c>
      <c r="L1568" s="61">
        <v>58.6</v>
      </c>
      <c r="M1568" s="61">
        <v>49.6</v>
      </c>
      <c r="N1568" s="61">
        <v>70</v>
      </c>
      <c r="O1568" s="85">
        <v>45.8</v>
      </c>
      <c r="P1568" s="105"/>
      <c r="Q1568" s="87">
        <f t="shared" si="149"/>
        <v>-4.4702883545557504E-3</v>
      </c>
      <c r="R1568" s="87">
        <f t="shared" si="147"/>
        <v>-4.3535480718381392E-3</v>
      </c>
      <c r="S1568" s="87">
        <f t="shared" si="147"/>
        <v>5.8806960710038776E-3</v>
      </c>
      <c r="T1568" s="87">
        <f t="shared" si="146"/>
        <v>-7.0011954589834771E-3</v>
      </c>
      <c r="U1568" s="87">
        <f t="shared" si="146"/>
        <v>-6.7283685286845321E-3</v>
      </c>
      <c r="V1568" s="87">
        <f t="shared" si="146"/>
        <v>7.1343941138741112E-3</v>
      </c>
      <c r="W1568" s="87">
        <f t="shared" si="146"/>
        <v>0</v>
      </c>
      <c r="X1568" s="87">
        <f t="shared" si="146"/>
        <v>4.0080213975388678E-3</v>
      </c>
      <c r="Y1568" s="87">
        <f t="shared" si="148"/>
        <v>2.7359798188748455E-3</v>
      </c>
      <c r="Z1568" s="87">
        <f t="shared" si="148"/>
        <v>0</v>
      </c>
      <c r="AA1568" s="87">
        <f t="shared" si="148"/>
        <v>1.7079423451561158E-3</v>
      </c>
      <c r="AB1568" s="87">
        <f t="shared" si="148"/>
        <v>3.278982282299097E-2</v>
      </c>
      <c r="AC1568" s="87">
        <f t="shared" si="148"/>
        <v>1.4295928095943715E-3</v>
      </c>
      <c r="AD1568" s="87">
        <f t="shared" si="148"/>
        <v>-1.0857869972049069E-2</v>
      </c>
      <c r="AE1568" s="90">
        <f t="shared" si="150"/>
        <v>-2.8269690112457529E-3</v>
      </c>
    </row>
    <row r="1569" spans="1:31" ht="15.5" x14ac:dyDescent="0.35">
      <c r="A1569" s="82">
        <v>42044</v>
      </c>
      <c r="B1569" s="83">
        <v>10826.6</v>
      </c>
      <c r="C1569" s="84">
        <v>4726</v>
      </c>
      <c r="D1569" s="61">
        <v>527.6</v>
      </c>
      <c r="E1569" s="61">
        <v>42.5</v>
      </c>
      <c r="F1569" s="61">
        <v>118.4</v>
      </c>
      <c r="G1569" s="61">
        <v>42.2</v>
      </c>
      <c r="H1569" s="61">
        <v>25.4</v>
      </c>
      <c r="I1569" s="61">
        <v>25.2</v>
      </c>
      <c r="J1569" s="61">
        <v>36.700000000000003</v>
      </c>
      <c r="K1569" s="61">
        <v>7.7</v>
      </c>
      <c r="L1569" s="61">
        <v>57.9</v>
      </c>
      <c r="M1569" s="61">
        <v>49</v>
      </c>
      <c r="N1569" s="61">
        <v>70.2</v>
      </c>
      <c r="O1569" s="85">
        <v>45.3</v>
      </c>
      <c r="P1569" s="105"/>
      <c r="Q1569" s="87">
        <f t="shared" si="149"/>
        <v>-1.9285697194275123E-3</v>
      </c>
      <c r="R1569" s="87">
        <f t="shared" si="147"/>
        <v>-3.8857964082674944E-3</v>
      </c>
      <c r="S1569" s="87">
        <f t="shared" si="147"/>
        <v>-2.0827423982450548E-3</v>
      </c>
      <c r="T1569" s="87">
        <f t="shared" si="146"/>
        <v>-4.6948443042078413E-3</v>
      </c>
      <c r="U1569" s="87">
        <f t="shared" si="146"/>
        <v>-8.4423812528053614E-4</v>
      </c>
      <c r="V1569" s="87">
        <f t="shared" si="146"/>
        <v>0</v>
      </c>
      <c r="W1569" s="87">
        <f t="shared" si="146"/>
        <v>7.9051795071132473E-3</v>
      </c>
      <c r="X1569" s="87">
        <f t="shared" si="146"/>
        <v>7.9681696491768813E-3</v>
      </c>
      <c r="Y1569" s="87">
        <f t="shared" si="148"/>
        <v>2.7285146532041358E-3</v>
      </c>
      <c r="Z1569" s="87">
        <f t="shared" si="148"/>
        <v>0</v>
      </c>
      <c r="AA1569" s="87">
        <f t="shared" si="148"/>
        <v>-1.201731200401744E-2</v>
      </c>
      <c r="AB1569" s="87">
        <f t="shared" si="148"/>
        <v>-1.2170535620255179E-2</v>
      </c>
      <c r="AC1569" s="87">
        <f t="shared" si="148"/>
        <v>2.8530689824064807E-3</v>
      </c>
      <c r="AD1569" s="87">
        <f t="shared" si="148"/>
        <v>-1.0977058631150907E-2</v>
      </c>
      <c r="AE1569" s="90">
        <f t="shared" si="150"/>
        <v>-3.3501571113867361E-3</v>
      </c>
    </row>
    <row r="1570" spans="1:31" ht="15.5" x14ac:dyDescent="0.35">
      <c r="A1570" s="82">
        <v>42045</v>
      </c>
      <c r="B1570" s="83">
        <v>10915.1</v>
      </c>
      <c r="C1570" s="84">
        <v>4787.6000000000004</v>
      </c>
      <c r="D1570" s="61">
        <v>529.20000000000005</v>
      </c>
      <c r="E1570" s="61">
        <v>42.7</v>
      </c>
      <c r="F1570" s="61">
        <v>120.2</v>
      </c>
      <c r="G1570" s="61">
        <v>42.2</v>
      </c>
      <c r="H1570" s="61">
        <v>25.3</v>
      </c>
      <c r="I1570" s="61">
        <v>25.5</v>
      </c>
      <c r="J1570" s="61">
        <v>36.299999999999997</v>
      </c>
      <c r="K1570" s="61">
        <v>7.9</v>
      </c>
      <c r="L1570" s="61">
        <v>58.8</v>
      </c>
      <c r="M1570" s="61">
        <v>49.5</v>
      </c>
      <c r="N1570" s="61">
        <v>70.599999999999994</v>
      </c>
      <c r="O1570" s="85">
        <v>45.6</v>
      </c>
      <c r="P1570" s="105"/>
      <c r="Q1570" s="87">
        <f t="shared" si="149"/>
        <v>8.1410826930748675E-3</v>
      </c>
      <c r="R1570" s="87">
        <f t="shared" si="147"/>
        <v>1.2950063252362356E-2</v>
      </c>
      <c r="S1570" s="87">
        <f t="shared" si="147"/>
        <v>3.0280113976411949E-3</v>
      </c>
      <c r="T1570" s="87">
        <f t="shared" si="146"/>
        <v>4.6948443042078847E-3</v>
      </c>
      <c r="U1570" s="87">
        <f t="shared" si="146"/>
        <v>1.5088299651201826E-2</v>
      </c>
      <c r="V1570" s="87">
        <f t="shared" si="146"/>
        <v>0</v>
      </c>
      <c r="W1570" s="87">
        <f t="shared" si="146"/>
        <v>-3.9447782910162288E-3</v>
      </c>
      <c r="X1570" s="87">
        <f t="shared" si="146"/>
        <v>1.1834457647002798E-2</v>
      </c>
      <c r="Y1570" s="87">
        <f t="shared" si="148"/>
        <v>-1.0959013789719654E-2</v>
      </c>
      <c r="Z1570" s="87">
        <f t="shared" si="148"/>
        <v>2.5642430613337652E-2</v>
      </c>
      <c r="AA1570" s="87">
        <f t="shared" si="148"/>
        <v>1.5424470325631731E-2</v>
      </c>
      <c r="AB1570" s="87">
        <f t="shared" si="148"/>
        <v>1.0152371464017908E-2</v>
      </c>
      <c r="AC1570" s="87">
        <f t="shared" si="148"/>
        <v>5.6818334674308638E-3</v>
      </c>
      <c r="AD1570" s="87">
        <f t="shared" si="148"/>
        <v>6.6006840313520927E-3</v>
      </c>
      <c r="AE1570" s="90">
        <f t="shared" si="150"/>
        <v>9.884889516748898E-3</v>
      </c>
    </row>
    <row r="1571" spans="1:31" ht="15.5" x14ac:dyDescent="0.35">
      <c r="A1571" s="82">
        <v>42046</v>
      </c>
      <c r="B1571" s="83">
        <v>10889</v>
      </c>
      <c r="C1571" s="84">
        <v>4801.2</v>
      </c>
      <c r="D1571" s="61">
        <v>536</v>
      </c>
      <c r="E1571" s="61">
        <v>42.8</v>
      </c>
      <c r="F1571" s="61">
        <v>122.5</v>
      </c>
      <c r="G1571" s="61">
        <v>42.2</v>
      </c>
      <c r="H1571" s="61">
        <v>25.2</v>
      </c>
      <c r="I1571" s="61">
        <v>25.7</v>
      </c>
      <c r="J1571" s="61">
        <v>36.4</v>
      </c>
      <c r="K1571" s="61">
        <v>7.8</v>
      </c>
      <c r="L1571" s="61">
        <v>58.4</v>
      </c>
      <c r="M1571" s="61">
        <v>49.7</v>
      </c>
      <c r="N1571" s="61">
        <v>70.8</v>
      </c>
      <c r="O1571" s="85">
        <v>45.5</v>
      </c>
      <c r="P1571" s="105"/>
      <c r="Q1571" s="87">
        <f t="shared" si="149"/>
        <v>-2.3940463000921455E-3</v>
      </c>
      <c r="R1571" s="87">
        <f t="shared" si="147"/>
        <v>2.8366446519742369E-3</v>
      </c>
      <c r="S1571" s="87">
        <f t="shared" si="147"/>
        <v>1.2767728830001188E-2</v>
      </c>
      <c r="T1571" s="87">
        <f t="shared" si="146"/>
        <v>2.3391823531720194E-3</v>
      </c>
      <c r="U1571" s="87">
        <f t="shared" si="146"/>
        <v>1.8954007883674455E-2</v>
      </c>
      <c r="V1571" s="87">
        <f t="shared" si="146"/>
        <v>0</v>
      </c>
      <c r="W1571" s="87">
        <f t="shared" si="146"/>
        <v>-3.9604012160970167E-3</v>
      </c>
      <c r="X1571" s="87">
        <f t="shared" si="146"/>
        <v>7.8125397367936247E-3</v>
      </c>
      <c r="Y1571" s="87">
        <f t="shared" si="148"/>
        <v>2.7510333718900187E-3</v>
      </c>
      <c r="Z1571" s="87">
        <f t="shared" si="148"/>
        <v>-1.2739025777429826E-2</v>
      </c>
      <c r="AA1571" s="87">
        <f t="shared" si="148"/>
        <v>-6.8259650703998706E-3</v>
      </c>
      <c r="AB1571" s="87">
        <f t="shared" si="148"/>
        <v>4.0322635279384511E-3</v>
      </c>
      <c r="AC1571" s="87">
        <f t="shared" si="148"/>
        <v>2.828856200477623E-3</v>
      </c>
      <c r="AD1571" s="87">
        <f t="shared" si="148"/>
        <v>-2.1953905634357262E-3</v>
      </c>
      <c r="AE1571" s="90">
        <f t="shared" si="150"/>
        <v>9.7410582556143634E-3</v>
      </c>
    </row>
    <row r="1572" spans="1:31" ht="15.5" x14ac:dyDescent="0.35">
      <c r="A1572" s="82">
        <v>42047</v>
      </c>
      <c r="B1572" s="83">
        <v>10995.3</v>
      </c>
      <c r="C1572" s="84">
        <v>4857.6000000000004</v>
      </c>
      <c r="D1572" s="61">
        <v>537</v>
      </c>
      <c r="E1572" s="61">
        <v>42.9</v>
      </c>
      <c r="F1572" s="61">
        <v>125.6</v>
      </c>
      <c r="G1572" s="61">
        <v>42.5</v>
      </c>
      <c r="H1572" s="61">
        <v>25.6</v>
      </c>
      <c r="I1572" s="61">
        <v>26</v>
      </c>
      <c r="J1572" s="61">
        <v>36.700000000000003</v>
      </c>
      <c r="K1572" s="61">
        <v>7.8</v>
      </c>
      <c r="L1572" s="61">
        <v>58.6</v>
      </c>
      <c r="M1572" s="61">
        <v>49.7</v>
      </c>
      <c r="N1572" s="61">
        <v>71.5</v>
      </c>
      <c r="O1572" s="85">
        <v>45.4</v>
      </c>
      <c r="P1572" s="105"/>
      <c r="Q1572" s="87">
        <f t="shared" si="149"/>
        <v>9.7148034001726027E-3</v>
      </c>
      <c r="R1572" s="87">
        <f t="shared" si="147"/>
        <v>1.1678602110066603E-2</v>
      </c>
      <c r="S1572" s="87">
        <f t="shared" si="147"/>
        <v>1.8639334380627327E-3</v>
      </c>
      <c r="T1572" s="87">
        <f t="shared" si="146"/>
        <v>2.3337233462203183E-3</v>
      </c>
      <c r="U1572" s="87">
        <f t="shared" si="146"/>
        <v>2.4991224049316488E-2</v>
      </c>
      <c r="V1572" s="87">
        <f t="shared" si="146"/>
        <v>7.0838548884050419E-3</v>
      </c>
      <c r="W1572" s="87">
        <f t="shared" si="146"/>
        <v>1.5748356968139331E-2</v>
      </c>
      <c r="X1572" s="87">
        <f t="shared" si="146"/>
        <v>1.160554612030789E-2</v>
      </c>
      <c r="Y1572" s="87">
        <f t="shared" si="148"/>
        <v>8.2079804178298021E-3</v>
      </c>
      <c r="Z1572" s="87">
        <f t="shared" si="148"/>
        <v>0</v>
      </c>
      <c r="AA1572" s="87">
        <f t="shared" si="148"/>
        <v>3.4188067487856823E-3</v>
      </c>
      <c r="AB1572" s="87">
        <f t="shared" si="148"/>
        <v>0</v>
      </c>
      <c r="AC1572" s="87">
        <f t="shared" si="148"/>
        <v>9.8384490002879407E-3</v>
      </c>
      <c r="AD1572" s="87">
        <f t="shared" si="148"/>
        <v>-2.2002209096024235E-3</v>
      </c>
      <c r="AE1572" s="90">
        <f t="shared" si="150"/>
        <v>1.0924867412426615E-2</v>
      </c>
    </row>
    <row r="1573" spans="1:31" ht="15.5" x14ac:dyDescent="0.35">
      <c r="A1573" s="82">
        <v>42048</v>
      </c>
      <c r="B1573" s="83">
        <v>11042.7</v>
      </c>
      <c r="C1573" s="84">
        <v>4893.8</v>
      </c>
      <c r="D1573" s="61">
        <v>546.6</v>
      </c>
      <c r="E1573" s="61">
        <v>44</v>
      </c>
      <c r="F1573" s="61">
        <v>125.7</v>
      </c>
      <c r="G1573" s="61">
        <v>43.2</v>
      </c>
      <c r="H1573" s="61">
        <v>25.6</v>
      </c>
      <c r="I1573" s="61">
        <v>25.9</v>
      </c>
      <c r="J1573" s="61">
        <v>36.9</v>
      </c>
      <c r="K1573" s="61">
        <v>8</v>
      </c>
      <c r="L1573" s="61">
        <v>58.6</v>
      </c>
      <c r="M1573" s="61">
        <v>50.2</v>
      </c>
      <c r="N1573" s="61">
        <v>71.7</v>
      </c>
      <c r="O1573" s="85">
        <v>46</v>
      </c>
      <c r="P1573" s="105"/>
      <c r="Q1573" s="87">
        <f t="shared" si="149"/>
        <v>4.3016674010465591E-3</v>
      </c>
      <c r="R1573" s="87">
        <f t="shared" si="147"/>
        <v>7.4246090393281523E-3</v>
      </c>
      <c r="S1573" s="87">
        <f t="shared" si="147"/>
        <v>1.7719178985102932E-2</v>
      </c>
      <c r="T1573" s="87">
        <f t="shared" si="146"/>
        <v>2.5317807984290001E-2</v>
      </c>
      <c r="U1573" s="87">
        <f t="shared" si="146"/>
        <v>7.958615621035752E-4</v>
      </c>
      <c r="V1573" s="87">
        <f t="shared" si="146"/>
        <v>1.6336419319693599E-2</v>
      </c>
      <c r="W1573" s="87">
        <f t="shared" si="146"/>
        <v>0</v>
      </c>
      <c r="X1573" s="87">
        <f t="shared" si="146"/>
        <v>-3.8535693159900777E-3</v>
      </c>
      <c r="Y1573" s="87">
        <f t="shared" si="148"/>
        <v>5.4347959859567746E-3</v>
      </c>
      <c r="Z1573" s="87">
        <f t="shared" si="148"/>
        <v>2.5317807984290001E-2</v>
      </c>
      <c r="AA1573" s="87">
        <f t="shared" si="148"/>
        <v>0</v>
      </c>
      <c r="AB1573" s="87">
        <f t="shared" si="148"/>
        <v>1.0010093595100425E-2</v>
      </c>
      <c r="AC1573" s="87">
        <f t="shared" si="148"/>
        <v>2.7932979056126536E-3</v>
      </c>
      <c r="AD1573" s="87">
        <f t="shared" si="148"/>
        <v>1.3129291441792802E-2</v>
      </c>
      <c r="AE1573" s="90">
        <f t="shared" si="150"/>
        <v>9.2364691101550732E-3</v>
      </c>
    </row>
    <row r="1574" spans="1:31" ht="15.5" x14ac:dyDescent="0.35">
      <c r="A1574" s="82">
        <v>42052</v>
      </c>
      <c r="B1574" s="83">
        <v>11054.5</v>
      </c>
      <c r="C1574" s="84">
        <v>4899.3</v>
      </c>
      <c r="D1574" s="61">
        <v>543.29999999999995</v>
      </c>
      <c r="E1574" s="61">
        <v>43.4</v>
      </c>
      <c r="F1574" s="61">
        <v>126.9</v>
      </c>
      <c r="G1574" s="61">
        <v>43.2</v>
      </c>
      <c r="H1574" s="61">
        <v>25.8</v>
      </c>
      <c r="I1574" s="61">
        <v>26.2</v>
      </c>
      <c r="J1574" s="61">
        <v>36.9</v>
      </c>
      <c r="K1574" s="61">
        <v>8</v>
      </c>
      <c r="L1574" s="61">
        <v>58.7</v>
      </c>
      <c r="M1574" s="61">
        <v>50.8</v>
      </c>
      <c r="N1574" s="61">
        <v>71.8</v>
      </c>
      <c r="O1574" s="85">
        <v>45.9</v>
      </c>
      <c r="P1574" s="105"/>
      <c r="Q1574" s="87">
        <f t="shared" si="149"/>
        <v>1.0680087179943283E-3</v>
      </c>
      <c r="R1574" s="87">
        <f t="shared" si="147"/>
        <v>1.1232399502229663E-3</v>
      </c>
      <c r="S1574" s="87">
        <f t="shared" si="147"/>
        <v>-6.0556199364903609E-3</v>
      </c>
      <c r="T1574" s="87">
        <f t="shared" si="146"/>
        <v>-1.373019281190202E-2</v>
      </c>
      <c r="U1574" s="87">
        <f t="shared" si="146"/>
        <v>9.5012591241402152E-3</v>
      </c>
      <c r="V1574" s="87">
        <f t="shared" si="146"/>
        <v>0</v>
      </c>
      <c r="W1574" s="87">
        <f t="shared" si="146"/>
        <v>7.782140442054949E-3</v>
      </c>
      <c r="X1574" s="87">
        <f t="shared" si="146"/>
        <v>1.1516442061559081E-2</v>
      </c>
      <c r="Y1574" s="87">
        <f t="shared" si="148"/>
        <v>0</v>
      </c>
      <c r="Z1574" s="87">
        <f t="shared" si="148"/>
        <v>0</v>
      </c>
      <c r="AA1574" s="87">
        <f t="shared" si="148"/>
        <v>1.7050302510837475E-3</v>
      </c>
      <c r="AB1574" s="87">
        <f t="shared" si="148"/>
        <v>1.1881327886752686E-2</v>
      </c>
      <c r="AC1574" s="87">
        <f t="shared" si="148"/>
        <v>1.3937284486036615E-3</v>
      </c>
      <c r="AD1574" s="87">
        <f t="shared" si="148"/>
        <v>-2.1762794225955173E-3</v>
      </c>
      <c r="AE1574" s="90">
        <f t="shared" si="150"/>
        <v>1.0160768551121066E-3</v>
      </c>
    </row>
    <row r="1575" spans="1:31" ht="15.5" x14ac:dyDescent="0.35">
      <c r="A1575" s="82">
        <v>42053</v>
      </c>
      <c r="B1575" s="83">
        <v>11064.1</v>
      </c>
      <c r="C1575" s="84">
        <v>4906.3999999999996</v>
      </c>
      <c r="D1575" s="61">
        <v>539.6</v>
      </c>
      <c r="E1575" s="61">
        <v>43.3</v>
      </c>
      <c r="F1575" s="61">
        <v>127.5</v>
      </c>
      <c r="G1575" s="61">
        <v>43.4</v>
      </c>
      <c r="H1575" s="61">
        <v>26.1</v>
      </c>
      <c r="I1575" s="61">
        <v>26.6</v>
      </c>
      <c r="J1575" s="61">
        <v>36.9</v>
      </c>
      <c r="K1575" s="61">
        <v>8.1</v>
      </c>
      <c r="L1575" s="61">
        <v>58.2</v>
      </c>
      <c r="M1575" s="61">
        <v>50.6</v>
      </c>
      <c r="N1575" s="61">
        <v>71.900000000000006</v>
      </c>
      <c r="O1575" s="85">
        <v>45.7</v>
      </c>
      <c r="P1575" s="105"/>
      <c r="Q1575" s="87">
        <f t="shared" si="149"/>
        <v>8.6804776096183894E-4</v>
      </c>
      <c r="R1575" s="87">
        <f t="shared" si="147"/>
        <v>1.4481375609666385E-3</v>
      </c>
      <c r="S1575" s="87">
        <f t="shared" si="147"/>
        <v>-6.8335292238764968E-3</v>
      </c>
      <c r="T1575" s="87">
        <f t="shared" si="146"/>
        <v>-2.3068060979150595E-3</v>
      </c>
      <c r="U1575" s="87">
        <f t="shared" si="146"/>
        <v>4.7169898781388667E-3</v>
      </c>
      <c r="V1575" s="87">
        <f t="shared" si="146"/>
        <v>4.6189458562944583E-3</v>
      </c>
      <c r="W1575" s="87">
        <f t="shared" si="146"/>
        <v>1.1560822401076006E-2</v>
      </c>
      <c r="X1575" s="87">
        <f t="shared" si="146"/>
        <v>1.5151805020602246E-2</v>
      </c>
      <c r="Y1575" s="87">
        <f t="shared" si="148"/>
        <v>0</v>
      </c>
      <c r="Z1575" s="87">
        <f t="shared" si="148"/>
        <v>1.242251999855711E-2</v>
      </c>
      <c r="AA1575" s="87">
        <f t="shared" si="148"/>
        <v>-8.5543720966586318E-3</v>
      </c>
      <c r="AB1575" s="87">
        <f t="shared" si="148"/>
        <v>-3.9447782910162288E-3</v>
      </c>
      <c r="AC1575" s="87">
        <f t="shared" si="148"/>
        <v>1.3917886728227068E-3</v>
      </c>
      <c r="AD1575" s="87">
        <f t="shared" si="148"/>
        <v>-4.3668191663404025E-3</v>
      </c>
      <c r="AE1575" s="90">
        <f t="shared" si="150"/>
        <v>-7.4854472768920541E-4</v>
      </c>
    </row>
    <row r="1576" spans="1:31" ht="15.5" x14ac:dyDescent="0.35">
      <c r="A1576" s="82">
        <v>42054</v>
      </c>
      <c r="B1576" s="83">
        <v>11038.3</v>
      </c>
      <c r="C1576" s="84">
        <v>4924.7</v>
      </c>
      <c r="D1576" s="61">
        <v>540.79999999999995</v>
      </c>
      <c r="E1576" s="61">
        <v>43.5</v>
      </c>
      <c r="F1576" s="61">
        <v>128.30000000000001</v>
      </c>
      <c r="G1576" s="61">
        <v>43.1</v>
      </c>
      <c r="H1576" s="61">
        <v>26.5</v>
      </c>
      <c r="I1576" s="61">
        <v>27.3</v>
      </c>
      <c r="J1576" s="61">
        <v>36.9</v>
      </c>
      <c r="K1576" s="61">
        <v>8.1</v>
      </c>
      <c r="L1576" s="61">
        <v>57.8</v>
      </c>
      <c r="M1576" s="61">
        <v>50.4</v>
      </c>
      <c r="N1576" s="61">
        <v>72.2</v>
      </c>
      <c r="O1576" s="85">
        <v>46.7</v>
      </c>
      <c r="P1576" s="105"/>
      <c r="Q1576" s="87">
        <f t="shared" si="149"/>
        <v>-2.3345891593817415E-3</v>
      </c>
      <c r="R1576" s="87">
        <f t="shared" si="147"/>
        <v>3.7228837335164045E-3</v>
      </c>
      <c r="S1576" s="87">
        <f t="shared" si="147"/>
        <v>2.2214003951533763E-3</v>
      </c>
      <c r="T1576" s="87">
        <f t="shared" si="146"/>
        <v>4.6083030861944025E-3</v>
      </c>
      <c r="U1576" s="87">
        <f t="shared" si="146"/>
        <v>6.2549070231099728E-3</v>
      </c>
      <c r="V1576" s="87">
        <f t="shared" si="146"/>
        <v>-6.9364439966569866E-3</v>
      </c>
      <c r="W1576" s="87">
        <f t="shared" si="146"/>
        <v>1.5209418663528708E-2</v>
      </c>
      <c r="X1576" s="87">
        <f t="shared" si="146"/>
        <v>2.5975486403260736E-2</v>
      </c>
      <c r="Y1576" s="87">
        <f t="shared" si="148"/>
        <v>0</v>
      </c>
      <c r="Z1576" s="87">
        <f t="shared" si="148"/>
        <v>0</v>
      </c>
      <c r="AA1576" s="87">
        <f t="shared" si="148"/>
        <v>-6.8965790590604405E-3</v>
      </c>
      <c r="AB1576" s="87">
        <f t="shared" si="148"/>
        <v>-3.9604012160970167E-3</v>
      </c>
      <c r="AC1576" s="87">
        <f t="shared" si="148"/>
        <v>4.1637811717795143E-3</v>
      </c>
      <c r="AD1576" s="87">
        <f t="shared" si="148"/>
        <v>2.1645866774692508E-2</v>
      </c>
      <c r="AE1576" s="90">
        <f t="shared" si="150"/>
        <v>6.1858141730752707E-3</v>
      </c>
    </row>
    <row r="1577" spans="1:31" ht="15.5" x14ac:dyDescent="0.35">
      <c r="A1577" s="82">
        <v>42055</v>
      </c>
      <c r="B1577" s="83">
        <v>11108.7</v>
      </c>
      <c r="C1577" s="84">
        <v>4956</v>
      </c>
      <c r="D1577" s="61">
        <v>538.1</v>
      </c>
      <c r="E1577" s="61">
        <v>43.8</v>
      </c>
      <c r="F1577" s="61">
        <v>128.1</v>
      </c>
      <c r="G1577" s="61">
        <v>43.3</v>
      </c>
      <c r="H1577" s="61">
        <v>26.7</v>
      </c>
      <c r="I1577" s="61">
        <v>26.8</v>
      </c>
      <c r="J1577" s="61">
        <v>36.799999999999997</v>
      </c>
      <c r="K1577" s="61">
        <v>8.1</v>
      </c>
      <c r="L1577" s="61">
        <v>57.7</v>
      </c>
      <c r="M1577" s="61">
        <v>50.3</v>
      </c>
      <c r="N1577" s="61">
        <v>71.599999999999994</v>
      </c>
      <c r="O1577" s="85">
        <v>46.7</v>
      </c>
      <c r="P1577" s="105"/>
      <c r="Q1577" s="87">
        <f t="shared" si="149"/>
        <v>6.3575416192479571E-3</v>
      </c>
      <c r="R1577" s="87">
        <f t="shared" si="147"/>
        <v>6.3356047037426864E-3</v>
      </c>
      <c r="S1577" s="87">
        <f t="shared" si="147"/>
        <v>-5.0051082333802538E-3</v>
      </c>
      <c r="T1577" s="87">
        <f t="shared" si="146"/>
        <v>6.8728792877620504E-3</v>
      </c>
      <c r="U1577" s="87">
        <f t="shared" si="146"/>
        <v>-1.5600627189023388E-3</v>
      </c>
      <c r="V1577" s="87">
        <f t="shared" si="146"/>
        <v>4.6296378987419756E-3</v>
      </c>
      <c r="W1577" s="87">
        <f t="shared" si="146"/>
        <v>7.518832414027319E-3</v>
      </c>
      <c r="X1577" s="87">
        <f t="shared" si="146"/>
        <v>-1.8484814674103102E-2</v>
      </c>
      <c r="Y1577" s="87">
        <f t="shared" si="148"/>
        <v>-2.7137058715962729E-3</v>
      </c>
      <c r="Z1577" s="87">
        <f t="shared" si="148"/>
        <v>0</v>
      </c>
      <c r="AA1577" s="87">
        <f t="shared" si="148"/>
        <v>-1.7316021642778238E-3</v>
      </c>
      <c r="AB1577" s="87">
        <f t="shared" si="148"/>
        <v>-1.9860979716294028E-3</v>
      </c>
      <c r="AC1577" s="87">
        <f t="shared" si="148"/>
        <v>-8.3449719321807576E-3</v>
      </c>
      <c r="AD1577" s="87">
        <f t="shared" si="148"/>
        <v>0</v>
      </c>
      <c r="AE1577" s="90">
        <f t="shared" si="150"/>
        <v>-1.231177845395574E-5</v>
      </c>
    </row>
    <row r="1578" spans="1:31" ht="15.5" x14ac:dyDescent="0.35">
      <c r="A1578" s="82">
        <v>42058</v>
      </c>
      <c r="B1578" s="83">
        <v>11074.6</v>
      </c>
      <c r="C1578" s="84">
        <v>4961</v>
      </c>
      <c r="D1578" s="61">
        <v>532</v>
      </c>
      <c r="E1578" s="61">
        <v>43.4</v>
      </c>
      <c r="F1578" s="61">
        <v>129.69999999999999</v>
      </c>
      <c r="G1578" s="61">
        <v>43.7</v>
      </c>
      <c r="H1578" s="61">
        <v>26.5</v>
      </c>
      <c r="I1578" s="61">
        <v>27.1</v>
      </c>
      <c r="J1578" s="61">
        <v>36.6</v>
      </c>
      <c r="K1578" s="61">
        <v>8.1999999999999993</v>
      </c>
      <c r="L1578" s="61">
        <v>58.2</v>
      </c>
      <c r="M1578" s="61">
        <v>50.6</v>
      </c>
      <c r="N1578" s="61">
        <v>71.599999999999994</v>
      </c>
      <c r="O1578" s="85">
        <v>47.1</v>
      </c>
      <c r="P1578" s="105"/>
      <c r="Q1578" s="87">
        <f t="shared" si="149"/>
        <v>-3.074387206504207E-3</v>
      </c>
      <c r="R1578" s="87">
        <f t="shared" si="147"/>
        <v>1.008369552015781E-3</v>
      </c>
      <c r="S1578" s="87">
        <f t="shared" si="147"/>
        <v>-1.1400927153729644E-2</v>
      </c>
      <c r="T1578" s="87">
        <f t="shared" si="146"/>
        <v>-9.1743762760412694E-3</v>
      </c>
      <c r="U1578" s="87">
        <f t="shared" si="146"/>
        <v>1.2412882419709651E-2</v>
      </c>
      <c r="V1578" s="87">
        <f t="shared" si="146"/>
        <v>9.1954670931003943E-3</v>
      </c>
      <c r="W1578" s="87">
        <f t="shared" ref="W1578:AA1634" si="151">+LN(H1578/H1577)</f>
        <v>-7.5188324140273398E-3</v>
      </c>
      <c r="X1578" s="87">
        <f t="shared" si="151"/>
        <v>1.1131840368844199E-2</v>
      </c>
      <c r="Y1578" s="87">
        <f t="shared" si="148"/>
        <v>-5.4496047675645911E-3</v>
      </c>
      <c r="Z1578" s="87">
        <f t="shared" si="148"/>
        <v>1.2270092591814401E-2</v>
      </c>
      <c r="AA1578" s="87">
        <f t="shared" si="148"/>
        <v>8.6281812233381886E-3</v>
      </c>
      <c r="AB1578" s="87">
        <f t="shared" si="148"/>
        <v>5.9464991877265236E-3</v>
      </c>
      <c r="AC1578" s="87">
        <f t="shared" si="148"/>
        <v>0</v>
      </c>
      <c r="AD1578" s="87">
        <f t="shared" si="148"/>
        <v>8.5288363475205017E-3</v>
      </c>
      <c r="AE1578" s="90">
        <f t="shared" si="150"/>
        <v>1.5504638523541571E-3</v>
      </c>
    </row>
    <row r="1579" spans="1:31" ht="15.5" x14ac:dyDescent="0.35">
      <c r="A1579" s="82">
        <v>42059</v>
      </c>
      <c r="B1579" s="83">
        <v>11122.1</v>
      </c>
      <c r="C1579" s="84">
        <v>4968.1000000000004</v>
      </c>
      <c r="D1579" s="61">
        <v>531</v>
      </c>
      <c r="E1579" s="61">
        <v>42.9</v>
      </c>
      <c r="F1579" s="61">
        <v>131.19999999999999</v>
      </c>
      <c r="G1579" s="61">
        <v>43.9</v>
      </c>
      <c r="H1579" s="61">
        <v>26.9</v>
      </c>
      <c r="I1579" s="61">
        <v>26.9</v>
      </c>
      <c r="J1579" s="61">
        <v>36.700000000000003</v>
      </c>
      <c r="K1579" s="61">
        <v>8.5</v>
      </c>
      <c r="L1579" s="61">
        <v>58.1</v>
      </c>
      <c r="M1579" s="61">
        <v>50.8</v>
      </c>
      <c r="N1579" s="61">
        <v>71.599999999999994</v>
      </c>
      <c r="O1579" s="85">
        <v>47.4</v>
      </c>
      <c r="P1579" s="105"/>
      <c r="Q1579" s="87">
        <f t="shared" si="149"/>
        <v>4.2799220161256427E-3</v>
      </c>
      <c r="R1579" s="87">
        <f t="shared" si="147"/>
        <v>1.4301399341605345E-3</v>
      </c>
      <c r="S1579" s="87">
        <f t="shared" si="147"/>
        <v>-1.8814680997055087E-3</v>
      </c>
      <c r="T1579" s="87">
        <f t="shared" si="147"/>
        <v>-1.1587615172387895E-2</v>
      </c>
      <c r="U1579" s="87">
        <f t="shared" si="147"/>
        <v>1.1498785187590448E-2</v>
      </c>
      <c r="V1579" s="87">
        <f t="shared" si="147"/>
        <v>4.5662179795811844E-3</v>
      </c>
      <c r="W1579" s="87">
        <f t="shared" si="151"/>
        <v>1.4981553615616894E-2</v>
      </c>
      <c r="X1579" s="87">
        <f t="shared" si="151"/>
        <v>-7.4074412778619165E-3</v>
      </c>
      <c r="Y1579" s="87">
        <f t="shared" si="148"/>
        <v>2.7285146532041358E-3</v>
      </c>
      <c r="Z1579" s="87">
        <f t="shared" si="148"/>
        <v>3.593200922606337E-2</v>
      </c>
      <c r="AA1579" s="87">
        <f t="shared" si="148"/>
        <v>-1.7196908795265881E-3</v>
      </c>
      <c r="AB1579" s="87">
        <f t="shared" si="148"/>
        <v>3.9447782910163251E-3</v>
      </c>
      <c r="AC1579" s="87">
        <f t="shared" si="148"/>
        <v>0</v>
      </c>
      <c r="AD1579" s="87">
        <f t="shared" si="148"/>
        <v>6.3492276786587445E-3</v>
      </c>
      <c r="AE1579" s="90">
        <f t="shared" si="150"/>
        <v>3.937543319977312E-3</v>
      </c>
    </row>
    <row r="1580" spans="1:31" ht="15.5" x14ac:dyDescent="0.35">
      <c r="A1580" s="82">
        <v>42060</v>
      </c>
      <c r="B1580" s="83">
        <v>11117.9</v>
      </c>
      <c r="C1580" s="84">
        <v>4967.1000000000004</v>
      </c>
      <c r="D1580" s="61">
        <v>538</v>
      </c>
      <c r="E1580" s="61">
        <v>43.2</v>
      </c>
      <c r="F1580" s="61">
        <v>128.19999999999999</v>
      </c>
      <c r="G1580" s="61">
        <v>43.8</v>
      </c>
      <c r="H1580" s="61">
        <v>28</v>
      </c>
      <c r="I1580" s="61">
        <v>27</v>
      </c>
      <c r="J1580" s="61">
        <v>36.6</v>
      </c>
      <c r="K1580" s="61">
        <v>8.8000000000000007</v>
      </c>
      <c r="L1580" s="61">
        <v>58.1</v>
      </c>
      <c r="M1580" s="61">
        <v>50.8</v>
      </c>
      <c r="N1580" s="61">
        <v>71.7</v>
      </c>
      <c r="O1580" s="85">
        <v>47.7</v>
      </c>
      <c r="P1580" s="105"/>
      <c r="Q1580" s="87">
        <f t="shared" si="149"/>
        <v>-3.7769784621674866E-4</v>
      </c>
      <c r="R1580" s="87">
        <f t="shared" si="147"/>
        <v>-2.013044535343331E-4</v>
      </c>
      <c r="S1580" s="87">
        <f t="shared" si="147"/>
        <v>1.30965389198455E-2</v>
      </c>
      <c r="T1580" s="87">
        <f t="shared" si="147"/>
        <v>6.9686693160934355E-3</v>
      </c>
      <c r="U1580" s="87">
        <f t="shared" si="147"/>
        <v>-2.3131332023418966E-2</v>
      </c>
      <c r="V1580" s="87">
        <f t="shared" si="147"/>
        <v>-2.2805026987252177E-3</v>
      </c>
      <c r="W1580" s="87">
        <f t="shared" si="151"/>
        <v>4.0078223567410524E-2</v>
      </c>
      <c r="X1580" s="87">
        <f t="shared" si="151"/>
        <v>3.7105793965357746E-3</v>
      </c>
      <c r="Y1580" s="87">
        <f t="shared" si="148"/>
        <v>-2.7285146532040625E-3</v>
      </c>
      <c r="Z1580" s="87">
        <f t="shared" si="148"/>
        <v>3.4685557987890109E-2</v>
      </c>
      <c r="AA1580" s="87">
        <f t="shared" si="148"/>
        <v>0</v>
      </c>
      <c r="AB1580" s="87">
        <f t="shared" si="148"/>
        <v>0</v>
      </c>
      <c r="AC1580" s="87">
        <f t="shared" si="148"/>
        <v>1.3956736389747558E-3</v>
      </c>
      <c r="AD1580" s="87">
        <f t="shared" si="148"/>
        <v>6.3091691932647556E-3</v>
      </c>
      <c r="AE1580" s="90">
        <f t="shared" si="150"/>
        <v>-2.0734210291336219E-3</v>
      </c>
    </row>
    <row r="1581" spans="1:31" ht="15.5" x14ac:dyDescent="0.35">
      <c r="A1581" s="82">
        <v>42061</v>
      </c>
      <c r="B1581" s="83">
        <v>11082.1</v>
      </c>
      <c r="C1581" s="84">
        <v>4987.8999999999996</v>
      </c>
      <c r="D1581" s="61">
        <v>545.1</v>
      </c>
      <c r="E1581" s="61">
        <v>44.3</v>
      </c>
      <c r="F1581" s="61">
        <v>126.6</v>
      </c>
      <c r="G1581" s="61">
        <v>43.9</v>
      </c>
      <c r="H1581" s="61">
        <v>27.8</v>
      </c>
      <c r="I1581" s="61">
        <v>27.1</v>
      </c>
      <c r="J1581" s="61">
        <v>35.6</v>
      </c>
      <c r="K1581" s="61">
        <v>8.9</v>
      </c>
      <c r="L1581" s="61">
        <v>58.7</v>
      </c>
      <c r="M1581" s="61">
        <v>50.8</v>
      </c>
      <c r="N1581" s="61">
        <v>72.099999999999994</v>
      </c>
      <c r="O1581" s="85">
        <v>48.3</v>
      </c>
      <c r="P1581" s="105"/>
      <c r="Q1581" s="87">
        <f t="shared" si="149"/>
        <v>-3.2252280209831658E-3</v>
      </c>
      <c r="R1581" s="87">
        <f t="shared" si="147"/>
        <v>4.1788107018086492E-3</v>
      </c>
      <c r="S1581" s="87">
        <f t="shared" si="147"/>
        <v>1.3110703908450825E-2</v>
      </c>
      <c r="T1581" s="87">
        <f t="shared" si="147"/>
        <v>2.5144181801025164E-2</v>
      </c>
      <c r="U1581" s="87">
        <f t="shared" si="147"/>
        <v>-1.2559034776493797E-2</v>
      </c>
      <c r="V1581" s="87">
        <f t="shared" si="147"/>
        <v>2.2805026987253031E-3</v>
      </c>
      <c r="W1581" s="87">
        <f t="shared" si="151"/>
        <v>-7.168489478612516E-3</v>
      </c>
      <c r="X1581" s="87">
        <f t="shared" si="151"/>
        <v>3.6968618813262026E-3</v>
      </c>
      <c r="Y1581" s="87">
        <f t="shared" si="148"/>
        <v>-2.7702602549335823E-2</v>
      </c>
      <c r="Z1581" s="87">
        <f t="shared" si="148"/>
        <v>1.1299555253933247E-2</v>
      </c>
      <c r="AA1581" s="87">
        <f t="shared" si="148"/>
        <v>1.0274062976185284E-2</v>
      </c>
      <c r="AB1581" s="87">
        <f t="shared" si="148"/>
        <v>0</v>
      </c>
      <c r="AC1581" s="87">
        <f t="shared" si="148"/>
        <v>5.5632966853285115E-3</v>
      </c>
      <c r="AD1581" s="87">
        <f t="shared" si="148"/>
        <v>1.2500162764231248E-2</v>
      </c>
      <c r="AE1581" s="90">
        <f t="shared" si="150"/>
        <v>3.0191946456707142E-3</v>
      </c>
    </row>
    <row r="1582" spans="1:31" ht="15.5" x14ac:dyDescent="0.35">
      <c r="A1582" s="82">
        <v>42062</v>
      </c>
      <c r="B1582" s="83">
        <v>11062.8</v>
      </c>
      <c r="C1582" s="84">
        <v>4963.5</v>
      </c>
      <c r="D1582" s="61">
        <v>557</v>
      </c>
      <c r="E1582" s="61">
        <v>44</v>
      </c>
      <c r="F1582" s="61">
        <v>128.19999999999999</v>
      </c>
      <c r="G1582" s="61">
        <v>43.7</v>
      </c>
      <c r="H1582" s="61">
        <v>27.6</v>
      </c>
      <c r="I1582" s="61">
        <v>26.7</v>
      </c>
      <c r="J1582" s="61">
        <v>35.5</v>
      </c>
      <c r="K1582" s="61">
        <v>7.9</v>
      </c>
      <c r="L1582" s="61">
        <v>58.5</v>
      </c>
      <c r="M1582" s="61">
        <v>50.8</v>
      </c>
      <c r="N1582" s="61">
        <v>71.400000000000006</v>
      </c>
      <c r="O1582" s="85">
        <v>48.3</v>
      </c>
      <c r="P1582" s="105"/>
      <c r="Q1582" s="87">
        <f t="shared" si="149"/>
        <v>-1.7430654359751252E-3</v>
      </c>
      <c r="R1582" s="87">
        <f t="shared" si="147"/>
        <v>-4.903842453707139E-3</v>
      </c>
      <c r="S1582" s="87">
        <f t="shared" si="147"/>
        <v>2.159597585704888E-2</v>
      </c>
      <c r="T1582" s="87">
        <f t="shared" si="147"/>
        <v>-6.7950431328286896E-3</v>
      </c>
      <c r="U1582" s="87">
        <f t="shared" si="147"/>
        <v>1.2559034776493835E-2</v>
      </c>
      <c r="V1582" s="87">
        <f t="shared" si="147"/>
        <v>-4.5662179795810829E-3</v>
      </c>
      <c r="W1582" s="87">
        <f t="shared" si="151"/>
        <v>-7.2202479734870201E-3</v>
      </c>
      <c r="X1582" s="87">
        <f t="shared" si="151"/>
        <v>-1.4870162479451506E-2</v>
      </c>
      <c r="Y1582" s="87">
        <f t="shared" si="148"/>
        <v>-2.8129413766147236E-3</v>
      </c>
      <c r="Z1582" s="87">
        <f t="shared" si="148"/>
        <v>-0.11918851726511828</v>
      </c>
      <c r="AA1582" s="87">
        <f t="shared" si="148"/>
        <v>-3.4129725962399574E-3</v>
      </c>
      <c r="AB1582" s="87">
        <f t="shared" si="148"/>
        <v>0</v>
      </c>
      <c r="AC1582" s="87">
        <f t="shared" si="148"/>
        <v>-9.7561749453645725E-3</v>
      </c>
      <c r="AD1582" s="87">
        <f t="shared" si="148"/>
        <v>0</v>
      </c>
      <c r="AE1582" s="90">
        <f t="shared" si="150"/>
        <v>8.4437287885015255E-3</v>
      </c>
    </row>
    <row r="1583" spans="1:31" ht="15.5" x14ac:dyDescent="0.35">
      <c r="A1583" s="82">
        <v>42065</v>
      </c>
      <c r="B1583" s="83">
        <v>11102.8</v>
      </c>
      <c r="C1583" s="84">
        <v>5008.1000000000004</v>
      </c>
      <c r="D1583" s="61">
        <v>563.20000000000005</v>
      </c>
      <c r="E1583" s="61">
        <v>43.7</v>
      </c>
      <c r="F1583" s="61">
        <v>128.30000000000001</v>
      </c>
      <c r="G1583" s="61">
        <v>43.6</v>
      </c>
      <c r="H1583" s="61">
        <v>27.6</v>
      </c>
      <c r="I1583" s="61">
        <v>26.8</v>
      </c>
      <c r="J1583" s="61">
        <v>35.4</v>
      </c>
      <c r="K1583" s="61">
        <v>7.8</v>
      </c>
      <c r="L1583" s="61">
        <v>58.3</v>
      </c>
      <c r="M1583" s="61">
        <v>50.6</v>
      </c>
      <c r="N1583" s="61">
        <v>70.5</v>
      </c>
      <c r="O1583" s="85">
        <v>48.4</v>
      </c>
      <c r="P1583" s="105"/>
      <c r="Q1583" s="87">
        <f t="shared" si="149"/>
        <v>3.6092001498787838E-3</v>
      </c>
      <c r="R1583" s="87">
        <f t="shared" si="147"/>
        <v>8.9454646019172697E-3</v>
      </c>
      <c r="S1583" s="87">
        <f t="shared" si="147"/>
        <v>1.1069564916548704E-2</v>
      </c>
      <c r="T1583" s="87">
        <f t="shared" si="147"/>
        <v>-6.8415318167166003E-3</v>
      </c>
      <c r="U1583" s="87">
        <f t="shared" si="147"/>
        <v>7.7972713502128313E-4</v>
      </c>
      <c r="V1583" s="87">
        <f t="shared" si="147"/>
        <v>-2.2909517465558244E-3</v>
      </c>
      <c r="W1583" s="87">
        <f t="shared" si="151"/>
        <v>0</v>
      </c>
      <c r="X1583" s="87">
        <f t="shared" si="151"/>
        <v>3.7383221106071581E-3</v>
      </c>
      <c r="Y1583" s="87">
        <f t="shared" si="148"/>
        <v>-2.8208763416413406E-3</v>
      </c>
      <c r="Z1583" s="87">
        <f t="shared" si="148"/>
        <v>-1.2739025777429826E-2</v>
      </c>
      <c r="AA1583" s="87">
        <f t="shared" si="148"/>
        <v>-3.4246608813642146E-3</v>
      </c>
      <c r="AB1583" s="87">
        <f t="shared" si="148"/>
        <v>-3.9447782910162288E-3</v>
      </c>
      <c r="AC1583" s="87">
        <f t="shared" si="148"/>
        <v>-1.26851595273158E-2</v>
      </c>
      <c r="AD1583" s="87">
        <f t="shared" si="148"/>
        <v>2.0682530640590605E-3</v>
      </c>
      <c r="AE1583" s="90">
        <f t="shared" si="150"/>
        <v>6.3965102063466128E-3</v>
      </c>
    </row>
    <row r="1584" spans="1:31" ht="15.5" x14ac:dyDescent="0.35">
      <c r="A1584" s="82">
        <v>42066</v>
      </c>
      <c r="B1584" s="83">
        <v>11051.2</v>
      </c>
      <c r="C1584" s="84">
        <v>4979.8999999999996</v>
      </c>
      <c r="D1584" s="61">
        <v>570.5</v>
      </c>
      <c r="E1584" s="61">
        <v>42.4</v>
      </c>
      <c r="F1584" s="61">
        <v>128.1</v>
      </c>
      <c r="G1584" s="61">
        <v>43.1</v>
      </c>
      <c r="H1584" s="61">
        <v>27.7</v>
      </c>
      <c r="I1584" s="61">
        <v>26.8</v>
      </c>
      <c r="J1584" s="61">
        <v>35.1</v>
      </c>
      <c r="K1584" s="61">
        <v>7.8</v>
      </c>
      <c r="L1584" s="61">
        <v>58</v>
      </c>
      <c r="M1584" s="61">
        <v>51.2</v>
      </c>
      <c r="N1584" s="61">
        <v>71</v>
      </c>
      <c r="O1584" s="85">
        <v>48.6</v>
      </c>
      <c r="P1584" s="105"/>
      <c r="Q1584" s="87">
        <f t="shared" si="149"/>
        <v>-4.658309407719146E-3</v>
      </c>
      <c r="R1584" s="87">
        <f t="shared" si="147"/>
        <v>-5.6467911358928681E-3</v>
      </c>
      <c r="S1584" s="87">
        <f t="shared" si="147"/>
        <v>1.2878364458297665E-2</v>
      </c>
      <c r="T1584" s="87">
        <f t="shared" si="147"/>
        <v>-3.0199739863632519E-2</v>
      </c>
      <c r="U1584" s="87">
        <f t="shared" si="147"/>
        <v>-1.5600627189023388E-3</v>
      </c>
      <c r="V1584" s="87">
        <f t="shared" si="147"/>
        <v>-1.1534153245286519E-2</v>
      </c>
      <c r="W1584" s="87">
        <f t="shared" si="151"/>
        <v>3.6166404701885148E-3</v>
      </c>
      <c r="X1584" s="87">
        <f t="shared" si="151"/>
        <v>0</v>
      </c>
      <c r="Y1584" s="87">
        <f t="shared" si="148"/>
        <v>-8.5106896679085064E-3</v>
      </c>
      <c r="Z1584" s="87">
        <f t="shared" si="148"/>
        <v>0</v>
      </c>
      <c r="AA1584" s="87">
        <f t="shared" si="148"/>
        <v>-5.1590828100273357E-3</v>
      </c>
      <c r="AB1584" s="87">
        <f t="shared" si="148"/>
        <v>1.1787955752042173E-2</v>
      </c>
      <c r="AC1584" s="87">
        <f t="shared" si="148"/>
        <v>7.0671672230923528E-3</v>
      </c>
      <c r="AD1584" s="87">
        <f t="shared" si="148"/>
        <v>4.1237171838621562E-3</v>
      </c>
      <c r="AE1584" s="90">
        <f t="shared" si="150"/>
        <v>2.1328564601908583E-3</v>
      </c>
    </row>
    <row r="1585" spans="1:31" ht="15.5" x14ac:dyDescent="0.35">
      <c r="A1585" s="82">
        <v>42067</v>
      </c>
      <c r="B1585" s="83">
        <v>11004.7</v>
      </c>
      <c r="C1585" s="84">
        <v>4967.1000000000004</v>
      </c>
      <c r="D1585" s="61">
        <v>572.5</v>
      </c>
      <c r="E1585" s="61">
        <v>42</v>
      </c>
      <c r="F1585" s="61">
        <v>128.30000000000001</v>
      </c>
      <c r="G1585" s="61">
        <v>42.9</v>
      </c>
      <c r="H1585" s="61">
        <v>27.9</v>
      </c>
      <c r="I1585" s="61">
        <v>26.4</v>
      </c>
      <c r="J1585" s="61">
        <v>35.200000000000003</v>
      </c>
      <c r="K1585" s="61">
        <v>7.8</v>
      </c>
      <c r="L1585" s="61">
        <v>57.7</v>
      </c>
      <c r="M1585" s="61">
        <v>51.1</v>
      </c>
      <c r="N1585" s="61">
        <v>70.599999999999994</v>
      </c>
      <c r="O1585" s="85">
        <v>48.5</v>
      </c>
      <c r="P1585" s="105"/>
      <c r="Q1585" s="87">
        <f t="shared" si="149"/>
        <v>-4.2165650819269169E-3</v>
      </c>
      <c r="R1585" s="87">
        <f t="shared" si="147"/>
        <v>-2.5736417141259483E-3</v>
      </c>
      <c r="S1585" s="87">
        <f t="shared" si="147"/>
        <v>3.4995661262643323E-3</v>
      </c>
      <c r="T1585" s="87">
        <f t="shared" si="147"/>
        <v>-9.47874395454377E-3</v>
      </c>
      <c r="U1585" s="87">
        <f t="shared" si="147"/>
        <v>1.560062718902406E-3</v>
      </c>
      <c r="V1585" s="87">
        <f t="shared" si="147"/>
        <v>-4.6511711757308439E-3</v>
      </c>
      <c r="W1585" s="87">
        <f t="shared" si="151"/>
        <v>7.1942756340270106E-3</v>
      </c>
      <c r="X1585" s="87">
        <f t="shared" si="151"/>
        <v>-1.5037877364540559E-2</v>
      </c>
      <c r="Y1585" s="87">
        <f t="shared" si="148"/>
        <v>2.8449521322313448E-3</v>
      </c>
      <c r="Z1585" s="87">
        <f t="shared" si="148"/>
        <v>0</v>
      </c>
      <c r="AA1585" s="87">
        <f t="shared" si="148"/>
        <v>-5.1858370323654137E-3</v>
      </c>
      <c r="AB1585" s="87">
        <f t="shared" si="148"/>
        <v>-1.9550348358033506E-3</v>
      </c>
      <c r="AC1585" s="87">
        <f t="shared" si="148"/>
        <v>-5.6497325421191328E-3</v>
      </c>
      <c r="AD1585" s="87">
        <f t="shared" si="148"/>
        <v>-2.059732963010616E-3</v>
      </c>
      <c r="AE1585" s="90">
        <f t="shared" si="150"/>
        <v>4.4882859466240457E-4</v>
      </c>
    </row>
    <row r="1586" spans="1:31" ht="15.5" x14ac:dyDescent="0.35">
      <c r="A1586" s="82">
        <v>42068</v>
      </c>
      <c r="B1586" s="83">
        <v>11014.3</v>
      </c>
      <c r="C1586" s="84">
        <v>4982.8</v>
      </c>
      <c r="D1586" s="61">
        <v>578.20000000000005</v>
      </c>
      <c r="E1586" s="61">
        <v>43.5</v>
      </c>
      <c r="F1586" s="61">
        <v>125.8</v>
      </c>
      <c r="G1586" s="61">
        <v>42.8</v>
      </c>
      <c r="H1586" s="61">
        <v>27.4</v>
      </c>
      <c r="I1586" s="61">
        <v>26</v>
      </c>
      <c r="J1586" s="61">
        <v>34.299999999999997</v>
      </c>
      <c r="K1586" s="61">
        <v>7.7</v>
      </c>
      <c r="L1586" s="61">
        <v>57.8</v>
      </c>
      <c r="M1586" s="61">
        <v>51.3</v>
      </c>
      <c r="N1586" s="61">
        <v>69.099999999999994</v>
      </c>
      <c r="O1586" s="85">
        <v>48.9</v>
      </c>
      <c r="P1586" s="105"/>
      <c r="Q1586" s="87">
        <f t="shared" si="149"/>
        <v>8.7197425934609643E-4</v>
      </c>
      <c r="R1586" s="87">
        <f t="shared" si="147"/>
        <v>3.1558132302626427E-3</v>
      </c>
      <c r="S1586" s="87">
        <f t="shared" si="147"/>
        <v>9.9070941538510881E-3</v>
      </c>
      <c r="T1586" s="87">
        <f t="shared" si="147"/>
        <v>3.5091319811270193E-2</v>
      </c>
      <c r="U1586" s="87">
        <f t="shared" si="147"/>
        <v>-1.9677927355250657E-2</v>
      </c>
      <c r="V1586" s="87">
        <f t="shared" si="147"/>
        <v>-2.3337233462202116E-3</v>
      </c>
      <c r="W1586" s="87">
        <f t="shared" si="151"/>
        <v>-1.8083675433295351E-2</v>
      </c>
      <c r="X1586" s="87">
        <f t="shared" si="151"/>
        <v>-1.5267472130788421E-2</v>
      </c>
      <c r="Y1586" s="87">
        <f t="shared" si="148"/>
        <v>-2.5900728432157353E-2</v>
      </c>
      <c r="Z1586" s="87">
        <f t="shared" si="148"/>
        <v>-1.2903404835907841E-2</v>
      </c>
      <c r="AA1586" s="87">
        <f t="shared" si="148"/>
        <v>1.7316021642778939E-3</v>
      </c>
      <c r="AB1586" s="87">
        <f t="shared" si="148"/>
        <v>3.9062549670649893E-3</v>
      </c>
      <c r="AC1586" s="87">
        <f t="shared" si="148"/>
        <v>-2.1475413725572167E-2</v>
      </c>
      <c r="AD1586" s="87">
        <f t="shared" si="148"/>
        <v>8.2135985373887992E-3</v>
      </c>
      <c r="AE1586" s="90">
        <f t="shared" si="150"/>
        <v>-7.8194281891766143E-4</v>
      </c>
    </row>
    <row r="1587" spans="1:31" ht="15.5" x14ac:dyDescent="0.35">
      <c r="A1587" s="82">
        <v>42069</v>
      </c>
      <c r="B1587" s="83">
        <v>10842.2</v>
      </c>
      <c r="C1587" s="84">
        <v>4927.3999999999996</v>
      </c>
      <c r="D1587" s="61">
        <v>572.1</v>
      </c>
      <c r="E1587" s="61">
        <v>43.4</v>
      </c>
      <c r="F1587" s="61">
        <v>126.3</v>
      </c>
      <c r="G1587" s="61">
        <v>42.2</v>
      </c>
      <c r="H1587" s="61">
        <v>26.8</v>
      </c>
      <c r="I1587" s="61">
        <v>25.8</v>
      </c>
      <c r="J1587" s="61">
        <v>33.799999999999997</v>
      </c>
      <c r="K1587" s="61">
        <v>7.6</v>
      </c>
      <c r="L1587" s="61">
        <v>56.7</v>
      </c>
      <c r="M1587" s="61">
        <v>52</v>
      </c>
      <c r="N1587" s="61">
        <v>67.3</v>
      </c>
      <c r="O1587" s="85">
        <v>48.3</v>
      </c>
      <c r="P1587" s="105"/>
      <c r="Q1587" s="87">
        <f t="shared" si="149"/>
        <v>-1.5748501080947042E-2</v>
      </c>
      <c r="R1587" s="87">
        <f t="shared" si="147"/>
        <v>-1.1180516457863479E-2</v>
      </c>
      <c r="S1587" s="87">
        <f t="shared" si="147"/>
        <v>-1.0606028307762676E-2</v>
      </c>
      <c r="T1587" s="87">
        <f t="shared" si="147"/>
        <v>-2.3014969882792745E-3</v>
      </c>
      <c r="U1587" s="87">
        <f t="shared" si="147"/>
        <v>3.9666850901053383E-3</v>
      </c>
      <c r="V1587" s="87">
        <f t="shared" si="147"/>
        <v>-1.4117881545784819E-2</v>
      </c>
      <c r="W1587" s="87">
        <f t="shared" si="151"/>
        <v>-2.2141125877213518E-2</v>
      </c>
      <c r="X1587" s="87">
        <f t="shared" si="151"/>
        <v>-7.7220460939102778E-3</v>
      </c>
      <c r="Y1587" s="87">
        <f t="shared" si="148"/>
        <v>-1.4684551682921182E-2</v>
      </c>
      <c r="Z1587" s="87">
        <f t="shared" si="148"/>
        <v>-1.3072081567352888E-2</v>
      </c>
      <c r="AA1587" s="87">
        <f t="shared" si="148"/>
        <v>-1.9214564944625243E-2</v>
      </c>
      <c r="AB1587" s="87">
        <f t="shared" ref="AB1587:AD1650" si="152">+LN(M1587/M1586)</f>
        <v>1.3552966404703668E-2</v>
      </c>
      <c r="AC1587" s="87">
        <f t="shared" si="152"/>
        <v>-2.6394494122942001E-2</v>
      </c>
      <c r="AD1587" s="87">
        <f t="shared" si="152"/>
        <v>-1.2345835822299379E-2</v>
      </c>
      <c r="AE1587" s="90">
        <f t="shared" si="150"/>
        <v>-6.8227948418482015E-3</v>
      </c>
    </row>
    <row r="1588" spans="1:31" ht="15.5" x14ac:dyDescent="0.35">
      <c r="A1588" s="82">
        <v>42072</v>
      </c>
      <c r="B1588" s="83">
        <v>10866.6</v>
      </c>
      <c r="C1588" s="84">
        <v>4942.3999999999996</v>
      </c>
      <c r="D1588" s="61">
        <v>569.1</v>
      </c>
      <c r="E1588" s="61">
        <v>42.7</v>
      </c>
      <c r="F1588" s="61">
        <v>125.1</v>
      </c>
      <c r="G1588" s="61">
        <v>42.2</v>
      </c>
      <c r="H1588" s="61">
        <v>26.7</v>
      </c>
      <c r="I1588" s="61">
        <v>25.8</v>
      </c>
      <c r="J1588" s="61">
        <v>33.799999999999997</v>
      </c>
      <c r="K1588" s="61">
        <v>7.3</v>
      </c>
      <c r="L1588" s="61">
        <v>56.3</v>
      </c>
      <c r="M1588" s="61">
        <v>52.2</v>
      </c>
      <c r="N1588" s="61">
        <v>66.900000000000006</v>
      </c>
      <c r="O1588" s="85">
        <v>48.5</v>
      </c>
      <c r="P1588" s="105"/>
      <c r="Q1588" s="87">
        <f t="shared" si="149"/>
        <v>2.2479372673647816E-3</v>
      </c>
      <c r="R1588" s="87">
        <f t="shared" ref="R1588:V1630" si="153">+LN(C1588/C1587)</f>
        <v>3.0395776102430955E-3</v>
      </c>
      <c r="S1588" s="87">
        <f t="shared" si="153"/>
        <v>-5.257635665404845E-3</v>
      </c>
      <c r="T1588" s="87">
        <f t="shared" si="153"/>
        <v>-1.626052087178018E-2</v>
      </c>
      <c r="U1588" s="87">
        <f t="shared" si="153"/>
        <v>-9.5466118835800008E-3</v>
      </c>
      <c r="V1588" s="87">
        <f t="shared" si="153"/>
        <v>0</v>
      </c>
      <c r="W1588" s="87">
        <f t="shared" si="151"/>
        <v>-3.7383221106072153E-3</v>
      </c>
      <c r="X1588" s="87">
        <f t="shared" si="151"/>
        <v>0</v>
      </c>
      <c r="Y1588" s="87">
        <f t="shared" si="151"/>
        <v>0</v>
      </c>
      <c r="Z1588" s="87">
        <f t="shared" si="151"/>
        <v>-4.027389913793996E-2</v>
      </c>
      <c r="AA1588" s="87">
        <f t="shared" si="151"/>
        <v>-7.0796755880618003E-3</v>
      </c>
      <c r="AB1588" s="87">
        <f t="shared" si="152"/>
        <v>3.8387763071656669E-3</v>
      </c>
      <c r="AC1588" s="87">
        <f t="shared" si="152"/>
        <v>-5.9612695164992218E-3</v>
      </c>
      <c r="AD1588" s="87">
        <f t="shared" si="152"/>
        <v>4.1322372849105912E-3</v>
      </c>
      <c r="AE1588" s="90">
        <f t="shared" si="150"/>
        <v>-2.8556210554480962E-3</v>
      </c>
    </row>
    <row r="1589" spans="1:31" ht="15.5" x14ac:dyDescent="0.35">
      <c r="A1589" s="82">
        <v>42073</v>
      </c>
      <c r="B1589" s="83">
        <v>10678.4</v>
      </c>
      <c r="C1589" s="84">
        <v>4859.8</v>
      </c>
      <c r="D1589" s="61">
        <v>559.79999999999995</v>
      </c>
      <c r="E1589" s="61">
        <v>42.2</v>
      </c>
      <c r="F1589" s="61">
        <v>123.8</v>
      </c>
      <c r="G1589" s="61">
        <v>42</v>
      </c>
      <c r="H1589" s="61">
        <v>26</v>
      </c>
      <c r="I1589" s="61">
        <v>25.3</v>
      </c>
      <c r="J1589" s="61">
        <v>32.799999999999997</v>
      </c>
      <c r="K1589" s="61">
        <v>7.3</v>
      </c>
      <c r="L1589" s="61">
        <v>56.5</v>
      </c>
      <c r="M1589" s="61">
        <v>50.5</v>
      </c>
      <c r="N1589" s="61">
        <v>66.7</v>
      </c>
      <c r="O1589" s="85">
        <v>48.1</v>
      </c>
      <c r="P1589" s="105"/>
      <c r="Q1589" s="87">
        <f t="shared" si="149"/>
        <v>-1.7470855141490341E-2</v>
      </c>
      <c r="R1589" s="87">
        <f t="shared" si="153"/>
        <v>-1.6853758379929806E-2</v>
      </c>
      <c r="S1589" s="87">
        <f t="shared" si="153"/>
        <v>-1.6476588527725152E-2</v>
      </c>
      <c r="T1589" s="87">
        <f t="shared" si="153"/>
        <v>-1.1778699192612763E-2</v>
      </c>
      <c r="U1589" s="87">
        <f t="shared" si="153"/>
        <v>-1.0446057222369737E-2</v>
      </c>
      <c r="V1589" s="87">
        <f t="shared" si="153"/>
        <v>-4.7506027585978647E-3</v>
      </c>
      <c r="W1589" s="87">
        <f t="shared" si="151"/>
        <v>-2.6567027384721751E-2</v>
      </c>
      <c r="X1589" s="87">
        <f t="shared" si="151"/>
        <v>-1.9570096194097223E-2</v>
      </c>
      <c r="Y1589" s="87">
        <f t="shared" si="151"/>
        <v>-3.003228709887509E-2</v>
      </c>
      <c r="Z1589" s="87">
        <f t="shared" si="151"/>
        <v>0</v>
      </c>
      <c r="AA1589" s="87">
        <f t="shared" si="151"/>
        <v>3.5461030067507116E-3</v>
      </c>
      <c r="AB1589" s="87">
        <f t="shared" si="152"/>
        <v>-3.3109158607278949E-2</v>
      </c>
      <c r="AC1589" s="87">
        <f t="shared" si="152"/>
        <v>-2.9940142126047777E-3</v>
      </c>
      <c r="AD1589" s="87">
        <f t="shared" si="152"/>
        <v>-8.2816208317219864E-3</v>
      </c>
      <c r="AE1589" s="90">
        <f t="shared" si="150"/>
        <v>-1.386919703126221E-2</v>
      </c>
    </row>
    <row r="1590" spans="1:31" ht="15.5" x14ac:dyDescent="0.35">
      <c r="A1590" s="82">
        <v>42074</v>
      </c>
      <c r="B1590" s="83">
        <v>10678.8</v>
      </c>
      <c r="C1590" s="84">
        <v>4849.8999999999996</v>
      </c>
      <c r="D1590" s="61">
        <v>555.4</v>
      </c>
      <c r="E1590" s="61">
        <v>42.4</v>
      </c>
      <c r="F1590" s="61">
        <v>122.1</v>
      </c>
      <c r="G1590" s="61">
        <v>41.8</v>
      </c>
      <c r="H1590" s="61">
        <v>25.9</v>
      </c>
      <c r="I1590" s="61">
        <v>24.9</v>
      </c>
      <c r="J1590" s="61">
        <v>32.4</v>
      </c>
      <c r="K1590" s="61">
        <v>7.2</v>
      </c>
      <c r="L1590" s="61">
        <v>56</v>
      </c>
      <c r="M1590" s="61">
        <v>50.5</v>
      </c>
      <c r="N1590" s="61">
        <v>65.8</v>
      </c>
      <c r="O1590" s="85">
        <v>47.6</v>
      </c>
      <c r="P1590" s="105"/>
      <c r="Q1590" s="87">
        <f t="shared" si="149"/>
        <v>3.7458093761975451E-5</v>
      </c>
      <c r="R1590" s="87">
        <f t="shared" si="153"/>
        <v>-2.0391986221250228E-3</v>
      </c>
      <c r="S1590" s="87">
        <f t="shared" si="153"/>
        <v>-7.8910022086539511E-3</v>
      </c>
      <c r="T1590" s="87">
        <f t="shared" si="153"/>
        <v>4.7281411959458957E-3</v>
      </c>
      <c r="U1590" s="87">
        <f t="shared" si="153"/>
        <v>-1.3826979133836719E-2</v>
      </c>
      <c r="V1590" s="87">
        <f t="shared" si="153"/>
        <v>-4.7732787526577709E-3</v>
      </c>
      <c r="W1590" s="87">
        <f t="shared" si="151"/>
        <v>-3.8535693159900777E-3</v>
      </c>
      <c r="X1590" s="87">
        <f t="shared" si="151"/>
        <v>-1.5936592262812754E-2</v>
      </c>
      <c r="Y1590" s="87">
        <f t="shared" si="151"/>
        <v>-1.2270092591814359E-2</v>
      </c>
      <c r="Z1590" s="87">
        <f t="shared" si="151"/>
        <v>-1.3793322132335761E-2</v>
      </c>
      <c r="AA1590" s="87">
        <f t="shared" si="151"/>
        <v>-8.8889474172460393E-3</v>
      </c>
      <c r="AB1590" s="87">
        <f t="shared" si="152"/>
        <v>0</v>
      </c>
      <c r="AC1590" s="87">
        <f t="shared" si="152"/>
        <v>-1.3585114590306592E-2</v>
      </c>
      <c r="AD1590" s="87">
        <f t="shared" si="152"/>
        <v>-1.044941587434112E-2</v>
      </c>
      <c r="AE1590" s="90">
        <f t="shared" si="150"/>
        <v>-8.1452304012992541E-3</v>
      </c>
    </row>
    <row r="1591" spans="1:31" ht="15.5" x14ac:dyDescent="0.35">
      <c r="A1591" s="82">
        <v>42075</v>
      </c>
      <c r="B1591" s="83">
        <v>10820.9</v>
      </c>
      <c r="C1591" s="84">
        <v>4893.3</v>
      </c>
      <c r="D1591" s="61">
        <v>555.5</v>
      </c>
      <c r="E1591" s="61">
        <v>42.6</v>
      </c>
      <c r="F1591" s="61">
        <v>121.6</v>
      </c>
      <c r="G1591" s="61">
        <v>40.9</v>
      </c>
      <c r="H1591" s="61">
        <v>26.4</v>
      </c>
      <c r="I1591" s="61">
        <v>25.1</v>
      </c>
      <c r="J1591" s="61">
        <v>32.700000000000003</v>
      </c>
      <c r="K1591" s="61">
        <v>7.3</v>
      </c>
      <c r="L1591" s="61">
        <v>55.7</v>
      </c>
      <c r="M1591" s="61">
        <v>51</v>
      </c>
      <c r="N1591" s="61">
        <v>66.5</v>
      </c>
      <c r="O1591" s="85">
        <v>47.7</v>
      </c>
      <c r="P1591" s="105"/>
      <c r="Q1591" s="87">
        <f t="shared" si="149"/>
        <v>1.3218981588046779E-2</v>
      </c>
      <c r="R1591" s="87">
        <f t="shared" si="153"/>
        <v>8.9088363258320712E-3</v>
      </c>
      <c r="S1591" s="87">
        <f t="shared" si="153"/>
        <v>1.8003420698562144E-4</v>
      </c>
      <c r="T1591" s="87">
        <f t="shared" si="153"/>
        <v>4.7058910374127138E-3</v>
      </c>
      <c r="U1591" s="87">
        <f t="shared" si="153"/>
        <v>-4.1034115845923419E-3</v>
      </c>
      <c r="V1591" s="87">
        <f t="shared" si="153"/>
        <v>-2.1766276481954512E-2</v>
      </c>
      <c r="W1591" s="87">
        <f t="shared" si="151"/>
        <v>1.9121041446778377E-2</v>
      </c>
      <c r="X1591" s="87">
        <f t="shared" si="151"/>
        <v>8.0000426670763704E-3</v>
      </c>
      <c r="Y1591" s="87">
        <f t="shared" si="151"/>
        <v>9.2166551049240476E-3</v>
      </c>
      <c r="Z1591" s="87">
        <f t="shared" si="151"/>
        <v>1.3793322132335769E-2</v>
      </c>
      <c r="AA1591" s="87">
        <f t="shared" si="151"/>
        <v>-5.3715438019108766E-3</v>
      </c>
      <c r="AB1591" s="87">
        <f t="shared" si="152"/>
        <v>9.8522964430116395E-3</v>
      </c>
      <c r="AC1591" s="87">
        <f t="shared" si="152"/>
        <v>1.0582109330537008E-2</v>
      </c>
      <c r="AD1591" s="87">
        <f t="shared" si="152"/>
        <v>2.0986366569212054E-3</v>
      </c>
      <c r="AE1591" s="90">
        <f t="shared" si="150"/>
        <v>1.8048784520933937E-3</v>
      </c>
    </row>
    <row r="1592" spans="1:31" ht="15.5" x14ac:dyDescent="0.35">
      <c r="A1592" s="82">
        <v>42076</v>
      </c>
      <c r="B1592" s="83">
        <v>10751</v>
      </c>
      <c r="C1592" s="84">
        <v>4871.8</v>
      </c>
      <c r="D1592" s="61">
        <v>550.29999999999995</v>
      </c>
      <c r="E1592" s="61">
        <v>42.4</v>
      </c>
      <c r="F1592" s="61">
        <v>122.6</v>
      </c>
      <c r="G1592" s="61">
        <v>40.6</v>
      </c>
      <c r="H1592" s="61">
        <v>26.7</v>
      </c>
      <c r="I1592" s="61">
        <v>25</v>
      </c>
      <c r="J1592" s="61">
        <v>32.299999999999997</v>
      </c>
      <c r="K1592" s="61">
        <v>7.4</v>
      </c>
      <c r="L1592" s="61">
        <v>55.6</v>
      </c>
      <c r="M1592" s="61">
        <v>50.9</v>
      </c>
      <c r="N1592" s="61">
        <v>66</v>
      </c>
      <c r="O1592" s="85">
        <v>47.7</v>
      </c>
      <c r="P1592" s="105"/>
      <c r="Q1592" s="87">
        <f t="shared" si="149"/>
        <v>-6.4806757536354917E-3</v>
      </c>
      <c r="R1592" s="87">
        <f t="shared" si="153"/>
        <v>-4.4034438440926794E-3</v>
      </c>
      <c r="S1592" s="87">
        <f t="shared" si="153"/>
        <v>-9.4050250139716494E-3</v>
      </c>
      <c r="T1592" s="87">
        <f t="shared" si="153"/>
        <v>-4.7058910374127277E-3</v>
      </c>
      <c r="U1592" s="87">
        <f t="shared" si="153"/>
        <v>8.1900539700444034E-3</v>
      </c>
      <c r="V1592" s="87">
        <f t="shared" si="153"/>
        <v>-7.3619964410690823E-3</v>
      </c>
      <c r="W1592" s="87">
        <f t="shared" si="151"/>
        <v>1.1299555253933466E-2</v>
      </c>
      <c r="X1592" s="87">
        <f t="shared" si="151"/>
        <v>-3.9920212695375608E-3</v>
      </c>
      <c r="Y1592" s="87">
        <f t="shared" si="151"/>
        <v>-1.230784767459704E-2</v>
      </c>
      <c r="Z1592" s="87">
        <f t="shared" si="151"/>
        <v>1.3605652055778678E-2</v>
      </c>
      <c r="AA1592" s="87">
        <f t="shared" si="151"/>
        <v>-1.7969456767016304E-3</v>
      </c>
      <c r="AB1592" s="87">
        <f t="shared" si="152"/>
        <v>-1.9627091678487058E-3</v>
      </c>
      <c r="AC1592" s="87">
        <f t="shared" si="152"/>
        <v>-7.5472056353829663E-3</v>
      </c>
      <c r="AD1592" s="87">
        <f t="shared" si="152"/>
        <v>0</v>
      </c>
      <c r="AE1592" s="90">
        <f t="shared" si="150"/>
        <v>-1.7315262947062591E-3</v>
      </c>
    </row>
    <row r="1593" spans="1:31" ht="15.5" x14ac:dyDescent="0.35">
      <c r="A1593" s="82">
        <v>42079</v>
      </c>
      <c r="B1593" s="83">
        <v>10881.2</v>
      </c>
      <c r="C1593" s="84">
        <v>4929.5</v>
      </c>
      <c r="D1593" s="61">
        <v>551.29999999999995</v>
      </c>
      <c r="E1593" s="61">
        <v>42.8</v>
      </c>
      <c r="F1593" s="61">
        <v>122.9</v>
      </c>
      <c r="G1593" s="61">
        <v>41.3</v>
      </c>
      <c r="H1593" s="61">
        <v>26.7</v>
      </c>
      <c r="I1593" s="61">
        <v>25.2</v>
      </c>
      <c r="J1593" s="61">
        <v>32.5</v>
      </c>
      <c r="K1593" s="61">
        <v>7.6</v>
      </c>
      <c r="L1593" s="61">
        <v>56.6</v>
      </c>
      <c r="M1593" s="61">
        <v>51.4</v>
      </c>
      <c r="N1593" s="61">
        <v>66</v>
      </c>
      <c r="O1593" s="85">
        <v>48</v>
      </c>
      <c r="P1593" s="105"/>
      <c r="Q1593" s="87">
        <f t="shared" si="149"/>
        <v>1.2037755960403608E-2</v>
      </c>
      <c r="R1593" s="87">
        <f t="shared" si="153"/>
        <v>1.1774084371094215E-2</v>
      </c>
      <c r="S1593" s="87">
        <f t="shared" si="153"/>
        <v>1.8155415299248407E-3</v>
      </c>
      <c r="T1593" s="87">
        <f t="shared" si="153"/>
        <v>9.3897403498389171E-3</v>
      </c>
      <c r="U1593" s="87">
        <f t="shared" si="153"/>
        <v>2.4439930698783043E-3</v>
      </c>
      <c r="V1593" s="87">
        <f t="shared" si="153"/>
        <v>1.709443335930004E-2</v>
      </c>
      <c r="W1593" s="87">
        <f t="shared" si="151"/>
        <v>0</v>
      </c>
      <c r="X1593" s="87">
        <f t="shared" si="151"/>
        <v>7.9681696491768813E-3</v>
      </c>
      <c r="Y1593" s="87">
        <f t="shared" si="151"/>
        <v>6.1728591070810161E-3</v>
      </c>
      <c r="Z1593" s="87">
        <f t="shared" si="151"/>
        <v>2.6668247082161273E-2</v>
      </c>
      <c r="AA1593" s="87">
        <f t="shared" si="151"/>
        <v>1.7825783952600666E-2</v>
      </c>
      <c r="AB1593" s="87">
        <f t="shared" si="152"/>
        <v>9.7752489046424654E-3</v>
      </c>
      <c r="AC1593" s="87">
        <f t="shared" si="152"/>
        <v>0</v>
      </c>
      <c r="AD1593" s="87">
        <f t="shared" si="152"/>
        <v>6.269613013595395E-3</v>
      </c>
      <c r="AE1593" s="90">
        <f t="shared" si="150"/>
        <v>5.521683168537515E-3</v>
      </c>
    </row>
    <row r="1594" spans="1:31" ht="15.5" x14ac:dyDescent="0.35">
      <c r="A1594" s="82">
        <v>42080</v>
      </c>
      <c r="B1594" s="83">
        <v>10862.4</v>
      </c>
      <c r="C1594" s="84">
        <v>4937.3999999999996</v>
      </c>
      <c r="D1594" s="61">
        <v>554.4</v>
      </c>
      <c r="E1594" s="61">
        <v>43.5</v>
      </c>
      <c r="F1594" s="61">
        <v>125.7</v>
      </c>
      <c r="G1594" s="61">
        <v>41.2</v>
      </c>
      <c r="H1594" s="61">
        <v>26.5</v>
      </c>
      <c r="I1594" s="61">
        <v>25</v>
      </c>
      <c r="J1594" s="61">
        <v>32.9</v>
      </c>
      <c r="K1594" s="61">
        <v>7.7</v>
      </c>
      <c r="L1594" s="61">
        <v>56.2</v>
      </c>
      <c r="M1594" s="61">
        <v>51.3</v>
      </c>
      <c r="N1594" s="61">
        <v>66.099999999999994</v>
      </c>
      <c r="O1594" s="85">
        <v>47.8</v>
      </c>
      <c r="P1594" s="105"/>
      <c r="Q1594" s="87">
        <f t="shared" si="149"/>
        <v>-1.7292448982491947E-3</v>
      </c>
      <c r="R1594" s="87">
        <f t="shared" si="153"/>
        <v>1.6013138246261222E-3</v>
      </c>
      <c r="S1594" s="87">
        <f t="shared" si="153"/>
        <v>5.6073222800555461E-3</v>
      </c>
      <c r="T1594" s="87">
        <f t="shared" si="153"/>
        <v>1.6222835506887384E-2</v>
      </c>
      <c r="U1594" s="87">
        <f t="shared" si="153"/>
        <v>2.2527099024212655E-2</v>
      </c>
      <c r="V1594" s="87">
        <f t="shared" si="153"/>
        <v>-2.42424361150628E-3</v>
      </c>
      <c r="W1594" s="87">
        <f t="shared" si="151"/>
        <v>-7.5188324140273398E-3</v>
      </c>
      <c r="X1594" s="87">
        <f t="shared" si="151"/>
        <v>-7.9681696491768449E-3</v>
      </c>
      <c r="Y1594" s="87">
        <f t="shared" si="151"/>
        <v>1.2232568435634451E-2</v>
      </c>
      <c r="Z1594" s="87">
        <f t="shared" si="151"/>
        <v>1.3072081567352921E-2</v>
      </c>
      <c r="AA1594" s="87">
        <f t="shared" si="151"/>
        <v>-7.0922283094917984E-3</v>
      </c>
      <c r="AB1594" s="87">
        <f t="shared" si="152"/>
        <v>-1.9474202843955666E-3</v>
      </c>
      <c r="AC1594" s="87">
        <f t="shared" si="152"/>
        <v>1.5140048312150113E-3</v>
      </c>
      <c r="AD1594" s="87">
        <f t="shared" si="152"/>
        <v>-4.1753714104807334E-3</v>
      </c>
      <c r="AE1594" s="90">
        <f t="shared" si="150"/>
        <v>8.0554807202361974E-3</v>
      </c>
    </row>
    <row r="1595" spans="1:31" ht="15.5" x14ac:dyDescent="0.35">
      <c r="A1595" s="82">
        <v>42081</v>
      </c>
      <c r="B1595" s="83">
        <v>11019.7</v>
      </c>
      <c r="C1595" s="84">
        <v>4982.8</v>
      </c>
      <c r="D1595" s="61">
        <v>553.5</v>
      </c>
      <c r="E1595" s="61">
        <v>43.4</v>
      </c>
      <c r="F1595" s="61">
        <v>126.4</v>
      </c>
      <c r="G1595" s="61">
        <v>41.3</v>
      </c>
      <c r="H1595" s="61">
        <v>26.6</v>
      </c>
      <c r="I1595" s="61">
        <v>24.9</v>
      </c>
      <c r="J1595" s="61">
        <v>33</v>
      </c>
      <c r="K1595" s="61">
        <v>7.6</v>
      </c>
      <c r="L1595" s="61">
        <v>56.2</v>
      </c>
      <c r="M1595" s="61">
        <v>51.1</v>
      </c>
      <c r="N1595" s="61">
        <v>67.2</v>
      </c>
      <c r="O1595" s="85">
        <v>47.8</v>
      </c>
      <c r="P1595" s="105"/>
      <c r="Q1595" s="87">
        <f t="shared" si="149"/>
        <v>1.4377295558474083E-2</v>
      </c>
      <c r="R1595" s="87">
        <f t="shared" si="153"/>
        <v>9.1531051722154935E-3</v>
      </c>
      <c r="S1595" s="87">
        <f t="shared" si="153"/>
        <v>-1.624695727001922E-3</v>
      </c>
      <c r="T1595" s="87">
        <f t="shared" si="153"/>
        <v>-2.3014969882792745E-3</v>
      </c>
      <c r="U1595" s="87">
        <f t="shared" si="153"/>
        <v>5.5533661165553137E-3</v>
      </c>
      <c r="V1595" s="87">
        <f t="shared" si="153"/>
        <v>2.4242436115062545E-3</v>
      </c>
      <c r="W1595" s="87">
        <f t="shared" si="151"/>
        <v>3.7664827954768648E-3</v>
      </c>
      <c r="X1595" s="87">
        <f t="shared" si="151"/>
        <v>-4.0080213975388218E-3</v>
      </c>
      <c r="Y1595" s="87">
        <f t="shared" si="151"/>
        <v>3.0349036951541112E-3</v>
      </c>
      <c r="Z1595" s="87">
        <f t="shared" si="151"/>
        <v>-1.3072081567352888E-2</v>
      </c>
      <c r="AA1595" s="87">
        <f t="shared" si="151"/>
        <v>0</v>
      </c>
      <c r="AB1595" s="87">
        <f t="shared" si="152"/>
        <v>-3.9062549670649885E-3</v>
      </c>
      <c r="AC1595" s="87">
        <f t="shared" si="152"/>
        <v>1.6504500671463418E-2</v>
      </c>
      <c r="AD1595" s="87">
        <f t="shared" si="152"/>
        <v>0</v>
      </c>
      <c r="AE1595" s="90">
        <f t="shared" si="150"/>
        <v>3.8559001418395755E-3</v>
      </c>
    </row>
    <row r="1596" spans="1:31" ht="15.5" x14ac:dyDescent="0.35">
      <c r="A1596" s="82">
        <v>42082</v>
      </c>
      <c r="B1596" s="83">
        <v>10931.4</v>
      </c>
      <c r="C1596" s="84">
        <v>4992.3999999999996</v>
      </c>
      <c r="D1596" s="61">
        <v>562.1</v>
      </c>
      <c r="E1596" s="61">
        <v>44.8</v>
      </c>
      <c r="F1596" s="61">
        <v>127.4</v>
      </c>
      <c r="G1596" s="61">
        <v>42.2</v>
      </c>
      <c r="H1596" s="61">
        <v>27.3</v>
      </c>
      <c r="I1596" s="61">
        <v>25.2</v>
      </c>
      <c r="J1596" s="61">
        <v>32</v>
      </c>
      <c r="K1596" s="61">
        <v>7.6</v>
      </c>
      <c r="L1596" s="61">
        <v>57</v>
      </c>
      <c r="M1596" s="61">
        <v>50.3</v>
      </c>
      <c r="N1596" s="61">
        <v>66.7</v>
      </c>
      <c r="O1596" s="85">
        <v>48.6</v>
      </c>
      <c r="P1596" s="105"/>
      <c r="Q1596" s="87">
        <f t="shared" si="149"/>
        <v>-8.0451983061623714E-3</v>
      </c>
      <c r="R1596" s="87">
        <f t="shared" si="153"/>
        <v>1.924774032360921E-3</v>
      </c>
      <c r="S1596" s="87">
        <f t="shared" si="153"/>
        <v>1.5418017859337779E-2</v>
      </c>
      <c r="T1596" s="87">
        <f t="shared" si="153"/>
        <v>3.174869831458027E-2</v>
      </c>
      <c r="U1596" s="87">
        <f t="shared" si="153"/>
        <v>7.8802614253059653E-3</v>
      </c>
      <c r="V1596" s="87">
        <f t="shared" si="153"/>
        <v>2.1557721074979271E-2</v>
      </c>
      <c r="W1596" s="87">
        <f t="shared" si="151"/>
        <v>2.5975486403260736E-2</v>
      </c>
      <c r="X1596" s="87">
        <f t="shared" si="151"/>
        <v>1.197619104671562E-2</v>
      </c>
      <c r="Y1596" s="87">
        <f t="shared" si="151"/>
        <v>-3.077165866675366E-2</v>
      </c>
      <c r="Z1596" s="87">
        <f t="shared" si="151"/>
        <v>0</v>
      </c>
      <c r="AA1596" s="87">
        <f t="shared" si="151"/>
        <v>1.4134510934904716E-2</v>
      </c>
      <c r="AB1596" s="87">
        <f t="shared" si="152"/>
        <v>-1.5779420103965339E-2</v>
      </c>
      <c r="AC1596" s="87">
        <f t="shared" si="152"/>
        <v>-7.4682946075257991E-3</v>
      </c>
      <c r="AD1596" s="87">
        <f t="shared" si="152"/>
        <v>1.6597891409037831E-2</v>
      </c>
      <c r="AE1596" s="90">
        <f t="shared" si="150"/>
        <v>9.3615118384522446E-3</v>
      </c>
    </row>
    <row r="1597" spans="1:31" ht="15.5" x14ac:dyDescent="0.35">
      <c r="A1597" s="82">
        <v>42083</v>
      </c>
      <c r="B1597" s="83">
        <v>11070.5</v>
      </c>
      <c r="C1597" s="84">
        <v>5026.3999999999996</v>
      </c>
      <c r="D1597" s="61">
        <v>564.5</v>
      </c>
      <c r="E1597" s="61">
        <v>44.9</v>
      </c>
      <c r="F1597" s="61">
        <v>125.2</v>
      </c>
      <c r="G1597" s="61">
        <v>42.5</v>
      </c>
      <c r="H1597" s="61">
        <v>27.2</v>
      </c>
      <c r="I1597" s="61">
        <v>25.3</v>
      </c>
      <c r="J1597" s="61">
        <v>31.9</v>
      </c>
      <c r="K1597" s="61">
        <v>7.7</v>
      </c>
      <c r="L1597" s="61">
        <v>57.8</v>
      </c>
      <c r="M1597" s="61">
        <v>50.6</v>
      </c>
      <c r="N1597" s="61">
        <v>67.400000000000006</v>
      </c>
      <c r="O1597" s="85">
        <v>50.6</v>
      </c>
      <c r="P1597" s="105"/>
      <c r="Q1597" s="87">
        <f t="shared" si="149"/>
        <v>1.2644531001322439E-2</v>
      </c>
      <c r="R1597" s="87">
        <f t="shared" si="153"/>
        <v>6.7872660444387002E-3</v>
      </c>
      <c r="S1597" s="87">
        <f t="shared" si="153"/>
        <v>4.2606135816872729E-3</v>
      </c>
      <c r="T1597" s="87">
        <f t="shared" si="153"/>
        <v>2.2296553272690683E-3</v>
      </c>
      <c r="U1597" s="87">
        <f t="shared" si="153"/>
        <v>-1.7419284472064821E-2</v>
      </c>
      <c r="V1597" s="87">
        <f t="shared" si="153"/>
        <v>7.0838548884050419E-3</v>
      </c>
      <c r="W1597" s="87">
        <f t="shared" si="151"/>
        <v>-3.6697288889625131E-3</v>
      </c>
      <c r="X1597" s="87">
        <f t="shared" si="151"/>
        <v>3.9604012160969143E-3</v>
      </c>
      <c r="Y1597" s="87">
        <f t="shared" si="151"/>
        <v>-3.1298930089277044E-3</v>
      </c>
      <c r="Z1597" s="87">
        <f t="shared" si="151"/>
        <v>1.3072081567352921E-2</v>
      </c>
      <c r="AA1597" s="87">
        <f t="shared" si="151"/>
        <v>1.3937507843781678E-2</v>
      </c>
      <c r="AB1597" s="87">
        <f t="shared" si="152"/>
        <v>5.9464991877265236E-3</v>
      </c>
      <c r="AC1597" s="87">
        <f t="shared" si="152"/>
        <v>1.0440064996683422E-2</v>
      </c>
      <c r="AD1597" s="87">
        <f t="shared" si="152"/>
        <v>4.0328045386971809E-2</v>
      </c>
      <c r="AE1597" s="90">
        <f t="shared" si="150"/>
        <v>3.2027802974606548E-3</v>
      </c>
    </row>
    <row r="1598" spans="1:31" ht="15.5" x14ac:dyDescent="0.35">
      <c r="A1598" s="82">
        <v>42086</v>
      </c>
      <c r="B1598" s="83">
        <v>11070.9</v>
      </c>
      <c r="C1598" s="84">
        <v>5011</v>
      </c>
      <c r="D1598" s="61">
        <v>563.1</v>
      </c>
      <c r="E1598" s="61">
        <v>44.7</v>
      </c>
      <c r="F1598" s="61">
        <v>126.5</v>
      </c>
      <c r="G1598" s="61">
        <v>42.8</v>
      </c>
      <c r="H1598" s="61">
        <v>27.5</v>
      </c>
      <c r="I1598" s="61">
        <v>25.6</v>
      </c>
      <c r="J1598" s="61">
        <v>32.299999999999997</v>
      </c>
      <c r="K1598" s="61">
        <v>7.7</v>
      </c>
      <c r="L1598" s="61">
        <v>58</v>
      </c>
      <c r="M1598" s="61">
        <v>51.4</v>
      </c>
      <c r="N1598" s="61">
        <v>67.900000000000006</v>
      </c>
      <c r="O1598" s="85">
        <v>50.6</v>
      </c>
      <c r="P1598" s="105"/>
      <c r="Q1598" s="87">
        <f t="shared" si="149"/>
        <v>3.6131409941899969E-5</v>
      </c>
      <c r="R1598" s="87">
        <f t="shared" si="153"/>
        <v>-3.0685261290125795E-3</v>
      </c>
      <c r="S1598" s="87">
        <f t="shared" si="153"/>
        <v>-2.4831513291438262E-3</v>
      </c>
      <c r="T1598" s="87">
        <f t="shared" si="153"/>
        <v>-4.4642931286853812E-3</v>
      </c>
      <c r="U1598" s="87">
        <f t="shared" si="153"/>
        <v>1.0329849501576661E-2</v>
      </c>
      <c r="V1598" s="87">
        <f t="shared" si="153"/>
        <v>7.0340266573799817E-3</v>
      </c>
      <c r="W1598" s="87">
        <f t="shared" si="151"/>
        <v>1.0969031370573937E-2</v>
      </c>
      <c r="X1598" s="87">
        <f t="shared" si="151"/>
        <v>1.1787955752042173E-2</v>
      </c>
      <c r="Y1598" s="87">
        <f t="shared" si="151"/>
        <v>1.2461220437812033E-2</v>
      </c>
      <c r="Z1598" s="87">
        <f t="shared" si="151"/>
        <v>0</v>
      </c>
      <c r="AA1598" s="87">
        <f t="shared" si="151"/>
        <v>3.4542348680876036E-3</v>
      </c>
      <c r="AB1598" s="87">
        <f t="shared" si="152"/>
        <v>1.5686596167699473E-2</v>
      </c>
      <c r="AC1598" s="87">
        <f t="shared" si="152"/>
        <v>7.391016646389182E-3</v>
      </c>
      <c r="AD1598" s="87">
        <f t="shared" si="152"/>
        <v>0</v>
      </c>
      <c r="AE1598" s="90">
        <f t="shared" si="150"/>
        <v>1.3069418105145344E-3</v>
      </c>
    </row>
    <row r="1599" spans="1:31" ht="15.5" x14ac:dyDescent="0.35">
      <c r="A1599" s="82">
        <v>42087</v>
      </c>
      <c r="B1599" s="83">
        <v>11019.8</v>
      </c>
      <c r="C1599" s="84">
        <v>4994.7</v>
      </c>
      <c r="D1599" s="61">
        <v>568.1</v>
      </c>
      <c r="E1599" s="61">
        <v>44.3</v>
      </c>
      <c r="F1599" s="61">
        <v>126.6</v>
      </c>
      <c r="G1599" s="61">
        <v>42.8</v>
      </c>
      <c r="H1599" s="61">
        <v>27.9</v>
      </c>
      <c r="I1599" s="61">
        <v>25.9</v>
      </c>
      <c r="J1599" s="61">
        <v>32.299999999999997</v>
      </c>
      <c r="K1599" s="61">
        <v>7.9</v>
      </c>
      <c r="L1599" s="61">
        <v>58.5</v>
      </c>
      <c r="M1599" s="61">
        <v>50.9</v>
      </c>
      <c r="N1599" s="61">
        <v>70.099999999999994</v>
      </c>
      <c r="O1599" s="85">
        <v>50.3</v>
      </c>
      <c r="P1599" s="105"/>
      <c r="Q1599" s="87">
        <f t="shared" si="149"/>
        <v>-4.6263894890717196E-3</v>
      </c>
      <c r="R1599" s="87">
        <f t="shared" si="153"/>
        <v>-3.2581457408085005E-3</v>
      </c>
      <c r="S1599" s="87">
        <f t="shared" si="153"/>
        <v>8.8402273025084202E-3</v>
      </c>
      <c r="T1599" s="87">
        <f t="shared" si="153"/>
        <v>-8.9888245684333311E-3</v>
      </c>
      <c r="U1599" s="87">
        <f t="shared" si="153"/>
        <v>7.9020154250088257E-4</v>
      </c>
      <c r="V1599" s="87">
        <f t="shared" si="153"/>
        <v>0</v>
      </c>
      <c r="W1599" s="87">
        <f t="shared" si="151"/>
        <v>1.4440684154794209E-2</v>
      </c>
      <c r="X1599" s="87">
        <f t="shared" si="151"/>
        <v>1.1650617219975054E-2</v>
      </c>
      <c r="Y1599" s="87">
        <f t="shared" si="151"/>
        <v>0</v>
      </c>
      <c r="Z1599" s="87">
        <f t="shared" si="151"/>
        <v>2.5642430613337652E-2</v>
      </c>
      <c r="AA1599" s="87">
        <f t="shared" si="151"/>
        <v>8.583743691391435E-3</v>
      </c>
      <c r="AB1599" s="87">
        <f t="shared" si="152"/>
        <v>-9.7752489046423301E-3</v>
      </c>
      <c r="AC1599" s="87">
        <f t="shared" si="152"/>
        <v>3.1886759475893853E-2</v>
      </c>
      <c r="AD1599" s="87">
        <f t="shared" si="152"/>
        <v>-5.9464991877264152E-3</v>
      </c>
      <c r="AE1599" s="90">
        <f t="shared" si="150"/>
        <v>1.1146417112799379E-3</v>
      </c>
    </row>
    <row r="1600" spans="1:31" ht="15.5" x14ac:dyDescent="0.35">
      <c r="A1600" s="82">
        <v>42088</v>
      </c>
      <c r="B1600" s="83">
        <v>10897.5</v>
      </c>
      <c r="C1600" s="84">
        <v>4876.5</v>
      </c>
      <c r="D1600" s="61">
        <v>567</v>
      </c>
      <c r="E1600" s="61">
        <v>44.1</v>
      </c>
      <c r="F1600" s="61">
        <v>123.4</v>
      </c>
      <c r="G1600" s="61">
        <v>41.4</v>
      </c>
      <c r="H1600" s="61">
        <v>19.8</v>
      </c>
      <c r="I1600" s="61">
        <v>25.9</v>
      </c>
      <c r="J1600" s="61">
        <v>32.6</v>
      </c>
      <c r="K1600" s="61">
        <v>7.9</v>
      </c>
      <c r="L1600" s="61">
        <v>58.2</v>
      </c>
      <c r="M1600" s="61">
        <v>50.3</v>
      </c>
      <c r="N1600" s="61">
        <v>70.599999999999994</v>
      </c>
      <c r="O1600" s="85">
        <v>49.5</v>
      </c>
      <c r="P1600" s="105"/>
      <c r="Q1600" s="87">
        <f t="shared" si="149"/>
        <v>-1.1160249609339283E-2</v>
      </c>
      <c r="R1600" s="87">
        <f t="shared" si="153"/>
        <v>-2.3949600806846445E-2</v>
      </c>
      <c r="S1600" s="87">
        <f t="shared" si="153"/>
        <v>-1.9381558353291602E-3</v>
      </c>
      <c r="T1600" s="87">
        <f t="shared" si="153"/>
        <v>-4.5248945982895774E-3</v>
      </c>
      <c r="U1600" s="87">
        <f t="shared" si="153"/>
        <v>-2.5601398238788337E-2</v>
      </c>
      <c r="V1600" s="87">
        <f t="shared" si="153"/>
        <v>-3.3257221756482352E-2</v>
      </c>
      <c r="W1600" s="87">
        <f t="shared" si="151"/>
        <v>-0.34294475112683032</v>
      </c>
      <c r="X1600" s="87">
        <f t="shared" si="151"/>
        <v>0</v>
      </c>
      <c r="Y1600" s="87">
        <f t="shared" si="151"/>
        <v>9.2450581440512089E-3</v>
      </c>
      <c r="Z1600" s="87">
        <f t="shared" si="151"/>
        <v>0</v>
      </c>
      <c r="AA1600" s="87">
        <f t="shared" si="151"/>
        <v>-5.1413995004186523E-3</v>
      </c>
      <c r="AB1600" s="87">
        <f t="shared" si="152"/>
        <v>-1.1857846450783615E-2</v>
      </c>
      <c r="AC1600" s="87">
        <f t="shared" si="152"/>
        <v>7.1073504586520184E-3</v>
      </c>
      <c r="AD1600" s="87">
        <f t="shared" si="152"/>
        <v>-1.6032407531048884E-2</v>
      </c>
      <c r="AE1600" s="90">
        <f t="shared" si="150"/>
        <v>-1.701542714908031E-2</v>
      </c>
    </row>
    <row r="1601" spans="1:31" ht="15.5" x14ac:dyDescent="0.35">
      <c r="A1601" s="82">
        <v>42089</v>
      </c>
      <c r="B1601" s="83">
        <v>10865.2</v>
      </c>
      <c r="C1601" s="84">
        <v>4863.3999999999996</v>
      </c>
      <c r="D1601" s="61">
        <v>558.29999999999995</v>
      </c>
      <c r="E1601" s="61">
        <v>43.7</v>
      </c>
      <c r="F1601" s="61">
        <v>122.6</v>
      </c>
      <c r="G1601" s="61">
        <v>40.9</v>
      </c>
      <c r="H1601" s="61">
        <v>19.2</v>
      </c>
      <c r="I1601" s="61">
        <v>25.6</v>
      </c>
      <c r="J1601" s="61">
        <v>32.6</v>
      </c>
      <c r="K1601" s="61">
        <v>7.6</v>
      </c>
      <c r="L1601" s="61">
        <v>57.4</v>
      </c>
      <c r="M1601" s="61">
        <v>50</v>
      </c>
      <c r="N1601" s="61">
        <v>70.099999999999994</v>
      </c>
      <c r="O1601" s="85">
        <v>48.8</v>
      </c>
      <c r="P1601" s="105"/>
      <c r="Q1601" s="87">
        <f t="shared" si="149"/>
        <v>-2.9683838601906299E-3</v>
      </c>
      <c r="R1601" s="87">
        <f t="shared" si="153"/>
        <v>-2.6899676381109462E-3</v>
      </c>
      <c r="S1601" s="87">
        <f t="shared" si="153"/>
        <v>-1.5462851411437401E-2</v>
      </c>
      <c r="T1601" s="87">
        <f t="shared" si="153"/>
        <v>-9.1116803512557784E-3</v>
      </c>
      <c r="U1601" s="87">
        <f t="shared" si="153"/>
        <v>-6.5040879691764886E-3</v>
      </c>
      <c r="V1601" s="87">
        <f t="shared" si="153"/>
        <v>-1.2150817782512691E-2</v>
      </c>
      <c r="W1601" s="87">
        <f t="shared" si="151"/>
        <v>-3.0771658666753774E-2</v>
      </c>
      <c r="X1601" s="87">
        <f t="shared" si="151"/>
        <v>-1.1650617219975139E-2</v>
      </c>
      <c r="Y1601" s="87">
        <f t="shared" si="151"/>
        <v>0</v>
      </c>
      <c r="Z1601" s="87">
        <f t="shared" si="151"/>
        <v>-3.8714512180690511E-2</v>
      </c>
      <c r="AA1601" s="87">
        <f t="shared" si="151"/>
        <v>-1.3841051411871468E-2</v>
      </c>
      <c r="AB1601" s="87">
        <f t="shared" si="152"/>
        <v>-5.982071677547429E-3</v>
      </c>
      <c r="AC1601" s="87">
        <f t="shared" si="152"/>
        <v>-7.1073504586519447E-3</v>
      </c>
      <c r="AD1601" s="87">
        <f t="shared" si="152"/>
        <v>-1.4242356715543216E-2</v>
      </c>
      <c r="AE1601" s="90">
        <f t="shared" si="150"/>
        <v>-8.9241904686901477E-3</v>
      </c>
    </row>
    <row r="1602" spans="1:31" ht="15.5" x14ac:dyDescent="0.35">
      <c r="A1602" s="82">
        <v>42090</v>
      </c>
      <c r="B1602" s="83">
        <v>10875.1</v>
      </c>
      <c r="C1602" s="84">
        <v>4891.2</v>
      </c>
      <c r="D1602" s="61">
        <v>556.9</v>
      </c>
      <c r="E1602" s="61">
        <v>45</v>
      </c>
      <c r="F1602" s="61">
        <v>122.9</v>
      </c>
      <c r="G1602" s="61">
        <v>40.799999999999997</v>
      </c>
      <c r="H1602" s="61">
        <v>19.100000000000001</v>
      </c>
      <c r="I1602" s="61">
        <v>25.5</v>
      </c>
      <c r="J1602" s="61">
        <v>32</v>
      </c>
      <c r="K1602" s="61">
        <v>7.6</v>
      </c>
      <c r="L1602" s="61">
        <v>57.6</v>
      </c>
      <c r="M1602" s="61">
        <v>50.1</v>
      </c>
      <c r="N1602" s="61">
        <v>70</v>
      </c>
      <c r="O1602" s="85">
        <v>49.6</v>
      </c>
      <c r="P1602" s="105"/>
      <c r="Q1602" s="87">
        <f t="shared" si="149"/>
        <v>9.1075106454926134E-4</v>
      </c>
      <c r="R1602" s="87">
        <f t="shared" si="153"/>
        <v>5.6998903626111963E-3</v>
      </c>
      <c r="S1602" s="87">
        <f t="shared" si="153"/>
        <v>-2.5107617206918259E-3</v>
      </c>
      <c r="T1602" s="87">
        <f t="shared" si="153"/>
        <v>2.9314387668775307E-2</v>
      </c>
      <c r="U1602" s="87">
        <f t="shared" si="153"/>
        <v>2.4439930698783043E-3</v>
      </c>
      <c r="V1602" s="87">
        <f t="shared" si="153"/>
        <v>-2.4479816386401127E-3</v>
      </c>
      <c r="W1602" s="87">
        <f t="shared" si="151"/>
        <v>-5.2219439811516007E-3</v>
      </c>
      <c r="X1602" s="87">
        <f t="shared" si="151"/>
        <v>-3.9138993211363287E-3</v>
      </c>
      <c r="Y1602" s="87">
        <f t="shared" si="151"/>
        <v>-1.8576385572935419E-2</v>
      </c>
      <c r="Z1602" s="87">
        <f t="shared" si="151"/>
        <v>0</v>
      </c>
      <c r="AA1602" s="87">
        <f t="shared" si="151"/>
        <v>3.4782643763247925E-3</v>
      </c>
      <c r="AB1602" s="87">
        <f t="shared" si="152"/>
        <v>1.9980026626730579E-3</v>
      </c>
      <c r="AC1602" s="87">
        <f t="shared" si="152"/>
        <v>-1.427551991185335E-3</v>
      </c>
      <c r="AD1602" s="87">
        <f t="shared" si="152"/>
        <v>1.6260520871780326E-2</v>
      </c>
      <c r="AE1602" s="90">
        <f t="shared" si="150"/>
        <v>3.6487427003826177E-3</v>
      </c>
    </row>
    <row r="1603" spans="1:31" ht="15.5" x14ac:dyDescent="0.35">
      <c r="A1603" s="82">
        <v>42093</v>
      </c>
      <c r="B1603" s="83">
        <v>10989.2</v>
      </c>
      <c r="C1603" s="84">
        <v>4947.3999999999996</v>
      </c>
      <c r="D1603" s="61">
        <v>556.79999999999995</v>
      </c>
      <c r="E1603" s="61">
        <v>44.8</v>
      </c>
      <c r="F1603" s="61">
        <v>124</v>
      </c>
      <c r="G1603" s="61">
        <v>40.9</v>
      </c>
      <c r="H1603" s="61">
        <v>18.8</v>
      </c>
      <c r="I1603" s="61">
        <v>26.3</v>
      </c>
      <c r="J1603" s="61">
        <v>31.9</v>
      </c>
      <c r="K1603" s="61">
        <v>7.6</v>
      </c>
      <c r="L1603" s="61">
        <v>58.2</v>
      </c>
      <c r="M1603" s="61">
        <v>50.6</v>
      </c>
      <c r="N1603" s="61">
        <v>69.900000000000006</v>
      </c>
      <c r="O1603" s="85">
        <v>50.3</v>
      </c>
      <c r="P1603" s="105"/>
      <c r="Q1603" s="87">
        <f t="shared" si="149"/>
        <v>1.0437199982599473E-2</v>
      </c>
      <c r="R1603" s="87">
        <f t="shared" si="153"/>
        <v>1.1424513907482611E-2</v>
      </c>
      <c r="S1603" s="87">
        <f t="shared" si="153"/>
        <v>-1.795815754130532E-4</v>
      </c>
      <c r="T1603" s="87">
        <f t="shared" si="153"/>
        <v>-4.4543503493803087E-3</v>
      </c>
      <c r="U1603" s="87">
        <f t="shared" si="153"/>
        <v>8.9105490330477644E-3</v>
      </c>
      <c r="V1603" s="87">
        <f t="shared" si="153"/>
        <v>2.4479816386400372E-3</v>
      </c>
      <c r="W1603" s="87">
        <f t="shared" si="151"/>
        <v>-1.5831465216680739E-2</v>
      </c>
      <c r="X1603" s="87">
        <f t="shared" si="151"/>
        <v>3.0890487019338511E-2</v>
      </c>
      <c r="Y1603" s="87">
        <f t="shared" si="151"/>
        <v>-3.1298930089277044E-3</v>
      </c>
      <c r="Z1603" s="87">
        <f t="shared" si="151"/>
        <v>0</v>
      </c>
      <c r="AA1603" s="87">
        <f t="shared" si="151"/>
        <v>1.0362787035546658E-2</v>
      </c>
      <c r="AB1603" s="87">
        <f t="shared" si="152"/>
        <v>9.9305682026007876E-3</v>
      </c>
      <c r="AC1603" s="87">
        <f t="shared" si="152"/>
        <v>-1.4295928095943225E-3</v>
      </c>
      <c r="AD1603" s="87">
        <f t="shared" si="152"/>
        <v>1.4014243374811546E-2</v>
      </c>
      <c r="AE1603" s="90">
        <f t="shared" si="150"/>
        <v>7.623185375082624E-3</v>
      </c>
    </row>
    <row r="1604" spans="1:31" ht="15.5" x14ac:dyDescent="0.35">
      <c r="A1604" s="82">
        <v>42094</v>
      </c>
      <c r="B1604" s="83">
        <v>10899.2</v>
      </c>
      <c r="C1604" s="84">
        <v>4900.8999999999996</v>
      </c>
      <c r="D1604" s="61">
        <v>554.70000000000005</v>
      </c>
      <c r="E1604" s="61">
        <v>44.4</v>
      </c>
      <c r="F1604" s="61">
        <v>124.4</v>
      </c>
      <c r="G1604" s="61">
        <v>40.5</v>
      </c>
      <c r="H1604" s="61">
        <v>18.8</v>
      </c>
      <c r="I1604" s="61">
        <v>26.4</v>
      </c>
      <c r="J1604" s="61">
        <v>32.1</v>
      </c>
      <c r="K1604" s="61">
        <v>8</v>
      </c>
      <c r="L1604" s="61">
        <v>57.5</v>
      </c>
      <c r="M1604" s="61">
        <v>50.3</v>
      </c>
      <c r="N1604" s="61">
        <v>68.7</v>
      </c>
      <c r="O1604" s="85">
        <v>50.1</v>
      </c>
      <c r="P1604" s="105"/>
      <c r="Q1604" s="87">
        <f t="shared" si="149"/>
        <v>-8.223580271191357E-3</v>
      </c>
      <c r="R1604" s="87">
        <f t="shared" si="153"/>
        <v>-9.443324341853538E-3</v>
      </c>
      <c r="S1604" s="87">
        <f t="shared" si="153"/>
        <v>-3.7786819590208947E-3</v>
      </c>
      <c r="T1604" s="87">
        <f t="shared" si="153"/>
        <v>-8.9686699827603751E-3</v>
      </c>
      <c r="U1604" s="87">
        <f t="shared" si="153"/>
        <v>3.2206147000421572E-3</v>
      </c>
      <c r="V1604" s="87">
        <f t="shared" si="153"/>
        <v>-9.8280889362625384E-3</v>
      </c>
      <c r="W1604" s="87">
        <f t="shared" si="151"/>
        <v>0</v>
      </c>
      <c r="X1604" s="87">
        <f t="shared" si="151"/>
        <v>3.7950709685515343E-3</v>
      </c>
      <c r="Y1604" s="87">
        <f t="shared" si="151"/>
        <v>6.2500203451713258E-3</v>
      </c>
      <c r="Z1604" s="87">
        <f t="shared" si="151"/>
        <v>5.1293294387550481E-2</v>
      </c>
      <c r="AA1604" s="87">
        <f t="shared" si="151"/>
        <v>-1.2100406934087453E-2</v>
      </c>
      <c r="AB1604" s="87">
        <f t="shared" si="152"/>
        <v>-5.9464991877264152E-3</v>
      </c>
      <c r="AC1604" s="87">
        <f t="shared" si="152"/>
        <v>-1.731645001146093E-2</v>
      </c>
      <c r="AD1604" s="87">
        <f t="shared" si="152"/>
        <v>-3.9840690148743472E-3</v>
      </c>
      <c r="AE1604" s="90">
        <f t="shared" si="150"/>
        <v>-3.5002431107984838E-3</v>
      </c>
    </row>
    <row r="1605" spans="1:31" ht="15.5" x14ac:dyDescent="0.35">
      <c r="A1605" s="82">
        <v>42095</v>
      </c>
      <c r="B1605" s="83">
        <v>10891.6</v>
      </c>
      <c r="C1605" s="84">
        <v>4880.2</v>
      </c>
      <c r="D1605" s="61">
        <v>546</v>
      </c>
      <c r="E1605" s="61">
        <v>44</v>
      </c>
      <c r="F1605" s="61">
        <v>123.1</v>
      </c>
      <c r="G1605" s="61">
        <v>40.299999999999997</v>
      </c>
      <c r="H1605" s="61">
        <v>18.3</v>
      </c>
      <c r="I1605" s="61">
        <v>26.4</v>
      </c>
      <c r="J1605" s="61">
        <v>32.1</v>
      </c>
      <c r="K1605" s="61">
        <v>8.4</v>
      </c>
      <c r="L1605" s="61">
        <v>56.2</v>
      </c>
      <c r="M1605" s="61">
        <v>50.1</v>
      </c>
      <c r="N1605" s="61">
        <v>68.3</v>
      </c>
      <c r="O1605" s="85">
        <v>49.2</v>
      </c>
      <c r="P1605" s="105"/>
      <c r="Q1605" s="87">
        <f t="shared" si="149"/>
        <v>-6.9754211026285765E-4</v>
      </c>
      <c r="R1605" s="87">
        <f t="shared" si="153"/>
        <v>-4.2326590882539863E-3</v>
      </c>
      <c r="S1605" s="87">
        <f t="shared" si="153"/>
        <v>-1.5808451316283886E-2</v>
      </c>
      <c r="T1605" s="87">
        <f t="shared" si="153"/>
        <v>-9.0498355199179273E-3</v>
      </c>
      <c r="U1605" s="87">
        <f t="shared" si="153"/>
        <v>-1.0505147114671305E-2</v>
      </c>
      <c r="V1605" s="87">
        <f t="shared" si="153"/>
        <v>-4.9505051598562029E-3</v>
      </c>
      <c r="W1605" s="87">
        <f t="shared" si="151"/>
        <v>-2.6955809988528218E-2</v>
      </c>
      <c r="X1605" s="87">
        <f t="shared" si="151"/>
        <v>0</v>
      </c>
      <c r="Y1605" s="87">
        <f t="shared" si="151"/>
        <v>0</v>
      </c>
      <c r="Z1605" s="87">
        <f t="shared" si="151"/>
        <v>4.8790164169432049E-2</v>
      </c>
      <c r="AA1605" s="87">
        <f t="shared" si="151"/>
        <v>-2.2868190903659276E-2</v>
      </c>
      <c r="AB1605" s="87">
        <f t="shared" si="152"/>
        <v>-3.9840690148743472E-3</v>
      </c>
      <c r="AC1605" s="87">
        <f t="shared" si="152"/>
        <v>-5.8394326515593276E-3</v>
      </c>
      <c r="AD1605" s="87">
        <f t="shared" si="152"/>
        <v>-1.8127384592556604E-2</v>
      </c>
      <c r="AE1605" s="90">
        <f t="shared" si="150"/>
        <v>-1.1104066119683672E-2</v>
      </c>
    </row>
    <row r="1606" spans="1:31" ht="15.5" x14ac:dyDescent="0.35">
      <c r="A1606" s="82">
        <v>42096</v>
      </c>
      <c r="B1606" s="83">
        <v>10953.2</v>
      </c>
      <c r="C1606" s="84">
        <v>4886.8999999999996</v>
      </c>
      <c r="D1606" s="61">
        <v>540.4</v>
      </c>
      <c r="E1606" s="61">
        <v>43.7</v>
      </c>
      <c r="F1606" s="61">
        <v>124.2</v>
      </c>
      <c r="G1606" s="61">
        <v>40.1</v>
      </c>
      <c r="H1606" s="61">
        <v>18.3</v>
      </c>
      <c r="I1606" s="61">
        <v>26.7</v>
      </c>
      <c r="J1606" s="61">
        <v>32.299999999999997</v>
      </c>
      <c r="K1606" s="61">
        <v>8.8000000000000007</v>
      </c>
      <c r="L1606" s="61">
        <v>56.9</v>
      </c>
      <c r="M1606" s="61">
        <v>50.1</v>
      </c>
      <c r="N1606" s="61">
        <v>68.5</v>
      </c>
      <c r="O1606" s="85">
        <v>49.7</v>
      </c>
      <c r="P1606" s="105"/>
      <c r="Q1606" s="87">
        <f t="shared" si="149"/>
        <v>5.6398010764736424E-3</v>
      </c>
      <c r="R1606" s="87">
        <f t="shared" si="153"/>
        <v>1.3719529954491114E-3</v>
      </c>
      <c r="S1606" s="87">
        <f t="shared" si="153"/>
        <v>-1.0309369658861325E-2</v>
      </c>
      <c r="T1606" s="87">
        <f t="shared" si="153"/>
        <v>-6.8415318167166003E-3</v>
      </c>
      <c r="U1606" s="87">
        <f t="shared" si="153"/>
        <v>8.8961363089705772E-3</v>
      </c>
      <c r="V1606" s="87">
        <f t="shared" si="153"/>
        <v>-4.975134640113732E-3</v>
      </c>
      <c r="W1606" s="87">
        <f t="shared" si="151"/>
        <v>0</v>
      </c>
      <c r="X1606" s="87">
        <f t="shared" si="151"/>
        <v>1.1299555253933466E-2</v>
      </c>
      <c r="Y1606" s="87">
        <f t="shared" si="151"/>
        <v>6.2112000926404553E-3</v>
      </c>
      <c r="Z1606" s="87">
        <f t="shared" si="151"/>
        <v>4.6520015634892907E-2</v>
      </c>
      <c r="AA1606" s="87">
        <f t="shared" si="151"/>
        <v>1.2378584232639753E-2</v>
      </c>
      <c r="AB1606" s="87">
        <f t="shared" si="152"/>
        <v>0</v>
      </c>
      <c r="AC1606" s="87">
        <f t="shared" si="152"/>
        <v>2.9239786914352821E-3</v>
      </c>
      <c r="AD1606" s="87">
        <f t="shared" si="152"/>
        <v>1.0111309604320695E-2</v>
      </c>
      <c r="AE1606" s="90">
        <f t="shared" si="150"/>
        <v>1.165788793917629E-3</v>
      </c>
    </row>
    <row r="1607" spans="1:31" ht="15.5" x14ac:dyDescent="0.35">
      <c r="A1607" s="82">
        <v>42100</v>
      </c>
      <c r="B1607" s="83">
        <v>11033.1</v>
      </c>
      <c r="C1607" s="84">
        <v>4917.3</v>
      </c>
      <c r="D1607" s="61">
        <v>535.70000000000005</v>
      </c>
      <c r="E1607" s="61">
        <v>43.6</v>
      </c>
      <c r="F1607" s="61">
        <v>124.3</v>
      </c>
      <c r="G1607" s="61">
        <v>40.200000000000003</v>
      </c>
      <c r="H1607" s="61">
        <v>17.7</v>
      </c>
      <c r="I1607" s="61">
        <v>26.6</v>
      </c>
      <c r="J1607" s="61">
        <v>32.6</v>
      </c>
      <c r="K1607" s="61">
        <v>9</v>
      </c>
      <c r="L1607" s="61">
        <v>56.7</v>
      </c>
      <c r="M1607" s="61">
        <v>50.2</v>
      </c>
      <c r="N1607" s="61">
        <v>68.8</v>
      </c>
      <c r="O1607" s="85">
        <v>49.3</v>
      </c>
      <c r="P1607" s="105"/>
      <c r="Q1607" s="87">
        <f t="shared" si="149"/>
        <v>7.2681944426426365E-3</v>
      </c>
      <c r="R1607" s="87">
        <f t="shared" si="153"/>
        <v>6.2014437540299557E-3</v>
      </c>
      <c r="S1607" s="87">
        <f t="shared" si="153"/>
        <v>-8.7353031991289649E-3</v>
      </c>
      <c r="T1607" s="87">
        <f t="shared" si="153"/>
        <v>-2.2909517465558244E-3</v>
      </c>
      <c r="U1607" s="87">
        <f t="shared" si="153"/>
        <v>8.0482901728704177E-4</v>
      </c>
      <c r="V1607" s="87">
        <f t="shared" si="153"/>
        <v>2.4906613124518304E-3</v>
      </c>
      <c r="W1607" s="87">
        <f t="shared" si="151"/>
        <v>-3.3336420267591836E-2</v>
      </c>
      <c r="X1607" s="87">
        <f t="shared" si="151"/>
        <v>-3.7523496185503527E-3</v>
      </c>
      <c r="Y1607" s="87">
        <f t="shared" si="151"/>
        <v>9.2450581440512089E-3</v>
      </c>
      <c r="Z1607" s="87">
        <f t="shared" si="151"/>
        <v>2.2472855852058576E-2</v>
      </c>
      <c r="AA1607" s="87">
        <f t="shared" si="151"/>
        <v>-3.5211303985788248E-3</v>
      </c>
      <c r="AB1607" s="87">
        <f t="shared" si="152"/>
        <v>1.9940186068644495E-3</v>
      </c>
      <c r="AC1607" s="87">
        <f t="shared" si="152"/>
        <v>4.3699996711183877E-3</v>
      </c>
      <c r="AD1607" s="87">
        <f t="shared" si="152"/>
        <v>-8.0808520539387835E-3</v>
      </c>
      <c r="AE1607" s="90">
        <f t="shared" si="150"/>
        <v>-1.4505931502808997E-3</v>
      </c>
    </row>
    <row r="1608" spans="1:31" ht="15.5" x14ac:dyDescent="0.35">
      <c r="A1608" s="82">
        <v>42101</v>
      </c>
      <c r="B1608" s="83">
        <v>11013.2</v>
      </c>
      <c r="C1608" s="84">
        <v>4910.2</v>
      </c>
      <c r="D1608" s="61">
        <v>543.6</v>
      </c>
      <c r="E1608" s="61">
        <v>43.6</v>
      </c>
      <c r="F1608" s="61">
        <v>126</v>
      </c>
      <c r="G1608" s="61">
        <v>41.3</v>
      </c>
      <c r="H1608" s="61">
        <v>17.899999999999999</v>
      </c>
      <c r="I1608" s="61">
        <v>26.9</v>
      </c>
      <c r="J1608" s="61">
        <v>32.700000000000003</v>
      </c>
      <c r="K1608" s="61">
        <v>8.8000000000000007</v>
      </c>
      <c r="L1608" s="61">
        <v>57.3</v>
      </c>
      <c r="M1608" s="61">
        <v>50.8</v>
      </c>
      <c r="N1608" s="61">
        <v>69.2</v>
      </c>
      <c r="O1608" s="85">
        <v>49.7</v>
      </c>
      <c r="P1608" s="105"/>
      <c r="Q1608" s="87">
        <f t="shared" si="149"/>
        <v>-1.8052920811781959E-3</v>
      </c>
      <c r="R1608" s="87">
        <f t="shared" si="153"/>
        <v>-1.4449252068760878E-3</v>
      </c>
      <c r="S1608" s="87">
        <f t="shared" si="153"/>
        <v>1.4639379390074057E-2</v>
      </c>
      <c r="T1608" s="87">
        <f t="shared" si="153"/>
        <v>0</v>
      </c>
      <c r="U1608" s="87">
        <f t="shared" si="153"/>
        <v>1.3583908434812589E-2</v>
      </c>
      <c r="V1608" s="87">
        <f t="shared" si="153"/>
        <v>2.699550434201152E-2</v>
      </c>
      <c r="W1608" s="87">
        <f t="shared" si="151"/>
        <v>1.1236073266925752E-2</v>
      </c>
      <c r="X1608" s="87">
        <f t="shared" si="151"/>
        <v>1.1215070820140003E-2</v>
      </c>
      <c r="Y1608" s="87">
        <f t="shared" si="151"/>
        <v>3.0627895305457308E-3</v>
      </c>
      <c r="Z1608" s="87">
        <f t="shared" si="151"/>
        <v>-2.2472855852058514E-2</v>
      </c>
      <c r="AA1608" s="87">
        <f t="shared" si="151"/>
        <v>1.0526412986987383E-2</v>
      </c>
      <c r="AB1608" s="87">
        <f t="shared" si="152"/>
        <v>1.1881327886752686E-2</v>
      </c>
      <c r="AC1608" s="87">
        <f t="shared" si="152"/>
        <v>5.7971176843259146E-3</v>
      </c>
      <c r="AD1608" s="87">
        <f t="shared" si="152"/>
        <v>8.0808520539386742E-3</v>
      </c>
      <c r="AE1608" s="90">
        <f t="shared" si="150"/>
        <v>8.7191554490253145E-3</v>
      </c>
    </row>
    <row r="1609" spans="1:31" ht="15.5" x14ac:dyDescent="0.35">
      <c r="A1609" s="82">
        <v>42102</v>
      </c>
      <c r="B1609" s="83">
        <v>11033</v>
      </c>
      <c r="C1609" s="84">
        <v>4950.8</v>
      </c>
      <c r="D1609" s="61">
        <v>546</v>
      </c>
      <c r="E1609" s="61">
        <v>43.8</v>
      </c>
      <c r="F1609" s="61">
        <v>125</v>
      </c>
      <c r="G1609" s="61">
        <v>41</v>
      </c>
      <c r="H1609" s="61">
        <v>17.600000000000001</v>
      </c>
      <c r="I1609" s="61">
        <v>27</v>
      </c>
      <c r="J1609" s="61">
        <v>33.1</v>
      </c>
      <c r="K1609" s="61">
        <v>8.9</v>
      </c>
      <c r="L1609" s="61">
        <v>57</v>
      </c>
      <c r="M1609" s="61">
        <v>50.8</v>
      </c>
      <c r="N1609" s="61">
        <v>68.900000000000006</v>
      </c>
      <c r="O1609" s="85">
        <v>49.9</v>
      </c>
      <c r="P1609" s="105"/>
      <c r="Q1609" s="87">
        <f t="shared" si="149"/>
        <v>1.796228404316426E-3</v>
      </c>
      <c r="R1609" s="87">
        <f t="shared" si="153"/>
        <v>8.2345055093192513E-3</v>
      </c>
      <c r="S1609" s="87">
        <f t="shared" si="153"/>
        <v>4.4052934679164176E-3</v>
      </c>
      <c r="T1609" s="87">
        <f t="shared" si="153"/>
        <v>4.5766670274116732E-3</v>
      </c>
      <c r="U1609" s="87">
        <f t="shared" si="153"/>
        <v>-7.9681696491768449E-3</v>
      </c>
      <c r="V1609" s="87">
        <f t="shared" si="153"/>
        <v>-7.2904332626792323E-3</v>
      </c>
      <c r="W1609" s="87">
        <f t="shared" si="151"/>
        <v>-1.6901810802603025E-2</v>
      </c>
      <c r="X1609" s="87">
        <f t="shared" si="151"/>
        <v>3.7105793965357746E-3</v>
      </c>
      <c r="Y1609" s="87">
        <f t="shared" si="151"/>
        <v>1.2158204479809363E-2</v>
      </c>
      <c r="Z1609" s="87">
        <f t="shared" si="151"/>
        <v>1.1299555253933247E-2</v>
      </c>
      <c r="AA1609" s="87">
        <f t="shared" si="151"/>
        <v>-5.2493558861436782E-3</v>
      </c>
      <c r="AB1609" s="87">
        <f t="shared" si="152"/>
        <v>0</v>
      </c>
      <c r="AC1609" s="87">
        <f t="shared" si="152"/>
        <v>-4.3446846040109798E-3</v>
      </c>
      <c r="AD1609" s="87">
        <f t="shared" si="152"/>
        <v>4.0160696548897437E-3</v>
      </c>
      <c r="AE1609" s="90">
        <f t="shared" si="150"/>
        <v>1.9677298430098127E-3</v>
      </c>
    </row>
    <row r="1610" spans="1:31" ht="15.5" x14ac:dyDescent="0.35">
      <c r="A1610" s="82">
        <v>42103</v>
      </c>
      <c r="B1610" s="83">
        <v>11065.4</v>
      </c>
      <c r="C1610" s="84">
        <v>4974.6000000000004</v>
      </c>
      <c r="D1610" s="61">
        <v>542</v>
      </c>
      <c r="E1610" s="61">
        <v>45.2</v>
      </c>
      <c r="F1610" s="61">
        <v>124.7</v>
      </c>
      <c r="G1610" s="61">
        <v>41.3</v>
      </c>
      <c r="H1610" s="61">
        <v>17.3</v>
      </c>
      <c r="I1610" s="61">
        <v>27.3</v>
      </c>
      <c r="J1610" s="61">
        <v>32.5</v>
      </c>
      <c r="K1610" s="61">
        <v>9</v>
      </c>
      <c r="L1610" s="61">
        <v>57.1</v>
      </c>
      <c r="M1610" s="61">
        <v>50.8</v>
      </c>
      <c r="N1610" s="61">
        <v>69</v>
      </c>
      <c r="O1610" s="85">
        <v>50.3</v>
      </c>
      <c r="P1610" s="105"/>
      <c r="Q1610" s="87">
        <f t="shared" si="149"/>
        <v>2.9323410940414033E-3</v>
      </c>
      <c r="R1610" s="87">
        <f t="shared" si="153"/>
        <v>4.7957856843607099E-3</v>
      </c>
      <c r="S1610" s="87">
        <f t="shared" si="153"/>
        <v>-7.352974305258806E-3</v>
      </c>
      <c r="T1610" s="87">
        <f t="shared" si="153"/>
        <v>3.1463269455785106E-2</v>
      </c>
      <c r="U1610" s="87">
        <f t="shared" si="153"/>
        <v>-2.4028846163103149E-3</v>
      </c>
      <c r="V1610" s="87">
        <f t="shared" si="153"/>
        <v>7.290433262679274E-3</v>
      </c>
      <c r="W1610" s="87">
        <f t="shared" si="151"/>
        <v>-1.7192400540372875E-2</v>
      </c>
      <c r="X1610" s="87">
        <f t="shared" si="151"/>
        <v>1.1049836186584935E-2</v>
      </c>
      <c r="Y1610" s="87">
        <f t="shared" si="151"/>
        <v>-1.8293193047325487E-2</v>
      </c>
      <c r="Z1610" s="87">
        <f t="shared" si="151"/>
        <v>1.1173300598125255E-2</v>
      </c>
      <c r="AA1610" s="87">
        <f t="shared" si="151"/>
        <v>1.7528488274143868E-3</v>
      </c>
      <c r="AB1610" s="87">
        <f t="shared" si="152"/>
        <v>0</v>
      </c>
      <c r="AC1610" s="87">
        <f t="shared" si="152"/>
        <v>1.4503265776464615E-3</v>
      </c>
      <c r="AD1610" s="87">
        <f t="shared" si="152"/>
        <v>7.9840743482205486E-3</v>
      </c>
      <c r="AE1610" s="90">
        <f t="shared" si="150"/>
        <v>-4.3178699112814264E-4</v>
      </c>
    </row>
    <row r="1611" spans="1:31" ht="15.5" x14ac:dyDescent="0.35">
      <c r="A1611" s="82">
        <v>42104</v>
      </c>
      <c r="B1611" s="83">
        <v>11112.7</v>
      </c>
      <c r="C1611" s="84">
        <v>4996</v>
      </c>
      <c r="D1611" s="61">
        <v>545</v>
      </c>
      <c r="E1611" s="61">
        <v>45</v>
      </c>
      <c r="F1611" s="61">
        <v>125.3</v>
      </c>
      <c r="G1611" s="61">
        <v>41.4</v>
      </c>
      <c r="H1611" s="61">
        <v>16.899999999999999</v>
      </c>
      <c r="I1611" s="61">
        <v>27.4</v>
      </c>
      <c r="J1611" s="61">
        <v>32.6</v>
      </c>
      <c r="K1611" s="61">
        <v>9.1999999999999993</v>
      </c>
      <c r="L1611" s="61">
        <v>56.3</v>
      </c>
      <c r="M1611" s="61">
        <v>50.8</v>
      </c>
      <c r="N1611" s="61">
        <v>68.599999999999994</v>
      </c>
      <c r="O1611" s="85">
        <v>50</v>
      </c>
      <c r="P1611" s="105"/>
      <c r="Q1611" s="87">
        <f t="shared" si="149"/>
        <v>4.265475556136239E-3</v>
      </c>
      <c r="R1611" s="87">
        <f t="shared" si="153"/>
        <v>4.2926268952401293E-3</v>
      </c>
      <c r="S1611" s="87">
        <f t="shared" si="153"/>
        <v>5.5197932235979017E-3</v>
      </c>
      <c r="T1611" s="87">
        <f t="shared" si="153"/>
        <v>-4.4345970678658642E-3</v>
      </c>
      <c r="U1611" s="87">
        <f t="shared" si="153"/>
        <v>4.800009216031768E-3</v>
      </c>
      <c r="V1611" s="87">
        <f t="shared" si="153"/>
        <v>2.4183808642816527E-3</v>
      </c>
      <c r="W1611" s="87">
        <f t="shared" si="151"/>
        <v>-2.3392879574705577E-2</v>
      </c>
      <c r="X1611" s="87">
        <f t="shared" si="151"/>
        <v>3.6563112031104792E-3</v>
      </c>
      <c r="Y1611" s="87">
        <f t="shared" si="151"/>
        <v>3.07219903697028E-3</v>
      </c>
      <c r="Z1611" s="87">
        <f t="shared" si="151"/>
        <v>2.1978906718775167E-2</v>
      </c>
      <c r="AA1611" s="87">
        <f t="shared" si="151"/>
        <v>-1.4109581516319891E-2</v>
      </c>
      <c r="AB1611" s="87">
        <f t="shared" si="152"/>
        <v>0</v>
      </c>
      <c r="AC1611" s="87">
        <f t="shared" si="152"/>
        <v>-5.8139698654199566E-3</v>
      </c>
      <c r="AD1611" s="87">
        <f t="shared" si="152"/>
        <v>-5.982071677547429E-3</v>
      </c>
      <c r="AE1611" s="90">
        <f t="shared" si="150"/>
        <v>3.5481061654983022E-3</v>
      </c>
    </row>
    <row r="1612" spans="1:31" ht="15.5" x14ac:dyDescent="0.35">
      <c r="A1612" s="82">
        <v>42107</v>
      </c>
      <c r="B1612" s="83">
        <v>11056.8</v>
      </c>
      <c r="C1612" s="84">
        <v>4988.3</v>
      </c>
      <c r="D1612" s="61">
        <v>546.29999999999995</v>
      </c>
      <c r="E1612" s="61">
        <v>44.7</v>
      </c>
      <c r="F1612" s="61">
        <v>126.6</v>
      </c>
      <c r="G1612" s="61">
        <v>41.4</v>
      </c>
      <c r="H1612" s="61">
        <v>16.600000000000001</v>
      </c>
      <c r="I1612" s="61">
        <v>27.4</v>
      </c>
      <c r="J1612" s="61">
        <v>32.799999999999997</v>
      </c>
      <c r="K1612" s="61">
        <v>9.1</v>
      </c>
      <c r="L1612" s="61">
        <v>56.5</v>
      </c>
      <c r="M1612" s="61">
        <v>50.7</v>
      </c>
      <c r="N1612" s="61">
        <v>67.599999999999994</v>
      </c>
      <c r="O1612" s="85">
        <v>49.5</v>
      </c>
      <c r="P1612" s="105"/>
      <c r="Q1612" s="87">
        <f t="shared" si="149"/>
        <v>-5.0429751206668722E-3</v>
      </c>
      <c r="R1612" s="87">
        <f t="shared" si="153"/>
        <v>-1.5424219077084494E-3</v>
      </c>
      <c r="S1612" s="87">
        <f t="shared" si="153"/>
        <v>2.3824807384277254E-3</v>
      </c>
      <c r="T1612" s="87">
        <f t="shared" si="153"/>
        <v>-6.6889881507965401E-3</v>
      </c>
      <c r="U1612" s="87">
        <f t="shared" si="153"/>
        <v>1.0321647808053067E-2</v>
      </c>
      <c r="V1612" s="87">
        <f t="shared" si="153"/>
        <v>0</v>
      </c>
      <c r="W1612" s="87">
        <f t="shared" si="151"/>
        <v>-1.7910926566530105E-2</v>
      </c>
      <c r="X1612" s="87">
        <f t="shared" si="151"/>
        <v>0</v>
      </c>
      <c r="Y1612" s="87">
        <f t="shared" si="151"/>
        <v>6.1162270174360536E-3</v>
      </c>
      <c r="Z1612" s="87">
        <f t="shared" si="151"/>
        <v>-1.0929070532190206E-2</v>
      </c>
      <c r="AA1612" s="87">
        <f t="shared" si="151"/>
        <v>3.5461030067507116E-3</v>
      </c>
      <c r="AB1612" s="87">
        <f t="shared" si="152"/>
        <v>-1.9704439872986136E-3</v>
      </c>
      <c r="AC1612" s="87">
        <f t="shared" si="152"/>
        <v>-1.4684551682921182E-2</v>
      </c>
      <c r="AD1612" s="87">
        <f t="shared" si="152"/>
        <v>-1.0050335853501451E-2</v>
      </c>
      <c r="AE1612" s="90">
        <f t="shared" si="150"/>
        <v>1.9649268645317436E-3</v>
      </c>
    </row>
    <row r="1613" spans="1:31" ht="15.5" x14ac:dyDescent="0.35">
      <c r="A1613" s="82">
        <v>42108</v>
      </c>
      <c r="B1613" s="83">
        <v>11108.1</v>
      </c>
      <c r="C1613" s="84">
        <v>4977.3</v>
      </c>
      <c r="D1613" s="61">
        <v>535.70000000000005</v>
      </c>
      <c r="E1613" s="61">
        <v>44.8</v>
      </c>
      <c r="F1613" s="61">
        <v>125.9</v>
      </c>
      <c r="G1613" s="61">
        <v>41.4</v>
      </c>
      <c r="H1613" s="61">
        <v>16.600000000000001</v>
      </c>
      <c r="I1613" s="61">
        <v>26.9</v>
      </c>
      <c r="J1613" s="61">
        <v>32.700000000000003</v>
      </c>
      <c r="K1613" s="61">
        <v>9</v>
      </c>
      <c r="L1613" s="61">
        <v>56.6</v>
      </c>
      <c r="M1613" s="61">
        <v>50.1</v>
      </c>
      <c r="N1613" s="61">
        <v>67.5</v>
      </c>
      <c r="O1613" s="85">
        <v>49.4</v>
      </c>
      <c r="P1613" s="105"/>
      <c r="Q1613" s="87">
        <f t="shared" si="149"/>
        <v>4.6289486170566323E-3</v>
      </c>
      <c r="R1613" s="87">
        <f t="shared" si="153"/>
        <v>-2.2075950203404499E-3</v>
      </c>
      <c r="S1613" s="87">
        <f t="shared" si="153"/>
        <v>-1.959397251475711E-2</v>
      </c>
      <c r="T1613" s="87">
        <f t="shared" si="153"/>
        <v>2.2346378014161412E-3</v>
      </c>
      <c r="U1613" s="87">
        <f t="shared" si="153"/>
        <v>-5.5445686597742948E-3</v>
      </c>
      <c r="V1613" s="87">
        <f t="shared" si="153"/>
        <v>0</v>
      </c>
      <c r="W1613" s="87">
        <f t="shared" si="151"/>
        <v>0</v>
      </c>
      <c r="X1613" s="87">
        <f t="shared" si="151"/>
        <v>-1.8416726786231151E-2</v>
      </c>
      <c r="Y1613" s="87">
        <f t="shared" si="151"/>
        <v>-3.0534374868901202E-3</v>
      </c>
      <c r="Z1613" s="87">
        <f t="shared" si="151"/>
        <v>-1.1049836186584935E-2</v>
      </c>
      <c r="AA1613" s="87">
        <f t="shared" si="151"/>
        <v>1.7683470567419492E-3</v>
      </c>
      <c r="AB1613" s="87">
        <f t="shared" si="152"/>
        <v>-1.1904902506318427E-2</v>
      </c>
      <c r="AC1613" s="87">
        <f t="shared" si="152"/>
        <v>-1.4803851704342195E-3</v>
      </c>
      <c r="AD1613" s="87">
        <f t="shared" si="152"/>
        <v>-2.022245380767809E-3</v>
      </c>
      <c r="AE1613" s="90">
        <f t="shared" si="150"/>
        <v>-8.2293478482787126E-3</v>
      </c>
    </row>
    <row r="1614" spans="1:31" ht="15.5" x14ac:dyDescent="0.35">
      <c r="A1614" s="82">
        <v>42109</v>
      </c>
      <c r="B1614" s="83">
        <v>11171.1</v>
      </c>
      <c r="C1614" s="84">
        <v>5011</v>
      </c>
      <c r="D1614" s="61">
        <v>532.4</v>
      </c>
      <c r="E1614" s="61">
        <v>45.2</v>
      </c>
      <c r="F1614" s="61">
        <v>126</v>
      </c>
      <c r="G1614" s="61">
        <v>41.7</v>
      </c>
      <c r="H1614" s="61">
        <v>17.3</v>
      </c>
      <c r="I1614" s="61">
        <v>27.1</v>
      </c>
      <c r="J1614" s="61">
        <v>32.700000000000003</v>
      </c>
      <c r="K1614" s="61">
        <v>8.9</v>
      </c>
      <c r="L1614" s="61">
        <v>58.1</v>
      </c>
      <c r="M1614" s="61">
        <v>50.6</v>
      </c>
      <c r="N1614" s="61">
        <v>68.5</v>
      </c>
      <c r="O1614" s="85">
        <v>49.9</v>
      </c>
      <c r="P1614" s="105"/>
      <c r="Q1614" s="87">
        <f t="shared" ref="Q1614:Q1677" si="154">+LN(B1614/B1613)</f>
        <v>5.6555143739754126E-3</v>
      </c>
      <c r="R1614" s="87">
        <f t="shared" si="153"/>
        <v>6.7479206423053063E-3</v>
      </c>
      <c r="S1614" s="87">
        <f t="shared" si="153"/>
        <v>-6.1792163659582311E-3</v>
      </c>
      <c r="T1614" s="87">
        <f t="shared" si="153"/>
        <v>8.8889474172462145E-3</v>
      </c>
      <c r="U1614" s="87">
        <f t="shared" si="153"/>
        <v>7.9396590117652402E-4</v>
      </c>
      <c r="V1614" s="87">
        <f t="shared" si="153"/>
        <v>7.2202479734870973E-3</v>
      </c>
      <c r="W1614" s="87">
        <f t="shared" si="151"/>
        <v>4.1303806141235577E-2</v>
      </c>
      <c r="X1614" s="87">
        <f t="shared" si="151"/>
        <v>7.4074412778618176E-3</v>
      </c>
      <c r="Y1614" s="87">
        <f t="shared" si="151"/>
        <v>0</v>
      </c>
      <c r="Z1614" s="87">
        <f t="shared" si="151"/>
        <v>-1.1173300598125189E-2</v>
      </c>
      <c r="AA1614" s="87">
        <f t="shared" si="151"/>
        <v>2.6156678648728261E-2</v>
      </c>
      <c r="AB1614" s="87">
        <f t="shared" si="152"/>
        <v>9.9305682026007876E-3</v>
      </c>
      <c r="AC1614" s="87">
        <f t="shared" si="152"/>
        <v>1.4706147389695487E-2</v>
      </c>
      <c r="AD1614" s="87">
        <f t="shared" si="152"/>
        <v>1.007057856359609E-2</v>
      </c>
      <c r="AE1614" s="90">
        <f t="shared" si="150"/>
        <v>1.664711918122968E-3</v>
      </c>
    </row>
    <row r="1615" spans="1:31" ht="15.5" x14ac:dyDescent="0.35">
      <c r="A1615" s="82">
        <v>42110</v>
      </c>
      <c r="B1615" s="83">
        <v>11169.8</v>
      </c>
      <c r="C1615" s="84">
        <v>5007.8</v>
      </c>
      <c r="D1615" s="61">
        <v>538.1</v>
      </c>
      <c r="E1615" s="61">
        <v>45.5</v>
      </c>
      <c r="F1615" s="61">
        <v>126.1</v>
      </c>
      <c r="G1615" s="61">
        <v>41.8</v>
      </c>
      <c r="H1615" s="61">
        <v>17.5</v>
      </c>
      <c r="I1615" s="61">
        <v>27</v>
      </c>
      <c r="J1615" s="61">
        <v>32.9</v>
      </c>
      <c r="K1615" s="61">
        <v>8.6</v>
      </c>
      <c r="L1615" s="61">
        <v>57.7</v>
      </c>
      <c r="M1615" s="61">
        <v>50.5</v>
      </c>
      <c r="N1615" s="61">
        <v>68.3</v>
      </c>
      <c r="O1615" s="85">
        <v>49.7</v>
      </c>
      <c r="P1615" s="105"/>
      <c r="Q1615" s="87">
        <f t="shared" si="154"/>
        <v>-1.1637848085517762E-4</v>
      </c>
      <c r="R1615" s="87">
        <f t="shared" si="153"/>
        <v>-6.3879907949395938E-4</v>
      </c>
      <c r="S1615" s="87">
        <f t="shared" si="153"/>
        <v>1.0649329974417494E-2</v>
      </c>
      <c r="T1615" s="87">
        <f t="shared" si="153"/>
        <v>6.6152391187191831E-3</v>
      </c>
      <c r="U1615" s="87">
        <f t="shared" si="153"/>
        <v>7.9333601939587408E-4</v>
      </c>
      <c r="V1615" s="87">
        <f t="shared" si="153"/>
        <v>2.3952107259546285E-3</v>
      </c>
      <c r="W1615" s="87">
        <f t="shared" si="151"/>
        <v>1.1494379425734991E-2</v>
      </c>
      <c r="X1615" s="87">
        <f t="shared" si="151"/>
        <v>-3.6968618813262031E-3</v>
      </c>
      <c r="Y1615" s="87">
        <f t="shared" si="151"/>
        <v>6.0975798681183165E-3</v>
      </c>
      <c r="Z1615" s="87">
        <f t="shared" si="151"/>
        <v>-3.4289073478632193E-2</v>
      </c>
      <c r="AA1615" s="87">
        <f t="shared" si="151"/>
        <v>-6.9084903438116733E-3</v>
      </c>
      <c r="AB1615" s="87">
        <f t="shared" si="152"/>
        <v>-1.9782400121057075E-3</v>
      </c>
      <c r="AC1615" s="87">
        <f t="shared" si="152"/>
        <v>-2.923978691435312E-3</v>
      </c>
      <c r="AD1615" s="87">
        <f t="shared" si="152"/>
        <v>-4.0160696548898313E-3</v>
      </c>
      <c r="AE1615" s="90">
        <f t="shared" ref="AE1615:AE1678" si="155">+SUMPRODUCT(Q1615:AD1615,$Q$8:$AD$8)</f>
        <v>2.6649642707378966E-3</v>
      </c>
    </row>
    <row r="1616" spans="1:31" ht="15.5" x14ac:dyDescent="0.35">
      <c r="A1616" s="82">
        <v>42111</v>
      </c>
      <c r="B1616" s="83">
        <v>11058.5</v>
      </c>
      <c r="C1616" s="84">
        <v>4931.8</v>
      </c>
      <c r="D1616" s="61">
        <v>529</v>
      </c>
      <c r="E1616" s="61">
        <v>44.3</v>
      </c>
      <c r="F1616" s="61">
        <v>124.5</v>
      </c>
      <c r="G1616" s="61">
        <v>41.2</v>
      </c>
      <c r="H1616" s="61">
        <v>17.3</v>
      </c>
      <c r="I1616" s="61">
        <v>26.6</v>
      </c>
      <c r="J1616" s="61">
        <v>32.6</v>
      </c>
      <c r="K1616" s="61">
        <v>8.5</v>
      </c>
      <c r="L1616" s="61">
        <v>56.6</v>
      </c>
      <c r="M1616" s="61">
        <v>50.2</v>
      </c>
      <c r="N1616" s="61">
        <v>67</v>
      </c>
      <c r="O1616" s="85">
        <v>49.1</v>
      </c>
      <c r="P1616" s="105"/>
      <c r="Q1616" s="87">
        <f t="shared" si="154"/>
        <v>-1.0014344791217666E-2</v>
      </c>
      <c r="R1616" s="87">
        <f t="shared" si="153"/>
        <v>-1.5292663918635622E-2</v>
      </c>
      <c r="S1616" s="87">
        <f t="shared" si="153"/>
        <v>-1.7055984637074573E-2</v>
      </c>
      <c r="T1616" s="87">
        <f t="shared" si="153"/>
        <v>-2.6727648905814794E-2</v>
      </c>
      <c r="U1616" s="87">
        <f t="shared" si="153"/>
        <v>-1.2769527066111524E-2</v>
      </c>
      <c r="V1616" s="87">
        <f t="shared" si="153"/>
        <v>-1.4458083175229775E-2</v>
      </c>
      <c r="W1616" s="87">
        <f t="shared" si="151"/>
        <v>-1.1494379425735021E-2</v>
      </c>
      <c r="X1616" s="87">
        <f t="shared" si="151"/>
        <v>-1.4925650216675593E-2</v>
      </c>
      <c r="Y1616" s="87">
        <f t="shared" si="151"/>
        <v>-9.1603693986641657E-3</v>
      </c>
      <c r="Z1616" s="87">
        <f t="shared" si="151"/>
        <v>-1.1696039763191187E-2</v>
      </c>
      <c r="AA1616" s="87">
        <f t="shared" si="151"/>
        <v>-1.9248188304916689E-2</v>
      </c>
      <c r="AB1616" s="87">
        <f t="shared" si="152"/>
        <v>-5.9583095836305234E-3</v>
      </c>
      <c r="AC1616" s="87">
        <f t="shared" si="152"/>
        <v>-1.9217147185778237E-2</v>
      </c>
      <c r="AD1616" s="87">
        <f t="shared" si="152"/>
        <v>-1.2145898302108228E-2</v>
      </c>
      <c r="AE1616" s="90">
        <f t="shared" si="155"/>
        <v>-1.4704954438853645E-2</v>
      </c>
    </row>
    <row r="1617" spans="1:31" ht="15.5" x14ac:dyDescent="0.35">
      <c r="A1617" s="82">
        <v>42114</v>
      </c>
      <c r="B1617" s="83">
        <v>11116.6</v>
      </c>
      <c r="C1617" s="84">
        <v>4994.6000000000004</v>
      </c>
      <c r="D1617" s="61">
        <v>533.4</v>
      </c>
      <c r="E1617" s="61">
        <v>44.4</v>
      </c>
      <c r="F1617" s="61">
        <v>125.2</v>
      </c>
      <c r="G1617" s="61">
        <v>41.7</v>
      </c>
      <c r="H1617" s="61">
        <v>17.600000000000001</v>
      </c>
      <c r="I1617" s="61">
        <v>27.2</v>
      </c>
      <c r="J1617" s="61">
        <v>32.4</v>
      </c>
      <c r="K1617" s="61">
        <v>8.6</v>
      </c>
      <c r="L1617" s="61">
        <v>57.4</v>
      </c>
      <c r="M1617" s="61">
        <v>50.7</v>
      </c>
      <c r="N1617" s="61">
        <v>67.7</v>
      </c>
      <c r="O1617" s="85">
        <v>49.5</v>
      </c>
      <c r="P1617" s="105"/>
      <c r="Q1617" s="87">
        <f t="shared" si="154"/>
        <v>5.2401236474028026E-3</v>
      </c>
      <c r="R1617" s="87">
        <f t="shared" si="153"/>
        <v>1.2653295834398007E-2</v>
      </c>
      <c r="S1617" s="87">
        <f t="shared" si="153"/>
        <v>8.2831798896145035E-3</v>
      </c>
      <c r="T1617" s="87">
        <f t="shared" si="153"/>
        <v>2.2547923870890828E-3</v>
      </c>
      <c r="U1617" s="87">
        <f t="shared" si="153"/>
        <v>5.6067427612358717E-3</v>
      </c>
      <c r="V1617" s="87">
        <f t="shared" si="153"/>
        <v>1.2062872449275163E-2</v>
      </c>
      <c r="W1617" s="87">
        <f t="shared" si="151"/>
        <v>1.7192400540372771E-2</v>
      </c>
      <c r="X1617" s="87">
        <f t="shared" si="151"/>
        <v>2.2305757514298186E-2</v>
      </c>
      <c r="Y1617" s="87">
        <f t="shared" si="151"/>
        <v>-6.1538655743783354E-3</v>
      </c>
      <c r="Z1617" s="87">
        <f t="shared" si="151"/>
        <v>1.1696039763191236E-2</v>
      </c>
      <c r="AA1617" s="87">
        <f t="shared" si="151"/>
        <v>1.4035318116383365E-2</v>
      </c>
      <c r="AB1617" s="87">
        <f t="shared" si="152"/>
        <v>9.9108838994539598E-3</v>
      </c>
      <c r="AC1617" s="87">
        <f t="shared" si="152"/>
        <v>1.0393560527263302E-2</v>
      </c>
      <c r="AD1617" s="87">
        <f t="shared" si="152"/>
        <v>8.113634774169631E-3</v>
      </c>
      <c r="AE1617" s="90">
        <f t="shared" si="155"/>
        <v>8.8072101336593989E-3</v>
      </c>
    </row>
    <row r="1618" spans="1:31" ht="15.5" x14ac:dyDescent="0.35">
      <c r="A1618" s="82">
        <v>42115</v>
      </c>
      <c r="B1618" s="83">
        <v>11100.4</v>
      </c>
      <c r="C1618" s="84">
        <v>5014.1000000000004</v>
      </c>
      <c r="D1618" s="61">
        <v>542.20000000000005</v>
      </c>
      <c r="E1618" s="61">
        <v>44.5</v>
      </c>
      <c r="F1618" s="61">
        <v>126.7</v>
      </c>
      <c r="G1618" s="61">
        <v>42.5</v>
      </c>
      <c r="H1618" s="61">
        <v>17.399999999999999</v>
      </c>
      <c r="I1618" s="61">
        <v>27.4</v>
      </c>
      <c r="J1618" s="61">
        <v>32.200000000000003</v>
      </c>
      <c r="K1618" s="61">
        <v>8.5</v>
      </c>
      <c r="L1618" s="61">
        <v>57.4</v>
      </c>
      <c r="M1618" s="61">
        <v>50.1</v>
      </c>
      <c r="N1618" s="61">
        <v>68.3</v>
      </c>
      <c r="O1618" s="85">
        <v>49.9</v>
      </c>
      <c r="P1618" s="105"/>
      <c r="Q1618" s="87">
        <f t="shared" si="154"/>
        <v>-1.4583429689996391E-3</v>
      </c>
      <c r="R1618" s="87">
        <f t="shared" si="153"/>
        <v>3.8966148797259376E-3</v>
      </c>
      <c r="S1618" s="87">
        <f t="shared" si="153"/>
        <v>1.636332531665128E-2</v>
      </c>
      <c r="T1618" s="87">
        <f t="shared" si="153"/>
        <v>2.2497197340155461E-3</v>
      </c>
      <c r="U1618" s="87">
        <f t="shared" si="153"/>
        <v>1.1909628661095288E-2</v>
      </c>
      <c r="V1618" s="87">
        <f t="shared" si="153"/>
        <v>1.9002947125615264E-2</v>
      </c>
      <c r="W1618" s="87">
        <f t="shared" si="151"/>
        <v>-1.1428695823622968E-2</v>
      </c>
      <c r="X1618" s="87">
        <f t="shared" si="151"/>
        <v>7.3260400920728812E-3</v>
      </c>
      <c r="Y1618" s="87">
        <f t="shared" si="151"/>
        <v>-6.1919702479209951E-3</v>
      </c>
      <c r="Z1618" s="87">
        <f t="shared" si="151"/>
        <v>-1.1696039763191187E-2</v>
      </c>
      <c r="AA1618" s="87">
        <f t="shared" si="151"/>
        <v>0</v>
      </c>
      <c r="AB1618" s="87">
        <f t="shared" si="152"/>
        <v>-1.1904902506318427E-2</v>
      </c>
      <c r="AC1618" s="87">
        <f t="shared" si="152"/>
        <v>8.8235866585150251E-3</v>
      </c>
      <c r="AD1618" s="87">
        <f t="shared" si="152"/>
        <v>8.0483331828284151E-3</v>
      </c>
      <c r="AE1618" s="90">
        <f t="shared" si="155"/>
        <v>1.0342289587929567E-2</v>
      </c>
    </row>
    <row r="1619" spans="1:31" ht="15.5" x14ac:dyDescent="0.35">
      <c r="A1619" s="82">
        <v>42116</v>
      </c>
      <c r="B1619" s="83">
        <v>11144.5</v>
      </c>
      <c r="C1619" s="84">
        <v>5035.2</v>
      </c>
      <c r="D1619" s="61">
        <v>541.29999999999995</v>
      </c>
      <c r="E1619" s="61">
        <v>43.7</v>
      </c>
      <c r="F1619" s="61">
        <v>126.3</v>
      </c>
      <c r="G1619" s="61">
        <v>42.6</v>
      </c>
      <c r="H1619" s="61">
        <v>17.399999999999999</v>
      </c>
      <c r="I1619" s="61">
        <v>27.4</v>
      </c>
      <c r="J1619" s="61">
        <v>32.299999999999997</v>
      </c>
      <c r="K1619" s="61">
        <v>8.3000000000000007</v>
      </c>
      <c r="L1619" s="61">
        <v>57.3</v>
      </c>
      <c r="M1619" s="61">
        <v>49.9</v>
      </c>
      <c r="N1619" s="61">
        <v>65.400000000000006</v>
      </c>
      <c r="O1619" s="85">
        <v>49.6</v>
      </c>
      <c r="P1619" s="105"/>
      <c r="Q1619" s="87">
        <f t="shared" si="154"/>
        <v>3.9649589590684811E-3</v>
      </c>
      <c r="R1619" s="87">
        <f t="shared" si="153"/>
        <v>4.1993036344233946E-3</v>
      </c>
      <c r="S1619" s="87">
        <f t="shared" si="153"/>
        <v>-1.6612832616331292E-3</v>
      </c>
      <c r="T1619" s="87">
        <f t="shared" si="153"/>
        <v>-1.8141087070650038E-2</v>
      </c>
      <c r="U1619" s="87">
        <f t="shared" si="153"/>
        <v>-3.1620579706479507E-3</v>
      </c>
      <c r="V1619" s="87">
        <f t="shared" si="153"/>
        <v>2.350177344953673E-3</v>
      </c>
      <c r="W1619" s="87">
        <f t="shared" si="151"/>
        <v>0</v>
      </c>
      <c r="X1619" s="87">
        <f t="shared" si="151"/>
        <v>0</v>
      </c>
      <c r="Y1619" s="87">
        <f t="shared" si="151"/>
        <v>3.1007776782479642E-3</v>
      </c>
      <c r="Z1619" s="87">
        <f t="shared" si="151"/>
        <v>-2.3810648693718447E-2</v>
      </c>
      <c r="AA1619" s="87">
        <f t="shared" si="151"/>
        <v>-1.7436796048268398E-3</v>
      </c>
      <c r="AB1619" s="87">
        <f t="shared" si="152"/>
        <v>-4.0000053333462396E-3</v>
      </c>
      <c r="AC1619" s="87">
        <f t="shared" si="152"/>
        <v>-4.3387508113591274E-2</v>
      </c>
      <c r="AD1619" s="87">
        <f t="shared" si="152"/>
        <v>-6.0301690265910758E-3</v>
      </c>
      <c r="AE1619" s="90">
        <f t="shared" si="155"/>
        <v>-8.6474143407019909E-4</v>
      </c>
    </row>
    <row r="1620" spans="1:31" ht="15.5" x14ac:dyDescent="0.35">
      <c r="A1620" s="82">
        <v>42117</v>
      </c>
      <c r="B1620" s="83">
        <v>11191.5</v>
      </c>
      <c r="C1620" s="84">
        <v>5056.1000000000004</v>
      </c>
      <c r="D1620" s="61">
        <v>550.1</v>
      </c>
      <c r="E1620" s="61">
        <v>43.6</v>
      </c>
      <c r="F1620" s="61">
        <v>128.1</v>
      </c>
      <c r="G1620" s="61">
        <v>42.8</v>
      </c>
      <c r="H1620" s="61">
        <v>17.600000000000001</v>
      </c>
      <c r="I1620" s="61">
        <v>27.3</v>
      </c>
      <c r="J1620" s="61">
        <v>32.6</v>
      </c>
      <c r="K1620" s="61">
        <v>8.4</v>
      </c>
      <c r="L1620" s="61">
        <v>57</v>
      </c>
      <c r="M1620" s="61">
        <v>50.8</v>
      </c>
      <c r="N1620" s="61">
        <v>65.5</v>
      </c>
      <c r="O1620" s="85">
        <v>49.7</v>
      </c>
      <c r="P1620" s="105"/>
      <c r="Q1620" s="87">
        <f t="shared" si="154"/>
        <v>4.2084589334310798E-3</v>
      </c>
      <c r="R1620" s="87">
        <f t="shared" si="153"/>
        <v>4.1421878019720941E-3</v>
      </c>
      <c r="S1620" s="87">
        <f t="shared" si="153"/>
        <v>1.6126426078480419E-2</v>
      </c>
      <c r="T1620" s="87">
        <f t="shared" si="153"/>
        <v>-2.2909517465558244E-3</v>
      </c>
      <c r="U1620" s="87">
        <f t="shared" si="153"/>
        <v>1.4151179546243182E-2</v>
      </c>
      <c r="V1620" s="87">
        <f t="shared" si="153"/>
        <v>4.6838493124262163E-3</v>
      </c>
      <c r="W1620" s="87">
        <f t="shared" si="151"/>
        <v>1.142869582362285E-2</v>
      </c>
      <c r="X1620" s="87">
        <f t="shared" si="151"/>
        <v>-3.6563112031104319E-3</v>
      </c>
      <c r="Y1620" s="87">
        <f t="shared" si="151"/>
        <v>9.2450581440512089E-3</v>
      </c>
      <c r="Z1620" s="87">
        <f t="shared" si="151"/>
        <v>1.197619104671562E-2</v>
      </c>
      <c r="AA1620" s="87">
        <f t="shared" si="151"/>
        <v>-5.2493558861436782E-3</v>
      </c>
      <c r="AB1620" s="87">
        <f t="shared" si="152"/>
        <v>1.7875351826963135E-2</v>
      </c>
      <c r="AC1620" s="87">
        <f t="shared" si="152"/>
        <v>1.5278841780531714E-3</v>
      </c>
      <c r="AD1620" s="87">
        <f t="shared" si="152"/>
        <v>2.0140993717011856E-3</v>
      </c>
      <c r="AE1620" s="90">
        <f t="shared" si="155"/>
        <v>1.0254040158211939E-2</v>
      </c>
    </row>
    <row r="1621" spans="1:31" ht="15.5" x14ac:dyDescent="0.35">
      <c r="A1621" s="82">
        <v>42118</v>
      </c>
      <c r="B1621" s="83">
        <v>11192.9</v>
      </c>
      <c r="C1621" s="84">
        <v>5092.1000000000004</v>
      </c>
      <c r="D1621" s="61">
        <v>568.4</v>
      </c>
      <c r="E1621" s="61">
        <v>43.7</v>
      </c>
      <c r="F1621" s="61">
        <v>129.19999999999999</v>
      </c>
      <c r="G1621" s="61">
        <v>45.7</v>
      </c>
      <c r="H1621" s="61">
        <v>17.399999999999999</v>
      </c>
      <c r="I1621" s="61">
        <v>27.4</v>
      </c>
      <c r="J1621" s="61">
        <v>33.299999999999997</v>
      </c>
      <c r="K1621" s="61">
        <v>8.4</v>
      </c>
      <c r="L1621" s="61">
        <v>57.5</v>
      </c>
      <c r="M1621" s="61">
        <v>50.5</v>
      </c>
      <c r="N1621" s="61">
        <v>65.5</v>
      </c>
      <c r="O1621" s="85">
        <v>50.1</v>
      </c>
      <c r="P1621" s="105"/>
      <c r="Q1621" s="87">
        <f t="shared" si="154"/>
        <v>1.2508711440332044E-4</v>
      </c>
      <c r="R1621" s="87">
        <f t="shared" si="153"/>
        <v>7.0948840212080215E-3</v>
      </c>
      <c r="S1621" s="87">
        <f t="shared" si="153"/>
        <v>3.2725316341533084E-2</v>
      </c>
      <c r="T1621" s="87">
        <f t="shared" si="153"/>
        <v>2.2909517465557624E-3</v>
      </c>
      <c r="U1621" s="87">
        <f t="shared" si="153"/>
        <v>8.5503824458129235E-3</v>
      </c>
      <c r="V1621" s="87">
        <f t="shared" si="153"/>
        <v>6.5560195312407935E-2</v>
      </c>
      <c r="W1621" s="87">
        <f t="shared" si="151"/>
        <v>-1.1428695823622968E-2</v>
      </c>
      <c r="X1621" s="87">
        <f t="shared" si="151"/>
        <v>3.6563112031104792E-3</v>
      </c>
      <c r="Y1621" s="87">
        <f t="shared" si="151"/>
        <v>2.1245108613736061E-2</v>
      </c>
      <c r="Z1621" s="87">
        <f t="shared" si="151"/>
        <v>0</v>
      </c>
      <c r="AA1621" s="87">
        <f t="shared" si="151"/>
        <v>8.7336799687546315E-3</v>
      </c>
      <c r="AB1621" s="87">
        <f t="shared" si="152"/>
        <v>-5.9230183031220556E-3</v>
      </c>
      <c r="AC1621" s="87">
        <f t="shared" si="152"/>
        <v>0</v>
      </c>
      <c r="AD1621" s="87">
        <f t="shared" si="152"/>
        <v>8.0160749882361246E-3</v>
      </c>
      <c r="AE1621" s="90">
        <f t="shared" si="155"/>
        <v>1.5126713083826035E-2</v>
      </c>
    </row>
    <row r="1622" spans="1:31" ht="15.5" x14ac:dyDescent="0.35">
      <c r="A1622" s="82">
        <v>42121</v>
      </c>
      <c r="B1622" s="83">
        <v>11167.3</v>
      </c>
      <c r="C1622" s="84">
        <v>5060.3</v>
      </c>
      <c r="D1622" s="61">
        <v>562.29999999999995</v>
      </c>
      <c r="E1622" s="61">
        <v>44.3</v>
      </c>
      <c r="F1622" s="61">
        <v>131.19999999999999</v>
      </c>
      <c r="G1622" s="61">
        <v>47.2</v>
      </c>
      <c r="H1622" s="61">
        <v>17.2</v>
      </c>
      <c r="I1622" s="61">
        <v>27.5</v>
      </c>
      <c r="J1622" s="61">
        <v>32.9</v>
      </c>
      <c r="K1622" s="61">
        <v>8.3000000000000007</v>
      </c>
      <c r="L1622" s="61">
        <v>56.9</v>
      </c>
      <c r="M1622" s="61">
        <v>50.2</v>
      </c>
      <c r="N1622" s="61">
        <v>66.099999999999994</v>
      </c>
      <c r="O1622" s="85">
        <v>50.4</v>
      </c>
      <c r="P1622" s="105"/>
      <c r="Q1622" s="87">
        <f t="shared" si="154"/>
        <v>-2.2897837394388427E-3</v>
      </c>
      <c r="R1622" s="87">
        <f t="shared" si="153"/>
        <v>-6.2645490717576626E-3</v>
      </c>
      <c r="S1622" s="87">
        <f t="shared" si="153"/>
        <v>-1.0789880924789544E-2</v>
      </c>
      <c r="T1622" s="87">
        <f t="shared" si="153"/>
        <v>1.3636574949545444E-2</v>
      </c>
      <c r="U1622" s="87">
        <f t="shared" si="153"/>
        <v>1.5361285161487149E-2</v>
      </c>
      <c r="V1622" s="87">
        <f t="shared" si="153"/>
        <v>3.2295594691350626E-2</v>
      </c>
      <c r="W1622" s="87">
        <f t="shared" si="151"/>
        <v>-1.1560822401075971E-2</v>
      </c>
      <c r="X1622" s="87">
        <f t="shared" si="151"/>
        <v>3.6429912785012298E-3</v>
      </c>
      <c r="Y1622" s="87">
        <f t="shared" si="151"/>
        <v>-1.2084739215071886E-2</v>
      </c>
      <c r="Z1622" s="87">
        <f t="shared" si="151"/>
        <v>-1.1976191046715649E-2</v>
      </c>
      <c r="AA1622" s="87">
        <f t="shared" si="151"/>
        <v>-1.0489606671019547E-2</v>
      </c>
      <c r="AB1622" s="87">
        <f t="shared" si="152"/>
        <v>-5.9583095836305234E-3</v>
      </c>
      <c r="AC1622" s="87">
        <f t="shared" si="152"/>
        <v>9.1186042164343381E-3</v>
      </c>
      <c r="AD1622" s="87">
        <f t="shared" si="152"/>
        <v>5.9701669865037544E-3</v>
      </c>
      <c r="AE1622" s="90">
        <f t="shared" si="155"/>
        <v>8.1371257410985868E-5</v>
      </c>
    </row>
    <row r="1623" spans="1:31" ht="15.5" x14ac:dyDescent="0.35">
      <c r="A1623" s="82">
        <v>42122</v>
      </c>
      <c r="B1623" s="83">
        <v>11203.1</v>
      </c>
      <c r="C1623" s="84">
        <v>5055.3999999999996</v>
      </c>
      <c r="D1623" s="61">
        <v>561</v>
      </c>
      <c r="E1623" s="61">
        <v>43.9</v>
      </c>
      <c r="F1623" s="61">
        <v>129.6</v>
      </c>
      <c r="G1623" s="61">
        <v>47.7</v>
      </c>
      <c r="H1623" s="61">
        <v>17.100000000000001</v>
      </c>
      <c r="I1623" s="61">
        <v>26.9</v>
      </c>
      <c r="J1623" s="61">
        <v>32.700000000000003</v>
      </c>
      <c r="K1623" s="61">
        <v>8.3000000000000007</v>
      </c>
      <c r="L1623" s="61">
        <v>59.2</v>
      </c>
      <c r="M1623" s="61">
        <v>49.9</v>
      </c>
      <c r="N1623" s="61">
        <v>66.2</v>
      </c>
      <c r="O1623" s="85">
        <v>49.6</v>
      </c>
      <c r="P1623" s="105"/>
      <c r="Q1623" s="87">
        <f t="shared" si="154"/>
        <v>3.2006607447293838E-3</v>
      </c>
      <c r="R1623" s="87">
        <f t="shared" si="153"/>
        <v>-9.6879116289414434E-4</v>
      </c>
      <c r="S1623" s="87">
        <f t="shared" si="153"/>
        <v>-2.3146097754596462E-3</v>
      </c>
      <c r="T1623" s="87">
        <f t="shared" si="153"/>
        <v>-9.0703569699642651E-3</v>
      </c>
      <c r="U1623" s="87">
        <f t="shared" si="153"/>
        <v>-1.2270092591814359E-2</v>
      </c>
      <c r="V1623" s="87">
        <f t="shared" si="153"/>
        <v>1.053750530278592E-2</v>
      </c>
      <c r="W1623" s="87">
        <f t="shared" si="151"/>
        <v>-5.8309203107930986E-3</v>
      </c>
      <c r="X1623" s="87">
        <f t="shared" si="151"/>
        <v>-2.2059718064732219E-2</v>
      </c>
      <c r="Y1623" s="87">
        <f t="shared" si="151"/>
        <v>-6.0975798681183338E-3</v>
      </c>
      <c r="Z1623" s="87">
        <f t="shared" si="151"/>
        <v>0</v>
      </c>
      <c r="AA1623" s="87">
        <f t="shared" si="151"/>
        <v>3.9626200757674798E-2</v>
      </c>
      <c r="AB1623" s="87">
        <f t="shared" si="152"/>
        <v>-5.994023940210637E-3</v>
      </c>
      <c r="AC1623" s="87">
        <f t="shared" si="152"/>
        <v>1.5117160853221608E-3</v>
      </c>
      <c r="AD1623" s="87">
        <f t="shared" si="152"/>
        <v>-1.6000341346441075E-2</v>
      </c>
      <c r="AE1623" s="90">
        <f t="shared" si="155"/>
        <v>-6.4213393956327452E-3</v>
      </c>
    </row>
    <row r="1624" spans="1:31" ht="15.5" x14ac:dyDescent="0.35">
      <c r="A1624" s="82">
        <v>42123</v>
      </c>
      <c r="B1624" s="83">
        <v>11154.1</v>
      </c>
      <c r="C1624" s="84">
        <v>5023.6000000000004</v>
      </c>
      <c r="D1624" s="61">
        <v>559</v>
      </c>
      <c r="E1624" s="61">
        <v>43.1</v>
      </c>
      <c r="F1624" s="61">
        <v>128.30000000000001</v>
      </c>
      <c r="G1624" s="61">
        <v>48.5</v>
      </c>
      <c r="H1624" s="61">
        <v>17.2</v>
      </c>
      <c r="I1624" s="61">
        <v>28</v>
      </c>
      <c r="J1624" s="61">
        <v>32.9</v>
      </c>
      <c r="K1624" s="61">
        <v>8.1999999999999993</v>
      </c>
      <c r="L1624" s="61">
        <v>59.2</v>
      </c>
      <c r="M1624" s="61">
        <v>51</v>
      </c>
      <c r="N1624" s="61">
        <v>66.7</v>
      </c>
      <c r="O1624" s="85">
        <v>49.6</v>
      </c>
      <c r="P1624" s="105"/>
      <c r="Q1624" s="87">
        <f t="shared" si="154"/>
        <v>-4.3833823964816946E-3</v>
      </c>
      <c r="R1624" s="87">
        <f t="shared" si="153"/>
        <v>-6.3101707546988359E-3</v>
      </c>
      <c r="S1624" s="87">
        <f t="shared" si="153"/>
        <v>-3.5714323675971335E-3</v>
      </c>
      <c r="T1624" s="87">
        <f t="shared" si="153"/>
        <v>-1.8391322971423544E-2</v>
      </c>
      <c r="U1624" s="87">
        <f t="shared" si="153"/>
        <v>-1.0081512296583453E-2</v>
      </c>
      <c r="V1624" s="87">
        <f t="shared" si="153"/>
        <v>1.6632400049141832E-2</v>
      </c>
      <c r="W1624" s="87">
        <f t="shared" si="151"/>
        <v>5.8309203107931437E-3</v>
      </c>
      <c r="X1624" s="87">
        <f t="shared" si="151"/>
        <v>4.0078223567410524E-2</v>
      </c>
      <c r="Y1624" s="87">
        <f t="shared" si="151"/>
        <v>6.0975798681183165E-3</v>
      </c>
      <c r="Z1624" s="87">
        <f t="shared" si="151"/>
        <v>-1.2121360532344963E-2</v>
      </c>
      <c r="AA1624" s="87">
        <f t="shared" si="151"/>
        <v>0</v>
      </c>
      <c r="AB1624" s="87">
        <f t="shared" si="152"/>
        <v>2.180462996685292E-2</v>
      </c>
      <c r="AC1624" s="87">
        <f t="shared" si="152"/>
        <v>7.5244899786155008E-3</v>
      </c>
      <c r="AD1624" s="87">
        <f t="shared" si="152"/>
        <v>0</v>
      </c>
      <c r="AE1624" s="90">
        <f t="shared" si="155"/>
        <v>-5.8197489971909466E-3</v>
      </c>
    </row>
    <row r="1625" spans="1:31" ht="15.5" x14ac:dyDescent="0.35">
      <c r="A1625" s="82">
        <v>42124</v>
      </c>
      <c r="B1625" s="83">
        <v>11049.7</v>
      </c>
      <c r="C1625" s="84">
        <v>4941.3999999999996</v>
      </c>
      <c r="D1625" s="61">
        <v>546.70000000000005</v>
      </c>
      <c r="E1625" s="61">
        <v>42.3</v>
      </c>
      <c r="F1625" s="61">
        <v>124.6</v>
      </c>
      <c r="G1625" s="61">
        <v>48.6</v>
      </c>
      <c r="H1625" s="61">
        <v>16.7</v>
      </c>
      <c r="I1625" s="61">
        <v>28</v>
      </c>
      <c r="J1625" s="61">
        <v>32.200000000000003</v>
      </c>
      <c r="K1625" s="61">
        <v>8.1999999999999993</v>
      </c>
      <c r="L1625" s="61">
        <v>59.2</v>
      </c>
      <c r="M1625" s="61">
        <v>51.2</v>
      </c>
      <c r="N1625" s="61">
        <v>66.400000000000006</v>
      </c>
      <c r="O1625" s="85">
        <v>49.2</v>
      </c>
      <c r="P1625" s="105"/>
      <c r="Q1625" s="87">
        <f t="shared" si="154"/>
        <v>-9.4038650468084815E-3</v>
      </c>
      <c r="R1625" s="87">
        <f t="shared" si="153"/>
        <v>-1.6498116302710902E-2</v>
      </c>
      <c r="S1625" s="87">
        <f t="shared" si="153"/>
        <v>-2.2249267254145527E-2</v>
      </c>
      <c r="T1625" s="87">
        <f t="shared" si="153"/>
        <v>-1.8735911057469929E-2</v>
      </c>
      <c r="U1625" s="87">
        <f t="shared" si="153"/>
        <v>-2.9262665268238088E-2</v>
      </c>
      <c r="V1625" s="87">
        <f t="shared" si="153"/>
        <v>2.0597329630105622E-3</v>
      </c>
      <c r="W1625" s="87">
        <f t="shared" si="151"/>
        <v>-2.950066439669799E-2</v>
      </c>
      <c r="X1625" s="87">
        <f t="shared" si="151"/>
        <v>0</v>
      </c>
      <c r="Y1625" s="87">
        <f t="shared" si="151"/>
        <v>-2.1506205220963505E-2</v>
      </c>
      <c r="Z1625" s="87">
        <f t="shared" si="151"/>
        <v>0</v>
      </c>
      <c r="AA1625" s="87">
        <f t="shared" si="151"/>
        <v>0</v>
      </c>
      <c r="AB1625" s="87">
        <f t="shared" si="152"/>
        <v>3.9138993211363148E-3</v>
      </c>
      <c r="AC1625" s="87">
        <f t="shared" si="152"/>
        <v>-4.5078964391898173E-3</v>
      </c>
      <c r="AD1625" s="87">
        <f t="shared" si="152"/>
        <v>-8.0972102326193618E-3</v>
      </c>
      <c r="AE1625" s="90">
        <f t="shared" si="155"/>
        <v>-2.081061411768706E-2</v>
      </c>
    </row>
    <row r="1626" spans="1:31" ht="15.5" x14ac:dyDescent="0.35">
      <c r="A1626" s="82">
        <v>42125</v>
      </c>
      <c r="B1626" s="83">
        <v>11140.4</v>
      </c>
      <c r="C1626" s="84">
        <v>5005.3999999999996</v>
      </c>
      <c r="D1626" s="61">
        <v>543.9</v>
      </c>
      <c r="E1626" s="61">
        <v>42.1</v>
      </c>
      <c r="F1626" s="61">
        <v>125.3</v>
      </c>
      <c r="G1626" s="61">
        <v>48.4</v>
      </c>
      <c r="H1626" s="61">
        <v>16.8</v>
      </c>
      <c r="I1626" s="61">
        <v>27.7</v>
      </c>
      <c r="J1626" s="61">
        <v>32.299999999999997</v>
      </c>
      <c r="K1626" s="61">
        <v>8.1999999999999993</v>
      </c>
      <c r="L1626" s="61">
        <v>59.7</v>
      </c>
      <c r="M1626" s="61">
        <v>51.5</v>
      </c>
      <c r="N1626" s="61">
        <v>66.3</v>
      </c>
      <c r="O1626" s="85">
        <v>49.7</v>
      </c>
      <c r="P1626" s="105"/>
      <c r="Q1626" s="87">
        <f t="shared" si="154"/>
        <v>8.1748622232932673E-3</v>
      </c>
      <c r="R1626" s="87">
        <f t="shared" si="153"/>
        <v>1.2868637794540656E-2</v>
      </c>
      <c r="S1626" s="87">
        <f t="shared" si="153"/>
        <v>-5.1347994720386397E-3</v>
      </c>
      <c r="T1626" s="87">
        <f t="shared" si="153"/>
        <v>-4.7393453638964475E-3</v>
      </c>
      <c r="U1626" s="87">
        <f t="shared" si="153"/>
        <v>5.6022555486699727E-3</v>
      </c>
      <c r="V1626" s="87">
        <f t="shared" si="153"/>
        <v>-4.1237171838621519E-3</v>
      </c>
      <c r="W1626" s="87">
        <f t="shared" si="151"/>
        <v>5.9701669865039747E-3</v>
      </c>
      <c r="X1626" s="87">
        <f t="shared" si="151"/>
        <v>-1.0772096981911183E-2</v>
      </c>
      <c r="Y1626" s="87">
        <f t="shared" si="151"/>
        <v>3.1007776782479642E-3</v>
      </c>
      <c r="Z1626" s="87">
        <f t="shared" si="151"/>
        <v>0</v>
      </c>
      <c r="AA1626" s="87">
        <f t="shared" si="151"/>
        <v>8.4104785085965111E-3</v>
      </c>
      <c r="AB1626" s="87">
        <f t="shared" si="152"/>
        <v>5.8422756242283609E-3</v>
      </c>
      <c r="AC1626" s="87">
        <f t="shared" si="152"/>
        <v>-1.5071592905714739E-3</v>
      </c>
      <c r="AD1626" s="87">
        <f t="shared" si="152"/>
        <v>1.0111309604320695E-2</v>
      </c>
      <c r="AE1626" s="90">
        <f t="shared" si="155"/>
        <v>5.1849836764014763E-3</v>
      </c>
    </row>
    <row r="1627" spans="1:31" ht="15.5" x14ac:dyDescent="0.35">
      <c r="A1627" s="82">
        <v>42128</v>
      </c>
      <c r="B1627" s="83">
        <v>11173.3</v>
      </c>
      <c r="C1627" s="84">
        <v>5016.8999999999996</v>
      </c>
      <c r="D1627" s="61">
        <v>547.4</v>
      </c>
      <c r="E1627" s="61">
        <v>41.8</v>
      </c>
      <c r="F1627" s="61">
        <v>128.30000000000001</v>
      </c>
      <c r="G1627" s="61">
        <v>48.2</v>
      </c>
      <c r="H1627" s="61">
        <v>16.8</v>
      </c>
      <c r="I1627" s="61">
        <v>28.2</v>
      </c>
      <c r="J1627" s="61">
        <v>32.200000000000003</v>
      </c>
      <c r="K1627" s="61">
        <v>8.3000000000000007</v>
      </c>
      <c r="L1627" s="61">
        <v>60</v>
      </c>
      <c r="M1627" s="61">
        <v>52</v>
      </c>
      <c r="N1627" s="61">
        <v>66.099999999999994</v>
      </c>
      <c r="O1627" s="85">
        <v>50.2</v>
      </c>
      <c r="P1627" s="105"/>
      <c r="Q1627" s="87">
        <f t="shared" si="154"/>
        <v>2.9488631505275478E-3</v>
      </c>
      <c r="R1627" s="87">
        <f t="shared" si="153"/>
        <v>2.2948834193852099E-3</v>
      </c>
      <c r="S1627" s="87">
        <f t="shared" si="153"/>
        <v>6.4143901776637004E-3</v>
      </c>
      <c r="T1627" s="87">
        <f t="shared" si="153"/>
        <v>-7.1514011576252401E-3</v>
      </c>
      <c r="U1627" s="87">
        <f t="shared" si="153"/>
        <v>2.3660409719568336E-2</v>
      </c>
      <c r="V1627" s="87">
        <f t="shared" si="153"/>
        <v>-4.1407926660312769E-3</v>
      </c>
      <c r="W1627" s="87">
        <f t="shared" si="151"/>
        <v>0</v>
      </c>
      <c r="X1627" s="87">
        <f t="shared" si="151"/>
        <v>1.7889564750775123E-2</v>
      </c>
      <c r="Y1627" s="87">
        <f t="shared" si="151"/>
        <v>-3.1007776782480479E-3</v>
      </c>
      <c r="Z1627" s="87">
        <f t="shared" si="151"/>
        <v>1.2121360532345041E-2</v>
      </c>
      <c r="AA1627" s="87">
        <f t="shared" si="151"/>
        <v>5.0125418235441935E-3</v>
      </c>
      <c r="AB1627" s="87">
        <f t="shared" si="152"/>
        <v>9.6619109117368901E-3</v>
      </c>
      <c r="AC1627" s="87">
        <f t="shared" si="152"/>
        <v>-3.0211503341762112E-3</v>
      </c>
      <c r="AD1627" s="87">
        <f t="shared" si="152"/>
        <v>1.0010093595100425E-2</v>
      </c>
      <c r="AE1627" s="90">
        <f t="shared" si="155"/>
        <v>1.0547933913020077E-2</v>
      </c>
    </row>
    <row r="1628" spans="1:31" ht="15.5" x14ac:dyDescent="0.35">
      <c r="A1628" s="82">
        <v>42129</v>
      </c>
      <c r="B1628" s="83">
        <v>11049.3</v>
      </c>
      <c r="C1628" s="84">
        <v>4939.3</v>
      </c>
      <c r="D1628" s="61">
        <v>542.4</v>
      </c>
      <c r="E1628" s="61">
        <v>40.799999999999997</v>
      </c>
      <c r="F1628" s="61">
        <v>125.8</v>
      </c>
      <c r="G1628" s="61">
        <v>47.3</v>
      </c>
      <c r="H1628" s="61">
        <v>16.600000000000001</v>
      </c>
      <c r="I1628" s="61">
        <v>27.9</v>
      </c>
      <c r="J1628" s="61">
        <v>32.1</v>
      </c>
      <c r="K1628" s="61">
        <v>8.1999999999999993</v>
      </c>
      <c r="L1628" s="61">
        <v>60.1</v>
      </c>
      <c r="M1628" s="61">
        <v>52</v>
      </c>
      <c r="N1628" s="61">
        <v>65.5</v>
      </c>
      <c r="O1628" s="85">
        <v>50.1</v>
      </c>
      <c r="P1628" s="105"/>
      <c r="Q1628" s="87">
        <f t="shared" si="154"/>
        <v>-1.1159926106889895E-2</v>
      </c>
      <c r="R1628" s="87">
        <f t="shared" si="153"/>
        <v>-1.558859231852777E-2</v>
      </c>
      <c r="S1628" s="87">
        <f t="shared" si="153"/>
        <v>-9.1760599803929182E-3</v>
      </c>
      <c r="T1628" s="87">
        <f t="shared" si="153"/>
        <v>-2.4214258120594627E-2</v>
      </c>
      <c r="U1628" s="87">
        <f t="shared" si="153"/>
        <v>-1.9677927355250657E-2</v>
      </c>
      <c r="V1628" s="87">
        <f t="shared" si="153"/>
        <v>-1.8848725558667494E-2</v>
      </c>
      <c r="W1628" s="87">
        <f t="shared" si="151"/>
        <v>-1.1976191046715649E-2</v>
      </c>
      <c r="X1628" s="87">
        <f t="shared" si="151"/>
        <v>-1.069528911674803E-2</v>
      </c>
      <c r="Y1628" s="87">
        <f t="shared" si="151"/>
        <v>-3.1104224143925024E-3</v>
      </c>
      <c r="Z1628" s="87">
        <f t="shared" si="151"/>
        <v>-1.2121360532344963E-2</v>
      </c>
      <c r="AA1628" s="87">
        <f t="shared" si="151"/>
        <v>1.6652793190612488E-3</v>
      </c>
      <c r="AB1628" s="87">
        <f t="shared" si="152"/>
        <v>0</v>
      </c>
      <c r="AC1628" s="87">
        <f t="shared" si="152"/>
        <v>-9.1186042164342323E-3</v>
      </c>
      <c r="AD1628" s="87">
        <f t="shared" si="152"/>
        <v>-1.9940186068643953E-3</v>
      </c>
      <c r="AE1628" s="90">
        <f t="shared" si="155"/>
        <v>-1.3228135050299116E-2</v>
      </c>
    </row>
    <row r="1629" spans="1:31" ht="15.5" x14ac:dyDescent="0.35">
      <c r="A1629" s="82">
        <v>42130</v>
      </c>
      <c r="B1629" s="83">
        <v>11016</v>
      </c>
      <c r="C1629" s="84">
        <v>4919.6000000000004</v>
      </c>
      <c r="D1629" s="61">
        <v>532.20000000000005</v>
      </c>
      <c r="E1629" s="61">
        <v>41.2</v>
      </c>
      <c r="F1629" s="61">
        <v>123.4</v>
      </c>
      <c r="G1629" s="61">
        <v>46</v>
      </c>
      <c r="H1629" s="61">
        <v>16.600000000000001</v>
      </c>
      <c r="I1629" s="61">
        <v>27.6</v>
      </c>
      <c r="J1629" s="61">
        <v>32</v>
      </c>
      <c r="K1629" s="61">
        <v>8</v>
      </c>
      <c r="L1629" s="61">
        <v>59.9</v>
      </c>
      <c r="M1629" s="61">
        <v>51.4</v>
      </c>
      <c r="N1629" s="61">
        <v>65.099999999999994</v>
      </c>
      <c r="O1629" s="85">
        <v>49.8</v>
      </c>
      <c r="P1629" s="105"/>
      <c r="Q1629" s="87">
        <f t="shared" si="154"/>
        <v>-3.0183161145228166E-3</v>
      </c>
      <c r="R1629" s="87">
        <f t="shared" si="153"/>
        <v>-3.9963943684035727E-3</v>
      </c>
      <c r="S1629" s="87">
        <f t="shared" si="153"/>
        <v>-1.8984378082596839E-2</v>
      </c>
      <c r="T1629" s="87">
        <f t="shared" si="153"/>
        <v>9.7561749453648743E-3</v>
      </c>
      <c r="U1629" s="87">
        <f t="shared" si="153"/>
        <v>-1.9262232795052639E-2</v>
      </c>
      <c r="V1629" s="87">
        <f t="shared" si="153"/>
        <v>-2.7868899008792261E-2</v>
      </c>
      <c r="W1629" s="87">
        <f t="shared" si="151"/>
        <v>0</v>
      </c>
      <c r="X1629" s="87">
        <f t="shared" si="151"/>
        <v>-1.0810916104215506E-2</v>
      </c>
      <c r="Y1629" s="87">
        <f t="shared" si="151"/>
        <v>-3.1201273362436339E-3</v>
      </c>
      <c r="Z1629" s="87">
        <f t="shared" si="151"/>
        <v>-2.4692612590371411E-2</v>
      </c>
      <c r="AA1629" s="87">
        <f t="shared" si="151"/>
        <v>-3.3333364197582274E-3</v>
      </c>
      <c r="AB1629" s="87">
        <f t="shared" si="152"/>
        <v>-1.1605546120308003E-2</v>
      </c>
      <c r="AC1629" s="87">
        <f t="shared" si="152"/>
        <v>-6.1255934266827312E-3</v>
      </c>
      <c r="AD1629" s="87">
        <f t="shared" si="152"/>
        <v>-6.0060240602119218E-3</v>
      </c>
      <c r="AE1629" s="90">
        <f t="shared" si="155"/>
        <v>-1.2993705704997881E-2</v>
      </c>
    </row>
    <row r="1630" spans="1:31" ht="15.5" x14ac:dyDescent="0.35">
      <c r="A1630" s="82">
        <v>42131</v>
      </c>
      <c r="B1630" s="83">
        <v>11036.4</v>
      </c>
      <c r="C1630" s="84">
        <v>4945.5</v>
      </c>
      <c r="D1630" s="61">
        <v>533.5</v>
      </c>
      <c r="E1630" s="61">
        <v>43.5</v>
      </c>
      <c r="F1630" s="61">
        <v>124</v>
      </c>
      <c r="G1630" s="61">
        <v>46.2</v>
      </c>
      <c r="H1630" s="61">
        <v>16.7</v>
      </c>
      <c r="I1630" s="61">
        <v>27.8</v>
      </c>
      <c r="J1630" s="61">
        <v>31.9</v>
      </c>
      <c r="K1630" s="61">
        <v>8</v>
      </c>
      <c r="L1630" s="61">
        <v>59.9</v>
      </c>
      <c r="M1630" s="61">
        <v>50.7</v>
      </c>
      <c r="N1630" s="61">
        <v>65.7</v>
      </c>
      <c r="O1630" s="85">
        <v>50</v>
      </c>
      <c r="P1630" s="105"/>
      <c r="Q1630" s="87">
        <f t="shared" si="154"/>
        <v>1.8501392881613734E-3</v>
      </c>
      <c r="R1630" s="87">
        <f t="shared" si="153"/>
        <v>5.2508458116399684E-3</v>
      </c>
      <c r="S1630" s="87">
        <f t="shared" si="153"/>
        <v>2.4397121982192302E-3</v>
      </c>
      <c r="T1630" s="87">
        <f t="shared" ref="T1630:AD1661" si="156">+LN(E1630/E1629)</f>
        <v>5.4322681739157573E-2</v>
      </c>
      <c r="U1630" s="87">
        <f t="shared" si="156"/>
        <v>4.8504541337494799E-3</v>
      </c>
      <c r="V1630" s="87">
        <f t="shared" si="156"/>
        <v>4.3384015985981411E-3</v>
      </c>
      <c r="W1630" s="87">
        <f t="shared" si="151"/>
        <v>6.0060240602117284E-3</v>
      </c>
      <c r="X1630" s="87">
        <f t="shared" si="151"/>
        <v>7.2202479734870973E-3</v>
      </c>
      <c r="Y1630" s="87">
        <f t="shared" si="151"/>
        <v>-3.1298930089277044E-3</v>
      </c>
      <c r="Z1630" s="87">
        <f t="shared" si="151"/>
        <v>0</v>
      </c>
      <c r="AA1630" s="87">
        <f t="shared" si="151"/>
        <v>0</v>
      </c>
      <c r="AB1630" s="87">
        <f t="shared" si="152"/>
        <v>-1.3712261863981895E-2</v>
      </c>
      <c r="AC1630" s="87">
        <f t="shared" si="152"/>
        <v>9.1743762760414498E-3</v>
      </c>
      <c r="AD1630" s="87">
        <f t="shared" si="152"/>
        <v>4.0080213975388678E-3</v>
      </c>
      <c r="AE1630" s="90">
        <f t="shared" si="155"/>
        <v>4.1622954767134551E-3</v>
      </c>
    </row>
    <row r="1631" spans="1:31" ht="15.5" x14ac:dyDescent="0.35">
      <c r="A1631" s="82">
        <v>42132</v>
      </c>
      <c r="B1631" s="83">
        <v>11196.5</v>
      </c>
      <c r="C1631" s="84">
        <v>5003.5</v>
      </c>
      <c r="D1631" s="61">
        <v>548</v>
      </c>
      <c r="E1631" s="61">
        <v>44</v>
      </c>
      <c r="F1631" s="61">
        <v>126.1</v>
      </c>
      <c r="G1631" s="61">
        <v>47.5</v>
      </c>
      <c r="H1631" s="61">
        <v>17.100000000000001</v>
      </c>
      <c r="I1631" s="61">
        <v>28.9</v>
      </c>
      <c r="J1631" s="61">
        <v>32.299999999999997</v>
      </c>
      <c r="K1631" s="61">
        <v>8.3000000000000007</v>
      </c>
      <c r="L1631" s="61">
        <v>60.7</v>
      </c>
      <c r="M1631" s="61">
        <v>51.3</v>
      </c>
      <c r="N1631" s="61">
        <v>66.099999999999994</v>
      </c>
      <c r="O1631" s="85">
        <v>51.1</v>
      </c>
      <c r="P1631" s="105"/>
      <c r="Q1631" s="87">
        <f t="shared" si="154"/>
        <v>1.4402328748233703E-2</v>
      </c>
      <c r="R1631" s="87">
        <f t="shared" ref="R1631:X1692" si="157">+LN(C1631/C1630)</f>
        <v>1.1659595350615382E-2</v>
      </c>
      <c r="S1631" s="87">
        <f t="shared" si="157"/>
        <v>2.6816216206207423E-2</v>
      </c>
      <c r="T1631" s="87">
        <f t="shared" si="156"/>
        <v>1.142869582362285E-2</v>
      </c>
      <c r="U1631" s="87">
        <f t="shared" si="156"/>
        <v>1.679367736583693E-2</v>
      </c>
      <c r="V1631" s="87">
        <f t="shared" si="156"/>
        <v>2.7749912952902241E-2</v>
      </c>
      <c r="W1631" s="87">
        <f t="shared" si="151"/>
        <v>2.3669744085904922E-2</v>
      </c>
      <c r="X1631" s="87">
        <f t="shared" si="151"/>
        <v>3.8805574421795073E-2</v>
      </c>
      <c r="Y1631" s="87">
        <f t="shared" si="151"/>
        <v>1.2461220437812033E-2</v>
      </c>
      <c r="Z1631" s="87">
        <f t="shared" si="151"/>
        <v>3.6813973122716399E-2</v>
      </c>
      <c r="AA1631" s="87">
        <f t="shared" si="151"/>
        <v>1.3267192944049079E-2</v>
      </c>
      <c r="AB1631" s="87">
        <f t="shared" si="152"/>
        <v>1.176484157958621E-2</v>
      </c>
      <c r="AC1631" s="87">
        <f t="shared" si="152"/>
        <v>6.0698213670755527E-3</v>
      </c>
      <c r="AD1631" s="87">
        <f t="shared" si="152"/>
        <v>2.176149178151271E-2</v>
      </c>
      <c r="AE1631" s="90">
        <f t="shared" si="155"/>
        <v>1.8792814946696962E-2</v>
      </c>
    </row>
    <row r="1632" spans="1:31" ht="15.5" x14ac:dyDescent="0.35">
      <c r="A1632" s="82">
        <v>42135</v>
      </c>
      <c r="B1632" s="83">
        <v>11140.7</v>
      </c>
      <c r="C1632" s="84">
        <v>4993.6000000000004</v>
      </c>
      <c r="D1632" s="61">
        <v>545.6</v>
      </c>
      <c r="E1632" s="61">
        <v>43.6</v>
      </c>
      <c r="F1632" s="61">
        <v>125.6</v>
      </c>
      <c r="G1632" s="61">
        <v>47.4</v>
      </c>
      <c r="H1632" s="61">
        <v>17</v>
      </c>
      <c r="I1632" s="61">
        <v>29.4</v>
      </c>
      <c r="J1632" s="61">
        <v>32.200000000000003</v>
      </c>
      <c r="K1632" s="61">
        <v>8.4</v>
      </c>
      <c r="L1632" s="61">
        <v>59.8</v>
      </c>
      <c r="M1632" s="61">
        <v>52.1</v>
      </c>
      <c r="N1632" s="61">
        <v>66.2</v>
      </c>
      <c r="O1632" s="85">
        <v>51</v>
      </c>
      <c r="P1632" s="105"/>
      <c r="Q1632" s="87">
        <f t="shared" si="154"/>
        <v>-4.9961603129733819E-3</v>
      </c>
      <c r="R1632" s="87">
        <f t="shared" si="157"/>
        <v>-1.9805750139956805E-3</v>
      </c>
      <c r="S1632" s="87">
        <f t="shared" si="157"/>
        <v>-4.3891804187630957E-3</v>
      </c>
      <c r="T1632" s="87">
        <f t="shared" si="156"/>
        <v>-9.1324835632724741E-3</v>
      </c>
      <c r="U1632" s="87">
        <f t="shared" si="156"/>
        <v>-3.9729889367755584E-3</v>
      </c>
      <c r="V1632" s="87">
        <f t="shared" si="156"/>
        <v>-2.1074823395646983E-3</v>
      </c>
      <c r="W1632" s="87">
        <f t="shared" si="151"/>
        <v>-5.8651194523981339E-3</v>
      </c>
      <c r="X1632" s="87">
        <f t="shared" si="151"/>
        <v>1.7153079226249493E-2</v>
      </c>
      <c r="Y1632" s="87">
        <f t="shared" si="151"/>
        <v>-3.1007776782480479E-3</v>
      </c>
      <c r="Z1632" s="87">
        <f t="shared" si="151"/>
        <v>1.197619104671562E-2</v>
      </c>
      <c r="AA1632" s="87">
        <f t="shared" si="151"/>
        <v>-1.4938037108866606E-2</v>
      </c>
      <c r="AB1632" s="87">
        <f t="shared" si="152"/>
        <v>1.5474196582597383E-2</v>
      </c>
      <c r="AC1632" s="87">
        <f t="shared" si="152"/>
        <v>1.5117160853221608E-3</v>
      </c>
      <c r="AD1632" s="87">
        <f t="shared" si="152"/>
        <v>-1.958864485333034E-3</v>
      </c>
      <c r="AE1632" s="90">
        <f t="shared" si="155"/>
        <v>-3.2527985694184875E-3</v>
      </c>
    </row>
    <row r="1633" spans="1:31" ht="15.5" x14ac:dyDescent="0.35">
      <c r="A1633" s="82">
        <v>42136</v>
      </c>
      <c r="B1633" s="83">
        <v>11113.2</v>
      </c>
      <c r="C1633" s="84">
        <v>4976.2</v>
      </c>
      <c r="D1633" s="61">
        <v>535</v>
      </c>
      <c r="E1633" s="61">
        <v>43.7</v>
      </c>
      <c r="F1633" s="61">
        <v>124.8</v>
      </c>
      <c r="G1633" s="61">
        <v>46.4</v>
      </c>
      <c r="H1633" s="61">
        <v>16.7</v>
      </c>
      <c r="I1633" s="61">
        <v>29.5</v>
      </c>
      <c r="J1633" s="61">
        <v>32.1</v>
      </c>
      <c r="K1633" s="61">
        <v>8.5</v>
      </c>
      <c r="L1633" s="61">
        <v>59.1</v>
      </c>
      <c r="M1633" s="61">
        <v>52.8</v>
      </c>
      <c r="N1633" s="61">
        <v>65.8</v>
      </c>
      <c r="O1633" s="85">
        <v>50.8</v>
      </c>
      <c r="P1633" s="105"/>
      <c r="Q1633" s="87">
        <f t="shared" si="154"/>
        <v>-2.4714781676890077E-3</v>
      </c>
      <c r="R1633" s="87">
        <f t="shared" si="157"/>
        <v>-3.4905449791687092E-3</v>
      </c>
      <c r="S1633" s="87">
        <f t="shared" si="157"/>
        <v>-1.9619359633245893E-2</v>
      </c>
      <c r="T1633" s="87">
        <f t="shared" si="156"/>
        <v>2.2909517465557624E-3</v>
      </c>
      <c r="U1633" s="87">
        <f t="shared" si="156"/>
        <v>-6.38979809877101E-3</v>
      </c>
      <c r="V1633" s="87">
        <f t="shared" si="156"/>
        <v>-2.1322769468821192E-2</v>
      </c>
      <c r="W1633" s="87">
        <f t="shared" si="151"/>
        <v>-1.7804624633506707E-2</v>
      </c>
      <c r="X1633" s="87">
        <f t="shared" si="151"/>
        <v>3.3955890011383287E-3</v>
      </c>
      <c r="Y1633" s="87">
        <f t="shared" si="151"/>
        <v>-3.1104224143925024E-3</v>
      </c>
      <c r="Z1633" s="87">
        <f t="shared" si="151"/>
        <v>1.1834457647002798E-2</v>
      </c>
      <c r="AA1633" s="87">
        <f t="shared" si="151"/>
        <v>-1.1774736544533418E-2</v>
      </c>
      <c r="AB1633" s="87">
        <f t="shared" si="152"/>
        <v>1.3346241952894486E-2</v>
      </c>
      <c r="AC1633" s="87">
        <f t="shared" si="152"/>
        <v>-6.0606246116910699E-3</v>
      </c>
      <c r="AD1633" s="87">
        <f t="shared" si="152"/>
        <v>-3.9292781398896611E-3</v>
      </c>
      <c r="AE1633" s="90">
        <f t="shared" si="155"/>
        <v>-9.0948231054251254E-3</v>
      </c>
    </row>
    <row r="1634" spans="1:31" ht="15.5" x14ac:dyDescent="0.35">
      <c r="A1634" s="82">
        <v>42137</v>
      </c>
      <c r="B1634" s="83">
        <v>11117</v>
      </c>
      <c r="C1634" s="84">
        <v>4981.7</v>
      </c>
      <c r="D1634" s="61">
        <v>539</v>
      </c>
      <c r="E1634" s="61">
        <v>44</v>
      </c>
      <c r="F1634" s="61">
        <v>125.9</v>
      </c>
      <c r="G1634" s="61">
        <v>47.6</v>
      </c>
      <c r="H1634" s="61">
        <v>16.8</v>
      </c>
      <c r="I1634" s="61">
        <v>29.7</v>
      </c>
      <c r="J1634" s="61">
        <v>32.1</v>
      </c>
      <c r="K1634" s="61">
        <v>8.5</v>
      </c>
      <c r="L1634" s="61">
        <v>59</v>
      </c>
      <c r="M1634" s="61">
        <v>52.7</v>
      </c>
      <c r="N1634" s="61">
        <v>66.099999999999994</v>
      </c>
      <c r="O1634" s="85">
        <v>50.9</v>
      </c>
      <c r="P1634" s="105"/>
      <c r="Q1634" s="87">
        <f t="shared" si="154"/>
        <v>3.4187726939120106E-4</v>
      </c>
      <c r="R1634" s="87">
        <f t="shared" si="157"/>
        <v>1.1046506912667602E-3</v>
      </c>
      <c r="S1634" s="87">
        <f t="shared" si="157"/>
        <v>7.448824012990695E-3</v>
      </c>
      <c r="T1634" s="87">
        <f t="shared" si="156"/>
        <v>6.8415318167165638E-3</v>
      </c>
      <c r="U1634" s="87">
        <f t="shared" si="156"/>
        <v>8.775485114974271E-3</v>
      </c>
      <c r="V1634" s="87">
        <f t="shared" si="156"/>
        <v>2.5533302005164845E-2</v>
      </c>
      <c r="W1634" s="87">
        <f t="shared" si="151"/>
        <v>5.9701669865039747E-3</v>
      </c>
      <c r="X1634" s="87">
        <f t="shared" si="151"/>
        <v>6.7567824628796871E-3</v>
      </c>
      <c r="Y1634" s="87">
        <f t="shared" si="151"/>
        <v>0</v>
      </c>
      <c r="Z1634" s="87">
        <f t="shared" si="151"/>
        <v>0</v>
      </c>
      <c r="AA1634" s="87">
        <f t="shared" si="151"/>
        <v>-1.6934805063331428E-3</v>
      </c>
      <c r="AB1634" s="87">
        <f t="shared" si="152"/>
        <v>-1.8957351648990896E-3</v>
      </c>
      <c r="AC1634" s="87">
        <f t="shared" si="152"/>
        <v>4.5489085263689883E-3</v>
      </c>
      <c r="AD1634" s="87">
        <f t="shared" si="152"/>
        <v>1.9665689720408473E-3</v>
      </c>
      <c r="AE1634" s="90">
        <f t="shared" si="155"/>
        <v>5.2601531175404427E-3</v>
      </c>
    </row>
    <row r="1635" spans="1:31" ht="15.5" x14ac:dyDescent="0.35">
      <c r="A1635" s="82">
        <v>42138</v>
      </c>
      <c r="B1635" s="83">
        <v>11207.3</v>
      </c>
      <c r="C1635" s="84">
        <v>5050.8</v>
      </c>
      <c r="D1635" s="61">
        <v>542.5</v>
      </c>
      <c r="E1635" s="61">
        <v>44.5</v>
      </c>
      <c r="F1635" s="61">
        <v>127.2</v>
      </c>
      <c r="G1635" s="61">
        <v>48</v>
      </c>
      <c r="H1635" s="61">
        <v>16.600000000000001</v>
      </c>
      <c r="I1635" s="61">
        <v>30.3</v>
      </c>
      <c r="J1635" s="61">
        <v>32.1</v>
      </c>
      <c r="K1635" s="61">
        <v>8</v>
      </c>
      <c r="L1635" s="61">
        <v>59</v>
      </c>
      <c r="M1635" s="61">
        <v>52.9</v>
      </c>
      <c r="N1635" s="61">
        <v>66.3</v>
      </c>
      <c r="O1635" s="85">
        <v>51.2</v>
      </c>
      <c r="P1635" s="105"/>
      <c r="Q1635" s="87">
        <f t="shared" si="154"/>
        <v>8.0898834438009048E-3</v>
      </c>
      <c r="R1635" s="87">
        <f t="shared" si="157"/>
        <v>1.3775448335912238E-2</v>
      </c>
      <c r="S1635" s="87">
        <f t="shared" si="157"/>
        <v>6.4725145056175196E-3</v>
      </c>
      <c r="T1635" s="87">
        <f t="shared" si="156"/>
        <v>1.1299555253933466E-2</v>
      </c>
      <c r="U1635" s="87">
        <f t="shared" si="156"/>
        <v>1.0272709855720185E-2</v>
      </c>
      <c r="V1635" s="87">
        <f t="shared" si="156"/>
        <v>8.3682496705165792E-3</v>
      </c>
      <c r="W1635" s="87">
        <f t="shared" si="156"/>
        <v>-1.1976191046715649E-2</v>
      </c>
      <c r="X1635" s="87">
        <f t="shared" si="156"/>
        <v>2.000066670666965E-2</v>
      </c>
      <c r="Y1635" s="87">
        <f t="shared" si="156"/>
        <v>0</v>
      </c>
      <c r="Z1635" s="87">
        <f t="shared" si="156"/>
        <v>-6.0624621816434854E-2</v>
      </c>
      <c r="AA1635" s="87">
        <f t="shared" si="156"/>
        <v>0</v>
      </c>
      <c r="AB1635" s="87">
        <f t="shared" si="152"/>
        <v>3.7878833169369352E-3</v>
      </c>
      <c r="AC1635" s="87">
        <f t="shared" si="152"/>
        <v>3.0211503341762511E-3</v>
      </c>
      <c r="AD1635" s="87">
        <f t="shared" si="152"/>
        <v>5.8766084889851911E-3</v>
      </c>
      <c r="AE1635" s="90">
        <f t="shared" si="155"/>
        <v>9.6757504161315323E-3</v>
      </c>
    </row>
    <row r="1636" spans="1:31" ht="15.5" x14ac:dyDescent="0.35">
      <c r="A1636" s="82">
        <v>42139</v>
      </c>
      <c r="B1636" s="83">
        <v>11228.3</v>
      </c>
      <c r="C1636" s="84">
        <v>5048.3</v>
      </c>
      <c r="D1636" s="61">
        <v>542.5</v>
      </c>
      <c r="E1636" s="61">
        <v>44.7</v>
      </c>
      <c r="F1636" s="61">
        <v>128.19999999999999</v>
      </c>
      <c r="G1636" s="61">
        <v>48.1</v>
      </c>
      <c r="H1636" s="61">
        <v>16.7</v>
      </c>
      <c r="I1636" s="61">
        <v>30.6</v>
      </c>
      <c r="J1636" s="61">
        <v>32.200000000000003</v>
      </c>
      <c r="K1636" s="61">
        <v>8.1</v>
      </c>
      <c r="L1636" s="61">
        <v>59.8</v>
      </c>
      <c r="M1636" s="61">
        <v>52.3</v>
      </c>
      <c r="N1636" s="61">
        <v>66.400000000000006</v>
      </c>
      <c r="O1636" s="85">
        <v>51.7</v>
      </c>
      <c r="P1636" s="105"/>
      <c r="Q1636" s="87">
        <f t="shared" si="154"/>
        <v>1.8720253644064753E-3</v>
      </c>
      <c r="R1636" s="87">
        <f t="shared" si="157"/>
        <v>-4.950936323169713E-4</v>
      </c>
      <c r="S1636" s="87">
        <f t="shared" si="157"/>
        <v>0</v>
      </c>
      <c r="T1636" s="87">
        <f t="shared" si="156"/>
        <v>4.4843124473285863E-3</v>
      </c>
      <c r="U1636" s="87">
        <f t="shared" si="156"/>
        <v>7.8308935805478392E-3</v>
      </c>
      <c r="V1636" s="87">
        <f t="shared" si="156"/>
        <v>2.0811662038246709E-3</v>
      </c>
      <c r="W1636" s="87">
        <f t="shared" si="156"/>
        <v>6.0060240602117284E-3</v>
      </c>
      <c r="X1636" s="87">
        <f t="shared" si="156"/>
        <v>9.8522964430116395E-3</v>
      </c>
      <c r="Y1636" s="87">
        <f t="shared" si="156"/>
        <v>3.1104224143925518E-3</v>
      </c>
      <c r="Z1636" s="87">
        <f t="shared" si="156"/>
        <v>1.242251999855711E-2</v>
      </c>
      <c r="AA1636" s="87">
        <f t="shared" si="156"/>
        <v>1.3468217050866611E-2</v>
      </c>
      <c r="AB1636" s="87">
        <f t="shared" si="152"/>
        <v>-1.1406967793376478E-2</v>
      </c>
      <c r="AC1636" s="87">
        <f t="shared" si="152"/>
        <v>1.5071592905715604E-3</v>
      </c>
      <c r="AD1636" s="87">
        <f t="shared" si="152"/>
        <v>9.7182494689213462E-3</v>
      </c>
      <c r="AE1636" s="90">
        <f t="shared" si="155"/>
        <v>3.2719899015503482E-3</v>
      </c>
    </row>
    <row r="1637" spans="1:31" ht="15.5" x14ac:dyDescent="0.35">
      <c r="A1637" s="82">
        <v>42142</v>
      </c>
      <c r="B1637" s="83">
        <v>11227.9</v>
      </c>
      <c r="C1637" s="84">
        <v>5078.3999999999996</v>
      </c>
      <c r="D1637" s="61">
        <v>542.29999999999995</v>
      </c>
      <c r="E1637" s="61">
        <v>44</v>
      </c>
      <c r="F1637" s="61">
        <v>128.4</v>
      </c>
      <c r="G1637" s="61">
        <v>47.6</v>
      </c>
      <c r="H1637" s="61">
        <v>16.399999999999999</v>
      </c>
      <c r="I1637" s="61">
        <v>30.8</v>
      </c>
      <c r="J1637" s="61">
        <v>32.700000000000003</v>
      </c>
      <c r="K1637" s="61">
        <v>8.3000000000000007</v>
      </c>
      <c r="L1637" s="61">
        <v>60</v>
      </c>
      <c r="M1637" s="61">
        <v>52.6</v>
      </c>
      <c r="N1637" s="61">
        <v>66.7</v>
      </c>
      <c r="O1637" s="85">
        <v>52.2</v>
      </c>
      <c r="P1637" s="105"/>
      <c r="Q1637" s="87">
        <f t="shared" si="154"/>
        <v>-3.5624905375121164E-5</v>
      </c>
      <c r="R1637" s="87">
        <f t="shared" si="157"/>
        <v>5.9446983998815428E-3</v>
      </c>
      <c r="S1637" s="87">
        <f t="shared" si="157"/>
        <v>-3.6873156759967827E-4</v>
      </c>
      <c r="T1637" s="87">
        <f t="shared" si="156"/>
        <v>-1.5783867701262E-2</v>
      </c>
      <c r="U1637" s="87">
        <f t="shared" si="156"/>
        <v>1.5588467692913214E-3</v>
      </c>
      <c r="V1637" s="87">
        <f t="shared" si="156"/>
        <v>-1.044941587434112E-2</v>
      </c>
      <c r="W1637" s="87">
        <f t="shared" si="156"/>
        <v>-1.8127384592556715E-2</v>
      </c>
      <c r="X1637" s="87">
        <f t="shared" si="156"/>
        <v>6.5146810211936723E-3</v>
      </c>
      <c r="Y1637" s="87">
        <f t="shared" si="156"/>
        <v>1.5408625352845061E-2</v>
      </c>
      <c r="Z1637" s="87">
        <f t="shared" si="156"/>
        <v>2.4391453124159263E-2</v>
      </c>
      <c r="AA1637" s="87">
        <f t="shared" si="156"/>
        <v>3.3389012655146303E-3</v>
      </c>
      <c r="AB1637" s="87">
        <f t="shared" si="152"/>
        <v>5.71974867278713E-3</v>
      </c>
      <c r="AC1637" s="87">
        <f t="shared" si="152"/>
        <v>4.5078964391899222E-3</v>
      </c>
      <c r="AD1637" s="87">
        <f t="shared" si="152"/>
        <v>9.6247133742096928E-3</v>
      </c>
      <c r="AE1637" s="90">
        <f t="shared" si="155"/>
        <v>3.2895650038082492E-3</v>
      </c>
    </row>
    <row r="1638" spans="1:31" ht="15.5" x14ac:dyDescent="0.35">
      <c r="A1638" s="82">
        <v>42143</v>
      </c>
      <c r="B1638" s="83">
        <v>11213.2</v>
      </c>
      <c r="C1638" s="84">
        <v>5070</v>
      </c>
      <c r="D1638" s="61">
        <v>547.1</v>
      </c>
      <c r="E1638" s="61">
        <v>39.1</v>
      </c>
      <c r="F1638" s="61">
        <v>129.6</v>
      </c>
      <c r="G1638" s="61">
        <v>47.2</v>
      </c>
      <c r="H1638" s="61">
        <v>16.399999999999999</v>
      </c>
      <c r="I1638" s="61">
        <v>30.9</v>
      </c>
      <c r="J1638" s="61">
        <v>32.4</v>
      </c>
      <c r="K1638" s="61">
        <v>8.4</v>
      </c>
      <c r="L1638" s="61">
        <v>59.9</v>
      </c>
      <c r="M1638" s="61">
        <v>53.1</v>
      </c>
      <c r="N1638" s="61">
        <v>66.3</v>
      </c>
      <c r="O1638" s="85">
        <v>52.2</v>
      </c>
      <c r="P1638" s="105"/>
      <c r="Q1638" s="87">
        <f t="shared" si="154"/>
        <v>-1.3100963947873336E-3</v>
      </c>
      <c r="R1638" s="87">
        <f t="shared" si="157"/>
        <v>-1.6554337468609654E-3</v>
      </c>
      <c r="S1638" s="87">
        <f t="shared" si="157"/>
        <v>8.8122472227652911E-3</v>
      </c>
      <c r="T1638" s="87">
        <f t="shared" si="156"/>
        <v>-0.11806716692694104</v>
      </c>
      <c r="U1638" s="87">
        <f t="shared" si="156"/>
        <v>9.3023926623134103E-3</v>
      </c>
      <c r="V1638" s="87">
        <f t="shared" si="156"/>
        <v>-8.4388686458645949E-3</v>
      </c>
      <c r="W1638" s="87">
        <f t="shared" si="156"/>
        <v>0</v>
      </c>
      <c r="X1638" s="87">
        <f t="shared" si="156"/>
        <v>3.2414939241710229E-3</v>
      </c>
      <c r="Y1638" s="87">
        <f t="shared" si="156"/>
        <v>-9.2166551049241759E-3</v>
      </c>
      <c r="Z1638" s="87">
        <f t="shared" si="156"/>
        <v>1.197619104671562E-2</v>
      </c>
      <c r="AA1638" s="87">
        <f t="shared" si="156"/>
        <v>-1.6680571006970587E-3</v>
      </c>
      <c r="AB1638" s="87">
        <f t="shared" si="152"/>
        <v>9.4608085042288889E-3</v>
      </c>
      <c r="AC1638" s="87">
        <f t="shared" si="152"/>
        <v>-6.0150557297612567E-3</v>
      </c>
      <c r="AD1638" s="87">
        <f t="shared" si="152"/>
        <v>0</v>
      </c>
      <c r="AE1638" s="90">
        <f t="shared" si="155"/>
        <v>4.7436139844526555E-3</v>
      </c>
    </row>
    <row r="1639" spans="1:31" ht="15.5" x14ac:dyDescent="0.35">
      <c r="A1639" s="82">
        <v>42144</v>
      </c>
      <c r="B1639" s="83">
        <v>11210.2</v>
      </c>
      <c r="C1639" s="84">
        <v>5071.7</v>
      </c>
      <c r="D1639" s="61">
        <v>545.1</v>
      </c>
      <c r="E1639" s="61">
        <v>42.2</v>
      </c>
      <c r="F1639" s="61">
        <v>129.30000000000001</v>
      </c>
      <c r="G1639" s="61">
        <v>47.3</v>
      </c>
      <c r="H1639" s="61">
        <v>16.2</v>
      </c>
      <c r="I1639" s="61">
        <v>30.9</v>
      </c>
      <c r="J1639" s="61">
        <v>32.799999999999997</v>
      </c>
      <c r="K1639" s="61">
        <v>8.5</v>
      </c>
      <c r="L1639" s="61">
        <v>60.4</v>
      </c>
      <c r="M1639" s="61">
        <v>52.7</v>
      </c>
      <c r="N1639" s="61">
        <v>66.5</v>
      </c>
      <c r="O1639" s="85">
        <v>52.1</v>
      </c>
      <c r="P1639" s="105"/>
      <c r="Q1639" s="87">
        <f t="shared" si="154"/>
        <v>-2.6757762140438841E-4</v>
      </c>
      <c r="R1639" s="87">
        <f t="shared" si="157"/>
        <v>3.3524951752119791E-4</v>
      </c>
      <c r="S1639" s="87">
        <f t="shared" si="157"/>
        <v>-3.6623369995450808E-3</v>
      </c>
      <c r="T1639" s="87">
        <f t="shared" si="156"/>
        <v>7.6297754050646163E-2</v>
      </c>
      <c r="U1639" s="87">
        <f t="shared" si="156"/>
        <v>-2.3174981403623674E-3</v>
      </c>
      <c r="V1639" s="87">
        <f t="shared" si="156"/>
        <v>2.1164029063774721E-3</v>
      </c>
      <c r="W1639" s="87">
        <f t="shared" si="156"/>
        <v>-1.2270092591814359E-2</v>
      </c>
      <c r="X1639" s="87">
        <f t="shared" si="156"/>
        <v>0</v>
      </c>
      <c r="Y1639" s="87">
        <f t="shared" si="156"/>
        <v>1.2270092591814401E-2</v>
      </c>
      <c r="Z1639" s="87">
        <f t="shared" si="156"/>
        <v>1.1834457647002798E-2</v>
      </c>
      <c r="AA1639" s="87">
        <f t="shared" si="156"/>
        <v>8.3125998193655654E-3</v>
      </c>
      <c r="AB1639" s="87">
        <f t="shared" si="152"/>
        <v>-7.5614727005764749E-3</v>
      </c>
      <c r="AC1639" s="87">
        <f t="shared" si="152"/>
        <v>3.0120504699916212E-3</v>
      </c>
      <c r="AD1639" s="87">
        <f t="shared" si="152"/>
        <v>-1.9175461292718174E-3</v>
      </c>
      <c r="AE1639" s="90">
        <f t="shared" si="155"/>
        <v>-1.8674483811204803E-3</v>
      </c>
    </row>
    <row r="1640" spans="1:31" ht="15.5" x14ac:dyDescent="0.35">
      <c r="A1640" s="82">
        <v>42145</v>
      </c>
      <c r="B1640" s="83">
        <v>11239.7</v>
      </c>
      <c r="C1640" s="84">
        <v>5090.8</v>
      </c>
      <c r="D1640" s="61">
        <v>549.29999999999995</v>
      </c>
      <c r="E1640" s="61">
        <v>43.1</v>
      </c>
      <c r="F1640" s="61">
        <v>129.80000000000001</v>
      </c>
      <c r="G1640" s="61">
        <v>47</v>
      </c>
      <c r="H1640" s="61">
        <v>16.2</v>
      </c>
      <c r="I1640" s="61">
        <v>31.2</v>
      </c>
      <c r="J1640" s="61">
        <v>32.799999999999997</v>
      </c>
      <c r="K1640" s="61">
        <v>8.6</v>
      </c>
      <c r="L1640" s="61">
        <v>60.1</v>
      </c>
      <c r="M1640" s="61">
        <v>53</v>
      </c>
      <c r="N1640" s="61">
        <v>66.7</v>
      </c>
      <c r="O1640" s="85">
        <v>52.1</v>
      </c>
      <c r="P1640" s="105"/>
      <c r="Q1640" s="87">
        <f t="shared" si="154"/>
        <v>2.6280755797727117E-3</v>
      </c>
      <c r="R1640" s="87">
        <f t="shared" si="157"/>
        <v>3.758922015142128E-3</v>
      </c>
      <c r="S1640" s="87">
        <f t="shared" si="157"/>
        <v>7.6754762783393373E-3</v>
      </c>
      <c r="T1640" s="87">
        <f t="shared" si="156"/>
        <v>2.1102776067736036E-2</v>
      </c>
      <c r="U1640" s="87">
        <f t="shared" si="156"/>
        <v>3.8595184921779032E-3</v>
      </c>
      <c r="V1640" s="87">
        <f t="shared" si="156"/>
        <v>-6.3626937878286573E-3</v>
      </c>
      <c r="W1640" s="87">
        <f t="shared" si="156"/>
        <v>0</v>
      </c>
      <c r="X1640" s="87">
        <f t="shared" si="156"/>
        <v>9.6619109117368901E-3</v>
      </c>
      <c r="Y1640" s="87">
        <f t="shared" si="156"/>
        <v>0</v>
      </c>
      <c r="Z1640" s="87">
        <f t="shared" si="156"/>
        <v>1.1696039763191236E-2</v>
      </c>
      <c r="AA1640" s="87">
        <f t="shared" si="156"/>
        <v>-4.9792633996073379E-3</v>
      </c>
      <c r="AB1640" s="87">
        <f t="shared" si="152"/>
        <v>5.6764580048051221E-3</v>
      </c>
      <c r="AC1640" s="87">
        <f t="shared" si="152"/>
        <v>3.0030052597695561E-3</v>
      </c>
      <c r="AD1640" s="87">
        <f t="shared" si="152"/>
        <v>0</v>
      </c>
      <c r="AE1640" s="90">
        <f t="shared" si="155"/>
        <v>4.477423450837059E-3</v>
      </c>
    </row>
    <row r="1641" spans="1:31" ht="15.5" x14ac:dyDescent="0.35">
      <c r="A1641" s="82">
        <v>42146</v>
      </c>
      <c r="B1641" s="83">
        <v>11197.7</v>
      </c>
      <c r="C1641" s="84">
        <v>5089.3999999999996</v>
      </c>
      <c r="D1641" s="61">
        <v>553.6</v>
      </c>
      <c r="E1641" s="61">
        <v>43.5</v>
      </c>
      <c r="F1641" s="61">
        <v>131.4</v>
      </c>
      <c r="G1641" s="61">
        <v>46.8</v>
      </c>
      <c r="H1641" s="61">
        <v>16.399999999999999</v>
      </c>
      <c r="I1641" s="61">
        <v>31.7</v>
      </c>
      <c r="J1641" s="61">
        <v>32.9</v>
      </c>
      <c r="K1641" s="61">
        <v>8.8000000000000007</v>
      </c>
      <c r="L1641" s="61">
        <v>59.3</v>
      </c>
      <c r="M1641" s="61">
        <v>53.2</v>
      </c>
      <c r="N1641" s="61">
        <v>66.900000000000006</v>
      </c>
      <c r="O1641" s="85">
        <v>52</v>
      </c>
      <c r="P1641" s="105"/>
      <c r="Q1641" s="87">
        <f t="shared" si="154"/>
        <v>-3.7437536483646196E-3</v>
      </c>
      <c r="R1641" s="87">
        <f t="shared" si="157"/>
        <v>-2.7504371403832623E-4</v>
      </c>
      <c r="S1641" s="87">
        <f t="shared" si="157"/>
        <v>7.7976639548851976E-3</v>
      </c>
      <c r="T1641" s="87">
        <f t="shared" si="156"/>
        <v>9.2379409849363599E-3</v>
      </c>
      <c r="U1641" s="87">
        <f t="shared" si="156"/>
        <v>1.2251301780520365E-2</v>
      </c>
      <c r="V1641" s="87">
        <f t="shared" si="156"/>
        <v>-4.2643987864575397E-3</v>
      </c>
      <c r="W1641" s="87">
        <f t="shared" si="156"/>
        <v>1.2270092591814401E-2</v>
      </c>
      <c r="X1641" s="87">
        <f t="shared" si="156"/>
        <v>1.5898586067798204E-2</v>
      </c>
      <c r="Y1641" s="87">
        <f t="shared" si="156"/>
        <v>3.044142381228273E-3</v>
      </c>
      <c r="Z1641" s="87">
        <f t="shared" si="156"/>
        <v>2.2989518224698781E-2</v>
      </c>
      <c r="AA1641" s="87">
        <f t="shared" si="156"/>
        <v>-1.3400535537482227E-2</v>
      </c>
      <c r="AB1641" s="87">
        <f t="shared" si="152"/>
        <v>3.7664827954768648E-3</v>
      </c>
      <c r="AC1641" s="87">
        <f t="shared" si="152"/>
        <v>2.9940142126046996E-3</v>
      </c>
      <c r="AD1641" s="87">
        <f t="shared" si="152"/>
        <v>-1.9212301778939326E-3</v>
      </c>
      <c r="AE1641" s="90">
        <f t="shared" si="155"/>
        <v>5.4700357787784227E-3</v>
      </c>
    </row>
    <row r="1642" spans="1:31" ht="15.5" x14ac:dyDescent="0.35">
      <c r="A1642" s="82">
        <v>42150</v>
      </c>
      <c r="B1642" s="83">
        <v>11065.3</v>
      </c>
      <c r="C1642" s="84">
        <v>5032.8</v>
      </c>
      <c r="D1642" s="61">
        <v>543</v>
      </c>
      <c r="E1642" s="61">
        <v>42.6</v>
      </c>
      <c r="F1642" s="61">
        <v>129.1</v>
      </c>
      <c r="G1642" s="61">
        <v>46.2</v>
      </c>
      <c r="H1642" s="61">
        <v>16</v>
      </c>
      <c r="I1642" s="61">
        <v>31.4</v>
      </c>
      <c r="J1642" s="61">
        <v>32.299999999999997</v>
      </c>
      <c r="K1642" s="61">
        <v>8.6999999999999993</v>
      </c>
      <c r="L1642" s="61">
        <v>58.9</v>
      </c>
      <c r="M1642" s="61">
        <v>52.3</v>
      </c>
      <c r="N1642" s="61">
        <v>66</v>
      </c>
      <c r="O1642" s="85">
        <v>51.6</v>
      </c>
      <c r="P1642" s="105"/>
      <c r="Q1642" s="87">
        <f t="shared" si="154"/>
        <v>-1.1894314417105966E-2</v>
      </c>
      <c r="R1642" s="87">
        <f t="shared" si="157"/>
        <v>-1.1183456148033868E-2</v>
      </c>
      <c r="S1642" s="87">
        <f t="shared" si="157"/>
        <v>-1.9333084369524422E-2</v>
      </c>
      <c r="T1642" s="87">
        <f t="shared" si="156"/>
        <v>-2.0906684819313601E-2</v>
      </c>
      <c r="U1642" s="87">
        <f t="shared" si="156"/>
        <v>-1.7658808197913406E-2</v>
      </c>
      <c r="V1642" s="87">
        <f t="shared" si="156"/>
        <v>-1.2903404835907729E-2</v>
      </c>
      <c r="W1642" s="87">
        <f t="shared" si="156"/>
        <v>-2.4692612590371411E-2</v>
      </c>
      <c r="X1642" s="87">
        <f t="shared" si="156"/>
        <v>-9.5087879690273006E-3</v>
      </c>
      <c r="Y1642" s="87">
        <f t="shared" si="156"/>
        <v>-1.8405427542715409E-2</v>
      </c>
      <c r="Z1642" s="87">
        <f t="shared" si="156"/>
        <v>-1.1428695823622968E-2</v>
      </c>
      <c r="AA1642" s="87">
        <f t="shared" si="156"/>
        <v>-6.7682153461387394E-3</v>
      </c>
      <c r="AB1642" s="87">
        <f t="shared" si="152"/>
        <v>-1.7062025276721553E-2</v>
      </c>
      <c r="AC1642" s="87">
        <f t="shared" si="152"/>
        <v>-1.354422510775726E-2</v>
      </c>
      <c r="AD1642" s="87">
        <f t="shared" si="152"/>
        <v>-7.7220460939102778E-3</v>
      </c>
      <c r="AE1642" s="90">
        <f t="shared" si="155"/>
        <v>-1.5000203435469484E-2</v>
      </c>
    </row>
    <row r="1643" spans="1:31" ht="15.5" x14ac:dyDescent="0.35">
      <c r="A1643" s="82">
        <v>42151</v>
      </c>
      <c r="B1643" s="83">
        <v>11143.3</v>
      </c>
      <c r="C1643" s="84">
        <v>5106.6000000000004</v>
      </c>
      <c r="D1643" s="61">
        <v>546.6</v>
      </c>
      <c r="E1643" s="61">
        <v>42.3</v>
      </c>
      <c r="F1643" s="61">
        <v>130.1</v>
      </c>
      <c r="G1643" s="61">
        <v>46.6</v>
      </c>
      <c r="H1643" s="61">
        <v>16.100000000000001</v>
      </c>
      <c r="I1643" s="61">
        <v>31.9</v>
      </c>
      <c r="J1643" s="61">
        <v>32</v>
      </c>
      <c r="K1643" s="61">
        <v>8.6</v>
      </c>
      <c r="L1643" s="61">
        <v>58.9</v>
      </c>
      <c r="M1643" s="61">
        <v>52.4</v>
      </c>
      <c r="N1643" s="61">
        <v>65.8</v>
      </c>
      <c r="O1643" s="85">
        <v>51.2</v>
      </c>
      <c r="P1643" s="105"/>
      <c r="Q1643" s="87">
        <f t="shared" si="154"/>
        <v>7.0243347818457497E-3</v>
      </c>
      <c r="R1643" s="87">
        <f t="shared" si="157"/>
        <v>1.4557331455150565E-2</v>
      </c>
      <c r="S1643" s="87">
        <f t="shared" si="157"/>
        <v>6.6079535600323154E-3</v>
      </c>
      <c r="T1643" s="87">
        <f t="shared" si="156"/>
        <v>-7.0671672230925549E-3</v>
      </c>
      <c r="U1643" s="87">
        <f t="shared" si="156"/>
        <v>7.7160876658628657E-3</v>
      </c>
      <c r="V1643" s="87">
        <f t="shared" si="156"/>
        <v>8.6207430439069546E-3</v>
      </c>
      <c r="W1643" s="87">
        <f t="shared" si="156"/>
        <v>6.2305497506361628E-3</v>
      </c>
      <c r="X1643" s="87">
        <f t="shared" si="156"/>
        <v>1.5798116876591311E-2</v>
      </c>
      <c r="Y1643" s="87">
        <f t="shared" si="156"/>
        <v>-9.3313274288841924E-3</v>
      </c>
      <c r="Z1643" s="87">
        <f t="shared" si="156"/>
        <v>-1.1560822401075971E-2</v>
      </c>
      <c r="AA1643" s="87">
        <f t="shared" si="156"/>
        <v>0</v>
      </c>
      <c r="AB1643" s="87">
        <f t="shared" si="152"/>
        <v>1.9102202561192452E-3</v>
      </c>
      <c r="AC1643" s="87">
        <f t="shared" si="152"/>
        <v>-3.034903695154047E-3</v>
      </c>
      <c r="AD1643" s="87">
        <f t="shared" si="152"/>
        <v>-7.7821404420549628E-3</v>
      </c>
      <c r="AE1643" s="90">
        <f t="shared" si="155"/>
        <v>7.5585356364056807E-3</v>
      </c>
    </row>
    <row r="1644" spans="1:31" ht="15.5" x14ac:dyDescent="0.35">
      <c r="A1644" s="82">
        <v>42152</v>
      </c>
      <c r="B1644" s="83">
        <v>11132.7</v>
      </c>
      <c r="C1644" s="84">
        <v>5098</v>
      </c>
      <c r="D1644" s="61">
        <v>550.79999999999995</v>
      </c>
      <c r="E1644" s="61">
        <v>42.9</v>
      </c>
      <c r="F1644" s="61">
        <v>131.1</v>
      </c>
      <c r="G1644" s="61">
        <v>47.4</v>
      </c>
      <c r="H1644" s="61">
        <v>16.3</v>
      </c>
      <c r="I1644" s="61">
        <v>31.9</v>
      </c>
      <c r="J1644" s="61">
        <v>32.1</v>
      </c>
      <c r="K1644" s="61">
        <v>8.5</v>
      </c>
      <c r="L1644" s="61">
        <v>59.4</v>
      </c>
      <c r="M1644" s="61">
        <v>52.2</v>
      </c>
      <c r="N1644" s="61">
        <v>66.099999999999994</v>
      </c>
      <c r="O1644" s="85">
        <v>50.8</v>
      </c>
      <c r="P1644" s="105"/>
      <c r="Q1644" s="87">
        <f t="shared" si="154"/>
        <v>-9.5169696534906764E-4</v>
      </c>
      <c r="R1644" s="87">
        <f t="shared" si="157"/>
        <v>-1.6855147749097236E-3</v>
      </c>
      <c r="S1644" s="87">
        <f t="shared" si="157"/>
        <v>7.6544933605320444E-3</v>
      </c>
      <c r="T1644" s="87">
        <f t="shared" si="156"/>
        <v>1.4084739881739023E-2</v>
      </c>
      <c r="U1644" s="87">
        <f t="shared" si="156"/>
        <v>7.6570052511945397E-3</v>
      </c>
      <c r="V1644" s="87">
        <f t="shared" si="156"/>
        <v>1.7021687569430524E-2</v>
      </c>
      <c r="W1644" s="87">
        <f t="shared" si="156"/>
        <v>1.2345835822299362E-2</v>
      </c>
      <c r="X1644" s="87">
        <f t="shared" si="156"/>
        <v>0</v>
      </c>
      <c r="Y1644" s="87">
        <f t="shared" si="156"/>
        <v>3.1201273362436777E-3</v>
      </c>
      <c r="Z1644" s="87">
        <f t="shared" si="156"/>
        <v>-1.1696039763191187E-2</v>
      </c>
      <c r="AA1644" s="87">
        <f t="shared" si="156"/>
        <v>8.4531357110581903E-3</v>
      </c>
      <c r="AB1644" s="87">
        <f t="shared" si="152"/>
        <v>-3.8240964384033942E-3</v>
      </c>
      <c r="AC1644" s="87">
        <f t="shared" si="152"/>
        <v>4.5489085263689883E-3</v>
      </c>
      <c r="AD1644" s="87">
        <f t="shared" si="152"/>
        <v>-7.8431774610260054E-3</v>
      </c>
      <c r="AE1644" s="90">
        <f t="shared" si="155"/>
        <v>2.9718434284510711E-3</v>
      </c>
    </row>
    <row r="1645" spans="1:31" ht="15.5" x14ac:dyDescent="0.35">
      <c r="A1645" s="82">
        <v>42153</v>
      </c>
      <c r="B1645" s="83">
        <v>11056.3</v>
      </c>
      <c r="C1645" s="84">
        <v>5070</v>
      </c>
      <c r="D1645" s="61">
        <v>545</v>
      </c>
      <c r="E1645" s="61">
        <v>42.8</v>
      </c>
      <c r="F1645" s="61">
        <v>129.9</v>
      </c>
      <c r="G1645" s="61">
        <v>46.6</v>
      </c>
      <c r="H1645" s="61">
        <v>16.5</v>
      </c>
      <c r="I1645" s="61">
        <v>31.6</v>
      </c>
      <c r="J1645" s="61">
        <v>31.5</v>
      </c>
      <c r="K1645" s="61">
        <v>8.5</v>
      </c>
      <c r="L1645" s="61">
        <v>59.5</v>
      </c>
      <c r="M1645" s="61">
        <v>51.9</v>
      </c>
      <c r="N1645" s="61">
        <v>65.5</v>
      </c>
      <c r="O1645" s="85">
        <v>50.5</v>
      </c>
      <c r="P1645" s="105"/>
      <c r="Q1645" s="87">
        <f t="shared" si="154"/>
        <v>-6.8863222241853927E-3</v>
      </c>
      <c r="R1645" s="87">
        <f t="shared" si="157"/>
        <v>-5.5074883508319517E-3</v>
      </c>
      <c r="S1645" s="87">
        <f t="shared" si="157"/>
        <v>-1.0585972191255568E-2</v>
      </c>
      <c r="T1645" s="87">
        <f t="shared" si="156"/>
        <v>-2.3337233462202116E-3</v>
      </c>
      <c r="U1645" s="87">
        <f t="shared" si="156"/>
        <v>-9.1954670931001618E-3</v>
      </c>
      <c r="V1645" s="87">
        <f t="shared" si="156"/>
        <v>-1.7021687569430524E-2</v>
      </c>
      <c r="W1645" s="87">
        <f t="shared" si="156"/>
        <v>1.2195273093818206E-2</v>
      </c>
      <c r="X1645" s="87">
        <f t="shared" si="156"/>
        <v>-9.4488891979323964E-3</v>
      </c>
      <c r="Y1645" s="87">
        <f t="shared" si="156"/>
        <v>-1.8868484304382805E-2</v>
      </c>
      <c r="Z1645" s="87">
        <f t="shared" si="156"/>
        <v>0</v>
      </c>
      <c r="AA1645" s="87">
        <f t="shared" si="156"/>
        <v>1.68208618298488E-3</v>
      </c>
      <c r="AB1645" s="87">
        <f t="shared" si="152"/>
        <v>-5.7637047167501294E-3</v>
      </c>
      <c r="AC1645" s="87">
        <f t="shared" si="152"/>
        <v>-9.1186042164342323E-3</v>
      </c>
      <c r="AD1645" s="87">
        <f t="shared" si="152"/>
        <v>-5.9230183031220556E-3</v>
      </c>
      <c r="AE1645" s="90">
        <f t="shared" si="155"/>
        <v>-8.0993308626340355E-3</v>
      </c>
    </row>
    <row r="1646" spans="1:31" ht="15.5" x14ac:dyDescent="0.35">
      <c r="A1646" s="82">
        <v>42156</v>
      </c>
      <c r="B1646" s="83">
        <v>11061.7</v>
      </c>
      <c r="C1646" s="84">
        <v>5082.8999999999996</v>
      </c>
      <c r="D1646" s="61">
        <v>543.6</v>
      </c>
      <c r="E1646" s="61">
        <v>42.9</v>
      </c>
      <c r="F1646" s="61">
        <v>130.1</v>
      </c>
      <c r="G1646" s="61">
        <v>46.6</v>
      </c>
      <c r="H1646" s="61">
        <v>16.5</v>
      </c>
      <c r="I1646" s="61">
        <v>31.9</v>
      </c>
      <c r="J1646" s="61">
        <v>30.6</v>
      </c>
      <c r="K1646" s="61">
        <v>8.5</v>
      </c>
      <c r="L1646" s="61">
        <v>60.3</v>
      </c>
      <c r="M1646" s="61">
        <v>51.9</v>
      </c>
      <c r="N1646" s="61">
        <v>65</v>
      </c>
      <c r="O1646" s="85">
        <v>50.7</v>
      </c>
      <c r="P1646" s="105"/>
      <c r="Q1646" s="87">
        <f t="shared" si="154"/>
        <v>4.8829009017932554E-4</v>
      </c>
      <c r="R1646" s="87">
        <f t="shared" si="157"/>
        <v>2.5411472469414509E-3</v>
      </c>
      <c r="S1646" s="87">
        <f t="shared" si="157"/>
        <v>-2.5721123862554175E-3</v>
      </c>
      <c r="T1646" s="87">
        <f t="shared" si="156"/>
        <v>2.3337233462203183E-3</v>
      </c>
      <c r="U1646" s="87">
        <f t="shared" si="156"/>
        <v>1.538461841905641E-3</v>
      </c>
      <c r="V1646" s="87">
        <f t="shared" si="156"/>
        <v>0</v>
      </c>
      <c r="W1646" s="87">
        <f t="shared" si="156"/>
        <v>0</v>
      </c>
      <c r="X1646" s="87">
        <f t="shared" si="156"/>
        <v>9.4488891979322889E-3</v>
      </c>
      <c r="Y1646" s="87">
        <f t="shared" si="156"/>
        <v>-2.8987536873252298E-2</v>
      </c>
      <c r="Z1646" s="87">
        <f t="shared" si="156"/>
        <v>0</v>
      </c>
      <c r="AA1646" s="87">
        <f t="shared" si="156"/>
        <v>1.3355791181555636E-2</v>
      </c>
      <c r="AB1646" s="87">
        <f t="shared" si="152"/>
        <v>0</v>
      </c>
      <c r="AC1646" s="87">
        <f t="shared" si="152"/>
        <v>-7.6628727455691371E-3</v>
      </c>
      <c r="AD1646" s="87">
        <f t="shared" si="152"/>
        <v>3.9525743158233418E-3</v>
      </c>
      <c r="AE1646" s="90">
        <f t="shared" si="155"/>
        <v>9.2901693477406345E-4</v>
      </c>
    </row>
    <row r="1647" spans="1:31" ht="15.5" x14ac:dyDescent="0.35">
      <c r="A1647" s="82">
        <v>42157</v>
      </c>
      <c r="B1647" s="83">
        <v>11080.9</v>
      </c>
      <c r="C1647" s="84">
        <v>5076.5</v>
      </c>
      <c r="D1647" s="61">
        <v>546.6</v>
      </c>
      <c r="E1647" s="61">
        <v>42.9</v>
      </c>
      <c r="F1647" s="61">
        <v>129.30000000000001</v>
      </c>
      <c r="G1647" s="61">
        <v>46.6</v>
      </c>
      <c r="H1647" s="61">
        <v>16.899999999999999</v>
      </c>
      <c r="I1647" s="61">
        <v>32</v>
      </c>
      <c r="J1647" s="61">
        <v>31</v>
      </c>
      <c r="K1647" s="61">
        <v>8.5</v>
      </c>
      <c r="L1647" s="61">
        <v>59.8</v>
      </c>
      <c r="M1647" s="61">
        <v>52.2</v>
      </c>
      <c r="N1647" s="61">
        <v>65.2</v>
      </c>
      <c r="O1647" s="85">
        <v>50.8</v>
      </c>
      <c r="P1647" s="105"/>
      <c r="Q1647" s="87">
        <f t="shared" si="154"/>
        <v>1.734214122279725E-3</v>
      </c>
      <c r="R1647" s="87">
        <f t="shared" si="157"/>
        <v>-1.2599170908927947E-3</v>
      </c>
      <c r="S1647" s="87">
        <f t="shared" si="157"/>
        <v>5.5035912169789092E-3</v>
      </c>
      <c r="T1647" s="87">
        <f t="shared" si="156"/>
        <v>0</v>
      </c>
      <c r="U1647" s="87">
        <f t="shared" si="156"/>
        <v>-6.1680997406476611E-3</v>
      </c>
      <c r="V1647" s="87">
        <f t="shared" si="156"/>
        <v>0</v>
      </c>
      <c r="W1647" s="87">
        <f t="shared" si="156"/>
        <v>2.3953241022492796E-2</v>
      </c>
      <c r="X1647" s="87">
        <f t="shared" si="156"/>
        <v>3.1298930089277868E-3</v>
      </c>
      <c r="Y1647" s="87">
        <f t="shared" si="156"/>
        <v>1.2987195526811112E-2</v>
      </c>
      <c r="Z1647" s="87">
        <f t="shared" si="156"/>
        <v>0</v>
      </c>
      <c r="AA1647" s="87">
        <f t="shared" si="156"/>
        <v>-8.3264427765536685E-3</v>
      </c>
      <c r="AB1647" s="87">
        <f t="shared" si="152"/>
        <v>5.7637047167501338E-3</v>
      </c>
      <c r="AC1647" s="87">
        <f t="shared" si="152"/>
        <v>3.07219903697028E-3</v>
      </c>
      <c r="AD1647" s="87">
        <f t="shared" si="152"/>
        <v>1.9704439872985169E-3</v>
      </c>
      <c r="AE1647" s="90">
        <f t="shared" si="155"/>
        <v>-2.9059886980297757E-4</v>
      </c>
    </row>
    <row r="1648" spans="1:31" ht="15.5" x14ac:dyDescent="0.35">
      <c r="A1648" s="82">
        <v>42158</v>
      </c>
      <c r="B1648" s="83">
        <v>11107.9</v>
      </c>
      <c r="C1648" s="84">
        <v>5099.2</v>
      </c>
      <c r="D1648" s="61">
        <v>552.20000000000005</v>
      </c>
      <c r="E1648" s="61">
        <v>43</v>
      </c>
      <c r="F1648" s="61">
        <v>129.9</v>
      </c>
      <c r="G1648" s="61">
        <v>46.8</v>
      </c>
      <c r="H1648" s="61">
        <v>17.100000000000001</v>
      </c>
      <c r="I1648" s="61">
        <v>32.1</v>
      </c>
      <c r="J1648" s="61">
        <v>31.3</v>
      </c>
      <c r="K1648" s="61">
        <v>8.6999999999999993</v>
      </c>
      <c r="L1648" s="61">
        <v>60.3</v>
      </c>
      <c r="M1648" s="61">
        <v>53</v>
      </c>
      <c r="N1648" s="61">
        <v>65.599999999999994</v>
      </c>
      <c r="O1648" s="85">
        <v>50.9</v>
      </c>
      <c r="P1648" s="105"/>
      <c r="Q1648" s="87">
        <f t="shared" si="154"/>
        <v>2.4336614261331836E-3</v>
      </c>
      <c r="R1648" s="87">
        <f t="shared" si="157"/>
        <v>4.4616169217944835E-3</v>
      </c>
      <c r="S1648" s="87">
        <f t="shared" si="157"/>
        <v>1.0193026002086505E-2</v>
      </c>
      <c r="T1648" s="87">
        <f t="shared" si="156"/>
        <v>2.3282897595911681E-3</v>
      </c>
      <c r="U1648" s="87">
        <f t="shared" si="156"/>
        <v>4.6296378987419756E-3</v>
      </c>
      <c r="V1648" s="87">
        <f t="shared" si="156"/>
        <v>4.2826617920007281E-3</v>
      </c>
      <c r="W1648" s="87">
        <f t="shared" si="156"/>
        <v>1.1764841579586431E-2</v>
      </c>
      <c r="X1648" s="87">
        <f t="shared" si="156"/>
        <v>3.1201273362436777E-3</v>
      </c>
      <c r="Y1648" s="87">
        <f t="shared" si="156"/>
        <v>9.6308930609613659E-3</v>
      </c>
      <c r="Z1648" s="87">
        <f t="shared" si="156"/>
        <v>2.3256862164267183E-2</v>
      </c>
      <c r="AA1648" s="87">
        <f t="shared" si="156"/>
        <v>8.3264427765538107E-3</v>
      </c>
      <c r="AB1648" s="87">
        <f t="shared" si="152"/>
        <v>1.5209418663528708E-2</v>
      </c>
      <c r="AC1648" s="87">
        <f t="shared" si="152"/>
        <v>6.1162270174360536E-3</v>
      </c>
      <c r="AD1648" s="87">
        <f t="shared" si="152"/>
        <v>1.9665689720408473E-3</v>
      </c>
      <c r="AE1648" s="90">
        <f t="shared" si="155"/>
        <v>5.8843440731436158E-3</v>
      </c>
    </row>
    <row r="1649" spans="1:31" ht="15.5" x14ac:dyDescent="0.35">
      <c r="A1649" s="82">
        <v>42159</v>
      </c>
      <c r="B1649" s="83">
        <v>11000.4</v>
      </c>
      <c r="C1649" s="84">
        <v>5059.1000000000004</v>
      </c>
      <c r="D1649" s="61">
        <v>549.1</v>
      </c>
      <c r="E1649" s="61">
        <v>42.8</v>
      </c>
      <c r="F1649" s="61">
        <v>128.9</v>
      </c>
      <c r="G1649" s="61">
        <v>46.2</v>
      </c>
      <c r="H1649" s="61">
        <v>16.5</v>
      </c>
      <c r="I1649" s="61">
        <v>31.3</v>
      </c>
      <c r="J1649" s="61">
        <v>30.6</v>
      </c>
      <c r="K1649" s="61">
        <v>8.6</v>
      </c>
      <c r="L1649" s="61">
        <v>59.3</v>
      </c>
      <c r="M1649" s="61">
        <v>53.4</v>
      </c>
      <c r="N1649" s="61">
        <v>66</v>
      </c>
      <c r="O1649" s="85">
        <v>50.8</v>
      </c>
      <c r="P1649" s="105"/>
      <c r="Q1649" s="87">
        <f t="shared" si="154"/>
        <v>-9.7249311097312111E-3</v>
      </c>
      <c r="R1649" s="87">
        <f t="shared" si="157"/>
        <v>-7.8950628141728867E-3</v>
      </c>
      <c r="S1649" s="87">
        <f t="shared" si="157"/>
        <v>-5.6297252112271143E-3</v>
      </c>
      <c r="T1649" s="87">
        <f t="shared" si="156"/>
        <v>-4.662013105811413E-3</v>
      </c>
      <c r="U1649" s="87">
        <f t="shared" si="156"/>
        <v>-7.7280137314121155E-3</v>
      </c>
      <c r="V1649" s="87">
        <f t="shared" si="156"/>
        <v>-1.2903404835907729E-2</v>
      </c>
      <c r="W1649" s="87">
        <f t="shared" si="156"/>
        <v>-3.5718082602079343E-2</v>
      </c>
      <c r="X1649" s="87">
        <f t="shared" si="156"/>
        <v>-2.5237932589862649E-2</v>
      </c>
      <c r="Y1649" s="87">
        <f t="shared" si="156"/>
        <v>-2.2618088587772402E-2</v>
      </c>
      <c r="Z1649" s="87">
        <f t="shared" si="156"/>
        <v>-1.1560822401075971E-2</v>
      </c>
      <c r="AA1649" s="87">
        <f t="shared" si="156"/>
        <v>-1.6722797729460025E-2</v>
      </c>
      <c r="AB1649" s="87">
        <f t="shared" si="152"/>
        <v>7.518832414027319E-3</v>
      </c>
      <c r="AC1649" s="87">
        <f t="shared" si="152"/>
        <v>6.0790460763821925E-3</v>
      </c>
      <c r="AD1649" s="87">
        <f t="shared" si="152"/>
        <v>-1.9665689720408269E-3</v>
      </c>
      <c r="AE1649" s="90">
        <f t="shared" si="155"/>
        <v>-6.4634889024671452E-3</v>
      </c>
    </row>
    <row r="1650" spans="1:31" ht="15.5" x14ac:dyDescent="0.35">
      <c r="A1650" s="82">
        <v>42160</v>
      </c>
      <c r="B1650" s="83">
        <v>10979.3</v>
      </c>
      <c r="C1650" s="84">
        <v>5068.5</v>
      </c>
      <c r="D1650" s="61">
        <v>547.4</v>
      </c>
      <c r="E1650" s="61">
        <v>42.7</v>
      </c>
      <c r="F1650" s="61">
        <v>128.4</v>
      </c>
      <c r="G1650" s="61">
        <v>45.8</v>
      </c>
      <c r="H1650" s="61">
        <v>16.3</v>
      </c>
      <c r="I1650" s="61">
        <v>31</v>
      </c>
      <c r="J1650" s="61">
        <v>30.4</v>
      </c>
      <c r="K1650" s="61">
        <v>8.4</v>
      </c>
      <c r="L1650" s="61">
        <v>58.8</v>
      </c>
      <c r="M1650" s="61">
        <v>54.3</v>
      </c>
      <c r="N1650" s="61">
        <v>65.5</v>
      </c>
      <c r="O1650" s="85">
        <v>50.6</v>
      </c>
      <c r="P1650" s="105"/>
      <c r="Q1650" s="87">
        <f t="shared" si="154"/>
        <v>-1.9199540013384814E-3</v>
      </c>
      <c r="R1650" s="87">
        <f t="shared" si="157"/>
        <v>1.8563139735552794E-3</v>
      </c>
      <c r="S1650" s="87">
        <f t="shared" si="157"/>
        <v>-3.1007776782482708E-3</v>
      </c>
      <c r="T1650" s="87">
        <f t="shared" si="156"/>
        <v>-2.3391823531721551E-3</v>
      </c>
      <c r="U1650" s="87">
        <f t="shared" si="156"/>
        <v>-3.886518689280936E-3</v>
      </c>
      <c r="V1650" s="87">
        <f t="shared" si="156"/>
        <v>-8.6957069675540448E-3</v>
      </c>
      <c r="W1650" s="87">
        <f t="shared" si="156"/>
        <v>-1.2195273093818243E-2</v>
      </c>
      <c r="X1650" s="87">
        <f t="shared" si="156"/>
        <v>-9.6308930609613E-3</v>
      </c>
      <c r="Y1650" s="87">
        <f t="shared" si="156"/>
        <v>-6.5574005461591636E-3</v>
      </c>
      <c r="Z1650" s="87">
        <f t="shared" si="156"/>
        <v>-2.3530497410194046E-2</v>
      </c>
      <c r="AA1650" s="87">
        <f t="shared" si="156"/>
        <v>-8.4674510990984941E-3</v>
      </c>
      <c r="AB1650" s="87">
        <f t="shared" si="152"/>
        <v>1.6713480973740532E-2</v>
      </c>
      <c r="AC1650" s="87">
        <f t="shared" si="152"/>
        <v>-7.6045993852193036E-3</v>
      </c>
      <c r="AD1650" s="87">
        <f t="shared" si="152"/>
        <v>-3.9447782910162288E-3</v>
      </c>
      <c r="AE1650" s="90">
        <f t="shared" si="155"/>
        <v>-1.9421576166467468E-3</v>
      </c>
    </row>
    <row r="1651" spans="1:31" ht="15.5" x14ac:dyDescent="0.35">
      <c r="A1651" s="82">
        <v>42163</v>
      </c>
      <c r="B1651" s="83">
        <v>10917.8</v>
      </c>
      <c r="C1651" s="84">
        <v>5021.6000000000004</v>
      </c>
      <c r="D1651" s="61">
        <v>543</v>
      </c>
      <c r="E1651" s="61">
        <v>42</v>
      </c>
      <c r="F1651" s="61">
        <v>126.8</v>
      </c>
      <c r="G1651" s="61">
        <v>45.7</v>
      </c>
      <c r="H1651" s="61">
        <v>16.5</v>
      </c>
      <c r="I1651" s="61">
        <v>31</v>
      </c>
      <c r="J1651" s="61">
        <v>30.2</v>
      </c>
      <c r="K1651" s="61">
        <v>8.5</v>
      </c>
      <c r="L1651" s="61">
        <v>58.8</v>
      </c>
      <c r="M1651" s="61">
        <v>54.2</v>
      </c>
      <c r="N1651" s="61">
        <v>66</v>
      </c>
      <c r="O1651" s="85">
        <v>50.7</v>
      </c>
      <c r="P1651" s="105"/>
      <c r="Q1651" s="87">
        <f t="shared" si="154"/>
        <v>-5.6171969538008418E-3</v>
      </c>
      <c r="R1651" s="87">
        <f t="shared" si="157"/>
        <v>-9.2963078191322691E-3</v>
      </c>
      <c r="S1651" s="87">
        <f t="shared" si="157"/>
        <v>-8.0704766726432588E-3</v>
      </c>
      <c r="T1651" s="87">
        <f t="shared" si="156"/>
        <v>-1.6529301951210582E-2</v>
      </c>
      <c r="U1651" s="87">
        <f t="shared" si="156"/>
        <v>-1.2539349252735364E-2</v>
      </c>
      <c r="V1651" s="87">
        <f t="shared" si="156"/>
        <v>-2.1857932199800967E-3</v>
      </c>
      <c r="W1651" s="87">
        <f t="shared" si="156"/>
        <v>1.2195273093818206E-2</v>
      </c>
      <c r="X1651" s="87">
        <f t="shared" si="156"/>
        <v>0</v>
      </c>
      <c r="Y1651" s="87">
        <f t="shared" si="156"/>
        <v>-6.6006840313520242E-3</v>
      </c>
      <c r="Z1651" s="87">
        <f t="shared" si="156"/>
        <v>1.1834457647002798E-2</v>
      </c>
      <c r="AA1651" s="87">
        <f t="shared" si="156"/>
        <v>0</v>
      </c>
      <c r="AB1651" s="87">
        <f t="shared" si="156"/>
        <v>-1.8433184942891127E-3</v>
      </c>
      <c r="AC1651" s="87">
        <f t="shared" si="156"/>
        <v>7.6045993852192125E-3</v>
      </c>
      <c r="AD1651" s="87">
        <f t="shared" si="156"/>
        <v>1.9743343037176078E-3</v>
      </c>
      <c r="AE1651" s="90">
        <f t="shared" si="155"/>
        <v>-8.4948131638899801E-3</v>
      </c>
    </row>
    <row r="1652" spans="1:31" ht="15.5" x14ac:dyDescent="0.35">
      <c r="A1652" s="82">
        <v>42164</v>
      </c>
      <c r="B1652" s="83">
        <v>10915.6</v>
      </c>
      <c r="C1652" s="84">
        <v>5013.8999999999996</v>
      </c>
      <c r="D1652" s="61">
        <v>538.9</v>
      </c>
      <c r="E1652" s="61">
        <v>41</v>
      </c>
      <c r="F1652" s="61">
        <v>125.6</v>
      </c>
      <c r="G1652" s="61">
        <v>45.5</v>
      </c>
      <c r="H1652" s="61">
        <v>16.399999999999999</v>
      </c>
      <c r="I1652" s="61">
        <v>30.9</v>
      </c>
      <c r="J1652" s="61">
        <v>30.2</v>
      </c>
      <c r="K1652" s="61">
        <v>8.4</v>
      </c>
      <c r="L1652" s="61">
        <v>58.7</v>
      </c>
      <c r="M1652" s="61">
        <v>54.2</v>
      </c>
      <c r="N1652" s="61">
        <v>66</v>
      </c>
      <c r="O1652" s="85">
        <v>50.4</v>
      </c>
      <c r="P1652" s="105"/>
      <c r="Q1652" s="87">
        <f t="shared" si="154"/>
        <v>-2.015261028923131E-4</v>
      </c>
      <c r="R1652" s="87">
        <f t="shared" si="157"/>
        <v>-1.5345526403328996E-3</v>
      </c>
      <c r="S1652" s="87">
        <f t="shared" si="157"/>
        <v>-7.5792949944844864E-3</v>
      </c>
      <c r="T1652" s="87">
        <f t="shared" si="156"/>
        <v>-2.409755157906053E-2</v>
      </c>
      <c r="U1652" s="87">
        <f t="shared" si="156"/>
        <v>-9.5087879690273006E-3</v>
      </c>
      <c r="V1652" s="87">
        <f t="shared" si="156"/>
        <v>-4.3859719432543286E-3</v>
      </c>
      <c r="W1652" s="87">
        <f t="shared" si="156"/>
        <v>-6.0790460763822263E-3</v>
      </c>
      <c r="X1652" s="87">
        <f t="shared" si="156"/>
        <v>-3.2310205814465318E-3</v>
      </c>
      <c r="Y1652" s="87">
        <f t="shared" si="156"/>
        <v>0</v>
      </c>
      <c r="Z1652" s="87">
        <f t="shared" si="156"/>
        <v>-1.1834457647002796E-2</v>
      </c>
      <c r="AA1652" s="87">
        <f t="shared" si="156"/>
        <v>-1.7021280705304183E-3</v>
      </c>
      <c r="AB1652" s="87">
        <f t="shared" si="156"/>
        <v>0</v>
      </c>
      <c r="AC1652" s="87">
        <f t="shared" si="156"/>
        <v>0</v>
      </c>
      <c r="AD1652" s="87">
        <f t="shared" si="156"/>
        <v>-5.9347355198145777E-3</v>
      </c>
      <c r="AE1652" s="90">
        <f t="shared" si="155"/>
        <v>-6.1192163514462621E-3</v>
      </c>
    </row>
    <row r="1653" spans="1:31" ht="15.5" x14ac:dyDescent="0.35">
      <c r="A1653" s="82">
        <v>42165</v>
      </c>
      <c r="B1653" s="83">
        <v>11058</v>
      </c>
      <c r="C1653" s="84">
        <v>5076.7</v>
      </c>
      <c r="D1653" s="61">
        <v>545.1</v>
      </c>
      <c r="E1653" s="61">
        <v>41.7</v>
      </c>
      <c r="F1653" s="61">
        <v>127.9</v>
      </c>
      <c r="G1653" s="61">
        <v>45.7</v>
      </c>
      <c r="H1653" s="61">
        <v>16.5</v>
      </c>
      <c r="I1653" s="61">
        <v>30.9</v>
      </c>
      <c r="J1653" s="61">
        <v>30.6</v>
      </c>
      <c r="K1653" s="61">
        <v>8.4</v>
      </c>
      <c r="L1653" s="61">
        <v>58.9</v>
      </c>
      <c r="M1653" s="61">
        <v>55.1</v>
      </c>
      <c r="N1653" s="61">
        <v>66.2</v>
      </c>
      <c r="O1653" s="85">
        <v>50.8</v>
      </c>
      <c r="P1653" s="105"/>
      <c r="Q1653" s="87">
        <f t="shared" si="154"/>
        <v>1.296118920017955E-2</v>
      </c>
      <c r="R1653" s="87">
        <f t="shared" si="157"/>
        <v>1.2447388824733847E-2</v>
      </c>
      <c r="S1653" s="87">
        <f t="shared" si="157"/>
        <v>1.1439239130784266E-2</v>
      </c>
      <c r="T1653" s="87">
        <f t="shared" si="156"/>
        <v>1.6929062100447975E-2</v>
      </c>
      <c r="U1653" s="87">
        <f t="shared" si="156"/>
        <v>1.8146454550698781E-2</v>
      </c>
      <c r="V1653" s="87">
        <f t="shared" si="156"/>
        <v>4.3859719432542679E-3</v>
      </c>
      <c r="W1653" s="87">
        <f t="shared" si="156"/>
        <v>6.0790460763821925E-3</v>
      </c>
      <c r="X1653" s="87">
        <f t="shared" si="156"/>
        <v>0</v>
      </c>
      <c r="Y1653" s="87">
        <f t="shared" si="156"/>
        <v>1.3158084577511201E-2</v>
      </c>
      <c r="Z1653" s="87">
        <f t="shared" si="156"/>
        <v>0</v>
      </c>
      <c r="AA1653" s="87">
        <f t="shared" si="156"/>
        <v>3.4013638234902605E-3</v>
      </c>
      <c r="AB1653" s="87">
        <f t="shared" si="156"/>
        <v>1.6468807713268165E-2</v>
      </c>
      <c r="AC1653" s="87">
        <f t="shared" si="156"/>
        <v>3.0257209165371114E-3</v>
      </c>
      <c r="AD1653" s="87">
        <f t="shared" si="156"/>
        <v>7.9051795071132473E-3</v>
      </c>
      <c r="AE1653" s="90">
        <f t="shared" si="155"/>
        <v>1.3229725693906574E-2</v>
      </c>
    </row>
    <row r="1654" spans="1:31" ht="15.5" x14ac:dyDescent="0.35">
      <c r="A1654" s="82">
        <v>42166</v>
      </c>
      <c r="B1654" s="83">
        <v>11080.5</v>
      </c>
      <c r="C1654" s="84">
        <v>5082.5</v>
      </c>
      <c r="D1654" s="61">
        <v>549.20000000000005</v>
      </c>
      <c r="E1654" s="61">
        <v>40.6</v>
      </c>
      <c r="F1654" s="61">
        <v>128.5</v>
      </c>
      <c r="G1654" s="61">
        <v>46.1</v>
      </c>
      <c r="H1654" s="61">
        <v>16.600000000000001</v>
      </c>
      <c r="I1654" s="61">
        <v>31.3</v>
      </c>
      <c r="J1654" s="61">
        <v>30.4</v>
      </c>
      <c r="K1654" s="61">
        <v>8.3000000000000007</v>
      </c>
      <c r="L1654" s="61">
        <v>58.8</v>
      </c>
      <c r="M1654" s="61">
        <v>56</v>
      </c>
      <c r="N1654" s="61">
        <v>66.400000000000006</v>
      </c>
      <c r="O1654" s="85">
        <v>51.7</v>
      </c>
      <c r="P1654" s="105"/>
      <c r="Q1654" s="87">
        <f t="shared" si="154"/>
        <v>2.0326587390239004E-3</v>
      </c>
      <c r="R1654" s="87">
        <f t="shared" si="157"/>
        <v>1.1418223147788113E-3</v>
      </c>
      <c r="S1654" s="87">
        <f t="shared" si="157"/>
        <v>7.4934098235809113E-3</v>
      </c>
      <c r="T1654" s="87">
        <f t="shared" si="156"/>
        <v>-2.6733062197068867E-2</v>
      </c>
      <c r="U1654" s="87">
        <f t="shared" si="156"/>
        <v>4.6801957504774986E-3</v>
      </c>
      <c r="V1654" s="87">
        <f t="shared" si="156"/>
        <v>8.7146521024436888E-3</v>
      </c>
      <c r="W1654" s="87">
        <f t="shared" si="156"/>
        <v>6.0423144559626617E-3</v>
      </c>
      <c r="X1654" s="87">
        <f t="shared" si="156"/>
        <v>1.2861913642407822E-2</v>
      </c>
      <c r="Y1654" s="87">
        <f t="shared" si="156"/>
        <v>-6.5574005461591636E-3</v>
      </c>
      <c r="Z1654" s="87">
        <f t="shared" si="156"/>
        <v>-1.1976191046715649E-2</v>
      </c>
      <c r="AA1654" s="87">
        <f t="shared" si="156"/>
        <v>-1.6992357529598016E-3</v>
      </c>
      <c r="AB1654" s="87">
        <f t="shared" si="156"/>
        <v>1.6201974576280406E-2</v>
      </c>
      <c r="AC1654" s="87">
        <f t="shared" si="156"/>
        <v>3.0165935394257273E-3</v>
      </c>
      <c r="AD1654" s="87">
        <f t="shared" si="156"/>
        <v>1.7561426929947426E-2</v>
      </c>
      <c r="AE1654" s="90">
        <f t="shared" si="155"/>
        <v>6.0088734176784453E-3</v>
      </c>
    </row>
    <row r="1655" spans="1:31" ht="15.5" x14ac:dyDescent="0.35">
      <c r="A1655" s="82">
        <v>42167</v>
      </c>
      <c r="B1655" s="83">
        <v>11009.9</v>
      </c>
      <c r="C1655" s="84">
        <v>5051.1000000000004</v>
      </c>
      <c r="D1655" s="61">
        <v>545.6</v>
      </c>
      <c r="E1655" s="61">
        <v>40.5</v>
      </c>
      <c r="F1655" s="61">
        <v>127.1</v>
      </c>
      <c r="G1655" s="61">
        <v>45.9</v>
      </c>
      <c r="H1655" s="61">
        <v>16.7</v>
      </c>
      <c r="I1655" s="61">
        <v>31.2</v>
      </c>
      <c r="J1655" s="61">
        <v>30.1</v>
      </c>
      <c r="K1655" s="61">
        <v>8.1999999999999993</v>
      </c>
      <c r="L1655" s="61">
        <v>57.8</v>
      </c>
      <c r="M1655" s="61">
        <v>55.5</v>
      </c>
      <c r="N1655" s="61">
        <v>66.3</v>
      </c>
      <c r="O1655" s="85">
        <v>51.6</v>
      </c>
      <c r="P1655" s="105"/>
      <c r="Q1655" s="87">
        <f t="shared" si="154"/>
        <v>-6.3919386135584374E-3</v>
      </c>
      <c r="R1655" s="87">
        <f t="shared" si="157"/>
        <v>-6.1972251706378916E-3</v>
      </c>
      <c r="S1655" s="87">
        <f t="shared" si="157"/>
        <v>-6.5765673645637136E-3</v>
      </c>
      <c r="T1655" s="87">
        <f t="shared" si="156"/>
        <v>-2.4660924951935542E-3</v>
      </c>
      <c r="U1655" s="87">
        <f t="shared" si="156"/>
        <v>-1.0954726139866196E-2</v>
      </c>
      <c r="V1655" s="87">
        <f t="shared" si="156"/>
        <v>-4.3478329361033982E-3</v>
      </c>
      <c r="W1655" s="87">
        <f t="shared" si="156"/>
        <v>6.0060240602117284E-3</v>
      </c>
      <c r="X1655" s="87">
        <f t="shared" si="156"/>
        <v>-3.2000027306709027E-3</v>
      </c>
      <c r="Y1655" s="87">
        <f t="shared" si="156"/>
        <v>-9.9174366573459155E-3</v>
      </c>
      <c r="Z1655" s="87">
        <f t="shared" si="156"/>
        <v>-1.2121360532344963E-2</v>
      </c>
      <c r="AA1655" s="87">
        <f t="shared" si="156"/>
        <v>-1.7153079226249469E-2</v>
      </c>
      <c r="AB1655" s="87">
        <f t="shared" si="156"/>
        <v>-8.9686699827603751E-3</v>
      </c>
      <c r="AC1655" s="87">
        <f t="shared" si="156"/>
        <v>-1.5071592905714739E-3</v>
      </c>
      <c r="AD1655" s="87">
        <f t="shared" si="156"/>
        <v>-1.9361090268664404E-3</v>
      </c>
      <c r="AE1655" s="90">
        <f t="shared" si="155"/>
        <v>-7.1507065378912382E-3</v>
      </c>
    </row>
    <row r="1656" spans="1:31" ht="15.5" x14ac:dyDescent="0.35">
      <c r="A1656" s="82">
        <v>42170</v>
      </c>
      <c r="B1656" s="83">
        <v>10949.5</v>
      </c>
      <c r="C1656" s="84">
        <v>5030</v>
      </c>
      <c r="D1656" s="61">
        <v>539.20000000000005</v>
      </c>
      <c r="E1656" s="61">
        <v>40.200000000000003</v>
      </c>
      <c r="F1656" s="61">
        <v>125.7</v>
      </c>
      <c r="G1656" s="61">
        <v>45</v>
      </c>
      <c r="H1656" s="61">
        <v>16</v>
      </c>
      <c r="I1656" s="61">
        <v>30.6</v>
      </c>
      <c r="J1656" s="61">
        <v>30.1</v>
      </c>
      <c r="K1656" s="61">
        <v>8.1</v>
      </c>
      <c r="L1656" s="61">
        <v>57</v>
      </c>
      <c r="M1656" s="61">
        <v>55.1</v>
      </c>
      <c r="N1656" s="61">
        <v>65.400000000000006</v>
      </c>
      <c r="O1656" s="85">
        <v>51.4</v>
      </c>
      <c r="P1656" s="105"/>
      <c r="Q1656" s="87">
        <f t="shared" si="154"/>
        <v>-5.5010749216988491E-3</v>
      </c>
      <c r="R1656" s="87">
        <f t="shared" si="157"/>
        <v>-4.186057238078863E-3</v>
      </c>
      <c r="S1656" s="87">
        <f t="shared" si="157"/>
        <v>-1.1799546931155055E-2</v>
      </c>
      <c r="T1656" s="87">
        <f t="shared" si="156"/>
        <v>-7.4349784875179783E-3</v>
      </c>
      <c r="U1656" s="87">
        <f t="shared" si="156"/>
        <v>-1.10760625992066E-2</v>
      </c>
      <c r="V1656" s="87">
        <f t="shared" si="156"/>
        <v>-1.9802627296179643E-2</v>
      </c>
      <c r="W1656" s="87">
        <f t="shared" si="156"/>
        <v>-4.2819997182928185E-2</v>
      </c>
      <c r="X1656" s="87">
        <f t="shared" si="156"/>
        <v>-1.9418085857101513E-2</v>
      </c>
      <c r="Y1656" s="87">
        <f t="shared" si="156"/>
        <v>0</v>
      </c>
      <c r="Z1656" s="87">
        <f t="shared" si="156"/>
        <v>-1.2270092591814359E-2</v>
      </c>
      <c r="AA1656" s="87">
        <f t="shared" si="156"/>
        <v>-1.3937507843781624E-2</v>
      </c>
      <c r="AB1656" s="87">
        <f t="shared" si="156"/>
        <v>-7.2333045935199488E-3</v>
      </c>
      <c r="AC1656" s="87">
        <f t="shared" si="156"/>
        <v>-1.3667638728663644E-2</v>
      </c>
      <c r="AD1656" s="87">
        <f t="shared" si="156"/>
        <v>-3.883500026397633E-3</v>
      </c>
      <c r="AE1656" s="90">
        <f t="shared" si="155"/>
        <v>-8.3483608397977912E-3</v>
      </c>
    </row>
    <row r="1657" spans="1:31" ht="15.5" x14ac:dyDescent="0.35">
      <c r="A1657" s="82">
        <v>42171</v>
      </c>
      <c r="B1657" s="83">
        <v>10997.7</v>
      </c>
      <c r="C1657" s="84">
        <v>5055.5</v>
      </c>
      <c r="D1657" s="61">
        <v>541.6</v>
      </c>
      <c r="E1657" s="61">
        <v>40</v>
      </c>
      <c r="F1657" s="61">
        <v>126.4</v>
      </c>
      <c r="G1657" s="61">
        <v>45.3</v>
      </c>
      <c r="H1657" s="61">
        <v>16</v>
      </c>
      <c r="I1657" s="61">
        <v>30.7</v>
      </c>
      <c r="J1657" s="61">
        <v>30.4</v>
      </c>
      <c r="K1657" s="61">
        <v>8.1</v>
      </c>
      <c r="L1657" s="61">
        <v>56.9</v>
      </c>
      <c r="M1657" s="61">
        <v>55.3</v>
      </c>
      <c r="N1657" s="61">
        <v>64.400000000000006</v>
      </c>
      <c r="O1657" s="85">
        <v>51.7</v>
      </c>
      <c r="P1657" s="105"/>
      <c r="Q1657" s="87">
        <f t="shared" si="154"/>
        <v>4.3923669072202182E-3</v>
      </c>
      <c r="R1657" s="87">
        <f t="shared" si="157"/>
        <v>5.0567754376689457E-3</v>
      </c>
      <c r="S1657" s="87">
        <f t="shared" si="157"/>
        <v>4.4411619999678359E-3</v>
      </c>
      <c r="T1657" s="87">
        <f t="shared" si="156"/>
        <v>-4.9875415110391622E-3</v>
      </c>
      <c r="U1657" s="87">
        <f t="shared" si="156"/>
        <v>5.5533661165553137E-3</v>
      </c>
      <c r="V1657" s="87">
        <f t="shared" si="156"/>
        <v>6.6445427186685108E-3</v>
      </c>
      <c r="W1657" s="87">
        <f t="shared" si="156"/>
        <v>0</v>
      </c>
      <c r="X1657" s="87">
        <f t="shared" si="156"/>
        <v>3.2626456348163694E-3</v>
      </c>
      <c r="Y1657" s="87">
        <f t="shared" si="156"/>
        <v>9.9174366573459242E-3</v>
      </c>
      <c r="Z1657" s="87">
        <f t="shared" si="156"/>
        <v>0</v>
      </c>
      <c r="AA1657" s="87">
        <f t="shared" si="156"/>
        <v>-1.7559267022649199E-3</v>
      </c>
      <c r="AB1657" s="87">
        <f t="shared" si="156"/>
        <v>3.623192369420331E-3</v>
      </c>
      <c r="AC1657" s="87">
        <f t="shared" si="156"/>
        <v>-1.5408625352845068E-2</v>
      </c>
      <c r="AD1657" s="87">
        <f t="shared" si="156"/>
        <v>5.8196090532640025E-3</v>
      </c>
      <c r="AE1657" s="90">
        <f t="shared" si="155"/>
        <v>5.1112614776057681E-3</v>
      </c>
    </row>
    <row r="1658" spans="1:31" ht="15.5" x14ac:dyDescent="0.35">
      <c r="A1658" s="82">
        <v>42172</v>
      </c>
      <c r="B1658" s="83">
        <v>11013.7</v>
      </c>
      <c r="C1658" s="84">
        <v>5064.8999999999996</v>
      </c>
      <c r="D1658" s="61">
        <v>541.79999999999995</v>
      </c>
      <c r="E1658" s="61">
        <v>40.799999999999997</v>
      </c>
      <c r="F1658" s="61">
        <v>126.7</v>
      </c>
      <c r="G1658" s="61">
        <v>45.4</v>
      </c>
      <c r="H1658" s="61">
        <v>16.2</v>
      </c>
      <c r="I1658" s="61">
        <v>30.8</v>
      </c>
      <c r="J1658" s="61">
        <v>30.5</v>
      </c>
      <c r="K1658" s="61">
        <v>8.1</v>
      </c>
      <c r="L1658" s="61">
        <v>57.5</v>
      </c>
      <c r="M1658" s="61">
        <v>55.9</v>
      </c>
      <c r="N1658" s="61">
        <v>65.099999999999994</v>
      </c>
      <c r="O1658" s="85">
        <v>52</v>
      </c>
      <c r="P1658" s="105"/>
      <c r="Q1658" s="87">
        <f t="shared" si="154"/>
        <v>1.453792381949024E-3</v>
      </c>
      <c r="R1658" s="87">
        <f t="shared" si="157"/>
        <v>1.8576346198037404E-3</v>
      </c>
      <c r="S1658" s="87">
        <f t="shared" si="157"/>
        <v>3.6920805292935864E-4</v>
      </c>
      <c r="T1658" s="87">
        <f t="shared" si="156"/>
        <v>1.980262729617973E-2</v>
      </c>
      <c r="U1658" s="87">
        <f t="shared" si="156"/>
        <v>2.3706056143362221E-3</v>
      </c>
      <c r="V1658" s="87">
        <f t="shared" si="156"/>
        <v>2.2050725583139755E-3</v>
      </c>
      <c r="W1658" s="87">
        <f t="shared" si="156"/>
        <v>1.242251999855711E-2</v>
      </c>
      <c r="X1658" s="87">
        <f t="shared" si="156"/>
        <v>3.2520353863773159E-3</v>
      </c>
      <c r="Y1658" s="87">
        <f t="shared" si="156"/>
        <v>3.2840752011900187E-3</v>
      </c>
      <c r="Z1658" s="87">
        <f t="shared" si="156"/>
        <v>0</v>
      </c>
      <c r="AA1658" s="87">
        <f t="shared" si="156"/>
        <v>1.0489606671019443E-2</v>
      </c>
      <c r="AB1658" s="87">
        <f t="shared" si="156"/>
        <v>1.0791471632764386E-2</v>
      </c>
      <c r="AC1658" s="87">
        <f t="shared" si="156"/>
        <v>1.0810916104215456E-2</v>
      </c>
      <c r="AD1658" s="87">
        <f t="shared" si="156"/>
        <v>5.7859370670439265E-3</v>
      </c>
      <c r="AE1658" s="90">
        <f t="shared" si="155"/>
        <v>2.0460330714358755E-3</v>
      </c>
    </row>
    <row r="1659" spans="1:31" ht="15.5" x14ac:dyDescent="0.35">
      <c r="A1659" s="82">
        <v>42173</v>
      </c>
      <c r="B1659" s="83">
        <v>11100.5</v>
      </c>
      <c r="C1659" s="84">
        <v>5133</v>
      </c>
      <c r="D1659" s="61">
        <v>548</v>
      </c>
      <c r="E1659" s="61">
        <v>40.799999999999997</v>
      </c>
      <c r="F1659" s="61">
        <v>127.2</v>
      </c>
      <c r="G1659" s="61">
        <v>46.2</v>
      </c>
      <c r="H1659" s="61">
        <v>16.100000000000001</v>
      </c>
      <c r="I1659" s="61">
        <v>30.9</v>
      </c>
      <c r="J1659" s="61">
        <v>30.7</v>
      </c>
      <c r="K1659" s="61">
        <v>8.1999999999999993</v>
      </c>
      <c r="L1659" s="61">
        <v>57.9</v>
      </c>
      <c r="M1659" s="61">
        <v>56</v>
      </c>
      <c r="N1659" s="61">
        <v>65.3</v>
      </c>
      <c r="O1659" s="85">
        <v>52.5</v>
      </c>
      <c r="P1659" s="105"/>
      <c r="Q1659" s="87">
        <f t="shared" si="154"/>
        <v>7.8501999401589199E-3</v>
      </c>
      <c r="R1659" s="87">
        <f t="shared" si="157"/>
        <v>1.3355889409045571E-2</v>
      </c>
      <c r="S1659" s="87">
        <f t="shared" si="157"/>
        <v>1.137835729702086E-2</v>
      </c>
      <c r="T1659" s="87">
        <f t="shared" si="156"/>
        <v>0</v>
      </c>
      <c r="U1659" s="87">
        <f t="shared" si="156"/>
        <v>3.938563578928439E-3</v>
      </c>
      <c r="V1659" s="87">
        <f t="shared" si="156"/>
        <v>1.7467693040390999E-2</v>
      </c>
      <c r="W1659" s="87">
        <f t="shared" si="156"/>
        <v>-6.1919702479209951E-3</v>
      </c>
      <c r="X1659" s="87">
        <f t="shared" si="156"/>
        <v>3.2414939241710229E-3</v>
      </c>
      <c r="Y1659" s="87">
        <f t="shared" si="156"/>
        <v>6.5359709797854493E-3</v>
      </c>
      <c r="Z1659" s="87">
        <f t="shared" si="156"/>
        <v>1.2270092591814401E-2</v>
      </c>
      <c r="AA1659" s="87">
        <f t="shared" si="156"/>
        <v>6.9324367756446754E-3</v>
      </c>
      <c r="AB1659" s="87">
        <f t="shared" si="156"/>
        <v>1.7873105740958803E-3</v>
      </c>
      <c r="AC1659" s="87">
        <f t="shared" si="156"/>
        <v>3.0674870678618796E-3</v>
      </c>
      <c r="AD1659" s="87">
        <f t="shared" si="156"/>
        <v>9.5694510161506725E-3</v>
      </c>
      <c r="AE1659" s="90">
        <f t="shared" si="155"/>
        <v>9.6239235883899595E-3</v>
      </c>
    </row>
    <row r="1660" spans="1:31" ht="15.5" x14ac:dyDescent="0.35">
      <c r="A1660" s="82">
        <v>42174</v>
      </c>
      <c r="B1660" s="83">
        <v>11039</v>
      </c>
      <c r="C1660" s="84">
        <v>5117</v>
      </c>
      <c r="D1660" s="61">
        <v>552.29999999999995</v>
      </c>
      <c r="E1660" s="61">
        <v>40.4</v>
      </c>
      <c r="F1660" s="61">
        <v>126.4</v>
      </c>
      <c r="G1660" s="61">
        <v>46</v>
      </c>
      <c r="H1660" s="61">
        <v>16.2</v>
      </c>
      <c r="I1660" s="61">
        <v>30.9</v>
      </c>
      <c r="J1660" s="61">
        <v>30.3</v>
      </c>
      <c r="K1660" s="61">
        <v>8.3000000000000007</v>
      </c>
      <c r="L1660" s="61">
        <v>58</v>
      </c>
      <c r="M1660" s="61">
        <v>56.1</v>
      </c>
      <c r="N1660" s="61">
        <v>66.7</v>
      </c>
      <c r="O1660" s="85">
        <v>53</v>
      </c>
      <c r="P1660" s="105"/>
      <c r="Q1660" s="87">
        <f t="shared" si="154"/>
        <v>-5.5556953126212928E-3</v>
      </c>
      <c r="R1660" s="87">
        <f t="shared" si="157"/>
        <v>-3.1219537552113585E-3</v>
      </c>
      <c r="S1660" s="87">
        <f t="shared" si="157"/>
        <v>7.8160899591263235E-3</v>
      </c>
      <c r="T1660" s="87">
        <f t="shared" si="156"/>
        <v>-9.8522964430115944E-3</v>
      </c>
      <c r="U1660" s="87">
        <f t="shared" si="156"/>
        <v>-6.309169193264721E-3</v>
      </c>
      <c r="V1660" s="87">
        <f t="shared" si="156"/>
        <v>-4.3384015985982417E-3</v>
      </c>
      <c r="W1660" s="87">
        <f t="shared" si="156"/>
        <v>6.1919702479209804E-3</v>
      </c>
      <c r="X1660" s="87">
        <f t="shared" si="156"/>
        <v>0</v>
      </c>
      <c r="Y1660" s="87">
        <f t="shared" si="156"/>
        <v>-1.3114942077828018E-2</v>
      </c>
      <c r="Z1660" s="87">
        <f t="shared" si="156"/>
        <v>1.2121360532345041E-2</v>
      </c>
      <c r="AA1660" s="87">
        <f t="shared" si="156"/>
        <v>1.7256259674698574E-3</v>
      </c>
      <c r="AB1660" s="87">
        <f t="shared" si="156"/>
        <v>1.784121793501392E-3</v>
      </c>
      <c r="AC1660" s="87">
        <f t="shared" si="156"/>
        <v>2.1212916639192763E-2</v>
      </c>
      <c r="AD1660" s="87">
        <f t="shared" si="156"/>
        <v>9.4787439545437387E-3</v>
      </c>
      <c r="AE1660" s="90">
        <f t="shared" si="155"/>
        <v>7.005590245817673E-4</v>
      </c>
    </row>
    <row r="1661" spans="1:31" ht="15.5" x14ac:dyDescent="0.35">
      <c r="A1661" s="82">
        <v>42177</v>
      </c>
      <c r="B1661" s="83">
        <v>11129.6</v>
      </c>
      <c r="C1661" s="84">
        <v>5154</v>
      </c>
      <c r="D1661" s="61">
        <v>558.9</v>
      </c>
      <c r="E1661" s="61">
        <v>40.5</v>
      </c>
      <c r="F1661" s="61">
        <v>127.1</v>
      </c>
      <c r="G1661" s="61">
        <v>46.2</v>
      </c>
      <c r="H1661" s="61">
        <v>16.7</v>
      </c>
      <c r="I1661" s="61">
        <v>31.1</v>
      </c>
      <c r="J1661" s="61">
        <v>30.2</v>
      </c>
      <c r="K1661" s="61">
        <v>8.4</v>
      </c>
      <c r="L1661" s="61">
        <v>58.4</v>
      </c>
      <c r="M1661" s="61">
        <v>56.6</v>
      </c>
      <c r="N1661" s="61">
        <v>67</v>
      </c>
      <c r="O1661" s="85">
        <v>53.3</v>
      </c>
      <c r="P1661" s="105"/>
      <c r="Q1661" s="87">
        <f t="shared" si="154"/>
        <v>8.17376870155756E-3</v>
      </c>
      <c r="R1661" s="87">
        <f t="shared" si="157"/>
        <v>7.2047824072186554E-3</v>
      </c>
      <c r="S1661" s="87">
        <f t="shared" si="157"/>
        <v>1.1879189368510576E-2</v>
      </c>
      <c r="T1661" s="87">
        <f t="shared" si="156"/>
        <v>2.4721891453890728E-3</v>
      </c>
      <c r="U1661" s="87">
        <f t="shared" si="156"/>
        <v>5.5226964826512372E-3</v>
      </c>
      <c r="V1661" s="87">
        <f t="shared" ref="V1661:AD1689" si="158">+LN(G1661/G1660)</f>
        <v>4.3384015985981411E-3</v>
      </c>
      <c r="W1661" s="87">
        <f t="shared" si="158"/>
        <v>3.0397477184370948E-2</v>
      </c>
      <c r="X1661" s="87">
        <f t="shared" si="158"/>
        <v>6.4516352814888165E-3</v>
      </c>
      <c r="Y1661" s="87">
        <f t="shared" si="158"/>
        <v>-3.3057881344995439E-3</v>
      </c>
      <c r="Z1661" s="87">
        <f t="shared" si="158"/>
        <v>1.197619104671562E-2</v>
      </c>
      <c r="AA1661" s="87">
        <f t="shared" si="158"/>
        <v>6.8728792877620504E-3</v>
      </c>
      <c r="AB1661" s="87">
        <f t="shared" si="158"/>
        <v>8.8731726804867263E-3</v>
      </c>
      <c r="AC1661" s="87">
        <f t="shared" si="158"/>
        <v>4.4876664693879768E-3</v>
      </c>
      <c r="AD1661" s="87">
        <f t="shared" si="158"/>
        <v>5.6444176196769101E-3</v>
      </c>
      <c r="AE1661" s="90">
        <f t="shared" si="155"/>
        <v>7.9026485694868361E-3</v>
      </c>
    </row>
    <row r="1662" spans="1:31" ht="15.5" x14ac:dyDescent="0.35">
      <c r="A1662" s="82">
        <v>42178</v>
      </c>
      <c r="B1662" s="83">
        <v>11149.4</v>
      </c>
      <c r="C1662" s="84">
        <v>5160.1000000000004</v>
      </c>
      <c r="D1662" s="61">
        <v>557.20000000000005</v>
      </c>
      <c r="E1662" s="61">
        <v>40.5</v>
      </c>
      <c r="F1662" s="61">
        <v>126.9</v>
      </c>
      <c r="G1662" s="61">
        <v>45.6</v>
      </c>
      <c r="H1662" s="61">
        <v>16.600000000000001</v>
      </c>
      <c r="I1662" s="61">
        <v>31.1</v>
      </c>
      <c r="J1662" s="61">
        <v>30.6</v>
      </c>
      <c r="K1662" s="61">
        <v>8.4</v>
      </c>
      <c r="L1662" s="61">
        <v>58.5</v>
      </c>
      <c r="M1662" s="61">
        <v>57.6</v>
      </c>
      <c r="N1662" s="61">
        <v>67.099999999999994</v>
      </c>
      <c r="O1662" s="85">
        <v>53.4</v>
      </c>
      <c r="P1662" s="105"/>
      <c r="Q1662" s="87">
        <f t="shared" si="154"/>
        <v>1.7774590612634339E-3</v>
      </c>
      <c r="R1662" s="87">
        <f t="shared" si="157"/>
        <v>1.1828469204725612E-3</v>
      </c>
      <c r="S1662" s="87">
        <f t="shared" si="157"/>
        <v>-3.0463243700016933E-3</v>
      </c>
      <c r="T1662" s="87">
        <f t="shared" si="157"/>
        <v>0</v>
      </c>
      <c r="U1662" s="87">
        <f t="shared" si="157"/>
        <v>-1.5748034750662897E-3</v>
      </c>
      <c r="V1662" s="87">
        <f t="shared" si="158"/>
        <v>-1.3072081567352775E-2</v>
      </c>
      <c r="W1662" s="87">
        <f t="shared" si="158"/>
        <v>-6.006024060211698E-3</v>
      </c>
      <c r="X1662" s="87">
        <f t="shared" si="158"/>
        <v>0</v>
      </c>
      <c r="Y1662" s="87">
        <f t="shared" si="158"/>
        <v>1.3158084577511201E-2</v>
      </c>
      <c r="Z1662" s="87">
        <f t="shared" si="158"/>
        <v>0</v>
      </c>
      <c r="AA1662" s="87">
        <f t="shared" si="158"/>
        <v>1.7108644036293876E-3</v>
      </c>
      <c r="AB1662" s="87">
        <f t="shared" si="158"/>
        <v>1.7513582492708211E-2</v>
      </c>
      <c r="AC1662" s="87">
        <f t="shared" si="158"/>
        <v>1.4914245866698983E-3</v>
      </c>
      <c r="AD1662" s="87">
        <f t="shared" si="158"/>
        <v>1.874414794350352E-3</v>
      </c>
      <c r="AE1662" s="90">
        <f t="shared" si="155"/>
        <v>-7.5976428746851515E-4</v>
      </c>
    </row>
    <row r="1663" spans="1:31" ht="15.5" x14ac:dyDescent="0.35">
      <c r="A1663" s="82">
        <v>42179</v>
      </c>
      <c r="B1663" s="83">
        <v>11066.1</v>
      </c>
      <c r="C1663" s="84">
        <v>5122.3999999999996</v>
      </c>
      <c r="D1663" s="61">
        <v>556.79999999999995</v>
      </c>
      <c r="E1663" s="61">
        <v>40.6</v>
      </c>
      <c r="F1663" s="61">
        <v>127.1</v>
      </c>
      <c r="G1663" s="61">
        <v>45.6</v>
      </c>
      <c r="H1663" s="61">
        <v>16.3</v>
      </c>
      <c r="I1663" s="61">
        <v>31.1</v>
      </c>
      <c r="J1663" s="61">
        <v>30.4</v>
      </c>
      <c r="K1663" s="61">
        <v>8.6999999999999993</v>
      </c>
      <c r="L1663" s="61">
        <v>58.2</v>
      </c>
      <c r="M1663" s="61">
        <v>57.2</v>
      </c>
      <c r="N1663" s="61">
        <v>67.2</v>
      </c>
      <c r="O1663" s="85">
        <v>53</v>
      </c>
      <c r="P1663" s="105"/>
      <c r="Q1663" s="87">
        <f t="shared" si="154"/>
        <v>-7.4993036749911018E-3</v>
      </c>
      <c r="R1663" s="87">
        <f t="shared" si="157"/>
        <v>-7.3328799281905492E-3</v>
      </c>
      <c r="S1663" s="87">
        <f t="shared" si="157"/>
        <v>-7.1813288544089022E-4</v>
      </c>
      <c r="T1663" s="87">
        <f t="shared" si="157"/>
        <v>2.4660924951934683E-3</v>
      </c>
      <c r="U1663" s="87">
        <f t="shared" si="157"/>
        <v>1.574803475066391E-3</v>
      </c>
      <c r="V1663" s="87">
        <f t="shared" si="158"/>
        <v>0</v>
      </c>
      <c r="W1663" s="87">
        <f t="shared" si="158"/>
        <v>-1.8237587549780901E-2</v>
      </c>
      <c r="X1663" s="87">
        <f t="shared" si="158"/>
        <v>0</v>
      </c>
      <c r="Y1663" s="87">
        <f t="shared" si="158"/>
        <v>-6.5574005461591636E-3</v>
      </c>
      <c r="Z1663" s="87">
        <f t="shared" si="158"/>
        <v>3.5091319811269978E-2</v>
      </c>
      <c r="AA1663" s="87">
        <f t="shared" si="158"/>
        <v>-5.1413995004186523E-3</v>
      </c>
      <c r="AB1663" s="87">
        <f t="shared" si="158"/>
        <v>-6.9686693160933158E-3</v>
      </c>
      <c r="AC1663" s="87">
        <f t="shared" si="158"/>
        <v>1.4892035514678331E-3</v>
      </c>
      <c r="AD1663" s="87">
        <f t="shared" si="158"/>
        <v>-7.5188324140273398E-3</v>
      </c>
      <c r="AE1663" s="90">
        <f t="shared" si="155"/>
        <v>-2.8718667583776314E-3</v>
      </c>
    </row>
    <row r="1664" spans="1:31" ht="15.5" x14ac:dyDescent="0.35">
      <c r="A1664" s="82">
        <v>42180</v>
      </c>
      <c r="B1664" s="83">
        <v>11035.7</v>
      </c>
      <c r="C1664" s="84">
        <v>5112.2</v>
      </c>
      <c r="D1664" s="61">
        <v>557.5</v>
      </c>
      <c r="E1664" s="61">
        <v>40.9</v>
      </c>
      <c r="F1664" s="61">
        <v>127.5</v>
      </c>
      <c r="G1664" s="61">
        <v>45.5</v>
      </c>
      <c r="H1664" s="61">
        <v>16.2</v>
      </c>
      <c r="I1664" s="61">
        <v>31.2</v>
      </c>
      <c r="J1664" s="61">
        <v>30.5</v>
      </c>
      <c r="K1664" s="61">
        <v>8.8000000000000007</v>
      </c>
      <c r="L1664" s="61">
        <v>57.7</v>
      </c>
      <c r="M1664" s="61">
        <v>56.8</v>
      </c>
      <c r="N1664" s="61">
        <v>66.400000000000006</v>
      </c>
      <c r="O1664" s="85">
        <v>52.3</v>
      </c>
      <c r="P1664" s="105"/>
      <c r="Q1664" s="87">
        <f t="shared" si="154"/>
        <v>-2.7509089007227159E-3</v>
      </c>
      <c r="R1664" s="87">
        <f t="shared" si="157"/>
        <v>-1.9932392818579918E-3</v>
      </c>
      <c r="S1664" s="87">
        <f t="shared" si="157"/>
        <v>1.2563943140639225E-3</v>
      </c>
      <c r="T1664" s="87">
        <f t="shared" si="157"/>
        <v>7.3619964410690398E-3</v>
      </c>
      <c r="U1664" s="87">
        <f t="shared" si="157"/>
        <v>3.1421864030724955E-3</v>
      </c>
      <c r="V1664" s="87">
        <f t="shared" si="158"/>
        <v>-2.1953905634357262E-3</v>
      </c>
      <c r="W1664" s="87">
        <f t="shared" si="158"/>
        <v>-6.1538655743783354E-3</v>
      </c>
      <c r="X1664" s="87">
        <f t="shared" si="158"/>
        <v>3.2102756302481894E-3</v>
      </c>
      <c r="Y1664" s="87">
        <f t="shared" si="158"/>
        <v>3.2840752011900187E-3</v>
      </c>
      <c r="Z1664" s="87">
        <f t="shared" si="158"/>
        <v>1.142869582362285E-2</v>
      </c>
      <c r="AA1664" s="87">
        <f t="shared" si="158"/>
        <v>-8.6281812233382302E-3</v>
      </c>
      <c r="AB1664" s="87">
        <f t="shared" si="158"/>
        <v>-7.0175726586466465E-3</v>
      </c>
      <c r="AC1664" s="87">
        <f t="shared" si="158"/>
        <v>-1.1976191046715649E-2</v>
      </c>
      <c r="AD1664" s="87">
        <f t="shared" si="158"/>
        <v>-1.3295542481244727E-2</v>
      </c>
      <c r="AE1664" s="90">
        <f t="shared" si="155"/>
        <v>-9.4721954750966847E-4</v>
      </c>
    </row>
    <row r="1665" spans="1:31" ht="15.5" x14ac:dyDescent="0.35">
      <c r="A1665" s="82">
        <v>42181</v>
      </c>
      <c r="B1665" s="83">
        <v>11040.3</v>
      </c>
      <c r="C1665" s="84">
        <v>5080.5</v>
      </c>
      <c r="D1665" s="61">
        <v>551.9</v>
      </c>
      <c r="E1665" s="61">
        <v>39.9</v>
      </c>
      <c r="F1665" s="61">
        <v>126.5</v>
      </c>
      <c r="G1665" s="61">
        <v>45</v>
      </c>
      <c r="H1665" s="61">
        <v>16.100000000000001</v>
      </c>
      <c r="I1665" s="61">
        <v>31.2</v>
      </c>
      <c r="J1665" s="61">
        <v>31</v>
      </c>
      <c r="K1665" s="61">
        <v>8.6999999999999993</v>
      </c>
      <c r="L1665" s="61">
        <v>57.9</v>
      </c>
      <c r="M1665" s="61">
        <v>56.9</v>
      </c>
      <c r="N1665" s="61">
        <v>66.8</v>
      </c>
      <c r="O1665" s="85">
        <v>52.6</v>
      </c>
      <c r="P1665" s="105"/>
      <c r="Q1665" s="87">
        <f t="shared" si="154"/>
        <v>4.1674216946662487E-4</v>
      </c>
      <c r="R1665" s="87">
        <f t="shared" si="157"/>
        <v>-6.2201579967982954E-3</v>
      </c>
      <c r="S1665" s="87">
        <f t="shared" si="157"/>
        <v>-1.0095632888818273E-2</v>
      </c>
      <c r="T1665" s="87">
        <f t="shared" si="157"/>
        <v>-2.4753739152938291E-2</v>
      </c>
      <c r="U1665" s="87">
        <f t="shared" si="157"/>
        <v>-7.874056430905883E-3</v>
      </c>
      <c r="V1665" s="87">
        <f t="shared" si="158"/>
        <v>-1.1049836186584935E-2</v>
      </c>
      <c r="W1665" s="87">
        <f t="shared" si="158"/>
        <v>-6.1919702479209951E-3</v>
      </c>
      <c r="X1665" s="87">
        <f t="shared" si="158"/>
        <v>0</v>
      </c>
      <c r="Y1665" s="87">
        <f t="shared" si="158"/>
        <v>1.6260520871780326E-2</v>
      </c>
      <c r="Z1665" s="87">
        <f t="shared" si="158"/>
        <v>-1.1428695823622968E-2</v>
      </c>
      <c r="AA1665" s="87">
        <f t="shared" si="158"/>
        <v>3.4602110648956526E-3</v>
      </c>
      <c r="AB1665" s="87">
        <f t="shared" si="158"/>
        <v>1.7590154051796245E-3</v>
      </c>
      <c r="AC1665" s="87">
        <f t="shared" si="158"/>
        <v>6.0060240602117284E-3</v>
      </c>
      <c r="AD1665" s="87">
        <f t="shared" si="158"/>
        <v>5.71974867278713E-3</v>
      </c>
      <c r="AE1665" s="90">
        <f t="shared" si="155"/>
        <v>-6.3763979975899714E-3</v>
      </c>
    </row>
    <row r="1666" spans="1:31" ht="15.5" x14ac:dyDescent="0.35">
      <c r="A1666" s="82">
        <v>42184</v>
      </c>
      <c r="B1666" s="83">
        <v>10790.3</v>
      </c>
      <c r="C1666" s="84">
        <v>4958.5</v>
      </c>
      <c r="D1666" s="61">
        <v>540.20000000000005</v>
      </c>
      <c r="E1666" s="61">
        <v>38.9</v>
      </c>
      <c r="F1666" s="61">
        <v>124.5</v>
      </c>
      <c r="G1666" s="61">
        <v>44.4</v>
      </c>
      <c r="H1666" s="61">
        <v>15.5</v>
      </c>
      <c r="I1666" s="61">
        <v>29.4</v>
      </c>
      <c r="J1666" s="61">
        <v>30.9</v>
      </c>
      <c r="K1666" s="61">
        <v>8.5</v>
      </c>
      <c r="L1666" s="61">
        <v>57.3</v>
      </c>
      <c r="M1666" s="61">
        <v>55.4</v>
      </c>
      <c r="N1666" s="61">
        <v>64.599999999999994</v>
      </c>
      <c r="O1666" s="85">
        <v>53.8</v>
      </c>
      <c r="P1666" s="105"/>
      <c r="Q1666" s="87">
        <f t="shared" si="154"/>
        <v>-2.2904631987476675E-2</v>
      </c>
      <c r="R1666" s="87">
        <f t="shared" si="157"/>
        <v>-2.4306406299756354E-2</v>
      </c>
      <c r="S1666" s="87">
        <f t="shared" si="157"/>
        <v>-2.1427429086940265E-2</v>
      </c>
      <c r="T1666" s="87">
        <f t="shared" si="157"/>
        <v>-2.5382073271417161E-2</v>
      </c>
      <c r="U1666" s="87">
        <f t="shared" si="157"/>
        <v>-1.5936592262812639E-2</v>
      </c>
      <c r="V1666" s="87">
        <f t="shared" si="158"/>
        <v>-1.3423020332140774E-2</v>
      </c>
      <c r="W1666" s="87">
        <f t="shared" si="158"/>
        <v>-3.797924806521645E-2</v>
      </c>
      <c r="X1666" s="87">
        <f t="shared" si="158"/>
        <v>-5.9423420470800764E-2</v>
      </c>
      <c r="Y1666" s="87">
        <f t="shared" si="158"/>
        <v>-3.2310205814465318E-3</v>
      </c>
      <c r="Z1666" s="87">
        <f t="shared" si="158"/>
        <v>-2.3256862164267235E-2</v>
      </c>
      <c r="AA1666" s="87">
        <f t="shared" si="158"/>
        <v>-1.0416760858255715E-2</v>
      </c>
      <c r="AB1666" s="87">
        <f t="shared" si="158"/>
        <v>-2.6715747379047146E-2</v>
      </c>
      <c r="AC1666" s="87">
        <f t="shared" si="158"/>
        <v>-3.3488669754043972E-2</v>
      </c>
      <c r="AD1666" s="87">
        <f t="shared" si="158"/>
        <v>2.2557347424074527E-2</v>
      </c>
      <c r="AE1666" s="90">
        <f t="shared" si="155"/>
        <v>-1.5374081706836754E-2</v>
      </c>
    </row>
    <row r="1667" spans="1:31" ht="15.5" x14ac:dyDescent="0.35">
      <c r="A1667" s="82">
        <v>42185</v>
      </c>
      <c r="B1667" s="83">
        <v>10805.2</v>
      </c>
      <c r="C1667" s="84">
        <v>4986.8999999999996</v>
      </c>
      <c r="D1667" s="61">
        <v>539.5</v>
      </c>
      <c r="E1667" s="61">
        <v>39.200000000000003</v>
      </c>
      <c r="F1667" s="61">
        <v>124.9</v>
      </c>
      <c r="G1667" s="61">
        <v>43.9</v>
      </c>
      <c r="H1667" s="61">
        <v>12.7</v>
      </c>
      <c r="I1667" s="61">
        <v>29.8</v>
      </c>
      <c r="J1667" s="61">
        <v>30.8</v>
      </c>
      <c r="K1667" s="61">
        <v>8.4</v>
      </c>
      <c r="L1667" s="61">
        <v>56.7</v>
      </c>
      <c r="M1667" s="61">
        <v>55.5</v>
      </c>
      <c r="N1667" s="61">
        <v>64.3</v>
      </c>
      <c r="O1667" s="85">
        <v>53.9</v>
      </c>
      <c r="P1667" s="105"/>
      <c r="Q1667" s="87">
        <f t="shared" si="154"/>
        <v>1.3799173313281982E-3</v>
      </c>
      <c r="R1667" s="87">
        <f t="shared" si="157"/>
        <v>5.7111985833435668E-3</v>
      </c>
      <c r="S1667" s="87">
        <f t="shared" si="157"/>
        <v>-1.296656660325977E-3</v>
      </c>
      <c r="T1667" s="87">
        <f t="shared" si="157"/>
        <v>7.6824961720164311E-3</v>
      </c>
      <c r="U1667" s="87">
        <f t="shared" si="157"/>
        <v>3.2077012267696372E-3</v>
      </c>
      <c r="V1667" s="87">
        <f t="shared" si="158"/>
        <v>-1.13251493570534E-2</v>
      </c>
      <c r="W1667" s="87">
        <f t="shared" si="158"/>
        <v>-0.19923803046065536</v>
      </c>
      <c r="X1667" s="87">
        <f t="shared" si="158"/>
        <v>1.3513719166722855E-2</v>
      </c>
      <c r="Y1667" s="87">
        <f t="shared" si="158"/>
        <v>-3.2414939241709557E-3</v>
      </c>
      <c r="Z1667" s="87">
        <f t="shared" si="158"/>
        <v>-1.1834457647002796E-2</v>
      </c>
      <c r="AA1667" s="87">
        <f t="shared" si="158"/>
        <v>-1.0526412986987392E-2</v>
      </c>
      <c r="AB1667" s="87">
        <f t="shared" si="158"/>
        <v>1.8034269991507267E-3</v>
      </c>
      <c r="AC1667" s="87">
        <f t="shared" si="158"/>
        <v>-4.6547795449824051E-3</v>
      </c>
      <c r="AD1667" s="87">
        <f t="shared" si="158"/>
        <v>1.8570107472126892E-3</v>
      </c>
      <c r="AE1667" s="90">
        <f t="shared" si="155"/>
        <v>2.4752314435435435E-3</v>
      </c>
    </row>
    <row r="1668" spans="1:31" ht="15.5" x14ac:dyDescent="0.35">
      <c r="A1668" s="82">
        <v>42186</v>
      </c>
      <c r="B1668" s="83">
        <v>10859</v>
      </c>
      <c r="C1668" s="84">
        <v>5013.1000000000004</v>
      </c>
      <c r="D1668" s="61">
        <v>539.79999999999995</v>
      </c>
      <c r="E1668" s="61">
        <v>39.200000000000003</v>
      </c>
      <c r="F1668" s="61">
        <v>126</v>
      </c>
      <c r="G1668" s="61">
        <v>44.1</v>
      </c>
      <c r="H1668" s="61">
        <v>12.4</v>
      </c>
      <c r="I1668" s="61">
        <v>30.1</v>
      </c>
      <c r="J1668" s="61">
        <v>30.9</v>
      </c>
      <c r="K1668" s="61">
        <v>8.4</v>
      </c>
      <c r="L1668" s="61">
        <v>56.6</v>
      </c>
      <c r="M1668" s="61">
        <v>56.2</v>
      </c>
      <c r="N1668" s="61">
        <v>64.400000000000006</v>
      </c>
      <c r="O1668" s="85">
        <v>54.3</v>
      </c>
      <c r="P1668" s="105"/>
      <c r="Q1668" s="87">
        <f t="shared" si="154"/>
        <v>4.9667294981234466E-3</v>
      </c>
      <c r="R1668" s="87">
        <f t="shared" si="157"/>
        <v>5.240011989868204E-3</v>
      </c>
      <c r="S1668" s="87">
        <f t="shared" si="157"/>
        <v>5.5591588571489556E-4</v>
      </c>
      <c r="T1668" s="87">
        <f t="shared" si="157"/>
        <v>0</v>
      </c>
      <c r="U1668" s="87">
        <f t="shared" si="157"/>
        <v>8.7684898199460459E-3</v>
      </c>
      <c r="V1668" s="87">
        <f t="shared" si="158"/>
        <v>4.5454623716746382E-3</v>
      </c>
      <c r="W1668" s="87">
        <f t="shared" si="158"/>
        <v>-2.3905520853554366E-2</v>
      </c>
      <c r="X1668" s="87">
        <f t="shared" si="158"/>
        <v>1.0016778243471209E-2</v>
      </c>
      <c r="Y1668" s="87">
        <f t="shared" si="158"/>
        <v>3.2414939241710229E-3</v>
      </c>
      <c r="Z1668" s="87">
        <f t="shared" si="158"/>
        <v>0</v>
      </c>
      <c r="AA1668" s="87">
        <f t="shared" si="158"/>
        <v>-1.7652255245691922E-3</v>
      </c>
      <c r="AB1668" s="87">
        <f t="shared" si="158"/>
        <v>1.2533736147256657E-2</v>
      </c>
      <c r="AC1668" s="87">
        <f t="shared" si="158"/>
        <v>1.5540018667343205E-3</v>
      </c>
      <c r="AD1668" s="87">
        <f t="shared" si="158"/>
        <v>7.3937490249381919E-3</v>
      </c>
      <c r="AE1668" s="90">
        <f t="shared" si="155"/>
        <v>5.1393878632363284E-3</v>
      </c>
    </row>
    <row r="1669" spans="1:31" ht="15.5" x14ac:dyDescent="0.35">
      <c r="A1669" s="82">
        <v>42187</v>
      </c>
      <c r="B1669" s="83">
        <v>10864.8</v>
      </c>
      <c r="C1669" s="84">
        <v>5009.2</v>
      </c>
      <c r="D1669" s="61">
        <v>543.6</v>
      </c>
      <c r="E1669" s="61">
        <v>39.200000000000003</v>
      </c>
      <c r="F1669" s="61">
        <v>125.8</v>
      </c>
      <c r="G1669" s="61">
        <v>44.1</v>
      </c>
      <c r="H1669" s="61">
        <v>12.4</v>
      </c>
      <c r="I1669" s="61">
        <v>30.1</v>
      </c>
      <c r="J1669" s="61">
        <v>30.8</v>
      </c>
      <c r="K1669" s="61">
        <v>8.5</v>
      </c>
      <c r="L1669" s="61">
        <v>57.5</v>
      </c>
      <c r="M1669" s="61">
        <v>55.9</v>
      </c>
      <c r="N1669" s="61">
        <v>65.099999999999994</v>
      </c>
      <c r="O1669" s="85">
        <v>54.5</v>
      </c>
      <c r="P1669" s="105"/>
      <c r="Q1669" s="87">
        <f t="shared" si="154"/>
        <v>5.3397657295789686E-4</v>
      </c>
      <c r="R1669" s="87">
        <f t="shared" si="157"/>
        <v>-7.7826450951412661E-4</v>
      </c>
      <c r="S1669" s="87">
        <f t="shared" si="157"/>
        <v>7.0149816930844926E-3</v>
      </c>
      <c r="T1669" s="87">
        <f t="shared" si="157"/>
        <v>0</v>
      </c>
      <c r="U1669" s="87">
        <f t="shared" si="157"/>
        <v>-1.5885626851378416E-3</v>
      </c>
      <c r="V1669" s="87">
        <f t="shared" si="158"/>
        <v>0</v>
      </c>
      <c r="W1669" s="87">
        <f t="shared" si="158"/>
        <v>0</v>
      </c>
      <c r="X1669" s="87">
        <f t="shared" si="158"/>
        <v>0</v>
      </c>
      <c r="Y1669" s="87">
        <f t="shared" si="158"/>
        <v>-3.2414939241709557E-3</v>
      </c>
      <c r="Z1669" s="87">
        <f t="shared" si="158"/>
        <v>1.1834457647002798E-2</v>
      </c>
      <c r="AA1669" s="87">
        <f t="shared" si="158"/>
        <v>1.57759625941674E-2</v>
      </c>
      <c r="AB1669" s="87">
        <f t="shared" si="158"/>
        <v>-5.3523767385919539E-3</v>
      </c>
      <c r="AC1669" s="87">
        <f t="shared" si="158"/>
        <v>1.0810916104215456E-2</v>
      </c>
      <c r="AD1669" s="87">
        <f t="shared" si="158"/>
        <v>3.6764747293086273E-3</v>
      </c>
      <c r="AE1669" s="90">
        <f t="shared" si="155"/>
        <v>1.8130899287448566E-3</v>
      </c>
    </row>
    <row r="1670" spans="1:31" ht="15.5" x14ac:dyDescent="0.35">
      <c r="A1670" s="82">
        <v>42191</v>
      </c>
      <c r="B1670" s="83">
        <v>10782.7</v>
      </c>
      <c r="C1670" s="84">
        <v>4991.8999999999996</v>
      </c>
      <c r="D1670" s="61">
        <v>542.1</v>
      </c>
      <c r="E1670" s="61">
        <v>38.5</v>
      </c>
      <c r="F1670" s="61">
        <v>124.9</v>
      </c>
      <c r="G1670" s="61">
        <v>44</v>
      </c>
      <c r="H1670" s="61">
        <v>12.8</v>
      </c>
      <c r="I1670" s="61">
        <v>29.8</v>
      </c>
      <c r="J1670" s="61">
        <v>30.7</v>
      </c>
      <c r="K1670" s="61">
        <v>8.4</v>
      </c>
      <c r="L1670" s="61">
        <v>56.6</v>
      </c>
      <c r="M1670" s="61">
        <v>55.2</v>
      </c>
      <c r="N1670" s="61">
        <v>64.599999999999994</v>
      </c>
      <c r="O1670" s="85">
        <v>54.5</v>
      </c>
      <c r="P1670" s="105"/>
      <c r="Q1670" s="87">
        <f t="shared" si="154"/>
        <v>-7.5852078658045115E-3</v>
      </c>
      <c r="R1670" s="87">
        <f t="shared" si="157"/>
        <v>-3.4596228925401406E-3</v>
      </c>
      <c r="S1670" s="87">
        <f t="shared" si="157"/>
        <v>-2.763196010696104E-3</v>
      </c>
      <c r="T1670" s="87">
        <f t="shared" si="157"/>
        <v>-1.8018505502678365E-2</v>
      </c>
      <c r="U1670" s="87">
        <f t="shared" si="157"/>
        <v>-7.1799271348081178E-3</v>
      </c>
      <c r="V1670" s="87">
        <f t="shared" si="158"/>
        <v>-2.2701485345391855E-3</v>
      </c>
      <c r="W1670" s="87">
        <f t="shared" si="158"/>
        <v>3.174869831458027E-2</v>
      </c>
      <c r="X1670" s="87">
        <f t="shared" si="158"/>
        <v>-1.0016778243471344E-2</v>
      </c>
      <c r="Y1670" s="87">
        <f t="shared" si="158"/>
        <v>-3.2520353863773432E-3</v>
      </c>
      <c r="Z1670" s="87">
        <f t="shared" si="158"/>
        <v>-1.1834457647002796E-2</v>
      </c>
      <c r="AA1670" s="87">
        <f t="shared" si="158"/>
        <v>-1.5775962594167435E-2</v>
      </c>
      <c r="AB1670" s="87">
        <f t="shared" si="158"/>
        <v>-1.260142687800382E-2</v>
      </c>
      <c r="AC1670" s="87">
        <f t="shared" si="158"/>
        <v>-7.7101384259674341E-3</v>
      </c>
      <c r="AD1670" s="87">
        <f t="shared" si="158"/>
        <v>0</v>
      </c>
      <c r="AE1670" s="90">
        <f t="shared" si="155"/>
        <v>-3.8990026352525541E-3</v>
      </c>
    </row>
    <row r="1671" spans="1:31" ht="15.5" x14ac:dyDescent="0.35">
      <c r="A1671" s="82">
        <v>42192</v>
      </c>
      <c r="B1671" s="83">
        <v>10829.3</v>
      </c>
      <c r="C1671" s="84">
        <v>4997.5</v>
      </c>
      <c r="D1671" s="61">
        <v>539.9</v>
      </c>
      <c r="E1671" s="61">
        <v>36.6</v>
      </c>
      <c r="F1671" s="61">
        <v>123.8</v>
      </c>
      <c r="G1671" s="61">
        <v>43.3</v>
      </c>
      <c r="H1671" s="61">
        <v>12.7</v>
      </c>
      <c r="I1671" s="61">
        <v>29.2</v>
      </c>
      <c r="J1671" s="61">
        <v>29.9</v>
      </c>
      <c r="K1671" s="61">
        <v>8.6999999999999993</v>
      </c>
      <c r="L1671" s="61">
        <v>57.2</v>
      </c>
      <c r="M1671" s="61">
        <v>54</v>
      </c>
      <c r="N1671" s="61">
        <v>63.6</v>
      </c>
      <c r="O1671" s="85">
        <v>54.5</v>
      </c>
      <c r="P1671" s="105"/>
      <c r="Q1671" s="87">
        <f t="shared" si="154"/>
        <v>4.3124257096416275E-3</v>
      </c>
      <c r="R1671" s="87">
        <f t="shared" si="157"/>
        <v>1.1211885772178097E-3</v>
      </c>
      <c r="S1671" s="87">
        <f t="shared" si="157"/>
        <v>-4.0665490420512479E-3</v>
      </c>
      <c r="T1671" s="87">
        <f t="shared" si="157"/>
        <v>-5.061000088641799E-2</v>
      </c>
      <c r="U1671" s="87">
        <f t="shared" si="157"/>
        <v>-8.8460568810363044E-3</v>
      </c>
      <c r="V1671" s="87">
        <f t="shared" si="158"/>
        <v>-1.6036998909817076E-2</v>
      </c>
      <c r="W1671" s="87">
        <f t="shared" si="158"/>
        <v>-7.8431774610260054E-3</v>
      </c>
      <c r="X1671" s="87">
        <f t="shared" si="158"/>
        <v>-2.0339684237122787E-2</v>
      </c>
      <c r="Y1671" s="87">
        <f t="shared" si="158"/>
        <v>-2.6404174196510737E-2</v>
      </c>
      <c r="Z1671" s="87">
        <f t="shared" si="158"/>
        <v>3.5091319811269978E-2</v>
      </c>
      <c r="AA1671" s="87">
        <f t="shared" si="158"/>
        <v>1.054491317661504E-2</v>
      </c>
      <c r="AB1671" s="87">
        <f t="shared" si="158"/>
        <v>-2.1978906718775341E-2</v>
      </c>
      <c r="AC1671" s="87">
        <f t="shared" si="158"/>
        <v>-1.5600940442479548E-2</v>
      </c>
      <c r="AD1671" s="87">
        <f t="shared" si="158"/>
        <v>0</v>
      </c>
      <c r="AE1671" s="90">
        <f t="shared" si="155"/>
        <v>-3.3838978788725107E-3</v>
      </c>
    </row>
    <row r="1672" spans="1:31" ht="15.5" x14ac:dyDescent="0.35">
      <c r="A1672" s="82">
        <v>42193</v>
      </c>
      <c r="B1672" s="83">
        <v>10636.8</v>
      </c>
      <c r="C1672" s="84">
        <v>4909.8</v>
      </c>
      <c r="D1672" s="61">
        <v>541.20000000000005</v>
      </c>
      <c r="E1672" s="61">
        <v>36.9</v>
      </c>
      <c r="F1672" s="61">
        <v>122.5</v>
      </c>
      <c r="G1672" s="61">
        <v>44</v>
      </c>
      <c r="H1672" s="61">
        <v>12.4</v>
      </c>
      <c r="I1672" s="61">
        <v>29.1</v>
      </c>
      <c r="J1672" s="61">
        <v>29.1</v>
      </c>
      <c r="K1672" s="61">
        <v>8.9</v>
      </c>
      <c r="L1672" s="61">
        <v>57.1</v>
      </c>
      <c r="M1672" s="61">
        <v>54.2</v>
      </c>
      <c r="N1672" s="61">
        <v>63.3</v>
      </c>
      <c r="O1672" s="85">
        <v>54.5</v>
      </c>
      <c r="P1672" s="105"/>
      <c r="Q1672" s="87">
        <f t="shared" si="154"/>
        <v>-1.7935736852675854E-2</v>
      </c>
      <c r="R1672" s="87">
        <f t="shared" si="157"/>
        <v>-1.7704579613164097E-2</v>
      </c>
      <c r="S1672" s="87">
        <f t="shared" si="157"/>
        <v>2.4049590723918637E-3</v>
      </c>
      <c r="T1672" s="87">
        <f t="shared" si="157"/>
        <v>8.1633106391608354E-3</v>
      </c>
      <c r="U1672" s="87">
        <f t="shared" si="157"/>
        <v>-1.0556330265714023E-2</v>
      </c>
      <c r="V1672" s="87">
        <f t="shared" si="158"/>
        <v>1.6036998909817104E-2</v>
      </c>
      <c r="W1672" s="87">
        <f t="shared" si="158"/>
        <v>-2.3905520853554366E-2</v>
      </c>
      <c r="X1672" s="87">
        <f t="shared" si="158"/>
        <v>-3.4305350967891368E-3</v>
      </c>
      <c r="Y1672" s="87">
        <f t="shared" si="158"/>
        <v>-2.7120306219193781E-2</v>
      </c>
      <c r="Z1672" s="87">
        <f t="shared" si="158"/>
        <v>2.272825107755631E-2</v>
      </c>
      <c r="AA1672" s="87">
        <f t="shared" si="158"/>
        <v>-1.7497817237877064E-3</v>
      </c>
      <c r="AB1672" s="87">
        <f t="shared" si="158"/>
        <v>3.6968618813262026E-3</v>
      </c>
      <c r="AC1672" s="87">
        <f t="shared" si="158"/>
        <v>-4.728141195946012E-3</v>
      </c>
      <c r="AD1672" s="87">
        <f t="shared" si="158"/>
        <v>0</v>
      </c>
      <c r="AE1672" s="90">
        <f t="shared" si="155"/>
        <v>-7.6213007048637552E-3</v>
      </c>
    </row>
    <row r="1673" spans="1:31" ht="15.5" x14ac:dyDescent="0.35">
      <c r="A1673" s="82">
        <v>42194</v>
      </c>
      <c r="B1673" s="83">
        <v>10689.5</v>
      </c>
      <c r="C1673" s="84">
        <v>4922.3999999999996</v>
      </c>
      <c r="D1673" s="61">
        <v>544.6</v>
      </c>
      <c r="E1673" s="61">
        <v>37.5</v>
      </c>
      <c r="F1673" s="61">
        <v>119.2</v>
      </c>
      <c r="G1673" s="61">
        <v>44.5</v>
      </c>
      <c r="H1673" s="61">
        <v>12.8</v>
      </c>
      <c r="I1673" s="61">
        <v>28.6</v>
      </c>
      <c r="J1673" s="61">
        <v>28.6</v>
      </c>
      <c r="K1673" s="61">
        <v>8.9</v>
      </c>
      <c r="L1673" s="61">
        <v>57.4</v>
      </c>
      <c r="M1673" s="61">
        <v>54.8</v>
      </c>
      <c r="N1673" s="61">
        <v>64</v>
      </c>
      <c r="O1673" s="85">
        <v>54.6</v>
      </c>
      <c r="P1673" s="105"/>
      <c r="Q1673" s="87">
        <f t="shared" si="154"/>
        <v>4.9422644594430366E-3</v>
      </c>
      <c r="R1673" s="87">
        <f t="shared" si="157"/>
        <v>2.5630086648893271E-3</v>
      </c>
      <c r="S1673" s="87">
        <f t="shared" si="157"/>
        <v>6.2626839430263079E-3</v>
      </c>
      <c r="T1673" s="87">
        <f t="shared" si="157"/>
        <v>1.6129381929883717E-2</v>
      </c>
      <c r="U1673" s="87">
        <f t="shared" si="157"/>
        <v>-2.730827535353228E-2</v>
      </c>
      <c r="V1673" s="87">
        <f t="shared" si="158"/>
        <v>1.1299555253933466E-2</v>
      </c>
      <c r="W1673" s="87">
        <f t="shared" si="158"/>
        <v>3.174869831458027E-2</v>
      </c>
      <c r="X1673" s="87">
        <f t="shared" si="158"/>
        <v>-1.7331456351639976E-2</v>
      </c>
      <c r="Y1673" s="87">
        <f t="shared" si="158"/>
        <v>-1.7331456351639976E-2</v>
      </c>
      <c r="Z1673" s="87">
        <f t="shared" si="158"/>
        <v>0</v>
      </c>
      <c r="AA1673" s="87">
        <f t="shared" si="158"/>
        <v>5.2401866635562499E-3</v>
      </c>
      <c r="AB1673" s="87">
        <f t="shared" si="158"/>
        <v>1.1009285508369175E-2</v>
      </c>
      <c r="AC1673" s="87">
        <f t="shared" si="158"/>
        <v>1.0997754209541502E-2</v>
      </c>
      <c r="AD1673" s="87">
        <f t="shared" si="158"/>
        <v>1.8331810816609117E-3</v>
      </c>
      <c r="AE1673" s="90">
        <f t="shared" si="155"/>
        <v>-4.9839304564392164E-3</v>
      </c>
    </row>
    <row r="1674" spans="1:31" ht="15.5" x14ac:dyDescent="0.35">
      <c r="A1674" s="82">
        <v>42195</v>
      </c>
      <c r="B1674" s="83">
        <v>10853.9</v>
      </c>
      <c r="C1674" s="84">
        <v>4997.7</v>
      </c>
      <c r="D1674" s="61">
        <v>552</v>
      </c>
      <c r="E1674" s="61">
        <v>37.6</v>
      </c>
      <c r="F1674" s="61">
        <v>121.2</v>
      </c>
      <c r="G1674" s="61">
        <v>44.6</v>
      </c>
      <c r="H1674" s="61">
        <v>13.7</v>
      </c>
      <c r="I1674" s="61">
        <v>28.8</v>
      </c>
      <c r="J1674" s="61">
        <v>28.7</v>
      </c>
      <c r="K1674" s="61">
        <v>8.9</v>
      </c>
      <c r="L1674" s="61">
        <v>57.6</v>
      </c>
      <c r="M1674" s="61">
        <v>55.6</v>
      </c>
      <c r="N1674" s="61">
        <v>64.3</v>
      </c>
      <c r="O1674" s="85">
        <v>54.5</v>
      </c>
      <c r="P1674" s="105"/>
      <c r="Q1674" s="87">
        <f t="shared" si="154"/>
        <v>1.526251114715284E-2</v>
      </c>
      <c r="R1674" s="87">
        <f t="shared" si="157"/>
        <v>1.5181590157500303E-2</v>
      </c>
      <c r="S1674" s="87">
        <f t="shared" si="157"/>
        <v>1.3496466037435985E-2</v>
      </c>
      <c r="T1674" s="87">
        <f t="shared" si="157"/>
        <v>2.6631174194836284E-3</v>
      </c>
      <c r="U1674" s="87">
        <f t="shared" si="157"/>
        <v>1.6639319003964724E-2</v>
      </c>
      <c r="V1674" s="87">
        <f t="shared" si="158"/>
        <v>2.2446698538239494E-3</v>
      </c>
      <c r="W1674" s="87">
        <f t="shared" si="158"/>
        <v>6.7950661908507543E-2</v>
      </c>
      <c r="X1674" s="87">
        <f t="shared" si="158"/>
        <v>6.9686693160932152E-3</v>
      </c>
      <c r="Y1674" s="87">
        <f t="shared" si="158"/>
        <v>3.4904049397683459E-3</v>
      </c>
      <c r="Z1674" s="87">
        <f t="shared" si="158"/>
        <v>0</v>
      </c>
      <c r="AA1674" s="87">
        <f t="shared" si="158"/>
        <v>3.4782643763247925E-3</v>
      </c>
      <c r="AB1674" s="87">
        <f t="shared" si="158"/>
        <v>1.4493007302566824E-2</v>
      </c>
      <c r="AC1674" s="87">
        <f t="shared" si="158"/>
        <v>4.676547883901803E-3</v>
      </c>
      <c r="AD1674" s="87">
        <f t="shared" si="158"/>
        <v>-1.8331810816609605E-3</v>
      </c>
      <c r="AE1674" s="90">
        <f t="shared" si="155"/>
        <v>1.3036951715309237E-2</v>
      </c>
    </row>
    <row r="1675" spans="1:31" ht="15.5" x14ac:dyDescent="0.35">
      <c r="A1675" s="82">
        <v>42198</v>
      </c>
      <c r="B1675" s="83">
        <v>10944.8</v>
      </c>
      <c r="C1675" s="84">
        <v>5071.5</v>
      </c>
      <c r="D1675" s="61">
        <v>558.70000000000005</v>
      </c>
      <c r="E1675" s="61">
        <v>38.1</v>
      </c>
      <c r="F1675" s="61">
        <v>124.3</v>
      </c>
      <c r="G1675" s="61">
        <v>45</v>
      </c>
      <c r="H1675" s="61">
        <v>13.9</v>
      </c>
      <c r="I1675" s="61">
        <v>28.8</v>
      </c>
      <c r="J1675" s="61">
        <v>28.7</v>
      </c>
      <c r="K1675" s="61">
        <v>9</v>
      </c>
      <c r="L1675" s="61">
        <v>57.7</v>
      </c>
      <c r="M1675" s="61">
        <v>56.5</v>
      </c>
      <c r="N1675" s="61">
        <v>65.400000000000006</v>
      </c>
      <c r="O1675" s="85">
        <v>55.4</v>
      </c>
      <c r="P1675" s="105"/>
      <c r="Q1675" s="87">
        <f t="shared" si="154"/>
        <v>8.3399952182886851E-3</v>
      </c>
      <c r="R1675" s="87">
        <f t="shared" si="157"/>
        <v>1.4658825232269449E-2</v>
      </c>
      <c r="S1675" s="87">
        <f t="shared" si="157"/>
        <v>1.2064610188007755E-2</v>
      </c>
      <c r="T1675" s="87">
        <f t="shared" si="157"/>
        <v>1.3210231736806482E-2</v>
      </c>
      <c r="U1675" s="87">
        <f t="shared" si="157"/>
        <v>2.52559248814513E-2</v>
      </c>
      <c r="V1675" s="87">
        <f t="shared" si="158"/>
        <v>8.9286307443013982E-3</v>
      </c>
      <c r="W1675" s="87">
        <f t="shared" si="158"/>
        <v>1.4493007302566824E-2</v>
      </c>
      <c r="X1675" s="87">
        <f t="shared" si="158"/>
        <v>0</v>
      </c>
      <c r="Y1675" s="87">
        <f t="shared" si="158"/>
        <v>0</v>
      </c>
      <c r="Z1675" s="87">
        <f t="shared" si="158"/>
        <v>1.1173300598125255E-2</v>
      </c>
      <c r="AA1675" s="87">
        <f t="shared" si="158"/>
        <v>1.7346058122083715E-3</v>
      </c>
      <c r="AB1675" s="87">
        <f t="shared" si="158"/>
        <v>1.6057436895858469E-2</v>
      </c>
      <c r="AC1675" s="87">
        <f t="shared" si="158"/>
        <v>1.6962627219579449E-2</v>
      </c>
      <c r="AD1675" s="87">
        <f t="shared" si="158"/>
        <v>1.6378892084039681E-2</v>
      </c>
      <c r="AE1675" s="90">
        <f t="shared" si="155"/>
        <v>1.7138525990562217E-2</v>
      </c>
    </row>
    <row r="1676" spans="1:31" ht="15.5" x14ac:dyDescent="0.35">
      <c r="A1676" s="82">
        <v>42199</v>
      </c>
      <c r="B1676" s="83">
        <v>10993.3</v>
      </c>
      <c r="C1676" s="84">
        <v>5104.8999999999996</v>
      </c>
      <c r="D1676" s="61">
        <v>574.20000000000005</v>
      </c>
      <c r="E1676" s="61">
        <v>38.4</v>
      </c>
      <c r="F1676" s="61">
        <v>125</v>
      </c>
      <c r="G1676" s="61">
        <v>45.3</v>
      </c>
      <c r="H1676" s="61">
        <v>14</v>
      </c>
      <c r="I1676" s="61">
        <v>29.4</v>
      </c>
      <c r="J1676" s="61">
        <v>28.7</v>
      </c>
      <c r="K1676" s="61">
        <v>8.9</v>
      </c>
      <c r="L1676" s="61">
        <v>57.7</v>
      </c>
      <c r="M1676" s="61">
        <v>56.1</v>
      </c>
      <c r="N1676" s="61">
        <v>66</v>
      </c>
      <c r="O1676" s="85">
        <v>56</v>
      </c>
      <c r="P1676" s="105"/>
      <c r="Q1676" s="87">
        <f t="shared" si="154"/>
        <v>4.4215386942876708E-3</v>
      </c>
      <c r="R1676" s="87">
        <f t="shared" si="157"/>
        <v>6.5642309522659387E-3</v>
      </c>
      <c r="S1676" s="87">
        <f t="shared" si="157"/>
        <v>2.7365111221860552E-2</v>
      </c>
      <c r="T1676" s="87">
        <f t="shared" si="157"/>
        <v>7.8431774610258787E-3</v>
      </c>
      <c r="U1676" s="87">
        <f t="shared" si="157"/>
        <v>5.6157387856357035E-3</v>
      </c>
      <c r="V1676" s="87">
        <f t="shared" si="158"/>
        <v>6.6445427186685108E-3</v>
      </c>
      <c r="W1676" s="87">
        <f t="shared" si="158"/>
        <v>7.168489478612497E-3</v>
      </c>
      <c r="X1676" s="87">
        <f t="shared" si="158"/>
        <v>2.061928720273561E-2</v>
      </c>
      <c r="Y1676" s="87">
        <f t="shared" si="158"/>
        <v>0</v>
      </c>
      <c r="Z1676" s="87">
        <f t="shared" si="158"/>
        <v>-1.1173300598125189E-2</v>
      </c>
      <c r="AA1676" s="87">
        <f t="shared" si="158"/>
        <v>0</v>
      </c>
      <c r="AB1676" s="87">
        <f t="shared" si="158"/>
        <v>-7.1048256237445711E-3</v>
      </c>
      <c r="AC1676" s="87">
        <f t="shared" si="158"/>
        <v>9.1324835632724723E-3</v>
      </c>
      <c r="AD1676" s="87">
        <f t="shared" si="158"/>
        <v>1.077209698191104E-2</v>
      </c>
      <c r="AE1676" s="90">
        <f t="shared" si="155"/>
        <v>1.2894234573332074E-2</v>
      </c>
    </row>
    <row r="1677" spans="1:31" ht="15.5" x14ac:dyDescent="0.35">
      <c r="A1677" s="82">
        <v>42200</v>
      </c>
      <c r="B1677" s="83">
        <v>10958.8</v>
      </c>
      <c r="C1677" s="84">
        <v>5098.8999999999996</v>
      </c>
      <c r="D1677" s="61">
        <v>580.20000000000005</v>
      </c>
      <c r="E1677" s="61">
        <v>38.200000000000003</v>
      </c>
      <c r="F1677" s="61">
        <v>125.6</v>
      </c>
      <c r="G1677" s="61">
        <v>45.4</v>
      </c>
      <c r="H1677" s="61">
        <v>13.9</v>
      </c>
      <c r="I1677" s="61">
        <v>29.6</v>
      </c>
      <c r="J1677" s="61">
        <v>28.9</v>
      </c>
      <c r="K1677" s="61">
        <v>9</v>
      </c>
      <c r="L1677" s="61">
        <v>58.1</v>
      </c>
      <c r="M1677" s="61">
        <v>56</v>
      </c>
      <c r="N1677" s="61">
        <v>65.400000000000006</v>
      </c>
      <c r="O1677" s="85">
        <v>55.8</v>
      </c>
      <c r="P1677" s="105"/>
      <c r="Q1677" s="87">
        <f t="shared" si="154"/>
        <v>-3.143209843644048E-3</v>
      </c>
      <c r="R1677" s="87">
        <f t="shared" si="157"/>
        <v>-1.176032594038744E-3</v>
      </c>
      <c r="S1677" s="87">
        <f t="shared" si="157"/>
        <v>1.039510400033997E-2</v>
      </c>
      <c r="T1677" s="87">
        <f t="shared" si="157"/>
        <v>-5.2219439811516007E-3</v>
      </c>
      <c r="U1677" s="87">
        <f t="shared" si="157"/>
        <v>4.7885167317970939E-3</v>
      </c>
      <c r="V1677" s="87">
        <f t="shared" si="158"/>
        <v>2.2050725583139755E-3</v>
      </c>
      <c r="W1677" s="87">
        <f t="shared" si="158"/>
        <v>-7.168489478612516E-3</v>
      </c>
      <c r="X1677" s="87">
        <f t="shared" si="158"/>
        <v>6.7796869853787691E-3</v>
      </c>
      <c r="Y1677" s="87">
        <f t="shared" si="158"/>
        <v>6.944472352810995E-3</v>
      </c>
      <c r="Z1677" s="87">
        <f t="shared" si="158"/>
        <v>1.1173300598125255E-2</v>
      </c>
      <c r="AA1677" s="87">
        <f t="shared" si="158"/>
        <v>6.9084903438116092E-3</v>
      </c>
      <c r="AB1677" s="87">
        <f t="shared" si="158"/>
        <v>-1.7841217935014426E-3</v>
      </c>
      <c r="AC1677" s="87">
        <f t="shared" si="158"/>
        <v>-9.1324835632724741E-3</v>
      </c>
      <c r="AD1677" s="87">
        <f t="shared" si="158"/>
        <v>-3.577821347884078E-3</v>
      </c>
      <c r="AE1677" s="90">
        <f t="shared" si="155"/>
        <v>3.6251470198529982E-3</v>
      </c>
    </row>
    <row r="1678" spans="1:31" ht="15.5" x14ac:dyDescent="0.35">
      <c r="A1678" s="82">
        <v>42201</v>
      </c>
      <c r="B1678" s="83">
        <v>11024.9</v>
      </c>
      <c r="C1678" s="84">
        <v>5163.2</v>
      </c>
      <c r="D1678" s="61">
        <v>587.9</v>
      </c>
      <c r="E1678" s="61">
        <v>38.6</v>
      </c>
      <c r="F1678" s="61">
        <v>127.4</v>
      </c>
      <c r="G1678" s="61">
        <v>46</v>
      </c>
      <c r="H1678" s="61">
        <v>13.9</v>
      </c>
      <c r="I1678" s="61">
        <v>29.8</v>
      </c>
      <c r="J1678" s="61">
        <v>28.9</v>
      </c>
      <c r="K1678" s="61">
        <v>8.9</v>
      </c>
      <c r="L1678" s="61">
        <v>58.4</v>
      </c>
      <c r="M1678" s="61">
        <v>57.4</v>
      </c>
      <c r="N1678" s="61">
        <v>65.400000000000006</v>
      </c>
      <c r="O1678" s="85">
        <v>55.9</v>
      </c>
      <c r="P1678" s="105"/>
      <c r="Q1678" s="87">
        <f t="shared" ref="Q1678:Q1741" si="159">+LN(B1678/B1677)</f>
        <v>6.0135645225788299E-3</v>
      </c>
      <c r="R1678" s="87">
        <f t="shared" si="157"/>
        <v>1.2531712123419782E-2</v>
      </c>
      <c r="S1678" s="87">
        <f t="shared" si="157"/>
        <v>1.3183993720905555E-2</v>
      </c>
      <c r="T1678" s="87">
        <f t="shared" si="157"/>
        <v>1.041676085825558E-2</v>
      </c>
      <c r="U1678" s="87">
        <f t="shared" si="157"/>
        <v>1.4229489103964722E-2</v>
      </c>
      <c r="V1678" s="87">
        <f t="shared" si="158"/>
        <v>1.3129291441792802E-2</v>
      </c>
      <c r="W1678" s="87">
        <f t="shared" si="158"/>
        <v>0</v>
      </c>
      <c r="X1678" s="87">
        <f t="shared" si="158"/>
        <v>6.7340321813441194E-3</v>
      </c>
      <c r="Y1678" s="87">
        <f t="shared" si="158"/>
        <v>0</v>
      </c>
      <c r="Z1678" s="87">
        <f t="shared" si="158"/>
        <v>-1.1173300598125189E-2</v>
      </c>
      <c r="AA1678" s="87">
        <f t="shared" si="158"/>
        <v>5.1502259763158611E-3</v>
      </c>
      <c r="AB1678" s="87">
        <f t="shared" si="158"/>
        <v>2.4692612590371414E-2</v>
      </c>
      <c r="AC1678" s="87">
        <f t="shared" si="158"/>
        <v>0</v>
      </c>
      <c r="AD1678" s="87">
        <f t="shared" si="158"/>
        <v>1.7905107737882938E-3</v>
      </c>
      <c r="AE1678" s="90">
        <f t="shared" si="155"/>
        <v>1.1902563225066706E-2</v>
      </c>
    </row>
    <row r="1679" spans="1:31" ht="15.5" x14ac:dyDescent="0.35">
      <c r="A1679" s="82">
        <v>42202</v>
      </c>
      <c r="B1679" s="83">
        <v>10987.2</v>
      </c>
      <c r="C1679" s="84">
        <v>5210.1000000000004</v>
      </c>
      <c r="D1679" s="61">
        <v>678</v>
      </c>
      <c r="E1679" s="61">
        <v>38.9</v>
      </c>
      <c r="F1679" s="61">
        <v>128.30000000000001</v>
      </c>
      <c r="G1679" s="61">
        <v>46.3</v>
      </c>
      <c r="H1679" s="61">
        <v>13.6</v>
      </c>
      <c r="I1679" s="61">
        <v>30.3</v>
      </c>
      <c r="J1679" s="61">
        <v>28.9</v>
      </c>
      <c r="K1679" s="61">
        <v>8.6999999999999993</v>
      </c>
      <c r="L1679" s="61">
        <v>58.6</v>
      </c>
      <c r="M1679" s="61">
        <v>57</v>
      </c>
      <c r="N1679" s="61">
        <v>64.400000000000006</v>
      </c>
      <c r="O1679" s="85">
        <v>56</v>
      </c>
      <c r="P1679" s="105"/>
      <c r="Q1679" s="87">
        <f t="shared" si="159"/>
        <v>-3.4253921127147609E-3</v>
      </c>
      <c r="R1679" s="87">
        <f t="shared" si="157"/>
        <v>9.0425071234810014E-3</v>
      </c>
      <c r="S1679" s="87">
        <f t="shared" si="157"/>
        <v>0.14259042253218643</v>
      </c>
      <c r="T1679" s="87">
        <f t="shared" si="157"/>
        <v>7.7419741536154593E-3</v>
      </c>
      <c r="U1679" s="87">
        <f t="shared" si="157"/>
        <v>7.0395284835278729E-3</v>
      </c>
      <c r="V1679" s="87">
        <f t="shared" si="158"/>
        <v>6.5005646030932424E-3</v>
      </c>
      <c r="W1679" s="87">
        <f t="shared" si="158"/>
        <v>-2.1819047394639839E-2</v>
      </c>
      <c r="X1679" s="87">
        <f t="shared" si="158"/>
        <v>1.6639319003964724E-2</v>
      </c>
      <c r="Y1679" s="87">
        <f t="shared" si="158"/>
        <v>0</v>
      </c>
      <c r="Z1679" s="87">
        <f t="shared" si="158"/>
        <v>-2.2728251077556289E-2</v>
      </c>
      <c r="AA1679" s="87">
        <f t="shared" si="158"/>
        <v>3.4188067487856823E-3</v>
      </c>
      <c r="AB1679" s="87">
        <f t="shared" si="158"/>
        <v>-6.9930354909705254E-3</v>
      </c>
      <c r="AC1679" s="87">
        <f t="shared" si="158"/>
        <v>-1.5408625352845068E-2</v>
      </c>
      <c r="AD1679" s="87">
        <f t="shared" si="158"/>
        <v>1.7873105740958803E-3</v>
      </c>
      <c r="AE1679" s="90">
        <f t="shared" ref="AE1679:AE1742" si="160">+SUMPRODUCT(Q1679:AD1679,$Q$8:$AD$8)</f>
        <v>4.6685986678622213E-2</v>
      </c>
    </row>
    <row r="1680" spans="1:31" ht="15.5" x14ac:dyDescent="0.35">
      <c r="A1680" s="82">
        <v>42205</v>
      </c>
      <c r="B1680" s="83">
        <v>10969.5</v>
      </c>
      <c r="C1680" s="84">
        <v>5218.8999999999996</v>
      </c>
      <c r="D1680" s="61">
        <v>681.8</v>
      </c>
      <c r="E1680" s="61">
        <v>39.299999999999997</v>
      </c>
      <c r="F1680" s="61">
        <v>130.69999999999999</v>
      </c>
      <c r="G1680" s="61">
        <v>46.4</v>
      </c>
      <c r="H1680" s="61">
        <v>13.6</v>
      </c>
      <c r="I1680" s="61">
        <v>30</v>
      </c>
      <c r="J1680" s="61">
        <v>28.4</v>
      </c>
      <c r="K1680" s="61">
        <v>8.5</v>
      </c>
      <c r="L1680" s="61">
        <v>58.9</v>
      </c>
      <c r="M1680" s="61">
        <v>57.1</v>
      </c>
      <c r="N1680" s="61">
        <v>63.8</v>
      </c>
      <c r="O1680" s="85">
        <v>56.4</v>
      </c>
      <c r="P1680" s="105"/>
      <c r="Q1680" s="87">
        <f t="shared" si="159"/>
        <v>-1.6122644872964621E-3</v>
      </c>
      <c r="R1680" s="87">
        <f t="shared" si="157"/>
        <v>1.6876022798989769E-3</v>
      </c>
      <c r="S1680" s="87">
        <f t="shared" si="157"/>
        <v>5.5890717634070209E-3</v>
      </c>
      <c r="T1680" s="87">
        <f t="shared" si="157"/>
        <v>1.0230268250814823E-2</v>
      </c>
      <c r="U1680" s="87">
        <f t="shared" si="157"/>
        <v>1.8533349008585394E-2</v>
      </c>
      <c r="V1680" s="87">
        <f t="shared" si="158"/>
        <v>2.1574981400213143E-3</v>
      </c>
      <c r="W1680" s="87">
        <f t="shared" si="158"/>
        <v>0</v>
      </c>
      <c r="X1680" s="87">
        <f t="shared" si="158"/>
        <v>-9.950330853168092E-3</v>
      </c>
      <c r="Y1680" s="87">
        <f t="shared" si="158"/>
        <v>-1.7452449951226166E-2</v>
      </c>
      <c r="Z1680" s="87">
        <f t="shared" si="158"/>
        <v>-2.3256862164267235E-2</v>
      </c>
      <c r="AA1680" s="87">
        <f t="shared" si="158"/>
        <v>5.1063940745740555E-3</v>
      </c>
      <c r="AB1680" s="87">
        <f t="shared" si="158"/>
        <v>1.7528488274143868E-3</v>
      </c>
      <c r="AC1680" s="87">
        <f t="shared" si="158"/>
        <v>-9.3604427595639205E-3</v>
      </c>
      <c r="AD1680" s="87">
        <f t="shared" si="158"/>
        <v>7.1174677688639549E-3</v>
      </c>
      <c r="AE1680" s="90">
        <f t="shared" si="160"/>
        <v>8.3066586896094613E-3</v>
      </c>
    </row>
    <row r="1681" spans="1:31" ht="15.5" x14ac:dyDescent="0.35">
      <c r="A1681" s="82">
        <v>42206</v>
      </c>
      <c r="B1681" s="83">
        <v>10919</v>
      </c>
      <c r="C1681" s="84">
        <v>5208.1000000000004</v>
      </c>
      <c r="D1681" s="61">
        <v>684.2</v>
      </c>
      <c r="E1681" s="61">
        <v>39.4</v>
      </c>
      <c r="F1681" s="61">
        <v>130.30000000000001</v>
      </c>
      <c r="G1681" s="61">
        <v>46.5</v>
      </c>
      <c r="H1681" s="61">
        <v>13.7</v>
      </c>
      <c r="I1681" s="61">
        <v>29.9</v>
      </c>
      <c r="J1681" s="61">
        <v>28.4</v>
      </c>
      <c r="K1681" s="61">
        <v>8.5</v>
      </c>
      <c r="L1681" s="61">
        <v>58.7</v>
      </c>
      <c r="M1681" s="61">
        <v>57.1</v>
      </c>
      <c r="N1681" s="61">
        <v>63.9</v>
      </c>
      <c r="O1681" s="85">
        <v>56.4</v>
      </c>
      <c r="P1681" s="105"/>
      <c r="Q1681" s="87">
        <f t="shared" si="159"/>
        <v>-4.6143033650493416E-3</v>
      </c>
      <c r="R1681" s="87">
        <f t="shared" si="157"/>
        <v>-2.0715457681348315E-3</v>
      </c>
      <c r="S1681" s="87">
        <f t="shared" si="157"/>
        <v>3.5139128397016976E-3</v>
      </c>
      <c r="T1681" s="87">
        <f t="shared" si="157"/>
        <v>2.5412974286725481E-3</v>
      </c>
      <c r="U1681" s="87">
        <f t="shared" si="157"/>
        <v>-3.0651364993766654E-3</v>
      </c>
      <c r="V1681" s="87">
        <f t="shared" si="158"/>
        <v>2.1528533611010927E-3</v>
      </c>
      <c r="W1681" s="87">
        <f t="shared" si="158"/>
        <v>7.3260400920728812E-3</v>
      </c>
      <c r="X1681" s="87">
        <f t="shared" si="158"/>
        <v>-3.3389012655147096E-3</v>
      </c>
      <c r="Y1681" s="87">
        <f t="shared" si="158"/>
        <v>0</v>
      </c>
      <c r="Z1681" s="87">
        <f t="shared" si="158"/>
        <v>0</v>
      </c>
      <c r="AA1681" s="87">
        <f t="shared" si="158"/>
        <v>-3.4013638234901785E-3</v>
      </c>
      <c r="AB1681" s="87">
        <f t="shared" si="158"/>
        <v>0</v>
      </c>
      <c r="AC1681" s="87">
        <f t="shared" si="158"/>
        <v>1.5661710327448761E-3</v>
      </c>
      <c r="AD1681" s="87">
        <f t="shared" si="158"/>
        <v>0</v>
      </c>
      <c r="AE1681" s="90">
        <f t="shared" si="160"/>
        <v>-4.6863624521535229E-4</v>
      </c>
    </row>
    <row r="1682" spans="1:31" ht="15.5" x14ac:dyDescent="0.35">
      <c r="A1682" s="82">
        <v>42207</v>
      </c>
      <c r="B1682" s="83">
        <v>10899.9</v>
      </c>
      <c r="C1682" s="84">
        <v>5171.8</v>
      </c>
      <c r="D1682" s="61">
        <v>691.6</v>
      </c>
      <c r="E1682" s="61">
        <v>38.299999999999997</v>
      </c>
      <c r="F1682" s="61">
        <v>122</v>
      </c>
      <c r="G1682" s="61">
        <v>45.2</v>
      </c>
      <c r="H1682" s="61">
        <v>13.6</v>
      </c>
      <c r="I1682" s="61">
        <v>30</v>
      </c>
      <c r="J1682" s="61">
        <v>28</v>
      </c>
      <c r="K1682" s="61">
        <v>8.6999999999999993</v>
      </c>
      <c r="L1682" s="61">
        <v>58</v>
      </c>
      <c r="M1682" s="61">
        <v>57.1</v>
      </c>
      <c r="N1682" s="61">
        <v>56.7</v>
      </c>
      <c r="O1682" s="85">
        <v>56.4</v>
      </c>
      <c r="P1682" s="105"/>
      <c r="Q1682" s="87">
        <f t="shared" si="159"/>
        <v>-1.7507761508421024E-3</v>
      </c>
      <c r="R1682" s="87">
        <f t="shared" si="157"/>
        <v>-6.9943155491364222E-3</v>
      </c>
      <c r="S1682" s="87">
        <f t="shared" si="157"/>
        <v>1.0757481265631166E-2</v>
      </c>
      <c r="T1682" s="87">
        <f t="shared" si="157"/>
        <v>-2.8315920117287854E-2</v>
      </c>
      <c r="U1682" s="87">
        <f t="shared" si="157"/>
        <v>-6.5818439397542922E-2</v>
      </c>
      <c r="V1682" s="87">
        <f t="shared" si="158"/>
        <v>-2.8355225755125009E-2</v>
      </c>
      <c r="W1682" s="87">
        <f t="shared" si="158"/>
        <v>-7.3260400920728977E-3</v>
      </c>
      <c r="X1682" s="87">
        <f t="shared" si="158"/>
        <v>3.3389012655146303E-3</v>
      </c>
      <c r="Y1682" s="87">
        <f t="shared" si="158"/>
        <v>-1.4184634991956413E-2</v>
      </c>
      <c r="Z1682" s="87">
        <f t="shared" si="158"/>
        <v>2.3256862164267183E-2</v>
      </c>
      <c r="AA1682" s="87">
        <f t="shared" si="158"/>
        <v>-1.1996716287631437E-2</v>
      </c>
      <c r="AB1682" s="87">
        <f t="shared" si="158"/>
        <v>0</v>
      </c>
      <c r="AC1682" s="87">
        <f t="shared" si="158"/>
        <v>-0.11954515064978269</v>
      </c>
      <c r="AD1682" s="87">
        <f t="shared" si="158"/>
        <v>0</v>
      </c>
      <c r="AE1682" s="90">
        <f t="shared" si="160"/>
        <v>-1.77671825628457E-2</v>
      </c>
    </row>
    <row r="1683" spans="1:31" ht="15.5" x14ac:dyDescent="0.35">
      <c r="A1683" s="82">
        <v>42208</v>
      </c>
      <c r="B1683" s="83">
        <v>10840.7</v>
      </c>
      <c r="C1683" s="84">
        <v>5146.3999999999996</v>
      </c>
      <c r="D1683" s="61">
        <v>671.6</v>
      </c>
      <c r="E1683" s="61">
        <v>39.1</v>
      </c>
      <c r="F1683" s="61">
        <v>125.1</v>
      </c>
      <c r="G1683" s="61">
        <v>45.1</v>
      </c>
      <c r="H1683" s="61">
        <v>13.6</v>
      </c>
      <c r="I1683" s="61">
        <v>29.9</v>
      </c>
      <c r="J1683" s="61">
        <v>27.7</v>
      </c>
      <c r="K1683" s="61">
        <v>8.5</v>
      </c>
      <c r="L1683" s="61">
        <v>57.9</v>
      </c>
      <c r="M1683" s="61">
        <v>56.6</v>
      </c>
      <c r="N1683" s="61">
        <v>58.7</v>
      </c>
      <c r="O1683" s="85">
        <v>56.9</v>
      </c>
      <c r="P1683" s="105"/>
      <c r="Q1683" s="87">
        <f t="shared" si="159"/>
        <v>-5.4460453087476542E-3</v>
      </c>
      <c r="R1683" s="87">
        <f t="shared" si="157"/>
        <v>-4.9233492870156973E-3</v>
      </c>
      <c r="S1683" s="87">
        <f t="shared" si="157"/>
        <v>-2.9344828605749634E-2</v>
      </c>
      <c r="T1683" s="87">
        <f t="shared" si="157"/>
        <v>2.0672570804719882E-2</v>
      </c>
      <c r="U1683" s="87">
        <f t="shared" si="157"/>
        <v>2.5092372739608806E-2</v>
      </c>
      <c r="V1683" s="87">
        <f t="shared" si="158"/>
        <v>-2.2148403295528985E-3</v>
      </c>
      <c r="W1683" s="87">
        <f t="shared" si="158"/>
        <v>0</v>
      </c>
      <c r="X1683" s="87">
        <f t="shared" si="158"/>
        <v>-3.3389012655147096E-3</v>
      </c>
      <c r="Y1683" s="87">
        <f t="shared" si="158"/>
        <v>-1.0772096981911183E-2</v>
      </c>
      <c r="Z1683" s="87">
        <f t="shared" si="158"/>
        <v>-2.3256862164267235E-2</v>
      </c>
      <c r="AA1683" s="87">
        <f t="shared" si="158"/>
        <v>-1.7256259674698364E-3</v>
      </c>
      <c r="AB1683" s="87">
        <f t="shared" si="158"/>
        <v>-8.795131452827289E-3</v>
      </c>
      <c r="AC1683" s="87">
        <f t="shared" si="158"/>
        <v>3.4665516100344379E-2</v>
      </c>
      <c r="AD1683" s="87">
        <f t="shared" si="158"/>
        <v>8.8261826282721185E-3</v>
      </c>
      <c r="AE1683" s="90">
        <f t="shared" si="160"/>
        <v>-1.8191924768979646E-3</v>
      </c>
    </row>
    <row r="1684" spans="1:31" ht="15.5" x14ac:dyDescent="0.35">
      <c r="A1684" s="82">
        <v>42209</v>
      </c>
      <c r="B1684" s="83">
        <v>10722</v>
      </c>
      <c r="C1684" s="84">
        <v>5088.6000000000004</v>
      </c>
      <c r="D1684" s="61">
        <v>653.20000000000005</v>
      </c>
      <c r="E1684" s="61">
        <v>38.700000000000003</v>
      </c>
      <c r="F1684" s="61">
        <v>123.9</v>
      </c>
      <c r="G1684" s="61">
        <v>45.8</v>
      </c>
      <c r="H1684" s="61">
        <v>13.4</v>
      </c>
      <c r="I1684" s="61">
        <v>29.1</v>
      </c>
      <c r="J1684" s="61">
        <v>27.5</v>
      </c>
      <c r="K1684" s="61">
        <v>8.4</v>
      </c>
      <c r="L1684" s="61">
        <v>57.3</v>
      </c>
      <c r="M1684" s="61">
        <v>55.8</v>
      </c>
      <c r="N1684" s="61">
        <v>59.4</v>
      </c>
      <c r="O1684" s="85">
        <v>56.2</v>
      </c>
      <c r="P1684" s="105"/>
      <c r="Q1684" s="87">
        <f t="shared" si="159"/>
        <v>-1.1009864166993379E-2</v>
      </c>
      <c r="R1684" s="87">
        <f t="shared" si="157"/>
        <v>-1.1294697501081131E-2</v>
      </c>
      <c r="S1684" s="87">
        <f t="shared" si="157"/>
        <v>-2.7779564107075706E-2</v>
      </c>
      <c r="T1684" s="87">
        <f t="shared" si="157"/>
        <v>-1.0282866955583919E-2</v>
      </c>
      <c r="U1684" s="87">
        <f t="shared" si="157"/>
        <v>-9.638628837768632E-3</v>
      </c>
      <c r="V1684" s="87">
        <f t="shared" si="158"/>
        <v>1.5401844611506484E-2</v>
      </c>
      <c r="W1684" s="87">
        <f t="shared" si="158"/>
        <v>-1.4815085785140587E-2</v>
      </c>
      <c r="X1684" s="87">
        <f t="shared" si="158"/>
        <v>-2.7120306219193781E-2</v>
      </c>
      <c r="Y1684" s="87">
        <f t="shared" si="158"/>
        <v>-7.2464085207671978E-3</v>
      </c>
      <c r="Z1684" s="87">
        <f t="shared" si="158"/>
        <v>-1.1834457647002796E-2</v>
      </c>
      <c r="AA1684" s="87">
        <f t="shared" si="158"/>
        <v>-1.0416760858255715E-2</v>
      </c>
      <c r="AB1684" s="87">
        <f t="shared" si="158"/>
        <v>-1.4235115821872098E-2</v>
      </c>
      <c r="AC1684" s="87">
        <f t="shared" si="158"/>
        <v>1.1854499534548379E-2</v>
      </c>
      <c r="AD1684" s="87">
        <f t="shared" si="158"/>
        <v>-1.2378584232639756E-2</v>
      </c>
      <c r="AE1684" s="90">
        <f t="shared" si="160"/>
        <v>-1.5779088416088737E-2</v>
      </c>
    </row>
    <row r="1685" spans="1:31" ht="15.5" x14ac:dyDescent="0.35">
      <c r="A1685" s="82">
        <v>42212</v>
      </c>
      <c r="B1685" s="83">
        <v>10656.6</v>
      </c>
      <c r="C1685" s="84">
        <v>5039.8</v>
      </c>
      <c r="D1685" s="61">
        <v>651.6</v>
      </c>
      <c r="E1685" s="61">
        <v>37.700000000000003</v>
      </c>
      <c r="F1685" s="61">
        <v>122.1</v>
      </c>
      <c r="G1685" s="61">
        <v>45.3</v>
      </c>
      <c r="H1685" s="61">
        <v>13.2</v>
      </c>
      <c r="I1685" s="61">
        <v>28.6</v>
      </c>
      <c r="J1685" s="61">
        <v>27.2</v>
      </c>
      <c r="K1685" s="61">
        <v>8.1999999999999993</v>
      </c>
      <c r="L1685" s="61">
        <v>56.6</v>
      </c>
      <c r="M1685" s="61">
        <v>54.8</v>
      </c>
      <c r="N1685" s="61">
        <v>57.4</v>
      </c>
      <c r="O1685" s="85">
        <v>55.5</v>
      </c>
      <c r="P1685" s="105"/>
      <c r="Q1685" s="87">
        <f t="shared" si="159"/>
        <v>-6.1182868861469186E-3</v>
      </c>
      <c r="R1685" s="87">
        <f t="shared" si="157"/>
        <v>-9.6363448573504144E-3</v>
      </c>
      <c r="S1685" s="87">
        <f t="shared" si="157"/>
        <v>-2.4524843684200371E-3</v>
      </c>
      <c r="T1685" s="87">
        <f t="shared" si="157"/>
        <v>-2.6179505581771054E-2</v>
      </c>
      <c r="U1685" s="87">
        <f t="shared" si="157"/>
        <v>-1.4634407518437809E-2</v>
      </c>
      <c r="V1685" s="87">
        <f t="shared" si="158"/>
        <v>-1.0977058631150907E-2</v>
      </c>
      <c r="W1685" s="87">
        <f t="shared" si="158"/>
        <v>-1.5037877364540559E-2</v>
      </c>
      <c r="X1685" s="87">
        <f t="shared" si="158"/>
        <v>-1.7331456351639976E-2</v>
      </c>
      <c r="Y1685" s="87">
        <f t="shared" si="158"/>
        <v>-1.0969031370574046E-2</v>
      </c>
      <c r="Z1685" s="87">
        <f t="shared" si="158"/>
        <v>-2.4097551579060641E-2</v>
      </c>
      <c r="AA1685" s="87">
        <f t="shared" si="158"/>
        <v>-1.2291638511556511E-2</v>
      </c>
      <c r="AB1685" s="87">
        <f t="shared" si="158"/>
        <v>-1.8083675433295351E-2</v>
      </c>
      <c r="AC1685" s="87">
        <f t="shared" si="158"/>
        <v>-3.4249923043078466E-2</v>
      </c>
      <c r="AD1685" s="87">
        <f t="shared" si="158"/>
        <v>-1.253373614725658E-2</v>
      </c>
      <c r="AE1685" s="90">
        <f t="shared" si="160"/>
        <v>-9.3144802700435066E-3</v>
      </c>
    </row>
    <row r="1686" spans="1:31" ht="15.5" x14ac:dyDescent="0.35">
      <c r="A1686" s="82">
        <v>42213</v>
      </c>
      <c r="B1686" s="83">
        <v>10790.2</v>
      </c>
      <c r="C1686" s="84">
        <v>5089.2</v>
      </c>
      <c r="D1686" s="61">
        <v>653.4</v>
      </c>
      <c r="E1686" s="61">
        <v>37.299999999999997</v>
      </c>
      <c r="F1686" s="61">
        <v>122.6</v>
      </c>
      <c r="G1686" s="61">
        <v>44.8</v>
      </c>
      <c r="H1686" s="61">
        <v>13.1</v>
      </c>
      <c r="I1686" s="61">
        <v>28.7</v>
      </c>
      <c r="J1686" s="61">
        <v>27</v>
      </c>
      <c r="K1686" s="61">
        <v>8.1999999999999993</v>
      </c>
      <c r="L1686" s="61">
        <v>55.8</v>
      </c>
      <c r="M1686" s="61">
        <v>55.4</v>
      </c>
      <c r="N1686" s="61">
        <v>57.3</v>
      </c>
      <c r="O1686" s="85">
        <v>55.9</v>
      </c>
      <c r="P1686" s="105"/>
      <c r="Q1686" s="87">
        <f t="shared" si="159"/>
        <v>1.2458896260247024E-2</v>
      </c>
      <c r="R1686" s="87">
        <f t="shared" si="157"/>
        <v>9.7542485301862769E-3</v>
      </c>
      <c r="S1686" s="87">
        <f t="shared" si="157"/>
        <v>2.7586224390796607E-3</v>
      </c>
      <c r="T1686" s="87">
        <f t="shared" si="157"/>
        <v>-1.0666767804195416E-2</v>
      </c>
      <c r="U1686" s="87">
        <f t="shared" si="157"/>
        <v>4.0866423854520077E-3</v>
      </c>
      <c r="V1686" s="87">
        <f t="shared" si="158"/>
        <v>-1.1098893068048803E-2</v>
      </c>
      <c r="W1686" s="87">
        <f t="shared" si="158"/>
        <v>-7.6045993852193036E-3</v>
      </c>
      <c r="X1686" s="87">
        <f t="shared" si="158"/>
        <v>3.4904049397683459E-3</v>
      </c>
      <c r="Y1686" s="87">
        <f t="shared" si="158"/>
        <v>-7.3801072976225337E-3</v>
      </c>
      <c r="Z1686" s="87">
        <f t="shared" si="158"/>
        <v>0</v>
      </c>
      <c r="AA1686" s="87">
        <f t="shared" si="158"/>
        <v>-1.4235115821872098E-2</v>
      </c>
      <c r="AB1686" s="87">
        <f t="shared" si="158"/>
        <v>1.0889399799268317E-2</v>
      </c>
      <c r="AC1686" s="87">
        <f t="shared" si="158"/>
        <v>-1.7436796048268398E-3</v>
      </c>
      <c r="AD1686" s="87">
        <f t="shared" si="158"/>
        <v>7.1813594086645761E-3</v>
      </c>
      <c r="AE1686" s="90">
        <f t="shared" si="160"/>
        <v>5.7728594025934872E-3</v>
      </c>
    </row>
    <row r="1687" spans="1:31" ht="15.5" x14ac:dyDescent="0.35">
      <c r="A1687" s="82">
        <v>42214</v>
      </c>
      <c r="B1687" s="83">
        <v>10883.9</v>
      </c>
      <c r="C1687" s="84">
        <v>5111.7</v>
      </c>
      <c r="D1687" s="61">
        <v>652.79999999999995</v>
      </c>
      <c r="E1687" s="61">
        <v>37.4</v>
      </c>
      <c r="F1687" s="61">
        <v>122.3</v>
      </c>
      <c r="G1687" s="61">
        <v>45.3</v>
      </c>
      <c r="H1687" s="61">
        <v>12.1</v>
      </c>
      <c r="I1687" s="61">
        <v>29.3</v>
      </c>
      <c r="J1687" s="61">
        <v>26.6</v>
      </c>
      <c r="K1687" s="61">
        <v>8.1</v>
      </c>
      <c r="L1687" s="61">
        <v>57.6</v>
      </c>
      <c r="M1687" s="61">
        <v>56.2</v>
      </c>
      <c r="N1687" s="61">
        <v>58</v>
      </c>
      <c r="O1687" s="85">
        <v>56.8</v>
      </c>
      <c r="P1687" s="105"/>
      <c r="Q1687" s="87">
        <f t="shared" si="159"/>
        <v>8.6463183007422836E-3</v>
      </c>
      <c r="R1687" s="87">
        <f t="shared" si="157"/>
        <v>4.4113826207578628E-3</v>
      </c>
      <c r="S1687" s="87">
        <f t="shared" si="157"/>
        <v>-9.1869551707258047E-4</v>
      </c>
      <c r="T1687" s="87">
        <f t="shared" si="157"/>
        <v>2.6773777707163942E-3</v>
      </c>
      <c r="U1687" s="87">
        <f t="shared" si="157"/>
        <v>-2.449980808984324E-3</v>
      </c>
      <c r="V1687" s="87">
        <f t="shared" si="158"/>
        <v>1.1098893068048765E-2</v>
      </c>
      <c r="W1687" s="87">
        <f t="shared" si="158"/>
        <v>-7.9406777604410478E-2</v>
      </c>
      <c r="X1687" s="87">
        <f t="shared" si="158"/>
        <v>2.0690393257446246E-2</v>
      </c>
      <c r="Y1687" s="87">
        <f t="shared" si="158"/>
        <v>-1.4925650216675593E-2</v>
      </c>
      <c r="Z1687" s="87">
        <f t="shared" si="158"/>
        <v>-1.2270092591814359E-2</v>
      </c>
      <c r="AA1687" s="87">
        <f t="shared" si="158"/>
        <v>3.174869831458027E-2</v>
      </c>
      <c r="AB1687" s="87">
        <f t="shared" si="158"/>
        <v>1.4337163146407249E-2</v>
      </c>
      <c r="AC1687" s="87">
        <f t="shared" si="158"/>
        <v>1.2142386825725561E-2</v>
      </c>
      <c r="AD1687" s="87">
        <f t="shared" si="158"/>
        <v>1.5971945566052186E-2</v>
      </c>
      <c r="AE1687" s="90">
        <f t="shared" si="160"/>
        <v>2.2941611794325117E-3</v>
      </c>
    </row>
    <row r="1688" spans="1:31" ht="15.5" x14ac:dyDescent="0.35">
      <c r="A1688" s="82">
        <v>42215</v>
      </c>
      <c r="B1688" s="83">
        <v>10881.8</v>
      </c>
      <c r="C1688" s="84">
        <v>5128.8</v>
      </c>
      <c r="D1688" s="61">
        <v>651.70000000000005</v>
      </c>
      <c r="E1688" s="61">
        <v>37.299999999999997</v>
      </c>
      <c r="F1688" s="61">
        <v>121.7</v>
      </c>
      <c r="G1688" s="61">
        <v>45.9</v>
      </c>
      <c r="H1688" s="61">
        <v>13</v>
      </c>
      <c r="I1688" s="61">
        <v>29.5</v>
      </c>
      <c r="J1688" s="61">
        <v>26.9</v>
      </c>
      <c r="K1688" s="61">
        <v>8.1999999999999993</v>
      </c>
      <c r="L1688" s="61">
        <v>58.3</v>
      </c>
      <c r="M1688" s="61">
        <v>55.7</v>
      </c>
      <c r="N1688" s="61">
        <v>57.8</v>
      </c>
      <c r="O1688" s="85">
        <v>57</v>
      </c>
      <c r="P1688" s="105"/>
      <c r="Q1688" s="87">
        <f t="shared" si="159"/>
        <v>-1.9296415980345541E-4</v>
      </c>
      <c r="R1688" s="87">
        <f t="shared" si="157"/>
        <v>3.339683783744548E-3</v>
      </c>
      <c r="S1688" s="87">
        <f t="shared" si="157"/>
        <v>-1.6864703115624729E-3</v>
      </c>
      <c r="T1688" s="87">
        <f t="shared" si="157"/>
        <v>-2.6773777707164029E-3</v>
      </c>
      <c r="U1688" s="87">
        <f t="shared" si="157"/>
        <v>-4.9180426996451448E-3</v>
      </c>
      <c r="V1688" s="87">
        <f t="shared" si="158"/>
        <v>1.3158084577511201E-2</v>
      </c>
      <c r="W1688" s="87">
        <f t="shared" si="158"/>
        <v>7.1743904858841315E-2</v>
      </c>
      <c r="X1688" s="87">
        <f t="shared" si="158"/>
        <v>6.8027473227523999E-3</v>
      </c>
      <c r="Y1688" s="87">
        <f t="shared" si="158"/>
        <v>1.1215070820140003E-2</v>
      </c>
      <c r="Z1688" s="87">
        <f t="shared" si="158"/>
        <v>1.2270092591814401E-2</v>
      </c>
      <c r="AA1688" s="87">
        <f t="shared" si="158"/>
        <v>1.2079525654601041E-2</v>
      </c>
      <c r="AB1688" s="87">
        <f t="shared" si="158"/>
        <v>-8.9366099664070792E-3</v>
      </c>
      <c r="AC1688" s="87">
        <f t="shared" si="158"/>
        <v>-3.4542348680875576E-3</v>
      </c>
      <c r="AD1688" s="87">
        <f t="shared" si="158"/>
        <v>3.5149421074445919E-3</v>
      </c>
      <c r="AE1688" s="90">
        <f t="shared" si="160"/>
        <v>-4.7169791598268768E-4</v>
      </c>
    </row>
    <row r="1689" spans="1:31" ht="15.5" x14ac:dyDescent="0.35">
      <c r="A1689" s="82">
        <v>42216</v>
      </c>
      <c r="B1689" s="83">
        <v>10882.3</v>
      </c>
      <c r="C1689" s="84">
        <v>5128.3</v>
      </c>
      <c r="D1689" s="61">
        <v>657.2</v>
      </c>
      <c r="E1689" s="61">
        <v>36.6</v>
      </c>
      <c r="F1689" s="61">
        <v>120.9</v>
      </c>
      <c r="G1689" s="61">
        <v>46.5</v>
      </c>
      <c r="H1689" s="61">
        <v>12.8</v>
      </c>
      <c r="I1689" s="61">
        <v>29.6</v>
      </c>
      <c r="J1689" s="61">
        <v>27.1</v>
      </c>
      <c r="K1689" s="61">
        <v>8.1999999999999993</v>
      </c>
      <c r="L1689" s="61">
        <v>58.7</v>
      </c>
      <c r="M1689" s="61">
        <v>55.5</v>
      </c>
      <c r="N1689" s="61">
        <v>58.1</v>
      </c>
      <c r="O1689" s="85">
        <v>57.4</v>
      </c>
      <c r="P1689" s="105"/>
      <c r="Q1689" s="87">
        <f t="shared" si="159"/>
        <v>4.5947225025526803E-5</v>
      </c>
      <c r="R1689" s="87">
        <f t="shared" si="157"/>
        <v>-9.7493443643099575E-5</v>
      </c>
      <c r="S1689" s="87">
        <f t="shared" si="157"/>
        <v>8.4040528247782808E-3</v>
      </c>
      <c r="T1689" s="87">
        <f t="shared" si="157"/>
        <v>-1.8945086242449193E-2</v>
      </c>
      <c r="U1689" s="87">
        <f t="shared" si="157"/>
        <v>-6.5952423727344261E-3</v>
      </c>
      <c r="V1689" s="87">
        <f t="shared" si="158"/>
        <v>1.2987195526811112E-2</v>
      </c>
      <c r="W1689" s="87">
        <f t="shared" si="158"/>
        <v>-1.5504186535965199E-2</v>
      </c>
      <c r="X1689" s="87">
        <f t="shared" si="158"/>
        <v>3.3840979842404942E-3</v>
      </c>
      <c r="Y1689" s="87">
        <f t="shared" ref="Y1689:AD1731" si="161">+LN(J1689/J1688)</f>
        <v>7.4074412778618176E-3</v>
      </c>
      <c r="Z1689" s="87">
        <f t="shared" si="161"/>
        <v>0</v>
      </c>
      <c r="AA1689" s="87">
        <f t="shared" si="161"/>
        <v>6.8376334776041889E-3</v>
      </c>
      <c r="AB1689" s="87">
        <f t="shared" si="161"/>
        <v>-3.5971261808495918E-3</v>
      </c>
      <c r="AC1689" s="87">
        <f t="shared" si="161"/>
        <v>5.1768881795337274E-3</v>
      </c>
      <c r="AD1689" s="87">
        <f t="shared" si="161"/>
        <v>6.9930354909706043E-3</v>
      </c>
      <c r="AE1689" s="90">
        <f t="shared" si="160"/>
        <v>1.3953380590552653E-3</v>
      </c>
    </row>
    <row r="1690" spans="1:31" ht="15.5" x14ac:dyDescent="0.35">
      <c r="A1690" s="82">
        <v>42219</v>
      </c>
      <c r="B1690" s="83">
        <v>10841.3</v>
      </c>
      <c r="C1690" s="84">
        <v>5115.3999999999996</v>
      </c>
      <c r="D1690" s="61">
        <v>657.7</v>
      </c>
      <c r="E1690" s="61">
        <v>36.4</v>
      </c>
      <c r="F1690" s="61">
        <v>117.5</v>
      </c>
      <c r="G1690" s="61">
        <v>46.5</v>
      </c>
      <c r="H1690" s="61">
        <v>12.6</v>
      </c>
      <c r="I1690" s="61">
        <v>29.9</v>
      </c>
      <c r="J1690" s="61">
        <v>27</v>
      </c>
      <c r="K1690" s="61">
        <v>8.1999999999999993</v>
      </c>
      <c r="L1690" s="61">
        <v>58.5</v>
      </c>
      <c r="M1690" s="61">
        <v>55.4</v>
      </c>
      <c r="N1690" s="61">
        <v>57.3</v>
      </c>
      <c r="O1690" s="85">
        <v>56.8</v>
      </c>
      <c r="P1690" s="105"/>
      <c r="Q1690" s="87">
        <f t="shared" si="159"/>
        <v>-3.7747011252199994E-3</v>
      </c>
      <c r="R1690" s="87">
        <f t="shared" si="157"/>
        <v>-2.5186225327212828E-3</v>
      </c>
      <c r="S1690" s="87">
        <f t="shared" si="157"/>
        <v>7.6051414419228453E-4</v>
      </c>
      <c r="T1690" s="87">
        <f t="shared" si="157"/>
        <v>-5.4794657646257076E-3</v>
      </c>
      <c r="U1690" s="87">
        <f t="shared" si="157"/>
        <v>-2.8525424036533381E-2</v>
      </c>
      <c r="V1690" s="87">
        <f t="shared" si="157"/>
        <v>0</v>
      </c>
      <c r="W1690" s="87">
        <f t="shared" si="157"/>
        <v>-1.5748356968139282E-2</v>
      </c>
      <c r="X1690" s="87">
        <f t="shared" si="157"/>
        <v>1.0084119066626008E-2</v>
      </c>
      <c r="Y1690" s="87">
        <f t="shared" si="161"/>
        <v>-3.6968618813262031E-3</v>
      </c>
      <c r="Z1690" s="87">
        <f t="shared" si="161"/>
        <v>0</v>
      </c>
      <c r="AA1690" s="87">
        <f t="shared" si="161"/>
        <v>-3.4129725962399574E-3</v>
      </c>
      <c r="AB1690" s="87">
        <f t="shared" si="161"/>
        <v>-1.8034269991506827E-3</v>
      </c>
      <c r="AC1690" s="87">
        <f t="shared" si="161"/>
        <v>-1.386504013717179E-2</v>
      </c>
      <c r="AD1690" s="87">
        <f t="shared" si="161"/>
        <v>-1.0507977598415093E-2</v>
      </c>
      <c r="AE1690" s="90">
        <f t="shared" si="160"/>
        <v>-9.9660572293629891E-3</v>
      </c>
    </row>
    <row r="1691" spans="1:31" ht="15.5" x14ac:dyDescent="0.35">
      <c r="A1691" s="82">
        <v>42220</v>
      </c>
      <c r="B1691" s="83">
        <v>10824.7</v>
      </c>
      <c r="C1691" s="84">
        <v>5105.5</v>
      </c>
      <c r="D1691" s="61">
        <v>660.5</v>
      </c>
      <c r="E1691" s="61">
        <v>36.6</v>
      </c>
      <c r="F1691" s="61">
        <v>113.3</v>
      </c>
      <c r="G1691" s="61">
        <v>46.7</v>
      </c>
      <c r="H1691" s="61">
        <v>12.5</v>
      </c>
      <c r="I1691" s="61">
        <v>30.3</v>
      </c>
      <c r="J1691" s="61">
        <v>27.1</v>
      </c>
      <c r="K1691" s="61">
        <v>8</v>
      </c>
      <c r="L1691" s="61">
        <v>58.4</v>
      </c>
      <c r="M1691" s="61">
        <v>55.5</v>
      </c>
      <c r="N1691" s="61">
        <v>57.6</v>
      </c>
      <c r="O1691" s="85">
        <v>57.2</v>
      </c>
      <c r="P1691" s="105"/>
      <c r="Q1691" s="87">
        <f t="shared" si="159"/>
        <v>-1.5323551415323451E-3</v>
      </c>
      <c r="R1691" s="87">
        <f t="shared" si="157"/>
        <v>-1.9372077010904509E-3</v>
      </c>
      <c r="S1691" s="87">
        <f t="shared" si="157"/>
        <v>4.2482236550746427E-3</v>
      </c>
      <c r="T1691" s="87">
        <f t="shared" si="157"/>
        <v>5.4794657646255705E-3</v>
      </c>
      <c r="U1691" s="87">
        <f t="shared" si="157"/>
        <v>-3.6399165550253049E-2</v>
      </c>
      <c r="V1691" s="87">
        <f t="shared" si="157"/>
        <v>4.2918520815410843E-3</v>
      </c>
      <c r="W1691" s="87">
        <f t="shared" si="157"/>
        <v>-7.9681696491768449E-3</v>
      </c>
      <c r="X1691" s="87">
        <f t="shared" si="157"/>
        <v>1.3289232118682706E-2</v>
      </c>
      <c r="Y1691" s="87">
        <f t="shared" si="161"/>
        <v>3.6968618813262026E-3</v>
      </c>
      <c r="Z1691" s="87">
        <f t="shared" si="161"/>
        <v>-2.4692612590371411E-2</v>
      </c>
      <c r="AA1691" s="87">
        <f t="shared" si="161"/>
        <v>-1.7108644036294301E-3</v>
      </c>
      <c r="AB1691" s="87">
        <f t="shared" si="161"/>
        <v>1.8034269991507267E-3</v>
      </c>
      <c r="AC1691" s="87">
        <f t="shared" si="161"/>
        <v>5.2219439811518461E-3</v>
      </c>
      <c r="AD1691" s="87">
        <f t="shared" si="161"/>
        <v>7.0175726586465398E-3</v>
      </c>
      <c r="AE1691" s="90">
        <f t="shared" si="160"/>
        <v>-8.8919113254775761E-3</v>
      </c>
    </row>
    <row r="1692" spans="1:31" ht="15.5" x14ac:dyDescent="0.35">
      <c r="A1692" s="82">
        <v>42221</v>
      </c>
      <c r="B1692" s="83">
        <v>10847.8</v>
      </c>
      <c r="C1692" s="84">
        <v>5139.8999999999996</v>
      </c>
      <c r="D1692" s="61">
        <v>665.6</v>
      </c>
      <c r="E1692" s="61">
        <v>37.200000000000003</v>
      </c>
      <c r="F1692" s="61">
        <v>112.1</v>
      </c>
      <c r="G1692" s="61">
        <v>47.5</v>
      </c>
      <c r="H1692" s="61">
        <v>12.7</v>
      </c>
      <c r="I1692" s="61">
        <v>30.9</v>
      </c>
      <c r="J1692" s="61">
        <v>27.3</v>
      </c>
      <c r="K1692" s="61">
        <v>8.1999999999999993</v>
      </c>
      <c r="L1692" s="61">
        <v>58.8</v>
      </c>
      <c r="M1692" s="61">
        <v>55.5</v>
      </c>
      <c r="N1692" s="61">
        <v>58.3</v>
      </c>
      <c r="O1692" s="85">
        <v>58.2</v>
      </c>
      <c r="P1692" s="105"/>
      <c r="Q1692" s="87">
        <f t="shared" si="159"/>
        <v>2.1317345712548695E-3</v>
      </c>
      <c r="R1692" s="87">
        <f t="shared" si="157"/>
        <v>6.7152340114439808E-3</v>
      </c>
      <c r="S1692" s="87">
        <f t="shared" si="157"/>
        <v>7.6917655446188263E-3</v>
      </c>
      <c r="T1692" s="87">
        <f t="shared" si="157"/>
        <v>1.6260520871780326E-2</v>
      </c>
      <c r="U1692" s="87">
        <f t="shared" si="157"/>
        <v>-1.0647837955846388E-2</v>
      </c>
      <c r="V1692" s="87">
        <f t="shared" si="157"/>
        <v>1.6985546365743807E-2</v>
      </c>
      <c r="W1692" s="87">
        <f t="shared" ref="W1692:AA1755" si="162">+LN(H1692/H1691)</f>
        <v>1.5873349156290163E-2</v>
      </c>
      <c r="X1692" s="87">
        <f t="shared" si="162"/>
        <v>1.9608471388376337E-2</v>
      </c>
      <c r="Y1692" s="87">
        <f t="shared" si="161"/>
        <v>7.3529743052587332E-3</v>
      </c>
      <c r="Z1692" s="87">
        <f t="shared" si="161"/>
        <v>2.4692612590371414E-2</v>
      </c>
      <c r="AA1692" s="87">
        <f t="shared" si="161"/>
        <v>6.8259650703998906E-3</v>
      </c>
      <c r="AB1692" s="87">
        <f t="shared" si="161"/>
        <v>0</v>
      </c>
      <c r="AC1692" s="87">
        <f t="shared" si="161"/>
        <v>1.2079525654601041E-2</v>
      </c>
      <c r="AD1692" s="87">
        <f t="shared" si="161"/>
        <v>1.7331456351639941E-2</v>
      </c>
      <c r="AE1692" s="90">
        <f t="shared" si="160"/>
        <v>3.3267327230928189E-3</v>
      </c>
    </row>
    <row r="1693" spans="1:31" ht="15.5" x14ac:dyDescent="0.35">
      <c r="A1693" s="82">
        <v>42222</v>
      </c>
      <c r="B1693" s="83">
        <v>10799.4</v>
      </c>
      <c r="C1693" s="84">
        <v>5056.3999999999996</v>
      </c>
      <c r="D1693" s="61">
        <v>660.7</v>
      </c>
      <c r="E1693" s="61">
        <v>36.299999999999997</v>
      </c>
      <c r="F1693" s="61">
        <v>114.1</v>
      </c>
      <c r="G1693" s="61">
        <v>46.3</v>
      </c>
      <c r="H1693" s="61">
        <v>12.5</v>
      </c>
      <c r="I1693" s="61">
        <v>30.3</v>
      </c>
      <c r="J1693" s="61">
        <v>26.8</v>
      </c>
      <c r="K1693" s="61">
        <v>8.3000000000000007</v>
      </c>
      <c r="L1693" s="61">
        <v>58.3</v>
      </c>
      <c r="M1693" s="61">
        <v>55.2</v>
      </c>
      <c r="N1693" s="61">
        <v>58.5</v>
      </c>
      <c r="O1693" s="85">
        <v>57.2</v>
      </c>
      <c r="P1693" s="105"/>
      <c r="Q1693" s="87">
        <f t="shared" si="159"/>
        <v>-4.4717174185614703E-3</v>
      </c>
      <c r="R1693" s="87">
        <f t="shared" ref="R1693:V1735" si="163">+LN(C1693/C1692)</f>
        <v>-1.6378856385634129E-2</v>
      </c>
      <c r="S1693" s="87">
        <f t="shared" si="163"/>
        <v>-7.3890104711588338E-3</v>
      </c>
      <c r="T1693" s="87">
        <f t="shared" si="163"/>
        <v>-2.4491020008295981E-2</v>
      </c>
      <c r="U1693" s="87">
        <f t="shared" si="163"/>
        <v>1.768392678991583E-2</v>
      </c>
      <c r="V1693" s="87">
        <f t="shared" si="163"/>
        <v>-2.5587749948407169E-2</v>
      </c>
      <c r="W1693" s="87">
        <f t="shared" si="162"/>
        <v>-1.5873349156290122E-2</v>
      </c>
      <c r="X1693" s="87">
        <f t="shared" si="162"/>
        <v>-1.9608471388376198E-2</v>
      </c>
      <c r="Y1693" s="87">
        <f t="shared" si="161"/>
        <v>-1.8484814674103102E-2</v>
      </c>
      <c r="Z1693" s="87">
        <f t="shared" si="161"/>
        <v>1.2121360532345041E-2</v>
      </c>
      <c r="AA1693" s="87">
        <f t="shared" si="161"/>
        <v>-8.539761548134496E-3</v>
      </c>
      <c r="AB1693" s="87">
        <f t="shared" si="161"/>
        <v>-5.4200674693391446E-3</v>
      </c>
      <c r="AC1693" s="87">
        <f t="shared" si="161"/>
        <v>3.4246608813641747E-3</v>
      </c>
      <c r="AD1693" s="87">
        <f t="shared" si="161"/>
        <v>-1.7331456351639976E-2</v>
      </c>
      <c r="AE1693" s="90">
        <f t="shared" si="160"/>
        <v>-4.1228614992920316E-3</v>
      </c>
    </row>
    <row r="1694" spans="1:31" ht="15.5" x14ac:dyDescent="0.35">
      <c r="A1694" s="82">
        <v>42223</v>
      </c>
      <c r="B1694" s="83">
        <v>10763.2</v>
      </c>
      <c r="C1694" s="84">
        <v>5043.5</v>
      </c>
      <c r="D1694" s="61">
        <v>658.9</v>
      </c>
      <c r="E1694" s="61">
        <v>36.200000000000003</v>
      </c>
      <c r="F1694" s="61">
        <v>114.5</v>
      </c>
      <c r="G1694" s="61">
        <v>46.3</v>
      </c>
      <c r="H1694" s="61">
        <v>12.3</v>
      </c>
      <c r="I1694" s="61">
        <v>30.7</v>
      </c>
      <c r="J1694" s="61">
        <v>26.7</v>
      </c>
      <c r="K1694" s="61">
        <v>8.1</v>
      </c>
      <c r="L1694" s="61">
        <v>57.7</v>
      </c>
      <c r="M1694" s="61">
        <v>54.4</v>
      </c>
      <c r="N1694" s="61">
        <v>57</v>
      </c>
      <c r="O1694" s="85">
        <v>56.6</v>
      </c>
      <c r="P1694" s="105"/>
      <c r="Q1694" s="87">
        <f t="shared" si="159"/>
        <v>-3.357668742147036E-3</v>
      </c>
      <c r="R1694" s="87">
        <f t="shared" si="163"/>
        <v>-2.5544821265123794E-3</v>
      </c>
      <c r="S1694" s="87">
        <f t="shared" si="163"/>
        <v>-2.7281011160658853E-3</v>
      </c>
      <c r="T1694" s="87">
        <f t="shared" si="163"/>
        <v>-2.7586224390795284E-3</v>
      </c>
      <c r="U1694" s="87">
        <f t="shared" si="163"/>
        <v>3.4995661262643323E-3</v>
      </c>
      <c r="V1694" s="87">
        <f t="shared" si="163"/>
        <v>0</v>
      </c>
      <c r="W1694" s="87">
        <f t="shared" si="162"/>
        <v>-1.6129381929883529E-2</v>
      </c>
      <c r="X1694" s="87">
        <f t="shared" si="162"/>
        <v>1.311494207782795E-2</v>
      </c>
      <c r="Y1694" s="87">
        <f t="shared" si="161"/>
        <v>-3.7383221106072153E-3</v>
      </c>
      <c r="Z1694" s="87">
        <f t="shared" si="161"/>
        <v>-2.4391453124159239E-2</v>
      </c>
      <c r="AA1694" s="87">
        <f t="shared" si="161"/>
        <v>-1.0344919842392773E-2</v>
      </c>
      <c r="AB1694" s="87">
        <f t="shared" si="161"/>
        <v>-1.4598799421152749E-2</v>
      </c>
      <c r="AC1694" s="87">
        <f t="shared" si="161"/>
        <v>-2.5975486403260677E-2</v>
      </c>
      <c r="AD1694" s="87">
        <f t="shared" si="161"/>
        <v>-1.0544913176614998E-2</v>
      </c>
      <c r="AE1694" s="90">
        <f t="shared" si="160"/>
        <v>-1.8454464255666585E-3</v>
      </c>
    </row>
    <row r="1695" spans="1:31" ht="15.5" x14ac:dyDescent="0.35">
      <c r="A1695" s="82">
        <v>42226</v>
      </c>
      <c r="B1695" s="83">
        <v>10906</v>
      </c>
      <c r="C1695" s="84">
        <v>5101.8</v>
      </c>
      <c r="D1695" s="61">
        <v>660.2</v>
      </c>
      <c r="E1695" s="61">
        <v>36.9</v>
      </c>
      <c r="F1695" s="61">
        <v>116.5</v>
      </c>
      <c r="G1695" s="61">
        <v>46.8</v>
      </c>
      <c r="H1695" s="61">
        <v>12.3</v>
      </c>
      <c r="I1695" s="61">
        <v>31.1</v>
      </c>
      <c r="J1695" s="61">
        <v>26.6</v>
      </c>
      <c r="K1695" s="61">
        <v>8.1999999999999993</v>
      </c>
      <c r="L1695" s="61">
        <v>58.3</v>
      </c>
      <c r="M1695" s="61">
        <v>55.4</v>
      </c>
      <c r="N1695" s="61">
        <v>56.8</v>
      </c>
      <c r="O1695" s="85">
        <v>57.4</v>
      </c>
      <c r="P1695" s="105"/>
      <c r="Q1695" s="87">
        <f t="shared" si="159"/>
        <v>1.3180188214665418E-2</v>
      </c>
      <c r="R1695" s="87">
        <f t="shared" si="163"/>
        <v>1.1493133124911722E-2</v>
      </c>
      <c r="S1695" s="87">
        <f t="shared" si="163"/>
        <v>1.9710414993186231E-3</v>
      </c>
      <c r="T1695" s="87">
        <f t="shared" si="163"/>
        <v>1.9152432214755918E-2</v>
      </c>
      <c r="U1695" s="87">
        <f t="shared" si="163"/>
        <v>1.7316450011460958E-2</v>
      </c>
      <c r="V1695" s="87">
        <f t="shared" si="163"/>
        <v>1.0741241831412616E-2</v>
      </c>
      <c r="W1695" s="87">
        <f t="shared" si="162"/>
        <v>0</v>
      </c>
      <c r="X1695" s="87">
        <f t="shared" si="162"/>
        <v>1.2945164592036986E-2</v>
      </c>
      <c r="Y1695" s="87">
        <f t="shared" si="161"/>
        <v>-3.7523496185503527E-3</v>
      </c>
      <c r="Z1695" s="87">
        <f t="shared" si="161"/>
        <v>1.2270092591814401E-2</v>
      </c>
      <c r="AA1695" s="87">
        <f t="shared" si="161"/>
        <v>1.034491984239273E-2</v>
      </c>
      <c r="AB1695" s="87">
        <f t="shared" si="161"/>
        <v>1.8215439891341119E-2</v>
      </c>
      <c r="AC1695" s="87">
        <f t="shared" si="161"/>
        <v>-3.5149421074444969E-3</v>
      </c>
      <c r="AD1695" s="87">
        <f t="shared" si="161"/>
        <v>1.4035318116383365E-2</v>
      </c>
      <c r="AE1695" s="90">
        <f t="shared" si="160"/>
        <v>1.0679515474914946E-2</v>
      </c>
    </row>
    <row r="1696" spans="1:31" ht="15.5" x14ac:dyDescent="0.35">
      <c r="A1696" s="82">
        <v>42227</v>
      </c>
      <c r="B1696" s="83">
        <v>10802.1</v>
      </c>
      <c r="C1696" s="84">
        <v>5036.8</v>
      </c>
      <c r="D1696" s="61">
        <v>684.3</v>
      </c>
      <c r="E1696" s="61">
        <v>35.700000000000003</v>
      </c>
      <c r="F1696" s="61">
        <v>113.3</v>
      </c>
      <c r="G1696" s="61">
        <v>45.9</v>
      </c>
      <c r="H1696" s="61">
        <v>12.3</v>
      </c>
      <c r="I1696" s="61">
        <v>30.7</v>
      </c>
      <c r="J1696" s="61">
        <v>26.1</v>
      </c>
      <c r="K1696" s="61">
        <v>8.1999999999999993</v>
      </c>
      <c r="L1696" s="61">
        <v>57.6</v>
      </c>
      <c r="M1696" s="61">
        <v>54.7</v>
      </c>
      <c r="N1696" s="61">
        <v>55.6</v>
      </c>
      <c r="O1696" s="85">
        <v>56.8</v>
      </c>
      <c r="P1696" s="105"/>
      <c r="Q1696" s="87">
        <f t="shared" si="159"/>
        <v>-9.5725368311221012E-3</v>
      </c>
      <c r="R1696" s="87">
        <f t="shared" si="163"/>
        <v>-1.2822458836772396E-2</v>
      </c>
      <c r="S1696" s="87">
        <f t="shared" si="163"/>
        <v>3.5853598539359169E-2</v>
      </c>
      <c r="T1696" s="87">
        <f t="shared" si="163"/>
        <v>-3.3060862260887947E-2</v>
      </c>
      <c r="U1696" s="87">
        <f t="shared" si="163"/>
        <v>-2.7852104971794602E-2</v>
      </c>
      <c r="V1696" s="87">
        <f t="shared" si="163"/>
        <v>-1.9418085857101513E-2</v>
      </c>
      <c r="W1696" s="87">
        <f t="shared" si="162"/>
        <v>0</v>
      </c>
      <c r="X1696" s="87">
        <f t="shared" si="162"/>
        <v>-1.2945164592037076E-2</v>
      </c>
      <c r="Y1696" s="87">
        <f t="shared" si="161"/>
        <v>-1.8975901459005691E-2</v>
      </c>
      <c r="Z1696" s="87">
        <f t="shared" si="161"/>
        <v>0</v>
      </c>
      <c r="AA1696" s="87">
        <f t="shared" si="161"/>
        <v>-1.2079525654601013E-2</v>
      </c>
      <c r="AB1696" s="87">
        <f t="shared" si="161"/>
        <v>-1.2715884325302561E-2</v>
      </c>
      <c r="AC1696" s="87">
        <f t="shared" si="161"/>
        <v>-2.1353124470568946E-2</v>
      </c>
      <c r="AD1696" s="87">
        <f t="shared" si="161"/>
        <v>-1.0507977598415093E-2</v>
      </c>
      <c r="AE1696" s="90">
        <f t="shared" si="160"/>
        <v>-2.5880853707055422E-3</v>
      </c>
    </row>
    <row r="1697" spans="1:31" ht="15.5" x14ac:dyDescent="0.35">
      <c r="A1697" s="82">
        <v>42228</v>
      </c>
      <c r="B1697" s="83">
        <v>10779.5</v>
      </c>
      <c r="C1697" s="84">
        <v>5044.3999999999996</v>
      </c>
      <c r="D1697" s="61">
        <v>680.5</v>
      </c>
      <c r="E1697" s="61">
        <v>33.9</v>
      </c>
      <c r="F1697" s="61">
        <v>109.6</v>
      </c>
      <c r="G1697" s="61">
        <v>45.7</v>
      </c>
      <c r="H1697" s="61">
        <v>12</v>
      </c>
      <c r="I1697" s="61">
        <v>30.4</v>
      </c>
      <c r="J1697" s="61">
        <v>26</v>
      </c>
      <c r="K1697" s="61">
        <v>7.9</v>
      </c>
      <c r="L1697" s="61">
        <v>57.1</v>
      </c>
      <c r="M1697" s="61">
        <v>52.8</v>
      </c>
      <c r="N1697" s="61">
        <v>53.7</v>
      </c>
      <c r="O1697" s="85">
        <v>55.3</v>
      </c>
      <c r="P1697" s="105"/>
      <c r="Q1697" s="87">
        <f t="shared" si="159"/>
        <v>-2.0943774568229173E-3</v>
      </c>
      <c r="R1697" s="87">
        <f t="shared" si="163"/>
        <v>1.507757298689943E-3</v>
      </c>
      <c r="S1697" s="87">
        <f t="shared" si="163"/>
        <v>-5.56859586693117E-3</v>
      </c>
      <c r="T1697" s="87">
        <f t="shared" si="163"/>
        <v>-5.1735674399188976E-2</v>
      </c>
      <c r="U1697" s="87">
        <f t="shared" si="163"/>
        <v>-3.3201793520045528E-2</v>
      </c>
      <c r="V1697" s="87">
        <f t="shared" si="163"/>
        <v>-4.3668191663404025E-3</v>
      </c>
      <c r="W1697" s="87">
        <f t="shared" si="162"/>
        <v>-2.4692612590371522E-2</v>
      </c>
      <c r="X1697" s="87">
        <f t="shared" si="162"/>
        <v>-9.820046180975461E-3</v>
      </c>
      <c r="Y1697" s="87">
        <f t="shared" si="161"/>
        <v>-3.8387763071657129E-3</v>
      </c>
      <c r="Z1697" s="87">
        <f t="shared" si="161"/>
        <v>-3.7271394797231537E-2</v>
      </c>
      <c r="AA1697" s="87">
        <f t="shared" si="161"/>
        <v>-8.7184510398810467E-3</v>
      </c>
      <c r="AB1697" s="87">
        <f t="shared" si="161"/>
        <v>-3.535251871571983E-2</v>
      </c>
      <c r="AC1697" s="87">
        <f t="shared" si="161"/>
        <v>-3.4770199741717696E-2</v>
      </c>
      <c r="AD1697" s="87">
        <f t="shared" si="161"/>
        <v>-2.6763417198816572E-2</v>
      </c>
      <c r="AE1697" s="90">
        <f t="shared" si="160"/>
        <v>-1.3925069795530921E-2</v>
      </c>
    </row>
    <row r="1698" spans="1:31" ht="15.5" x14ac:dyDescent="0.35">
      <c r="A1698" s="82">
        <v>42229</v>
      </c>
      <c r="B1698" s="83">
        <v>10745.3</v>
      </c>
      <c r="C1698" s="84">
        <v>5033.6000000000004</v>
      </c>
      <c r="D1698" s="61">
        <v>682.2</v>
      </c>
      <c r="E1698" s="61">
        <v>34.799999999999997</v>
      </c>
      <c r="F1698" s="61">
        <v>114.5</v>
      </c>
      <c r="G1698" s="61">
        <v>46.5</v>
      </c>
      <c r="H1698" s="61">
        <v>12</v>
      </c>
      <c r="I1698" s="61">
        <v>31.2</v>
      </c>
      <c r="J1698" s="61">
        <v>25.8</v>
      </c>
      <c r="K1698" s="61">
        <v>8</v>
      </c>
      <c r="L1698" s="61">
        <v>58.5</v>
      </c>
      <c r="M1698" s="61">
        <v>54.1</v>
      </c>
      <c r="N1698" s="61">
        <v>53.9</v>
      </c>
      <c r="O1698" s="85">
        <v>56.5</v>
      </c>
      <c r="P1698" s="105"/>
      <c r="Q1698" s="87">
        <f t="shared" si="159"/>
        <v>-3.1777325484325927E-3</v>
      </c>
      <c r="R1698" s="87">
        <f t="shared" si="163"/>
        <v>-2.1432832177606291E-3</v>
      </c>
      <c r="S1698" s="87">
        <f t="shared" si="163"/>
        <v>2.4950478930246822E-3</v>
      </c>
      <c r="T1698" s="87">
        <f t="shared" si="163"/>
        <v>2.6202372394024117E-2</v>
      </c>
      <c r="U1698" s="87">
        <f t="shared" si="163"/>
        <v>4.3737448480379165E-2</v>
      </c>
      <c r="V1698" s="87">
        <f t="shared" si="163"/>
        <v>1.7354014693151572E-2</v>
      </c>
      <c r="W1698" s="87">
        <f t="shared" si="162"/>
        <v>0</v>
      </c>
      <c r="X1698" s="87">
        <f t="shared" si="162"/>
        <v>2.5975486403260736E-2</v>
      </c>
      <c r="Y1698" s="87">
        <f t="shared" si="161"/>
        <v>-7.7220460939102778E-3</v>
      </c>
      <c r="Z1698" s="87">
        <f t="shared" si="161"/>
        <v>1.2578782206859965E-2</v>
      </c>
      <c r="AA1698" s="87">
        <f t="shared" si="161"/>
        <v>2.4222637575846209E-2</v>
      </c>
      <c r="AB1698" s="87">
        <f t="shared" si="161"/>
        <v>2.4322995140220082E-2</v>
      </c>
      <c r="AC1698" s="87">
        <f t="shared" si="161"/>
        <v>3.7174764001323521E-3</v>
      </c>
      <c r="AD1698" s="87">
        <f t="shared" si="161"/>
        <v>2.1467729624106195E-2</v>
      </c>
      <c r="AE1698" s="90">
        <f t="shared" si="160"/>
        <v>1.5203618943470524E-2</v>
      </c>
    </row>
    <row r="1699" spans="1:31" ht="15.5" x14ac:dyDescent="0.35">
      <c r="A1699" s="82">
        <v>42230</v>
      </c>
      <c r="B1699" s="83">
        <v>10782.2</v>
      </c>
      <c r="C1699" s="84">
        <v>5048.2</v>
      </c>
      <c r="D1699" s="61">
        <v>682.9</v>
      </c>
      <c r="E1699" s="61">
        <v>35.700000000000003</v>
      </c>
      <c r="F1699" s="61">
        <v>114</v>
      </c>
      <c r="G1699" s="61">
        <v>46.5</v>
      </c>
      <c r="H1699" s="61">
        <v>11.7</v>
      </c>
      <c r="I1699" s="61">
        <v>31.8</v>
      </c>
      <c r="J1699" s="61">
        <v>25.9</v>
      </c>
      <c r="K1699" s="61">
        <v>8.4</v>
      </c>
      <c r="L1699" s="61">
        <v>58.9</v>
      </c>
      <c r="M1699" s="61">
        <v>54.3</v>
      </c>
      <c r="N1699" s="61">
        <v>54.7</v>
      </c>
      <c r="O1699" s="85">
        <v>56.6</v>
      </c>
      <c r="P1699" s="105"/>
      <c r="Q1699" s="87">
        <f t="shared" si="159"/>
        <v>3.4281766241885205E-3</v>
      </c>
      <c r="R1699" s="87">
        <f t="shared" si="163"/>
        <v>2.8963102235996458E-3</v>
      </c>
      <c r="S1699" s="87">
        <f t="shared" si="163"/>
        <v>1.025565982498139E-3</v>
      </c>
      <c r="T1699" s="87">
        <f t="shared" si="163"/>
        <v>2.5533302005164845E-2</v>
      </c>
      <c r="U1699" s="87">
        <f t="shared" si="163"/>
        <v>-4.3763745997988882E-3</v>
      </c>
      <c r="V1699" s="87">
        <f t="shared" si="163"/>
        <v>0</v>
      </c>
      <c r="W1699" s="87">
        <f t="shared" si="162"/>
        <v>-2.5317807984289897E-2</v>
      </c>
      <c r="X1699" s="87">
        <f t="shared" si="162"/>
        <v>1.904819497069463E-2</v>
      </c>
      <c r="Y1699" s="87">
        <f t="shared" si="161"/>
        <v>3.8684767779203319E-3</v>
      </c>
      <c r="Z1699" s="87">
        <f t="shared" si="161"/>
        <v>4.8790164169432049E-2</v>
      </c>
      <c r="AA1699" s="87">
        <f t="shared" si="161"/>
        <v>6.8143364197301879E-3</v>
      </c>
      <c r="AB1699" s="87">
        <f t="shared" si="161"/>
        <v>3.690041087453742E-3</v>
      </c>
      <c r="AC1699" s="87">
        <f t="shared" si="161"/>
        <v>1.4733231512984087E-2</v>
      </c>
      <c r="AD1699" s="87">
        <f t="shared" si="161"/>
        <v>1.7683470567419492E-3</v>
      </c>
      <c r="AE1699" s="90">
        <f t="shared" si="160"/>
        <v>1.3197742865522609E-4</v>
      </c>
    </row>
    <row r="1700" spans="1:31" ht="15.5" x14ac:dyDescent="0.35">
      <c r="A1700" s="82">
        <v>42233</v>
      </c>
      <c r="B1700" s="83">
        <v>10818.6</v>
      </c>
      <c r="C1700" s="84">
        <v>5091.7</v>
      </c>
      <c r="D1700" s="61">
        <v>683.1</v>
      </c>
      <c r="E1700" s="61">
        <v>35.799999999999997</v>
      </c>
      <c r="F1700" s="61">
        <v>115.5</v>
      </c>
      <c r="G1700" s="61">
        <v>46.6</v>
      </c>
      <c r="H1700" s="61">
        <v>11.6</v>
      </c>
      <c r="I1700" s="61">
        <v>32</v>
      </c>
      <c r="J1700" s="61">
        <v>26.2</v>
      </c>
      <c r="K1700" s="61">
        <v>8.6999999999999993</v>
      </c>
      <c r="L1700" s="61">
        <v>58.6</v>
      </c>
      <c r="M1700" s="61">
        <v>54</v>
      </c>
      <c r="N1700" s="61">
        <v>55</v>
      </c>
      <c r="O1700" s="85">
        <v>56.5</v>
      </c>
      <c r="P1700" s="105"/>
      <c r="Q1700" s="87">
        <f t="shared" si="159"/>
        <v>3.3702487365599738E-3</v>
      </c>
      <c r="R1700" s="87">
        <f t="shared" si="163"/>
        <v>8.5800189075432177E-3</v>
      </c>
      <c r="S1700" s="87">
        <f t="shared" si="163"/>
        <v>2.9282577076002425E-4</v>
      </c>
      <c r="T1700" s="87">
        <f t="shared" si="163"/>
        <v>2.7972046210609975E-3</v>
      </c>
      <c r="U1700" s="87">
        <f t="shared" si="163"/>
        <v>1.3072081567352701E-2</v>
      </c>
      <c r="V1700" s="87">
        <f t="shared" si="163"/>
        <v>2.148228538289605E-3</v>
      </c>
      <c r="W1700" s="87">
        <f t="shared" si="162"/>
        <v>-8.5837436913914419E-3</v>
      </c>
      <c r="X1700" s="87">
        <f t="shared" si="162"/>
        <v>6.269613013595395E-3</v>
      </c>
      <c r="Y1700" s="87">
        <f t="shared" si="161"/>
        <v>1.1516442061559081E-2</v>
      </c>
      <c r="Z1700" s="87">
        <f t="shared" si="161"/>
        <v>3.5091319811269978E-2</v>
      </c>
      <c r="AA1700" s="87">
        <f t="shared" si="161"/>
        <v>-5.1063940745740277E-3</v>
      </c>
      <c r="AB1700" s="87">
        <f t="shared" si="161"/>
        <v>-5.5401803756153561E-3</v>
      </c>
      <c r="AC1700" s="87">
        <f t="shared" si="161"/>
        <v>5.4694758045352549E-3</v>
      </c>
      <c r="AD1700" s="87">
        <f t="shared" si="161"/>
        <v>-1.7683470567420034E-3</v>
      </c>
      <c r="AE1700" s="90">
        <f t="shared" si="160"/>
        <v>6.1804541995485289E-3</v>
      </c>
    </row>
    <row r="1701" spans="1:31" ht="15.5" x14ac:dyDescent="0.35">
      <c r="A1701" s="82">
        <v>42234</v>
      </c>
      <c r="B1701" s="83">
        <v>10792.8</v>
      </c>
      <c r="C1701" s="84">
        <v>5059.3999999999996</v>
      </c>
      <c r="D1701" s="61">
        <v>685.3</v>
      </c>
      <c r="E1701" s="61">
        <v>35.6</v>
      </c>
      <c r="F1701" s="61">
        <v>116</v>
      </c>
      <c r="G1701" s="61">
        <v>46.7</v>
      </c>
      <c r="H1701" s="61">
        <v>11.6</v>
      </c>
      <c r="I1701" s="61">
        <v>32.5</v>
      </c>
      <c r="J1701" s="61">
        <v>26.4</v>
      </c>
      <c r="K1701" s="61">
        <v>8.6</v>
      </c>
      <c r="L1701" s="61">
        <v>59.6</v>
      </c>
      <c r="M1701" s="61">
        <v>54.2</v>
      </c>
      <c r="N1701" s="61">
        <v>55.2</v>
      </c>
      <c r="O1701" s="85">
        <v>57.3</v>
      </c>
      <c r="P1701" s="105"/>
      <c r="Q1701" s="87">
        <f t="shared" si="159"/>
        <v>-2.3876298857703577E-3</v>
      </c>
      <c r="R1701" s="87">
        <f t="shared" si="163"/>
        <v>-6.3638638195065225E-3</v>
      </c>
      <c r="S1701" s="87">
        <f t="shared" si="163"/>
        <v>3.2154368539741712E-3</v>
      </c>
      <c r="T1701" s="87">
        <f t="shared" si="163"/>
        <v>-5.6022555486696752E-3</v>
      </c>
      <c r="U1701" s="87">
        <f t="shared" si="163"/>
        <v>4.3196611445163796E-3</v>
      </c>
      <c r="V1701" s="87">
        <f t="shared" si="163"/>
        <v>2.1436235432513691E-3</v>
      </c>
      <c r="W1701" s="87">
        <f t="shared" si="162"/>
        <v>0</v>
      </c>
      <c r="X1701" s="87">
        <f t="shared" si="162"/>
        <v>1.5504186535965254E-2</v>
      </c>
      <c r="Y1701" s="87">
        <f t="shared" si="161"/>
        <v>7.6045993852192125E-3</v>
      </c>
      <c r="Z1701" s="87">
        <f t="shared" si="161"/>
        <v>-1.1560822401075971E-2</v>
      </c>
      <c r="AA1701" s="87">
        <f t="shared" si="161"/>
        <v>1.6920877488337177E-2</v>
      </c>
      <c r="AB1701" s="87">
        <f t="shared" si="161"/>
        <v>3.6968618813262026E-3</v>
      </c>
      <c r="AC1701" s="87">
        <f t="shared" si="161"/>
        <v>3.6297680505787311E-3</v>
      </c>
      <c r="AD1701" s="87">
        <f t="shared" si="161"/>
        <v>1.4059985568298511E-2</v>
      </c>
      <c r="AE1701" s="90">
        <f t="shared" si="160"/>
        <v>1.977932427903601E-3</v>
      </c>
    </row>
    <row r="1702" spans="1:31" ht="15.5" x14ac:dyDescent="0.35">
      <c r="A1702" s="82">
        <v>42235</v>
      </c>
      <c r="B1702" s="83">
        <v>10687</v>
      </c>
      <c r="C1702" s="84">
        <v>5019</v>
      </c>
      <c r="D1702" s="61">
        <v>686.8</v>
      </c>
      <c r="E1702" s="61">
        <v>35</v>
      </c>
      <c r="F1702" s="61">
        <v>114.7</v>
      </c>
      <c r="G1702" s="61">
        <v>46.3</v>
      </c>
      <c r="H1702" s="61">
        <v>11.3</v>
      </c>
      <c r="I1702" s="61">
        <v>31.7</v>
      </c>
      <c r="J1702" s="61">
        <v>26.2</v>
      </c>
      <c r="K1702" s="61">
        <v>8.4</v>
      </c>
      <c r="L1702" s="61">
        <v>59.2</v>
      </c>
      <c r="M1702" s="61">
        <v>53.1</v>
      </c>
      <c r="N1702" s="61">
        <v>54</v>
      </c>
      <c r="O1702" s="85">
        <v>56.8</v>
      </c>
      <c r="P1702" s="105"/>
      <c r="Q1702" s="87">
        <f t="shared" si="159"/>
        <v>-9.8511955997105469E-3</v>
      </c>
      <c r="R1702" s="87">
        <f t="shared" si="163"/>
        <v>-8.0171885206614963E-3</v>
      </c>
      <c r="S1702" s="87">
        <f t="shared" si="163"/>
        <v>2.1864304315425166E-3</v>
      </c>
      <c r="T1702" s="87">
        <f t="shared" si="163"/>
        <v>-1.6997576368571136E-2</v>
      </c>
      <c r="U1702" s="87">
        <f t="shared" si="163"/>
        <v>-1.1270166971039634E-2</v>
      </c>
      <c r="V1702" s="87">
        <f t="shared" si="163"/>
        <v>-8.602203582663415E-3</v>
      </c>
      <c r="W1702" s="87">
        <f t="shared" si="162"/>
        <v>-2.6202372394023961E-2</v>
      </c>
      <c r="X1702" s="87">
        <f t="shared" si="162"/>
        <v>-2.4923408452456851E-2</v>
      </c>
      <c r="Y1702" s="87">
        <f t="shared" si="161"/>
        <v>-7.6045993852193036E-3</v>
      </c>
      <c r="Z1702" s="87">
        <f t="shared" si="161"/>
        <v>-2.3530497410194046E-2</v>
      </c>
      <c r="AA1702" s="87">
        <f t="shared" si="161"/>
        <v>-6.7340321813440683E-3</v>
      </c>
      <c r="AB1702" s="87">
        <f t="shared" si="161"/>
        <v>-2.0503980197707435E-2</v>
      </c>
      <c r="AC1702" s="87">
        <f t="shared" si="161"/>
        <v>-2.1978906718775341E-2</v>
      </c>
      <c r="AD1702" s="87">
        <f t="shared" si="161"/>
        <v>-8.764297993588242E-3</v>
      </c>
      <c r="AE1702" s="90">
        <f t="shared" si="160"/>
        <v>-6.0508958920114254E-3</v>
      </c>
    </row>
    <row r="1703" spans="1:31" ht="15.5" x14ac:dyDescent="0.35">
      <c r="A1703" s="82">
        <v>42236</v>
      </c>
      <c r="B1703" s="83">
        <v>10475.799999999999</v>
      </c>
      <c r="C1703" s="84">
        <v>4877.5</v>
      </c>
      <c r="D1703" s="61">
        <v>675.3</v>
      </c>
      <c r="E1703" s="61">
        <v>33.9</v>
      </c>
      <c r="F1703" s="61">
        <v>111.6</v>
      </c>
      <c r="G1703" s="61">
        <v>45.7</v>
      </c>
      <c r="H1703" s="61">
        <v>10.9</v>
      </c>
      <c r="I1703" s="61">
        <v>31.1</v>
      </c>
      <c r="J1703" s="61">
        <v>25.7</v>
      </c>
      <c r="K1703" s="61">
        <v>8.1999999999999993</v>
      </c>
      <c r="L1703" s="61">
        <v>56.7</v>
      </c>
      <c r="M1703" s="61">
        <v>51.9</v>
      </c>
      <c r="N1703" s="61">
        <v>53</v>
      </c>
      <c r="O1703" s="85">
        <v>56.1</v>
      </c>
      <c r="P1703" s="105"/>
      <c r="Q1703" s="87">
        <f t="shared" si="159"/>
        <v>-1.9960214335739274E-2</v>
      </c>
      <c r="R1703" s="87">
        <f t="shared" si="163"/>
        <v>-2.8597917157667411E-2</v>
      </c>
      <c r="S1703" s="87">
        <f t="shared" si="163"/>
        <v>-1.6886092442524193E-2</v>
      </c>
      <c r="T1703" s="87">
        <f t="shared" si="163"/>
        <v>-3.1933047103009149E-2</v>
      </c>
      <c r="U1703" s="87">
        <f t="shared" si="163"/>
        <v>-2.7398974188114503E-2</v>
      </c>
      <c r="V1703" s="87">
        <f t="shared" si="163"/>
        <v>-1.3043663192029226E-2</v>
      </c>
      <c r="W1703" s="87">
        <f t="shared" si="162"/>
        <v>-3.6039936483196928E-2</v>
      </c>
      <c r="X1703" s="87">
        <f t="shared" si="162"/>
        <v>-1.9108861698046362E-2</v>
      </c>
      <c r="Y1703" s="87">
        <f t="shared" si="161"/>
        <v>-1.9268418865877032E-2</v>
      </c>
      <c r="Z1703" s="87">
        <f t="shared" si="161"/>
        <v>-2.4097551579060641E-2</v>
      </c>
      <c r="AA1703" s="87">
        <f t="shared" si="161"/>
        <v>-4.3147331156253597E-2</v>
      </c>
      <c r="AB1703" s="87">
        <f t="shared" si="161"/>
        <v>-2.2858138076050208E-2</v>
      </c>
      <c r="AC1703" s="87">
        <f t="shared" si="161"/>
        <v>-1.8692133012152522E-2</v>
      </c>
      <c r="AD1703" s="87">
        <f t="shared" si="161"/>
        <v>-1.2400513198454961E-2</v>
      </c>
      <c r="AE1703" s="90">
        <f t="shared" si="160"/>
        <v>-2.2857522147749679E-2</v>
      </c>
    </row>
    <row r="1704" spans="1:31" ht="15.5" x14ac:dyDescent="0.35">
      <c r="A1704" s="82">
        <v>42237</v>
      </c>
      <c r="B1704" s="83">
        <v>10195.700000000001</v>
      </c>
      <c r="C1704" s="84">
        <v>4706</v>
      </c>
      <c r="D1704" s="61">
        <v>643.1</v>
      </c>
      <c r="E1704" s="61">
        <v>32.9</v>
      </c>
      <c r="F1704" s="61">
        <v>105.6</v>
      </c>
      <c r="G1704" s="61">
        <v>43.1</v>
      </c>
      <c r="H1704" s="61">
        <v>10.9</v>
      </c>
      <c r="I1704" s="61">
        <v>29.3</v>
      </c>
      <c r="J1704" s="61">
        <v>24.9</v>
      </c>
      <c r="K1704" s="61">
        <v>8</v>
      </c>
      <c r="L1704" s="61">
        <v>55.8</v>
      </c>
      <c r="M1704" s="61">
        <v>49.5</v>
      </c>
      <c r="N1704" s="61">
        <v>51.7</v>
      </c>
      <c r="O1704" s="85">
        <v>53.4</v>
      </c>
      <c r="P1704" s="105"/>
      <c r="Q1704" s="87">
        <f t="shared" si="159"/>
        <v>-2.7101772429281412E-2</v>
      </c>
      <c r="R1704" s="87">
        <f t="shared" si="163"/>
        <v>-3.5794503209958473E-2</v>
      </c>
      <c r="S1704" s="87">
        <f t="shared" si="163"/>
        <v>-4.8856803439978717E-2</v>
      </c>
      <c r="T1704" s="87">
        <f t="shared" si="163"/>
        <v>-2.9942356615078339E-2</v>
      </c>
      <c r="U1704" s="87">
        <f t="shared" si="163"/>
        <v>-5.5262678675049415E-2</v>
      </c>
      <c r="V1704" s="87">
        <f t="shared" si="163"/>
        <v>-5.857530079045694E-2</v>
      </c>
      <c r="W1704" s="87">
        <f t="shared" si="162"/>
        <v>0</v>
      </c>
      <c r="X1704" s="87">
        <f t="shared" si="162"/>
        <v>-5.96203031621668E-2</v>
      </c>
      <c r="Y1704" s="87">
        <f t="shared" si="161"/>
        <v>-3.1623188430512185E-2</v>
      </c>
      <c r="Z1704" s="87">
        <f t="shared" si="161"/>
        <v>-2.4692612590371411E-2</v>
      </c>
      <c r="AA1704" s="87">
        <f t="shared" si="161"/>
        <v>-1.6000341346441189E-2</v>
      </c>
      <c r="AB1704" s="87">
        <f t="shared" si="161"/>
        <v>-4.734612059719831E-2</v>
      </c>
      <c r="AC1704" s="87">
        <f t="shared" si="161"/>
        <v>-2.483413203773838E-2</v>
      </c>
      <c r="AD1704" s="87">
        <f t="shared" si="161"/>
        <v>-4.932506656250156E-2</v>
      </c>
      <c r="AE1704" s="90">
        <f t="shared" si="160"/>
        <v>-4.6830004146885207E-2</v>
      </c>
    </row>
    <row r="1705" spans="1:31" ht="15.5" x14ac:dyDescent="0.35">
      <c r="A1705" s="82">
        <v>42240</v>
      </c>
      <c r="B1705" s="83">
        <v>9789.9</v>
      </c>
      <c r="C1705" s="84">
        <v>4526.3</v>
      </c>
      <c r="D1705" s="61">
        <v>593.1</v>
      </c>
      <c r="E1705" s="61">
        <v>29</v>
      </c>
      <c r="F1705" s="61">
        <v>92</v>
      </c>
      <c r="G1705" s="61">
        <v>39.700000000000003</v>
      </c>
      <c r="H1705" s="61">
        <v>10.199999999999999</v>
      </c>
      <c r="I1705" s="61">
        <v>25.5</v>
      </c>
      <c r="J1705" s="61">
        <v>23.9</v>
      </c>
      <c r="K1705" s="61">
        <v>7.2</v>
      </c>
      <c r="L1705" s="61">
        <v>45.7</v>
      </c>
      <c r="M1705" s="61">
        <v>44.5</v>
      </c>
      <c r="N1705" s="61">
        <v>48.7</v>
      </c>
      <c r="O1705" s="85">
        <v>47.3</v>
      </c>
      <c r="P1705" s="105"/>
      <c r="Q1705" s="87">
        <f t="shared" si="159"/>
        <v>-4.0614820792084991E-2</v>
      </c>
      <c r="R1705" s="87">
        <f t="shared" si="163"/>
        <v>-3.8933461596280784E-2</v>
      </c>
      <c r="S1705" s="87">
        <f t="shared" si="163"/>
        <v>-8.0937214296136539E-2</v>
      </c>
      <c r="T1705" s="87">
        <f t="shared" si="163"/>
        <v>-0.12617682778485209</v>
      </c>
      <c r="U1705" s="87">
        <f t="shared" si="163"/>
        <v>-0.13786979422312079</v>
      </c>
      <c r="V1705" s="87">
        <f t="shared" si="163"/>
        <v>-8.2171809416557287E-2</v>
      </c>
      <c r="W1705" s="87">
        <f t="shared" si="162"/>
        <v>-6.6375068944872689E-2</v>
      </c>
      <c r="X1705" s="87">
        <f t="shared" si="162"/>
        <v>-0.13890906385864121</v>
      </c>
      <c r="Y1705" s="87">
        <f t="shared" si="161"/>
        <v>-4.0989344533197004E-2</v>
      </c>
      <c r="Z1705" s="87">
        <f t="shared" si="161"/>
        <v>-0.10536051565782628</v>
      </c>
      <c r="AA1705" s="87">
        <f t="shared" si="161"/>
        <v>-0.1996755714871061</v>
      </c>
      <c r="AB1705" s="87">
        <f t="shared" si="161"/>
        <v>-0.10648348040245006</v>
      </c>
      <c r="AC1705" s="87">
        <f t="shared" si="161"/>
        <v>-5.9778751425839299E-2</v>
      </c>
      <c r="AD1705" s="87">
        <f t="shared" si="161"/>
        <v>-0.12130045046826193</v>
      </c>
      <c r="AE1705" s="90">
        <f t="shared" si="160"/>
        <v>-8.9531973607928778E-2</v>
      </c>
    </row>
    <row r="1706" spans="1:31" ht="15.5" x14ac:dyDescent="0.35">
      <c r="A1706" s="82">
        <v>42241</v>
      </c>
      <c r="B1706" s="83">
        <v>9692.4</v>
      </c>
      <c r="C1706" s="84">
        <v>4506.5</v>
      </c>
      <c r="D1706" s="61">
        <v>611.70000000000005</v>
      </c>
      <c r="E1706" s="61">
        <v>31.5</v>
      </c>
      <c r="F1706" s="61">
        <v>103.5</v>
      </c>
      <c r="G1706" s="61">
        <v>40.4</v>
      </c>
      <c r="H1706" s="61">
        <v>10.4</v>
      </c>
      <c r="I1706" s="61">
        <v>27.8</v>
      </c>
      <c r="J1706" s="61">
        <v>24</v>
      </c>
      <c r="K1706" s="61">
        <v>7.9</v>
      </c>
      <c r="L1706" s="61">
        <v>51</v>
      </c>
      <c r="M1706" s="61">
        <v>46.6</v>
      </c>
      <c r="N1706" s="61">
        <v>48.4</v>
      </c>
      <c r="O1706" s="85">
        <v>51.7</v>
      </c>
      <c r="P1706" s="105"/>
      <c r="Q1706" s="87">
        <f t="shared" si="159"/>
        <v>-1.000916873154015E-2</v>
      </c>
      <c r="R1706" s="87">
        <f t="shared" si="163"/>
        <v>-4.3840296945625206E-3</v>
      </c>
      <c r="S1706" s="87">
        <f t="shared" si="163"/>
        <v>3.0878947403838303E-2</v>
      </c>
      <c r="T1706" s="87">
        <f t="shared" si="163"/>
        <v>8.2691715845113409E-2</v>
      </c>
      <c r="U1706" s="87">
        <f t="shared" si="163"/>
        <v>0.11778303565638346</v>
      </c>
      <c r="V1706" s="87">
        <f t="shared" si="163"/>
        <v>1.7478597273959545E-2</v>
      </c>
      <c r="W1706" s="87">
        <f t="shared" si="162"/>
        <v>1.9418085857101731E-2</v>
      </c>
      <c r="X1706" s="87">
        <f t="shared" si="162"/>
        <v>8.6357568532211035E-2</v>
      </c>
      <c r="Y1706" s="87">
        <f t="shared" si="161"/>
        <v>4.175371410480592E-3</v>
      </c>
      <c r="Z1706" s="87">
        <f t="shared" si="161"/>
        <v>9.2781733450966269E-2</v>
      </c>
      <c r="AA1706" s="87">
        <f t="shared" si="161"/>
        <v>0.10972733482416677</v>
      </c>
      <c r="AB1706" s="87">
        <f t="shared" si="161"/>
        <v>4.6111351959405647E-2</v>
      </c>
      <c r="AC1706" s="87">
        <f t="shared" si="161"/>
        <v>-6.1792163659581201E-3</v>
      </c>
      <c r="AD1706" s="87">
        <f t="shared" si="161"/>
        <v>8.894748601649631E-2</v>
      </c>
      <c r="AE1706" s="90">
        <f t="shared" si="160"/>
        <v>5.2216313421870213E-2</v>
      </c>
    </row>
    <row r="1707" spans="1:31" ht="15.5" x14ac:dyDescent="0.35">
      <c r="A1707" s="82">
        <v>42242</v>
      </c>
      <c r="B1707" s="83">
        <v>9979.7000000000007</v>
      </c>
      <c r="C1707" s="84">
        <v>4697.5</v>
      </c>
      <c r="D1707" s="61">
        <v>630.4</v>
      </c>
      <c r="E1707" s="61">
        <v>31.1</v>
      </c>
      <c r="F1707" s="61">
        <v>105.1</v>
      </c>
      <c r="G1707" s="61">
        <v>41.1</v>
      </c>
      <c r="H1707" s="61">
        <v>10.5</v>
      </c>
      <c r="I1707" s="61">
        <v>27.5</v>
      </c>
      <c r="J1707" s="61">
        <v>24.2</v>
      </c>
      <c r="K1707" s="61">
        <v>7.7</v>
      </c>
      <c r="L1707" s="61">
        <v>52.5</v>
      </c>
      <c r="M1707" s="61">
        <v>47.2</v>
      </c>
      <c r="N1707" s="61">
        <v>47.9</v>
      </c>
      <c r="O1707" s="85">
        <v>52</v>
      </c>
      <c r="P1707" s="105"/>
      <c r="Q1707" s="87">
        <f t="shared" si="159"/>
        <v>2.921095649720392E-2</v>
      </c>
      <c r="R1707" s="87">
        <f t="shared" si="163"/>
        <v>4.1509653291155836E-2</v>
      </c>
      <c r="S1707" s="87">
        <f t="shared" si="163"/>
        <v>3.0112572295150093E-2</v>
      </c>
      <c r="T1707" s="87">
        <f t="shared" si="163"/>
        <v>-1.2779726646398882E-2</v>
      </c>
      <c r="U1707" s="87">
        <f t="shared" si="163"/>
        <v>1.5340665177481614E-2</v>
      </c>
      <c r="V1707" s="87">
        <f t="shared" si="163"/>
        <v>1.7178336535084552E-2</v>
      </c>
      <c r="W1707" s="87">
        <f t="shared" si="162"/>
        <v>9.5694510161506725E-3</v>
      </c>
      <c r="X1707" s="87">
        <f t="shared" si="162"/>
        <v>-1.0850016024065818E-2</v>
      </c>
      <c r="Y1707" s="87">
        <f t="shared" si="161"/>
        <v>8.2988028146950641E-3</v>
      </c>
      <c r="Z1707" s="87">
        <f t="shared" si="161"/>
        <v>-2.564243061333767E-2</v>
      </c>
      <c r="AA1707" s="87">
        <f t="shared" si="161"/>
        <v>2.8987536873252187E-2</v>
      </c>
      <c r="AB1707" s="87">
        <f t="shared" si="161"/>
        <v>1.2793351459909542E-2</v>
      </c>
      <c r="AC1707" s="87">
        <f t="shared" si="161"/>
        <v>-1.0384309305716493E-2</v>
      </c>
      <c r="AD1707" s="87">
        <f t="shared" si="161"/>
        <v>5.7859370670439265E-3</v>
      </c>
      <c r="AE1707" s="90">
        <f t="shared" si="160"/>
        <v>2.634810714108797E-2</v>
      </c>
    </row>
    <row r="1708" spans="1:31" ht="15.5" x14ac:dyDescent="0.35">
      <c r="A1708" s="82">
        <v>42243</v>
      </c>
      <c r="B1708" s="83">
        <v>10230.5</v>
      </c>
      <c r="C1708" s="84">
        <v>4812.7</v>
      </c>
      <c r="D1708" s="61">
        <v>651.1</v>
      </c>
      <c r="E1708" s="61">
        <v>33</v>
      </c>
      <c r="F1708" s="61">
        <v>110</v>
      </c>
      <c r="G1708" s="61">
        <v>42.9</v>
      </c>
      <c r="H1708" s="61">
        <v>10.8</v>
      </c>
      <c r="I1708" s="61">
        <v>28.2</v>
      </c>
      <c r="J1708" s="61">
        <v>25</v>
      </c>
      <c r="K1708" s="61">
        <v>8</v>
      </c>
      <c r="L1708" s="61">
        <v>53.6</v>
      </c>
      <c r="M1708" s="61">
        <v>49.2</v>
      </c>
      <c r="N1708" s="61">
        <v>49.7</v>
      </c>
      <c r="O1708" s="85">
        <v>54.8</v>
      </c>
      <c r="P1708" s="105"/>
      <c r="Q1708" s="87">
        <f t="shared" si="159"/>
        <v>2.4820424873159181E-2</v>
      </c>
      <c r="R1708" s="87">
        <f t="shared" si="163"/>
        <v>2.4227804886449572E-2</v>
      </c>
      <c r="S1708" s="87">
        <f t="shared" si="163"/>
        <v>3.2308701699147055E-2</v>
      </c>
      <c r="T1708" s="87">
        <f t="shared" si="163"/>
        <v>5.929974228129184E-2</v>
      </c>
      <c r="U1708" s="87">
        <f t="shared" si="163"/>
        <v>4.5568087909510821E-2</v>
      </c>
      <c r="V1708" s="87">
        <f t="shared" si="163"/>
        <v>4.2863704431782314E-2</v>
      </c>
      <c r="W1708" s="87">
        <f t="shared" si="162"/>
        <v>2.8170876966696439E-2</v>
      </c>
      <c r="X1708" s="87">
        <f t="shared" si="162"/>
        <v>2.5135973271542239E-2</v>
      </c>
      <c r="Y1708" s="87">
        <f t="shared" si="161"/>
        <v>3.2523191705560145E-2</v>
      </c>
      <c r="Z1708" s="87">
        <f t="shared" si="161"/>
        <v>3.8221212820197671E-2</v>
      </c>
      <c r="AA1708" s="87">
        <f t="shared" si="161"/>
        <v>2.0735898479178342E-2</v>
      </c>
      <c r="AB1708" s="87">
        <f t="shared" si="161"/>
        <v>4.149973090675263E-2</v>
      </c>
      <c r="AC1708" s="87">
        <f t="shared" si="161"/>
        <v>3.6889428685713627E-2</v>
      </c>
      <c r="AD1708" s="87">
        <f t="shared" si="161"/>
        <v>5.2446475372542524E-2</v>
      </c>
      <c r="AE1708" s="90">
        <f t="shared" si="160"/>
        <v>3.6125550711541311E-2</v>
      </c>
    </row>
    <row r="1709" spans="1:31" ht="15.5" x14ac:dyDescent="0.35">
      <c r="A1709" s="82">
        <v>42244</v>
      </c>
      <c r="B1709" s="83">
        <v>10242.1</v>
      </c>
      <c r="C1709" s="84">
        <v>4828.3</v>
      </c>
      <c r="D1709" s="61">
        <v>653.79999999999995</v>
      </c>
      <c r="E1709" s="61">
        <v>32.9</v>
      </c>
      <c r="F1709" s="61">
        <v>111.5</v>
      </c>
      <c r="G1709" s="61">
        <v>43.4</v>
      </c>
      <c r="H1709" s="61">
        <v>11.1</v>
      </c>
      <c r="I1709" s="61">
        <v>28.6</v>
      </c>
      <c r="J1709" s="61">
        <v>25.3</v>
      </c>
      <c r="K1709" s="61">
        <v>8.4</v>
      </c>
      <c r="L1709" s="61">
        <v>54.6</v>
      </c>
      <c r="M1709" s="61">
        <v>49.8</v>
      </c>
      <c r="N1709" s="61">
        <v>50.7</v>
      </c>
      <c r="O1709" s="85">
        <v>55.8</v>
      </c>
      <c r="P1709" s="105"/>
      <c r="Q1709" s="87">
        <f t="shared" si="159"/>
        <v>1.1332220862406803E-3</v>
      </c>
      <c r="R1709" s="87">
        <f t="shared" si="163"/>
        <v>3.2361816439646241E-3</v>
      </c>
      <c r="S1709" s="87">
        <f t="shared" si="163"/>
        <v>4.1382540472937011E-3</v>
      </c>
      <c r="T1709" s="87">
        <f t="shared" si="163"/>
        <v>-3.034903695154047E-3</v>
      </c>
      <c r="U1709" s="87">
        <f t="shared" si="163"/>
        <v>1.3544225107757253E-2</v>
      </c>
      <c r="V1709" s="87">
        <f t="shared" si="163"/>
        <v>1.1587615172387829E-2</v>
      </c>
      <c r="W1709" s="87">
        <f t="shared" si="162"/>
        <v>2.7398974188114347E-2</v>
      </c>
      <c r="X1709" s="87">
        <f t="shared" si="162"/>
        <v>1.4084739881739023E-2</v>
      </c>
      <c r="Y1709" s="87">
        <f t="shared" si="161"/>
        <v>1.1928570865273812E-2</v>
      </c>
      <c r="Z1709" s="87">
        <f t="shared" si="161"/>
        <v>4.8790164169432049E-2</v>
      </c>
      <c r="AA1709" s="87">
        <f t="shared" si="161"/>
        <v>1.8484814674103161E-2</v>
      </c>
      <c r="AB1709" s="87">
        <f t="shared" si="161"/>
        <v>1.2121360532344602E-2</v>
      </c>
      <c r="AC1709" s="87">
        <f t="shared" si="161"/>
        <v>1.9920977494554348E-2</v>
      </c>
      <c r="AD1709" s="87">
        <f t="shared" si="161"/>
        <v>1.8083675433295327E-2</v>
      </c>
      <c r="AE1709" s="90">
        <f t="shared" si="160"/>
        <v>8.2524339708837571E-3</v>
      </c>
    </row>
    <row r="1710" spans="1:31" ht="15.5" x14ac:dyDescent="0.35">
      <c r="A1710" s="82">
        <v>42247</v>
      </c>
      <c r="B1710" s="83">
        <v>10176.5</v>
      </c>
      <c r="C1710" s="84">
        <v>4776.5</v>
      </c>
      <c r="D1710" s="61">
        <v>646.4</v>
      </c>
      <c r="E1710" s="61">
        <v>32.200000000000003</v>
      </c>
      <c r="F1710" s="61">
        <v>112</v>
      </c>
      <c r="G1710" s="61">
        <v>43.1</v>
      </c>
      <c r="H1710" s="61">
        <v>11.1</v>
      </c>
      <c r="I1710" s="61">
        <v>29.3</v>
      </c>
      <c r="J1710" s="61">
        <v>25.5</v>
      </c>
      <c r="K1710" s="61">
        <v>9</v>
      </c>
      <c r="L1710" s="61">
        <v>53.6</v>
      </c>
      <c r="M1710" s="61">
        <v>49.5</v>
      </c>
      <c r="N1710" s="61">
        <v>50.7</v>
      </c>
      <c r="O1710" s="85">
        <v>55.6</v>
      </c>
      <c r="P1710" s="105"/>
      <c r="Q1710" s="87">
        <f t="shared" si="159"/>
        <v>-6.4255360999209057E-3</v>
      </c>
      <c r="R1710" s="87">
        <f t="shared" si="163"/>
        <v>-1.0786378107971501E-2</v>
      </c>
      <c r="S1710" s="87">
        <f t="shared" si="163"/>
        <v>-1.1382987083224624E-2</v>
      </c>
      <c r="T1710" s="87">
        <f t="shared" si="163"/>
        <v>-2.1506205220963505E-2</v>
      </c>
      <c r="U1710" s="87">
        <f t="shared" si="163"/>
        <v>4.4742803949211069E-3</v>
      </c>
      <c r="V1710" s="87">
        <f t="shared" si="163"/>
        <v>-6.9364439966569866E-3</v>
      </c>
      <c r="W1710" s="87">
        <f t="shared" si="162"/>
        <v>0</v>
      </c>
      <c r="X1710" s="87">
        <f t="shared" si="162"/>
        <v>2.4180798197214613E-2</v>
      </c>
      <c r="Y1710" s="87">
        <f t="shared" si="161"/>
        <v>7.8740564309058656E-3</v>
      </c>
      <c r="Z1710" s="87">
        <f t="shared" si="161"/>
        <v>6.8992871486951421E-2</v>
      </c>
      <c r="AA1710" s="87">
        <f t="shared" si="161"/>
        <v>-1.8484814674103102E-2</v>
      </c>
      <c r="AB1710" s="87">
        <f t="shared" si="161"/>
        <v>-6.0423144559625863E-3</v>
      </c>
      <c r="AC1710" s="87">
        <f t="shared" si="161"/>
        <v>0</v>
      </c>
      <c r="AD1710" s="87">
        <f t="shared" si="161"/>
        <v>-3.5906681307284844E-3</v>
      </c>
      <c r="AE1710" s="90">
        <f t="shared" si="160"/>
        <v>-5.722801727441054E-3</v>
      </c>
    </row>
    <row r="1711" spans="1:31" ht="15.5" x14ac:dyDescent="0.35">
      <c r="A1711" s="82">
        <v>42248</v>
      </c>
      <c r="B1711" s="83">
        <v>9874.7000000000007</v>
      </c>
      <c r="C1711" s="84">
        <v>4636.1000000000004</v>
      </c>
      <c r="D1711" s="61">
        <v>625.1</v>
      </c>
      <c r="E1711" s="61">
        <v>31.2</v>
      </c>
      <c r="F1711" s="61">
        <v>107.4</v>
      </c>
      <c r="G1711" s="61">
        <v>41.7</v>
      </c>
      <c r="H1711" s="61">
        <v>10.8</v>
      </c>
      <c r="I1711" s="61">
        <v>28.5</v>
      </c>
      <c r="J1711" s="61">
        <v>25.3</v>
      </c>
      <c r="K1711" s="61">
        <v>8.9</v>
      </c>
      <c r="L1711" s="61">
        <v>52.2</v>
      </c>
      <c r="M1711" s="61">
        <v>47.7</v>
      </c>
      <c r="N1711" s="61">
        <v>48.9</v>
      </c>
      <c r="O1711" s="85">
        <v>54</v>
      </c>
      <c r="P1711" s="105"/>
      <c r="Q1711" s="87">
        <f t="shared" si="159"/>
        <v>-3.0105210031920428E-2</v>
      </c>
      <c r="R1711" s="87">
        <f t="shared" si="163"/>
        <v>-2.9834565163815909E-2</v>
      </c>
      <c r="S1711" s="87">
        <f t="shared" si="163"/>
        <v>-3.3506870269118853E-2</v>
      </c>
      <c r="T1711" s="87">
        <f t="shared" si="163"/>
        <v>-3.1548357734926008E-2</v>
      </c>
      <c r="U1711" s="87">
        <f t="shared" si="163"/>
        <v>-4.1938689220330193E-2</v>
      </c>
      <c r="V1711" s="87">
        <f t="shared" si="163"/>
        <v>-3.3021868304946307E-2</v>
      </c>
      <c r="W1711" s="87">
        <f t="shared" si="162"/>
        <v>-2.7398974188114388E-2</v>
      </c>
      <c r="X1711" s="87">
        <f t="shared" si="162"/>
        <v>-2.7683428748416856E-2</v>
      </c>
      <c r="Y1711" s="87">
        <f t="shared" si="161"/>
        <v>-7.874056430905883E-3</v>
      </c>
      <c r="Z1711" s="87">
        <f t="shared" si="161"/>
        <v>-1.1173300598125189E-2</v>
      </c>
      <c r="AA1711" s="87">
        <f t="shared" si="161"/>
        <v>-2.6466573188163287E-2</v>
      </c>
      <c r="AB1711" s="87">
        <f t="shared" si="161"/>
        <v>-3.7041271680348979E-2</v>
      </c>
      <c r="AC1711" s="87">
        <f t="shared" si="161"/>
        <v>-3.614851411631121E-2</v>
      </c>
      <c r="AD1711" s="87">
        <f t="shared" si="161"/>
        <v>-2.9199154692262353E-2</v>
      </c>
      <c r="AE1711" s="90">
        <f t="shared" si="160"/>
        <v>-3.4293492270065742E-2</v>
      </c>
    </row>
    <row r="1712" spans="1:31" ht="15.5" x14ac:dyDescent="0.35">
      <c r="A1712" s="82">
        <v>42249</v>
      </c>
      <c r="B1712" s="83">
        <v>10013.4</v>
      </c>
      <c r="C1712" s="84">
        <v>4750</v>
      </c>
      <c r="D1712" s="61">
        <v>630.6</v>
      </c>
      <c r="E1712" s="61">
        <v>31.4</v>
      </c>
      <c r="F1712" s="61">
        <v>109.1</v>
      </c>
      <c r="G1712" s="61">
        <v>41.9</v>
      </c>
      <c r="H1712" s="61">
        <v>10.8</v>
      </c>
      <c r="I1712" s="61">
        <v>28.7</v>
      </c>
      <c r="J1712" s="61">
        <v>25.2</v>
      </c>
      <c r="K1712" s="61">
        <v>9.1</v>
      </c>
      <c r="L1712" s="61">
        <v>52.4</v>
      </c>
      <c r="M1712" s="61">
        <v>48</v>
      </c>
      <c r="N1712" s="61">
        <v>50.6</v>
      </c>
      <c r="O1712" s="85">
        <v>54.6</v>
      </c>
      <c r="P1712" s="105"/>
      <c r="Q1712" s="87">
        <f t="shared" si="159"/>
        <v>1.3948265416398837E-2</v>
      </c>
      <c r="R1712" s="87">
        <f t="shared" si="163"/>
        <v>2.4271122482439844E-2</v>
      </c>
      <c r="S1712" s="87">
        <f t="shared" si="163"/>
        <v>8.7601101731938531E-3</v>
      </c>
      <c r="T1712" s="87">
        <f t="shared" si="163"/>
        <v>6.3897980987709883E-3</v>
      </c>
      <c r="U1712" s="87">
        <f t="shared" si="163"/>
        <v>1.5704710764260669E-2</v>
      </c>
      <c r="V1712" s="87">
        <f t="shared" si="163"/>
        <v>4.7846981233362531E-3</v>
      </c>
      <c r="W1712" s="87">
        <f t="shared" si="162"/>
        <v>0</v>
      </c>
      <c r="X1712" s="87">
        <f t="shared" si="162"/>
        <v>6.9930354909706043E-3</v>
      </c>
      <c r="Y1712" s="87">
        <f t="shared" si="161"/>
        <v>-3.9604012160970167E-3</v>
      </c>
      <c r="Z1712" s="87">
        <f t="shared" si="161"/>
        <v>2.2223136784710041E-2</v>
      </c>
      <c r="AA1712" s="87">
        <f t="shared" si="161"/>
        <v>3.8240964384032546E-3</v>
      </c>
      <c r="AB1712" s="87">
        <f t="shared" si="161"/>
        <v>6.269613013595395E-3</v>
      </c>
      <c r="AC1712" s="87">
        <f t="shared" si="161"/>
        <v>3.4174179812593686E-2</v>
      </c>
      <c r="AD1712" s="87">
        <f t="shared" si="161"/>
        <v>1.1049836186584935E-2</v>
      </c>
      <c r="AE1712" s="90">
        <f t="shared" si="160"/>
        <v>1.5673556677948338E-2</v>
      </c>
    </row>
    <row r="1713" spans="1:31" ht="15.5" x14ac:dyDescent="0.35">
      <c r="A1713" s="82">
        <v>42250</v>
      </c>
      <c r="B1713" s="83">
        <v>10049.299999999999</v>
      </c>
      <c r="C1713" s="84">
        <v>4733.5</v>
      </c>
      <c r="D1713" s="61">
        <v>633.79999999999995</v>
      </c>
      <c r="E1713" s="61">
        <v>31.8</v>
      </c>
      <c r="F1713" s="61">
        <v>110</v>
      </c>
      <c r="G1713" s="61">
        <v>43.3</v>
      </c>
      <c r="H1713" s="61">
        <v>10.7</v>
      </c>
      <c r="I1713" s="61">
        <v>29.1</v>
      </c>
      <c r="J1713" s="61">
        <v>25.4</v>
      </c>
      <c r="K1713" s="61">
        <v>9.4</v>
      </c>
      <c r="L1713" s="61">
        <v>52.6</v>
      </c>
      <c r="M1713" s="61">
        <v>48.8</v>
      </c>
      <c r="N1713" s="61">
        <v>51.5</v>
      </c>
      <c r="O1713" s="85">
        <v>55.2</v>
      </c>
      <c r="P1713" s="105"/>
      <c r="Q1713" s="87">
        <f t="shared" si="159"/>
        <v>3.5787843427208957E-3</v>
      </c>
      <c r="R1713" s="87">
        <f t="shared" si="163"/>
        <v>-3.4797314597409634E-3</v>
      </c>
      <c r="S1713" s="87">
        <f t="shared" si="163"/>
        <v>5.0617001458598465E-3</v>
      </c>
      <c r="T1713" s="87">
        <f t="shared" si="163"/>
        <v>1.2658396871923465E-2</v>
      </c>
      <c r="U1713" s="87">
        <f t="shared" si="163"/>
        <v>8.2154729533910932E-3</v>
      </c>
      <c r="V1713" s="87">
        <f t="shared" si="163"/>
        <v>3.2866808080352139E-2</v>
      </c>
      <c r="W1713" s="87">
        <f t="shared" si="162"/>
        <v>-9.302392662313674E-3</v>
      </c>
      <c r="X1713" s="87">
        <f t="shared" si="162"/>
        <v>1.3841051411871511E-2</v>
      </c>
      <c r="Y1713" s="87">
        <f t="shared" si="161"/>
        <v>7.9051795071132473E-3</v>
      </c>
      <c r="Z1713" s="87">
        <f t="shared" si="161"/>
        <v>3.2435275753153955E-2</v>
      </c>
      <c r="AA1713" s="87">
        <f t="shared" si="161"/>
        <v>3.8095284166676487E-3</v>
      </c>
      <c r="AB1713" s="87">
        <f t="shared" si="161"/>
        <v>1.6529301951210506E-2</v>
      </c>
      <c r="AC1713" s="87">
        <f t="shared" si="161"/>
        <v>1.7630231376270501E-2</v>
      </c>
      <c r="AD1713" s="87">
        <f t="shared" si="161"/>
        <v>1.092907053219023E-2</v>
      </c>
      <c r="AE1713" s="90">
        <f t="shared" si="160"/>
        <v>4.1163738100426757E-3</v>
      </c>
    </row>
    <row r="1714" spans="1:31" ht="15.5" x14ac:dyDescent="0.35">
      <c r="A1714" s="82">
        <v>42251</v>
      </c>
      <c r="B1714" s="83">
        <v>9871.9</v>
      </c>
      <c r="C1714" s="84">
        <v>4683.8999999999996</v>
      </c>
      <c r="D1714" s="61">
        <v>626.5</v>
      </c>
      <c r="E1714" s="61">
        <v>31.4</v>
      </c>
      <c r="F1714" s="61">
        <v>108.5</v>
      </c>
      <c r="G1714" s="61">
        <v>42.2</v>
      </c>
      <c r="H1714" s="61">
        <v>10.8</v>
      </c>
      <c r="I1714" s="61">
        <v>28.9</v>
      </c>
      <c r="J1714" s="61">
        <v>25.3</v>
      </c>
      <c r="K1714" s="61">
        <v>9.5</v>
      </c>
      <c r="L1714" s="61">
        <v>51.2</v>
      </c>
      <c r="M1714" s="61">
        <v>47.5</v>
      </c>
      <c r="N1714" s="61">
        <v>51.3</v>
      </c>
      <c r="O1714" s="85">
        <v>54.5</v>
      </c>
      <c r="P1714" s="105"/>
      <c r="Q1714" s="87">
        <f t="shared" si="159"/>
        <v>-1.7810642885912751E-2</v>
      </c>
      <c r="R1714" s="87">
        <f t="shared" si="163"/>
        <v>-1.0533790353361687E-2</v>
      </c>
      <c r="S1714" s="87">
        <f t="shared" si="163"/>
        <v>-1.1584672920697328E-2</v>
      </c>
      <c r="T1714" s="87">
        <f t="shared" si="163"/>
        <v>-1.2658396871923577E-2</v>
      </c>
      <c r="U1714" s="87">
        <f t="shared" si="163"/>
        <v>-1.373019281190202E-2</v>
      </c>
      <c r="V1714" s="87">
        <f t="shared" si="163"/>
        <v>-2.57324139664779E-2</v>
      </c>
      <c r="W1714" s="87">
        <f t="shared" si="162"/>
        <v>9.3023926623136306E-3</v>
      </c>
      <c r="X1714" s="87">
        <f t="shared" si="162"/>
        <v>-6.8965790590604405E-3</v>
      </c>
      <c r="Y1714" s="87">
        <f t="shared" si="161"/>
        <v>-3.9447782910162288E-3</v>
      </c>
      <c r="Z1714" s="87">
        <f t="shared" si="161"/>
        <v>1.0582109330537008E-2</v>
      </c>
      <c r="AA1714" s="87">
        <f t="shared" si="161"/>
        <v>-2.6976587698202083E-2</v>
      </c>
      <c r="AB1714" s="87">
        <f t="shared" si="161"/>
        <v>-2.7000601818505856E-2</v>
      </c>
      <c r="AC1714" s="87">
        <f t="shared" si="161"/>
        <v>-3.8910554929666762E-3</v>
      </c>
      <c r="AD1714" s="87">
        <f t="shared" si="161"/>
        <v>-1.2762251613851293E-2</v>
      </c>
      <c r="AE1714" s="90">
        <f t="shared" si="160"/>
        <v>-1.2026292720617398E-2</v>
      </c>
    </row>
    <row r="1715" spans="1:31" ht="15.5" x14ac:dyDescent="0.35">
      <c r="A1715" s="82">
        <v>42255</v>
      </c>
      <c r="B1715" s="83">
        <v>10109.700000000001</v>
      </c>
      <c r="C1715" s="84">
        <v>4811.8999999999996</v>
      </c>
      <c r="D1715" s="61">
        <v>632.9</v>
      </c>
      <c r="E1715" s="61">
        <v>30.9</v>
      </c>
      <c r="F1715" s="61">
        <v>110.3</v>
      </c>
      <c r="G1715" s="61">
        <v>43.2</v>
      </c>
      <c r="H1715" s="61">
        <v>10.9</v>
      </c>
      <c r="I1715" s="61">
        <v>29.7</v>
      </c>
      <c r="J1715" s="61">
        <v>25.4</v>
      </c>
      <c r="K1715" s="61">
        <v>9.8000000000000007</v>
      </c>
      <c r="L1715" s="61">
        <v>52.2</v>
      </c>
      <c r="M1715" s="61">
        <v>48.4</v>
      </c>
      <c r="N1715" s="61">
        <v>52.3</v>
      </c>
      <c r="O1715" s="85">
        <v>55.1</v>
      </c>
      <c r="P1715" s="105"/>
      <c r="Q1715" s="87">
        <f t="shared" si="159"/>
        <v>2.3803021549522727E-2</v>
      </c>
      <c r="R1715" s="87">
        <f t="shared" si="163"/>
        <v>2.6960920283165712E-2</v>
      </c>
      <c r="S1715" s="87">
        <f t="shared" si="163"/>
        <v>1.0163657445136639E-2</v>
      </c>
      <c r="T1715" s="87">
        <f t="shared" si="163"/>
        <v>-1.6051709010507901E-2</v>
      </c>
      <c r="U1715" s="87">
        <f t="shared" si="163"/>
        <v>1.645375327894243E-2</v>
      </c>
      <c r="V1715" s="87">
        <f t="shared" si="163"/>
        <v>2.3420274208098422E-2</v>
      </c>
      <c r="W1715" s="87">
        <f t="shared" si="162"/>
        <v>9.2166551049240476E-3</v>
      </c>
      <c r="X1715" s="87">
        <f t="shared" si="162"/>
        <v>2.7305450690267439E-2</v>
      </c>
      <c r="Y1715" s="87">
        <f t="shared" si="161"/>
        <v>3.9447782910163251E-3</v>
      </c>
      <c r="Z1715" s="87">
        <f t="shared" si="161"/>
        <v>3.1090587070031182E-2</v>
      </c>
      <c r="AA1715" s="87">
        <f t="shared" si="161"/>
        <v>1.9342962843130935E-2</v>
      </c>
      <c r="AB1715" s="87">
        <f t="shared" si="161"/>
        <v>1.8770102681990468E-2</v>
      </c>
      <c r="AC1715" s="87">
        <f t="shared" si="161"/>
        <v>1.9305618894153474E-2</v>
      </c>
      <c r="AD1715" s="87">
        <f t="shared" si="161"/>
        <v>1.0949014489670523E-2</v>
      </c>
      <c r="AE1715" s="90">
        <f t="shared" si="160"/>
        <v>1.7092653820881362E-2</v>
      </c>
    </row>
    <row r="1716" spans="1:31" ht="15.5" x14ac:dyDescent="0.35">
      <c r="A1716" s="82">
        <v>42256</v>
      </c>
      <c r="B1716" s="83">
        <v>9988.9</v>
      </c>
      <c r="C1716" s="84">
        <v>4756.5</v>
      </c>
      <c r="D1716" s="61">
        <v>640.9</v>
      </c>
      <c r="E1716" s="61">
        <v>30.4</v>
      </c>
      <c r="F1716" s="61">
        <v>109.8</v>
      </c>
      <c r="G1716" s="61">
        <v>42.9</v>
      </c>
      <c r="H1716" s="61">
        <v>11.4</v>
      </c>
      <c r="I1716" s="61">
        <v>29.8</v>
      </c>
      <c r="J1716" s="61">
        <v>25.5</v>
      </c>
      <c r="K1716" s="61">
        <v>9.6</v>
      </c>
      <c r="L1716" s="61">
        <v>51.8</v>
      </c>
      <c r="M1716" s="61">
        <v>48.2</v>
      </c>
      <c r="N1716" s="61">
        <v>51.3</v>
      </c>
      <c r="O1716" s="85">
        <v>54.8</v>
      </c>
      <c r="P1716" s="105"/>
      <c r="Q1716" s="87">
        <f t="shared" si="159"/>
        <v>-1.2020882513817197E-2</v>
      </c>
      <c r="R1716" s="87">
        <f t="shared" si="163"/>
        <v>-1.1579912852238172E-2</v>
      </c>
      <c r="S1716" s="87">
        <f t="shared" si="163"/>
        <v>1.2561006728921381E-2</v>
      </c>
      <c r="T1716" s="87">
        <f t="shared" si="163"/>
        <v>-1.6313575491523794E-2</v>
      </c>
      <c r="U1716" s="87">
        <f t="shared" si="163"/>
        <v>-4.5433971840265677E-3</v>
      </c>
      <c r="V1716" s="87">
        <f t="shared" si="163"/>
        <v>-6.9686693160934277E-3</v>
      </c>
      <c r="W1716" s="87">
        <f t="shared" si="162"/>
        <v>4.4850566165351713E-2</v>
      </c>
      <c r="X1716" s="87">
        <f t="shared" si="162"/>
        <v>3.3613477027049274E-3</v>
      </c>
      <c r="Y1716" s="87">
        <f t="shared" si="161"/>
        <v>3.929278139889557E-3</v>
      </c>
      <c r="Z1716" s="87">
        <f t="shared" si="161"/>
        <v>-2.0619287202735818E-2</v>
      </c>
      <c r="AA1716" s="87">
        <f t="shared" si="161"/>
        <v>-7.6923456231557255E-3</v>
      </c>
      <c r="AB1716" s="87">
        <f t="shared" si="161"/>
        <v>-4.1407926660312769E-3</v>
      </c>
      <c r="AC1716" s="87">
        <f t="shared" si="161"/>
        <v>-1.9305618894153422E-2</v>
      </c>
      <c r="AD1716" s="87">
        <f t="shared" si="161"/>
        <v>-5.459522204898982E-3</v>
      </c>
      <c r="AE1716" s="90">
        <f t="shared" si="160"/>
        <v>-1.7563763093608959E-3</v>
      </c>
    </row>
    <row r="1717" spans="1:31" ht="15.5" x14ac:dyDescent="0.35">
      <c r="A1717" s="82">
        <v>42257</v>
      </c>
      <c r="B1717" s="83">
        <v>10019.4</v>
      </c>
      <c r="C1717" s="84">
        <v>4796.3</v>
      </c>
      <c r="D1717" s="61">
        <v>641.70000000000005</v>
      </c>
      <c r="E1717" s="61">
        <v>31</v>
      </c>
      <c r="F1717" s="61">
        <v>109.9</v>
      </c>
      <c r="G1717" s="61">
        <v>42.7</v>
      </c>
      <c r="H1717" s="61">
        <v>11.4</v>
      </c>
      <c r="I1717" s="61">
        <v>29.6</v>
      </c>
      <c r="J1717" s="61">
        <v>25.3</v>
      </c>
      <c r="K1717" s="61">
        <v>9.5</v>
      </c>
      <c r="L1717" s="61">
        <v>51.9</v>
      </c>
      <c r="M1717" s="61">
        <v>47.9</v>
      </c>
      <c r="N1717" s="61">
        <v>50.9</v>
      </c>
      <c r="O1717" s="85">
        <v>54.5</v>
      </c>
      <c r="P1717" s="105"/>
      <c r="Q1717" s="87">
        <f t="shared" si="159"/>
        <v>3.0487371365159129E-3</v>
      </c>
      <c r="R1717" s="87">
        <f t="shared" si="163"/>
        <v>8.3326836713627141E-3</v>
      </c>
      <c r="S1717" s="87">
        <f t="shared" si="163"/>
        <v>1.2474662462886551E-3</v>
      </c>
      <c r="T1717" s="87">
        <f t="shared" si="163"/>
        <v>1.9544596072970346E-2</v>
      </c>
      <c r="U1717" s="87">
        <f t="shared" si="163"/>
        <v>9.1033233414560748E-4</v>
      </c>
      <c r="V1717" s="87">
        <f t="shared" si="163"/>
        <v>-4.6729056993923702E-3</v>
      </c>
      <c r="W1717" s="87">
        <f t="shared" si="162"/>
        <v>0</v>
      </c>
      <c r="X1717" s="87">
        <f t="shared" si="162"/>
        <v>-6.7340321813440683E-3</v>
      </c>
      <c r="Y1717" s="87">
        <f t="shared" si="161"/>
        <v>-7.874056430905883E-3</v>
      </c>
      <c r="Z1717" s="87">
        <f t="shared" si="161"/>
        <v>-1.0471299867295366E-2</v>
      </c>
      <c r="AA1717" s="87">
        <f t="shared" si="161"/>
        <v>1.9286409064056863E-3</v>
      </c>
      <c r="AB1717" s="87">
        <f t="shared" si="161"/>
        <v>-6.2435166396851592E-3</v>
      </c>
      <c r="AC1717" s="87">
        <f t="shared" si="161"/>
        <v>-7.8278286202467916E-3</v>
      </c>
      <c r="AD1717" s="87">
        <f t="shared" si="161"/>
        <v>-5.4894922847713691E-3</v>
      </c>
      <c r="AE1717" s="90">
        <f t="shared" si="160"/>
        <v>2.4559843417722499E-3</v>
      </c>
    </row>
    <row r="1718" spans="1:31" ht="15.5" x14ac:dyDescent="0.35">
      <c r="A1718" s="82">
        <v>42258</v>
      </c>
      <c r="B1718" s="83">
        <v>10040.200000000001</v>
      </c>
      <c r="C1718" s="84">
        <v>4822.3</v>
      </c>
      <c r="D1718" s="61">
        <v>647.4</v>
      </c>
      <c r="E1718" s="61">
        <v>30.6</v>
      </c>
      <c r="F1718" s="61">
        <v>111.8</v>
      </c>
      <c r="G1718" s="61">
        <v>42.9</v>
      </c>
      <c r="H1718" s="61">
        <v>11.3</v>
      </c>
      <c r="I1718" s="61">
        <v>29</v>
      </c>
      <c r="J1718" s="61">
        <v>24.8</v>
      </c>
      <c r="K1718" s="61">
        <v>9.5</v>
      </c>
      <c r="L1718" s="61">
        <v>51.7</v>
      </c>
      <c r="M1718" s="61">
        <v>47.9</v>
      </c>
      <c r="N1718" s="61">
        <v>50.7</v>
      </c>
      <c r="O1718" s="85">
        <v>55</v>
      </c>
      <c r="P1718" s="105"/>
      <c r="Q1718" s="87">
        <f t="shared" si="159"/>
        <v>2.0738207595966569E-3</v>
      </c>
      <c r="R1718" s="87">
        <f t="shared" si="163"/>
        <v>5.4062053365889727E-3</v>
      </c>
      <c r="S1718" s="87">
        <f t="shared" si="163"/>
        <v>8.8434367356742954E-3</v>
      </c>
      <c r="T1718" s="87">
        <f t="shared" si="163"/>
        <v>-1.2987195526811079E-2</v>
      </c>
      <c r="U1718" s="87">
        <f t="shared" si="163"/>
        <v>1.7140699311422977E-2</v>
      </c>
      <c r="V1718" s="87">
        <f t="shared" si="163"/>
        <v>4.6729056993924231E-3</v>
      </c>
      <c r="W1718" s="87">
        <f t="shared" si="162"/>
        <v>-8.810629682154807E-3</v>
      </c>
      <c r="X1718" s="87">
        <f t="shared" si="162"/>
        <v>-2.0478531343540676E-2</v>
      </c>
      <c r="Y1718" s="87">
        <f t="shared" si="161"/>
        <v>-1.9960742562538058E-2</v>
      </c>
      <c r="Z1718" s="87">
        <f t="shared" si="161"/>
        <v>0</v>
      </c>
      <c r="AA1718" s="87">
        <f t="shared" si="161"/>
        <v>-3.8610086574594311E-3</v>
      </c>
      <c r="AB1718" s="87">
        <f t="shared" si="161"/>
        <v>0</v>
      </c>
      <c r="AC1718" s="87">
        <f t="shared" si="161"/>
        <v>-3.9370129593395316E-3</v>
      </c>
      <c r="AD1718" s="87">
        <f t="shared" si="161"/>
        <v>9.1324835632724723E-3</v>
      </c>
      <c r="AE1718" s="90">
        <f t="shared" si="160"/>
        <v>1.0220775238583425E-2</v>
      </c>
    </row>
    <row r="1719" spans="1:31" ht="15.5" x14ac:dyDescent="0.35">
      <c r="A1719" s="82">
        <v>42261</v>
      </c>
      <c r="B1719" s="83">
        <v>9988.6</v>
      </c>
      <c r="C1719" s="84">
        <v>4805.8</v>
      </c>
      <c r="D1719" s="61">
        <v>649.5</v>
      </c>
      <c r="E1719" s="61">
        <v>30</v>
      </c>
      <c r="F1719" s="61">
        <v>114.9</v>
      </c>
      <c r="G1719" s="61">
        <v>42.9</v>
      </c>
      <c r="H1719" s="61">
        <v>11.2</v>
      </c>
      <c r="I1719" s="61">
        <v>29.1</v>
      </c>
      <c r="J1719" s="61">
        <v>24.6</v>
      </c>
      <c r="K1719" s="61">
        <v>9.6</v>
      </c>
      <c r="L1719" s="61">
        <v>52</v>
      </c>
      <c r="M1719" s="61">
        <v>48</v>
      </c>
      <c r="N1719" s="61">
        <v>50.9</v>
      </c>
      <c r="O1719" s="85">
        <v>55.6</v>
      </c>
      <c r="P1719" s="105"/>
      <c r="Q1719" s="87">
        <f t="shared" si="159"/>
        <v>-5.1525916841262736E-3</v>
      </c>
      <c r="R1719" s="87">
        <f t="shared" si="163"/>
        <v>-3.4274708723189174E-3</v>
      </c>
      <c r="S1719" s="87">
        <f t="shared" si="163"/>
        <v>3.2384946185102757E-3</v>
      </c>
      <c r="T1719" s="87">
        <f t="shared" si="163"/>
        <v>-1.9802627296179754E-2</v>
      </c>
      <c r="U1719" s="87">
        <f t="shared" si="163"/>
        <v>2.7350624133711227E-2</v>
      </c>
      <c r="V1719" s="87">
        <f t="shared" si="163"/>
        <v>0</v>
      </c>
      <c r="W1719" s="87">
        <f t="shared" si="162"/>
        <v>-8.888947417246152E-3</v>
      </c>
      <c r="X1719" s="87">
        <f t="shared" si="162"/>
        <v>3.4423441909729197E-3</v>
      </c>
      <c r="Y1719" s="87">
        <f t="shared" si="161"/>
        <v>-8.0972102326193618E-3</v>
      </c>
      <c r="Z1719" s="87">
        <f t="shared" si="161"/>
        <v>1.0471299867295437E-2</v>
      </c>
      <c r="AA1719" s="87">
        <f t="shared" si="161"/>
        <v>5.7859370670439265E-3</v>
      </c>
      <c r="AB1719" s="87">
        <f t="shared" si="161"/>
        <v>2.0855064910213611E-3</v>
      </c>
      <c r="AC1719" s="87">
        <f t="shared" si="161"/>
        <v>3.9370129593395992E-3</v>
      </c>
      <c r="AD1719" s="87">
        <f t="shared" si="161"/>
        <v>1.0850016024065844E-2</v>
      </c>
      <c r="AE1719" s="90">
        <f t="shared" si="160"/>
        <v>9.0601448989372207E-3</v>
      </c>
    </row>
    <row r="1720" spans="1:31" ht="15.5" x14ac:dyDescent="0.35">
      <c r="A1720" s="82">
        <v>42262</v>
      </c>
      <c r="B1720" s="83">
        <v>10105.9</v>
      </c>
      <c r="C1720" s="84">
        <v>4860.5</v>
      </c>
      <c r="D1720" s="61">
        <v>653.29999999999995</v>
      </c>
      <c r="E1720" s="61">
        <v>29.4</v>
      </c>
      <c r="F1720" s="61">
        <v>114.4</v>
      </c>
      <c r="G1720" s="61">
        <v>43.1</v>
      </c>
      <c r="H1720" s="61">
        <v>11</v>
      </c>
      <c r="I1720" s="61">
        <v>29</v>
      </c>
      <c r="J1720" s="61">
        <v>24.5</v>
      </c>
      <c r="K1720" s="61">
        <v>9.6999999999999993</v>
      </c>
      <c r="L1720" s="61">
        <v>52.7</v>
      </c>
      <c r="M1720" s="61">
        <v>48.3</v>
      </c>
      <c r="N1720" s="61">
        <v>51.4</v>
      </c>
      <c r="O1720" s="85">
        <v>55.4</v>
      </c>
      <c r="P1720" s="105"/>
      <c r="Q1720" s="87">
        <f t="shared" si="159"/>
        <v>1.1674969009170063E-2</v>
      </c>
      <c r="R1720" s="87">
        <f t="shared" si="163"/>
        <v>1.1317791478979032E-2</v>
      </c>
      <c r="S1720" s="87">
        <f t="shared" si="163"/>
        <v>5.8336057360504233E-3</v>
      </c>
      <c r="T1720" s="87">
        <f t="shared" si="163"/>
        <v>-2.0202707317519466E-2</v>
      </c>
      <c r="U1720" s="87">
        <f t="shared" si="163"/>
        <v>-4.3611059090124206E-3</v>
      </c>
      <c r="V1720" s="87">
        <f t="shared" si="163"/>
        <v>4.6511711757308803E-3</v>
      </c>
      <c r="W1720" s="87">
        <f t="shared" si="162"/>
        <v>-1.801850550267825E-2</v>
      </c>
      <c r="X1720" s="87">
        <f t="shared" si="162"/>
        <v>-3.4423441909729015E-3</v>
      </c>
      <c r="Y1720" s="87">
        <f t="shared" si="161"/>
        <v>-4.0733253876358982E-3</v>
      </c>
      <c r="Z1720" s="87">
        <f t="shared" si="161"/>
        <v>1.0362787035546658E-2</v>
      </c>
      <c r="AA1720" s="87">
        <f t="shared" si="161"/>
        <v>1.3371736965889241E-2</v>
      </c>
      <c r="AB1720" s="87">
        <f t="shared" si="161"/>
        <v>6.2305497506359416E-3</v>
      </c>
      <c r="AC1720" s="87">
        <f t="shared" si="161"/>
        <v>9.7752489046424654E-3</v>
      </c>
      <c r="AD1720" s="87">
        <f t="shared" si="161"/>
        <v>-3.6036075032986558E-3</v>
      </c>
      <c r="AE1720" s="90">
        <f t="shared" si="160"/>
        <v>3.4153405885402766E-3</v>
      </c>
    </row>
    <row r="1721" spans="1:31" ht="15.5" x14ac:dyDescent="0.35">
      <c r="A1721" s="82">
        <v>42263</v>
      </c>
      <c r="B1721" s="83">
        <v>10236.700000000001</v>
      </c>
      <c r="C1721" s="84">
        <v>4889.2</v>
      </c>
      <c r="D1721" s="61">
        <v>662.2</v>
      </c>
      <c r="E1721" s="61">
        <v>31</v>
      </c>
      <c r="F1721" s="61">
        <v>115.4</v>
      </c>
      <c r="G1721" s="61">
        <v>43.8</v>
      </c>
      <c r="H1721" s="61">
        <v>11.7</v>
      </c>
      <c r="I1721" s="61">
        <v>29.5</v>
      </c>
      <c r="J1721" s="61">
        <v>24.8</v>
      </c>
      <c r="K1721" s="61">
        <v>9.6999999999999993</v>
      </c>
      <c r="L1721" s="61">
        <v>53.3</v>
      </c>
      <c r="M1721" s="61">
        <v>49.2</v>
      </c>
      <c r="N1721" s="61">
        <v>51.4</v>
      </c>
      <c r="O1721" s="85">
        <v>56.9</v>
      </c>
      <c r="P1721" s="105"/>
      <c r="Q1721" s="87">
        <f t="shared" si="159"/>
        <v>1.285989033869123E-2</v>
      </c>
      <c r="R1721" s="87">
        <f t="shared" si="163"/>
        <v>5.8873776419840398E-3</v>
      </c>
      <c r="S1721" s="87">
        <f t="shared" si="163"/>
        <v>1.3531183266441392E-2</v>
      </c>
      <c r="T1721" s="87">
        <f t="shared" si="163"/>
        <v>5.2992530140510377E-2</v>
      </c>
      <c r="U1721" s="87">
        <f t="shared" si="163"/>
        <v>8.7032751283016713E-3</v>
      </c>
      <c r="V1721" s="87">
        <f t="shared" si="163"/>
        <v>1.6110820272698272E-2</v>
      </c>
      <c r="W1721" s="87">
        <f t="shared" si="162"/>
        <v>6.1693569005339753E-2</v>
      </c>
      <c r="X1721" s="87">
        <f t="shared" si="162"/>
        <v>1.709443335930004E-2</v>
      </c>
      <c r="Y1721" s="87">
        <f t="shared" si="161"/>
        <v>1.2170535620255114E-2</v>
      </c>
      <c r="Z1721" s="87">
        <f t="shared" si="161"/>
        <v>0</v>
      </c>
      <c r="AA1721" s="87">
        <f t="shared" si="161"/>
        <v>1.1320875624482075E-2</v>
      </c>
      <c r="AB1721" s="87">
        <f t="shared" si="161"/>
        <v>1.8462062839735571E-2</v>
      </c>
      <c r="AC1721" s="87">
        <f t="shared" si="161"/>
        <v>0</v>
      </c>
      <c r="AD1721" s="87">
        <f t="shared" si="161"/>
        <v>2.6715747379047056E-2</v>
      </c>
      <c r="AE1721" s="90">
        <f t="shared" si="160"/>
        <v>1.1462037791760716E-2</v>
      </c>
    </row>
    <row r="1722" spans="1:31" ht="15.5" x14ac:dyDescent="0.35">
      <c r="A1722" s="82">
        <v>42264</v>
      </c>
      <c r="B1722" s="83">
        <v>10215.5</v>
      </c>
      <c r="C1722" s="84">
        <v>4894</v>
      </c>
      <c r="D1722" s="61">
        <v>665</v>
      </c>
      <c r="E1722" s="61">
        <v>30.8</v>
      </c>
      <c r="F1722" s="61">
        <v>113.7</v>
      </c>
      <c r="G1722" s="61">
        <v>44.1</v>
      </c>
      <c r="H1722" s="61">
        <v>11.8</v>
      </c>
      <c r="I1722" s="61">
        <v>30.7</v>
      </c>
      <c r="J1722" s="61">
        <v>25.1</v>
      </c>
      <c r="K1722" s="61">
        <v>9.8000000000000007</v>
      </c>
      <c r="L1722" s="61">
        <v>53</v>
      </c>
      <c r="M1722" s="61">
        <v>47.5</v>
      </c>
      <c r="N1722" s="61">
        <v>52.4</v>
      </c>
      <c r="O1722" s="85">
        <v>57.3</v>
      </c>
      <c r="P1722" s="105"/>
      <c r="Q1722" s="87">
        <f t="shared" si="159"/>
        <v>-2.07312734990674E-3</v>
      </c>
      <c r="R1722" s="87">
        <f t="shared" si="163"/>
        <v>9.8127409950931428E-4</v>
      </c>
      <c r="S1722" s="87">
        <f t="shared" si="163"/>
        <v>4.2194155427080684E-3</v>
      </c>
      <c r="T1722" s="87">
        <f t="shared" si="163"/>
        <v>-6.4725145056174788E-3</v>
      </c>
      <c r="U1722" s="87">
        <f t="shared" si="163"/>
        <v>-1.4840953317508818E-2</v>
      </c>
      <c r="V1722" s="87">
        <f t="shared" si="163"/>
        <v>6.8259650703998906E-3</v>
      </c>
      <c r="W1722" s="87">
        <f t="shared" si="162"/>
        <v>8.5106896679088308E-3</v>
      </c>
      <c r="X1722" s="87">
        <f t="shared" si="162"/>
        <v>3.9872391247377355E-2</v>
      </c>
      <c r="Y1722" s="87">
        <f t="shared" si="161"/>
        <v>1.2024192966801812E-2</v>
      </c>
      <c r="Z1722" s="87">
        <f t="shared" si="161"/>
        <v>1.0256500167189282E-2</v>
      </c>
      <c r="AA1722" s="87">
        <f t="shared" si="161"/>
        <v>-5.6444176196769578E-3</v>
      </c>
      <c r="AB1722" s="87">
        <f t="shared" si="161"/>
        <v>-3.5163912457667014E-2</v>
      </c>
      <c r="AC1722" s="87">
        <f t="shared" si="161"/>
        <v>1.9268418865876987E-2</v>
      </c>
      <c r="AD1722" s="87">
        <f t="shared" si="161"/>
        <v>7.0052825884085925E-3</v>
      </c>
      <c r="AE1722" s="90">
        <f t="shared" si="160"/>
        <v>-1.862696601261476E-3</v>
      </c>
    </row>
    <row r="1723" spans="1:31" ht="15.5" x14ac:dyDescent="0.35">
      <c r="A1723" s="82">
        <v>42265</v>
      </c>
      <c r="B1723" s="83">
        <v>10031.6</v>
      </c>
      <c r="C1723" s="84">
        <v>4827.2</v>
      </c>
      <c r="D1723" s="61">
        <v>660</v>
      </c>
      <c r="E1723" s="61">
        <v>30.4</v>
      </c>
      <c r="F1723" s="61">
        <v>111.9</v>
      </c>
      <c r="G1723" s="61">
        <v>43.3</v>
      </c>
      <c r="H1723" s="61">
        <v>11.5</v>
      </c>
      <c r="I1723" s="61">
        <v>30.3</v>
      </c>
      <c r="J1723" s="61">
        <v>24.4</v>
      </c>
      <c r="K1723" s="61">
        <v>9.5</v>
      </c>
      <c r="L1723" s="61">
        <v>51.9</v>
      </c>
      <c r="M1723" s="61">
        <v>46</v>
      </c>
      <c r="N1723" s="61">
        <v>50.8</v>
      </c>
      <c r="O1723" s="85">
        <v>56.9</v>
      </c>
      <c r="P1723" s="105"/>
      <c r="Q1723" s="87">
        <f t="shared" si="159"/>
        <v>-1.8166064010383735E-2</v>
      </c>
      <c r="R1723" s="87">
        <f t="shared" si="163"/>
        <v>-1.3743375597820399E-2</v>
      </c>
      <c r="S1723" s="87">
        <f t="shared" si="163"/>
        <v>-7.5472056353829663E-3</v>
      </c>
      <c r="T1723" s="87">
        <f t="shared" si="163"/>
        <v>-1.3072081567352888E-2</v>
      </c>
      <c r="U1723" s="87">
        <f t="shared" si="163"/>
        <v>-1.5957785438610806E-2</v>
      </c>
      <c r="V1723" s="87">
        <f t="shared" si="163"/>
        <v>-1.8307147444356242E-2</v>
      </c>
      <c r="W1723" s="87">
        <f t="shared" si="162"/>
        <v>-2.575249610241474E-2</v>
      </c>
      <c r="X1723" s="87">
        <f t="shared" si="162"/>
        <v>-1.3114942077828018E-2</v>
      </c>
      <c r="Y1723" s="87">
        <f t="shared" si="161"/>
        <v>-2.8284713838582106E-2</v>
      </c>
      <c r="Z1723" s="87">
        <f t="shared" si="161"/>
        <v>-3.1090587070031119E-2</v>
      </c>
      <c r="AA1723" s="87">
        <f t="shared" si="161"/>
        <v>-2.0973123380278874E-2</v>
      </c>
      <c r="AB1723" s="87">
        <f t="shared" si="161"/>
        <v>-3.2088314551500512E-2</v>
      </c>
      <c r="AC1723" s="87">
        <f t="shared" si="161"/>
        <v>-3.1010236742560322E-2</v>
      </c>
      <c r="AD1723" s="87">
        <f t="shared" si="161"/>
        <v>-7.005282588408576E-3</v>
      </c>
      <c r="AE1723" s="90">
        <f t="shared" si="160"/>
        <v>-1.1743540637961581E-2</v>
      </c>
    </row>
    <row r="1724" spans="1:31" ht="15.5" x14ac:dyDescent="0.35">
      <c r="A1724" s="82">
        <v>42268</v>
      </c>
      <c r="B1724" s="83">
        <v>10066.1</v>
      </c>
      <c r="C1724" s="84">
        <v>4829</v>
      </c>
      <c r="D1724" s="61">
        <v>658</v>
      </c>
      <c r="E1724" s="61">
        <v>30.9</v>
      </c>
      <c r="F1724" s="61">
        <v>113.7</v>
      </c>
      <c r="G1724" s="61">
        <v>43.6</v>
      </c>
      <c r="H1724" s="61">
        <v>12</v>
      </c>
      <c r="I1724" s="61">
        <v>30.2</v>
      </c>
      <c r="J1724" s="61">
        <v>23.6</v>
      </c>
      <c r="K1724" s="61">
        <v>9.5</v>
      </c>
      <c r="L1724" s="61">
        <v>50.7</v>
      </c>
      <c r="M1724" s="61">
        <v>46.5</v>
      </c>
      <c r="N1724" s="61">
        <v>51</v>
      </c>
      <c r="O1724" s="85">
        <v>57.4</v>
      </c>
      <c r="P1724" s="105"/>
      <c r="Q1724" s="87">
        <f t="shared" si="159"/>
        <v>3.4332320502201939E-3</v>
      </c>
      <c r="R1724" s="87">
        <f t="shared" si="163"/>
        <v>3.7281746874530028E-4</v>
      </c>
      <c r="S1724" s="87">
        <f t="shared" si="163"/>
        <v>-3.034903695154047E-3</v>
      </c>
      <c r="T1724" s="87">
        <f t="shared" si="163"/>
        <v>1.6313575491523787E-2</v>
      </c>
      <c r="U1724" s="87">
        <f t="shared" si="163"/>
        <v>1.5957785438610816E-2</v>
      </c>
      <c r="V1724" s="87">
        <f t="shared" si="163"/>
        <v>6.9045153465444858E-3</v>
      </c>
      <c r="W1724" s="87">
        <f t="shared" si="162"/>
        <v>4.2559614418795903E-2</v>
      </c>
      <c r="X1724" s="87">
        <f t="shared" si="162"/>
        <v>-3.3057881344995439E-3</v>
      </c>
      <c r="Y1724" s="87">
        <f t="shared" si="161"/>
        <v>-3.3336420267591718E-2</v>
      </c>
      <c r="Z1724" s="87">
        <f t="shared" si="161"/>
        <v>0</v>
      </c>
      <c r="AA1724" s="87">
        <f t="shared" si="161"/>
        <v>-2.3392879574705348E-2</v>
      </c>
      <c r="AB1724" s="87">
        <f t="shared" si="161"/>
        <v>1.0810916104215676E-2</v>
      </c>
      <c r="AC1724" s="87">
        <f t="shared" si="161"/>
        <v>3.929278139889557E-3</v>
      </c>
      <c r="AD1724" s="87">
        <f t="shared" si="161"/>
        <v>8.7489621932355446E-3</v>
      </c>
      <c r="AE1724" s="90">
        <f t="shared" si="160"/>
        <v>4.8496129571183304E-3</v>
      </c>
    </row>
    <row r="1725" spans="1:31" ht="15.5" x14ac:dyDescent="0.35">
      <c r="A1725" s="82">
        <v>42269</v>
      </c>
      <c r="B1725" s="83">
        <v>9912.6</v>
      </c>
      <c r="C1725" s="84">
        <v>4756.7</v>
      </c>
      <c r="D1725" s="61">
        <v>645</v>
      </c>
      <c r="E1725" s="61">
        <v>30.2</v>
      </c>
      <c r="F1725" s="61">
        <v>112.5</v>
      </c>
      <c r="G1725" s="61">
        <v>43.3</v>
      </c>
      <c r="H1725" s="61">
        <v>11.8</v>
      </c>
      <c r="I1725" s="61">
        <v>29.2</v>
      </c>
      <c r="J1725" s="61">
        <v>21.9</v>
      </c>
      <c r="K1725" s="61">
        <v>9.1999999999999993</v>
      </c>
      <c r="L1725" s="61">
        <v>50.3</v>
      </c>
      <c r="M1725" s="61">
        <v>45.6</v>
      </c>
      <c r="N1725" s="61">
        <v>49.5</v>
      </c>
      <c r="O1725" s="85">
        <v>57.2</v>
      </c>
      <c r="P1725" s="105"/>
      <c r="Q1725" s="87">
        <f t="shared" si="159"/>
        <v>-1.5366667555102536E-2</v>
      </c>
      <c r="R1725" s="87">
        <f t="shared" si="163"/>
        <v>-1.5085256386844086E-2</v>
      </c>
      <c r="S1725" s="87">
        <f t="shared" si="163"/>
        <v>-1.9954614529544702E-2</v>
      </c>
      <c r="T1725" s="87">
        <f t="shared" si="163"/>
        <v>-2.2914259522875777E-2</v>
      </c>
      <c r="U1725" s="87">
        <f t="shared" si="163"/>
        <v>-1.0610179112015571E-2</v>
      </c>
      <c r="V1725" s="87">
        <f t="shared" si="163"/>
        <v>-6.9045153465445985E-3</v>
      </c>
      <c r="W1725" s="87">
        <f t="shared" si="162"/>
        <v>-1.6807118316381174E-2</v>
      </c>
      <c r="X1725" s="87">
        <f t="shared" si="162"/>
        <v>-3.3673215106587835E-2</v>
      </c>
      <c r="Y1725" s="87">
        <f t="shared" si="161"/>
        <v>-7.4760075209109406E-2</v>
      </c>
      <c r="Z1725" s="87">
        <f t="shared" si="161"/>
        <v>-3.208831455150063E-2</v>
      </c>
      <c r="AA1725" s="87">
        <f t="shared" si="161"/>
        <v>-7.9208334914441098E-3</v>
      </c>
      <c r="AB1725" s="87">
        <f t="shared" si="161"/>
        <v>-1.9544596072970169E-2</v>
      </c>
      <c r="AC1725" s="87">
        <f t="shared" si="161"/>
        <v>-2.985296314968116E-2</v>
      </c>
      <c r="AD1725" s="87">
        <f t="shared" si="161"/>
        <v>-3.4904049397684908E-3</v>
      </c>
      <c r="AE1725" s="90">
        <f t="shared" si="160"/>
        <v>-1.3821898088969059E-2</v>
      </c>
    </row>
    <row r="1726" spans="1:31" ht="15.5" x14ac:dyDescent="0.35">
      <c r="A1726" s="82">
        <v>42270</v>
      </c>
      <c r="B1726" s="83">
        <v>9867.9</v>
      </c>
      <c r="C1726" s="84">
        <v>4752.7</v>
      </c>
      <c r="D1726" s="61">
        <v>650.70000000000005</v>
      </c>
      <c r="E1726" s="61">
        <v>29.6</v>
      </c>
      <c r="F1726" s="61">
        <v>113.3</v>
      </c>
      <c r="G1726" s="61">
        <v>43.5</v>
      </c>
      <c r="H1726" s="61">
        <v>11.6</v>
      </c>
      <c r="I1726" s="61">
        <v>29</v>
      </c>
      <c r="J1726" s="61">
        <v>20.9</v>
      </c>
      <c r="K1726" s="61">
        <v>9.3000000000000007</v>
      </c>
      <c r="L1726" s="61">
        <v>50.4</v>
      </c>
      <c r="M1726" s="61">
        <v>46.2</v>
      </c>
      <c r="N1726" s="61">
        <v>49</v>
      </c>
      <c r="O1726" s="85">
        <v>57.6</v>
      </c>
      <c r="P1726" s="105"/>
      <c r="Q1726" s="87">
        <f t="shared" si="159"/>
        <v>-4.5196103324075228E-3</v>
      </c>
      <c r="R1726" s="87">
        <f t="shared" si="163"/>
        <v>-8.4127289543256014E-4</v>
      </c>
      <c r="S1726" s="87">
        <f t="shared" si="163"/>
        <v>8.7983897051659918E-3</v>
      </c>
      <c r="T1726" s="87">
        <f t="shared" si="163"/>
        <v>-2.0067563050809142E-2</v>
      </c>
      <c r="U1726" s="87">
        <f t="shared" si="163"/>
        <v>7.0859463894857658E-3</v>
      </c>
      <c r="V1726" s="87">
        <f t="shared" si="163"/>
        <v>4.6083030861944025E-3</v>
      </c>
      <c r="W1726" s="87">
        <f t="shared" si="162"/>
        <v>-1.7094433359300183E-2</v>
      </c>
      <c r="X1726" s="87">
        <f t="shared" si="162"/>
        <v>-6.8728792877620643E-3</v>
      </c>
      <c r="Y1726" s="87">
        <f t="shared" si="161"/>
        <v>-4.6737477851689815E-2</v>
      </c>
      <c r="Z1726" s="87">
        <f t="shared" si="161"/>
        <v>1.0810916104215676E-2</v>
      </c>
      <c r="AA1726" s="87">
        <f t="shared" si="161"/>
        <v>1.986097971629546E-3</v>
      </c>
      <c r="AB1726" s="87">
        <f t="shared" si="161"/>
        <v>1.3072081567352701E-2</v>
      </c>
      <c r="AC1726" s="87">
        <f t="shared" si="161"/>
        <v>-1.0152371464017962E-2</v>
      </c>
      <c r="AD1726" s="87">
        <f t="shared" si="161"/>
        <v>6.9686693160932152E-3</v>
      </c>
      <c r="AE1726" s="90">
        <f t="shared" si="160"/>
        <v>5.196861776562943E-3</v>
      </c>
    </row>
    <row r="1727" spans="1:31" ht="15.5" x14ac:dyDescent="0.35">
      <c r="A1727" s="82">
        <v>42271</v>
      </c>
      <c r="B1727" s="83">
        <v>9837.7999999999993</v>
      </c>
      <c r="C1727" s="84">
        <v>4734.5</v>
      </c>
      <c r="D1727" s="61">
        <v>642.20000000000005</v>
      </c>
      <c r="E1727" s="61">
        <v>28.9</v>
      </c>
      <c r="F1727" s="61">
        <v>112.4</v>
      </c>
      <c r="G1727" s="61">
        <v>43.3</v>
      </c>
      <c r="H1727" s="61">
        <v>11.4</v>
      </c>
      <c r="I1727" s="61">
        <v>28.3</v>
      </c>
      <c r="J1727" s="61">
        <v>20.5</v>
      </c>
      <c r="K1727" s="61">
        <v>9.1999999999999993</v>
      </c>
      <c r="L1727" s="61">
        <v>50.2</v>
      </c>
      <c r="M1727" s="61">
        <v>45.6</v>
      </c>
      <c r="N1727" s="61">
        <v>48.4</v>
      </c>
      <c r="O1727" s="85">
        <v>56.8</v>
      </c>
      <c r="P1727" s="105"/>
      <c r="Q1727" s="87">
        <f t="shared" si="159"/>
        <v>-3.0549560187823691E-3</v>
      </c>
      <c r="R1727" s="87">
        <f t="shared" si="163"/>
        <v>-3.8367531677104792E-3</v>
      </c>
      <c r="S1727" s="87">
        <f t="shared" si="163"/>
        <v>-1.3148924845524856E-2</v>
      </c>
      <c r="T1727" s="87">
        <f t="shared" si="163"/>
        <v>-2.3932766211628362E-2</v>
      </c>
      <c r="U1727" s="87">
        <f t="shared" si="163"/>
        <v>-7.9752305743698362E-3</v>
      </c>
      <c r="V1727" s="87">
        <f t="shared" si="163"/>
        <v>-4.6083030861943297E-3</v>
      </c>
      <c r="W1727" s="87">
        <f t="shared" si="162"/>
        <v>-1.7391742711869107E-2</v>
      </c>
      <c r="X1727" s="87">
        <f t="shared" si="162"/>
        <v>-2.4434025337282023E-2</v>
      </c>
      <c r="Y1727" s="87">
        <f t="shared" si="161"/>
        <v>-1.93242728264027E-2</v>
      </c>
      <c r="Z1727" s="87">
        <f t="shared" si="161"/>
        <v>-1.081091610421573E-2</v>
      </c>
      <c r="AA1727" s="87">
        <f t="shared" si="161"/>
        <v>-3.9761483796392945E-3</v>
      </c>
      <c r="AB1727" s="87">
        <f t="shared" si="161"/>
        <v>-1.3072081567352775E-2</v>
      </c>
      <c r="AC1727" s="87">
        <f t="shared" si="161"/>
        <v>-1.2320484388040624E-2</v>
      </c>
      <c r="AD1727" s="87">
        <f t="shared" si="161"/>
        <v>-1.3986241974739952E-2</v>
      </c>
      <c r="AE1727" s="90">
        <f t="shared" si="160"/>
        <v>-8.9800291950149196E-3</v>
      </c>
    </row>
    <row r="1728" spans="1:31" ht="15.5" x14ac:dyDescent="0.35">
      <c r="A1728" s="82">
        <v>42272</v>
      </c>
      <c r="B1728" s="83">
        <v>9857.2999999999993</v>
      </c>
      <c r="C1728" s="84">
        <v>4686.5</v>
      </c>
      <c r="D1728" s="61">
        <v>639.70000000000005</v>
      </c>
      <c r="E1728" s="61">
        <v>28.9</v>
      </c>
      <c r="F1728" s="61">
        <v>114</v>
      </c>
      <c r="G1728" s="61">
        <v>43.8</v>
      </c>
      <c r="H1728" s="61">
        <v>11.3</v>
      </c>
      <c r="I1728" s="61">
        <v>29.3</v>
      </c>
      <c r="J1728" s="61">
        <v>20.6</v>
      </c>
      <c r="K1728" s="61">
        <v>9.3000000000000007</v>
      </c>
      <c r="L1728" s="61">
        <v>49.1</v>
      </c>
      <c r="M1728" s="61">
        <v>47</v>
      </c>
      <c r="N1728" s="61">
        <v>49.5</v>
      </c>
      <c r="O1728" s="85">
        <v>61.4</v>
      </c>
      <c r="P1728" s="105"/>
      <c r="Q1728" s="87">
        <f t="shared" si="159"/>
        <v>1.9801886125852841E-3</v>
      </c>
      <c r="R1728" s="87">
        <f t="shared" si="163"/>
        <v>-1.0190089237014321E-2</v>
      </c>
      <c r="S1728" s="87">
        <f t="shared" si="163"/>
        <v>-3.9004651993215724E-3</v>
      </c>
      <c r="T1728" s="87">
        <f t="shared" si="163"/>
        <v>0</v>
      </c>
      <c r="U1728" s="87">
        <f t="shared" si="163"/>
        <v>1.4134510934904716E-2</v>
      </c>
      <c r="V1728" s="87">
        <f t="shared" si="163"/>
        <v>1.1481182373956232E-2</v>
      </c>
      <c r="W1728" s="87">
        <f t="shared" si="162"/>
        <v>-8.810629682154807E-3</v>
      </c>
      <c r="X1728" s="87">
        <f t="shared" si="162"/>
        <v>3.472571137382971E-2</v>
      </c>
      <c r="Y1728" s="87">
        <f t="shared" si="161"/>
        <v>4.8661896511729063E-3</v>
      </c>
      <c r="Z1728" s="87">
        <f t="shared" si="161"/>
        <v>1.0810916104215676E-2</v>
      </c>
      <c r="AA1728" s="87">
        <f t="shared" si="161"/>
        <v>-2.2155991897208595E-2</v>
      </c>
      <c r="AB1728" s="87">
        <f t="shared" si="161"/>
        <v>3.0239885189718176E-2</v>
      </c>
      <c r="AC1728" s="87">
        <f t="shared" si="161"/>
        <v>2.2472855852058576E-2</v>
      </c>
      <c r="AD1728" s="87">
        <f t="shared" si="161"/>
        <v>7.7873509425991111E-2</v>
      </c>
      <c r="AE1728" s="90">
        <f t="shared" si="160"/>
        <v>9.3106144136749312E-3</v>
      </c>
    </row>
    <row r="1729" spans="1:31" ht="15.5" x14ac:dyDescent="0.35">
      <c r="A1729" s="82">
        <v>42275</v>
      </c>
      <c r="B1729" s="83">
        <v>9601.4</v>
      </c>
      <c r="C1729" s="84">
        <v>4544</v>
      </c>
      <c r="D1729" s="61">
        <v>617.79999999999995</v>
      </c>
      <c r="E1729" s="61">
        <v>27.2</v>
      </c>
      <c r="F1729" s="61">
        <v>112.4</v>
      </c>
      <c r="G1729" s="61">
        <v>43.2</v>
      </c>
      <c r="H1729" s="61">
        <v>10.9</v>
      </c>
      <c r="I1729" s="61">
        <v>28.3</v>
      </c>
      <c r="J1729" s="61">
        <v>19.8</v>
      </c>
      <c r="K1729" s="61">
        <v>9.3000000000000007</v>
      </c>
      <c r="L1729" s="61">
        <v>48.1</v>
      </c>
      <c r="M1729" s="61">
        <v>46</v>
      </c>
      <c r="N1729" s="61">
        <v>49.1</v>
      </c>
      <c r="O1729" s="85">
        <v>60.4</v>
      </c>
      <c r="P1729" s="105"/>
      <c r="Q1729" s="87">
        <f t="shared" si="159"/>
        <v>-2.6303376269381722E-2</v>
      </c>
      <c r="R1729" s="87">
        <f t="shared" si="163"/>
        <v>-3.0878353785553175E-2</v>
      </c>
      <c r="S1729" s="87">
        <f t="shared" si="163"/>
        <v>-3.4834535971610785E-2</v>
      </c>
      <c r="T1729" s="87">
        <f t="shared" si="163"/>
        <v>-6.0624621816434854E-2</v>
      </c>
      <c r="U1729" s="87">
        <f t="shared" si="163"/>
        <v>-1.4134510934904693E-2</v>
      </c>
      <c r="V1729" s="87">
        <f t="shared" si="163"/>
        <v>-1.3793322132335648E-2</v>
      </c>
      <c r="W1729" s="87">
        <f t="shared" si="162"/>
        <v>-3.6039936483196928E-2</v>
      </c>
      <c r="X1729" s="87">
        <f t="shared" si="162"/>
        <v>-3.4725711373829633E-2</v>
      </c>
      <c r="Y1729" s="87">
        <f t="shared" si="161"/>
        <v>-3.9609138095045827E-2</v>
      </c>
      <c r="Z1729" s="87">
        <f t="shared" si="161"/>
        <v>0</v>
      </c>
      <c r="AA1729" s="87">
        <f t="shared" si="161"/>
        <v>-2.0576857688759387E-2</v>
      </c>
      <c r="AB1729" s="87">
        <f t="shared" si="161"/>
        <v>-2.1506205220963619E-2</v>
      </c>
      <c r="AC1729" s="87">
        <f t="shared" si="161"/>
        <v>-8.1136347741696639E-3</v>
      </c>
      <c r="AD1729" s="87">
        <f t="shared" si="161"/>
        <v>-1.6420730212327522E-2</v>
      </c>
      <c r="AE1729" s="90">
        <f t="shared" si="160"/>
        <v>-2.5491567584884939E-2</v>
      </c>
    </row>
    <row r="1730" spans="1:31" ht="15.5" x14ac:dyDescent="0.35">
      <c r="A1730" s="82">
        <v>42276</v>
      </c>
      <c r="B1730" s="83">
        <v>9622.1</v>
      </c>
      <c r="C1730" s="84">
        <v>4517.3</v>
      </c>
      <c r="D1730" s="61">
        <v>618</v>
      </c>
      <c r="E1730" s="61">
        <v>27.9</v>
      </c>
      <c r="F1730" s="61">
        <v>107.9</v>
      </c>
      <c r="G1730" s="61">
        <v>43.1</v>
      </c>
      <c r="H1730" s="61">
        <v>10.9</v>
      </c>
      <c r="I1730" s="61">
        <v>28</v>
      </c>
      <c r="J1730" s="61">
        <v>20.100000000000001</v>
      </c>
      <c r="K1730" s="61">
        <v>9</v>
      </c>
      <c r="L1730" s="61">
        <v>48.2</v>
      </c>
      <c r="M1730" s="61">
        <v>45.7</v>
      </c>
      <c r="N1730" s="61">
        <v>48.7</v>
      </c>
      <c r="O1730" s="85">
        <v>59.5</v>
      </c>
      <c r="P1730" s="105"/>
      <c r="Q1730" s="87">
        <f t="shared" si="159"/>
        <v>2.153614898499045E-3</v>
      </c>
      <c r="R1730" s="87">
        <f t="shared" si="163"/>
        <v>-5.8932111891378102E-3</v>
      </c>
      <c r="S1730" s="87">
        <f t="shared" si="163"/>
        <v>3.2367697320961696E-4</v>
      </c>
      <c r="T1730" s="87">
        <f t="shared" si="163"/>
        <v>2.5409715525368221E-2</v>
      </c>
      <c r="U1730" s="87">
        <f t="shared" si="163"/>
        <v>-4.0859065195501733E-2</v>
      </c>
      <c r="V1730" s="87">
        <f t="shared" si="163"/>
        <v>-2.3174981403625899E-3</v>
      </c>
      <c r="W1730" s="87">
        <f t="shared" si="162"/>
        <v>0</v>
      </c>
      <c r="X1730" s="87">
        <f t="shared" si="162"/>
        <v>-1.0657294473988093E-2</v>
      </c>
      <c r="Y1730" s="87">
        <f t="shared" si="161"/>
        <v>1.5037877364540502E-2</v>
      </c>
      <c r="Z1730" s="87">
        <f t="shared" si="161"/>
        <v>-3.2789822822990956E-2</v>
      </c>
      <c r="AA1730" s="87">
        <f t="shared" si="161"/>
        <v>2.0768439448390691E-3</v>
      </c>
      <c r="AB1730" s="87">
        <f t="shared" si="161"/>
        <v>-6.5430985889359475E-3</v>
      </c>
      <c r="AC1730" s="87">
        <f t="shared" si="161"/>
        <v>-8.1800047119308071E-3</v>
      </c>
      <c r="AD1730" s="87">
        <f t="shared" si="161"/>
        <v>-1.5012792389185209E-2</v>
      </c>
      <c r="AE1730" s="90">
        <f t="shared" si="160"/>
        <v>-1.5179695885538455E-2</v>
      </c>
    </row>
    <row r="1731" spans="1:31" ht="15.5" x14ac:dyDescent="0.35">
      <c r="A1731" s="82">
        <v>42277</v>
      </c>
      <c r="B1731" s="83">
        <v>9799.7000000000007</v>
      </c>
      <c r="C1731" s="84">
        <v>4620.2</v>
      </c>
      <c r="D1731" s="61">
        <v>629.20000000000005</v>
      </c>
      <c r="E1731" s="61">
        <v>28.5</v>
      </c>
      <c r="F1731" s="61">
        <v>108.7</v>
      </c>
      <c r="G1731" s="61">
        <v>43.7</v>
      </c>
      <c r="H1731" s="61">
        <v>10.9</v>
      </c>
      <c r="I1731" s="61">
        <v>28.6</v>
      </c>
      <c r="J1731" s="61">
        <v>20.2</v>
      </c>
      <c r="K1731" s="61">
        <v>9.1</v>
      </c>
      <c r="L1731" s="61">
        <v>48.8</v>
      </c>
      <c r="M1731" s="61">
        <v>46.5</v>
      </c>
      <c r="N1731" s="61">
        <v>48.9</v>
      </c>
      <c r="O1731" s="85">
        <v>60.4</v>
      </c>
      <c r="P1731" s="105"/>
      <c r="Q1731" s="87">
        <f t="shared" si="159"/>
        <v>1.8289236890087827E-2</v>
      </c>
      <c r="R1731" s="87">
        <f t="shared" si="163"/>
        <v>2.2523523970238157E-2</v>
      </c>
      <c r="S1731" s="87">
        <f t="shared" si="163"/>
        <v>1.7960713726431994E-2</v>
      </c>
      <c r="T1731" s="87">
        <f t="shared" si="163"/>
        <v>2.1277398447284879E-2</v>
      </c>
      <c r="U1731" s="87">
        <f t="shared" si="163"/>
        <v>7.3869218630747734E-3</v>
      </c>
      <c r="V1731" s="87">
        <f t="shared" si="163"/>
        <v>1.3825104991842335E-2</v>
      </c>
      <c r="W1731" s="87">
        <f t="shared" si="162"/>
        <v>0</v>
      </c>
      <c r="X1731" s="87">
        <f t="shared" si="162"/>
        <v>2.1202207650603124E-2</v>
      </c>
      <c r="Y1731" s="87">
        <f t="shared" si="161"/>
        <v>4.962789342128876E-3</v>
      </c>
      <c r="Z1731" s="87">
        <f t="shared" si="161"/>
        <v>1.1049836186584935E-2</v>
      </c>
      <c r="AA1731" s="87">
        <f t="shared" si="161"/>
        <v>1.2371291802546829E-2</v>
      </c>
      <c r="AB1731" s="87">
        <f t="shared" ref="AB1731:AD1794" si="164">+LN(M1731/M1730)</f>
        <v>1.7354014693151572E-2</v>
      </c>
      <c r="AC1731" s="87">
        <f t="shared" si="164"/>
        <v>4.098366392282185E-3</v>
      </c>
      <c r="AD1731" s="87">
        <f t="shared" si="164"/>
        <v>1.5012792389185134E-2</v>
      </c>
      <c r="AE1731" s="90">
        <f t="shared" si="160"/>
        <v>1.594663592406707E-2</v>
      </c>
    </row>
    <row r="1732" spans="1:31" ht="15.5" x14ac:dyDescent="0.35">
      <c r="A1732" s="82">
        <v>42278</v>
      </c>
      <c r="B1732" s="83">
        <v>9821</v>
      </c>
      <c r="C1732" s="84">
        <v>4627.1000000000004</v>
      </c>
      <c r="D1732" s="61">
        <v>631.1</v>
      </c>
      <c r="E1732" s="61">
        <v>28.4</v>
      </c>
      <c r="F1732" s="61">
        <v>107.3</v>
      </c>
      <c r="G1732" s="61">
        <v>43.8</v>
      </c>
      <c r="H1732" s="61">
        <v>10.7</v>
      </c>
      <c r="I1732" s="61">
        <v>28.9</v>
      </c>
      <c r="J1732" s="61">
        <v>19.600000000000001</v>
      </c>
      <c r="K1732" s="61">
        <v>9</v>
      </c>
      <c r="L1732" s="61">
        <v>48.5</v>
      </c>
      <c r="M1732" s="61">
        <v>46.6</v>
      </c>
      <c r="N1732" s="61">
        <v>49</v>
      </c>
      <c r="O1732" s="85">
        <v>60.6</v>
      </c>
      <c r="P1732" s="105"/>
      <c r="Q1732" s="87">
        <f t="shared" si="159"/>
        <v>2.1711772125732757E-3</v>
      </c>
      <c r="R1732" s="87">
        <f t="shared" si="163"/>
        <v>1.4923277671428587E-3</v>
      </c>
      <c r="S1732" s="87">
        <f t="shared" si="163"/>
        <v>3.0151574060710965E-3</v>
      </c>
      <c r="T1732" s="87">
        <f t="shared" si="163"/>
        <v>-3.5149421074444969E-3</v>
      </c>
      <c r="U1732" s="87">
        <f t="shared" si="163"/>
        <v>-1.2963144490510985E-2</v>
      </c>
      <c r="V1732" s="87">
        <f t="shared" si="163"/>
        <v>2.2857152808558609E-3</v>
      </c>
      <c r="W1732" s="87">
        <f t="shared" si="162"/>
        <v>-1.8519047767237642E-2</v>
      </c>
      <c r="X1732" s="87">
        <f t="shared" si="162"/>
        <v>1.0434877292579494E-2</v>
      </c>
      <c r="Y1732" s="87">
        <f t="shared" si="162"/>
        <v>-3.0153038170687443E-2</v>
      </c>
      <c r="Z1732" s="87">
        <f t="shared" si="162"/>
        <v>-1.1049836186584935E-2</v>
      </c>
      <c r="AA1732" s="87">
        <f t="shared" si="162"/>
        <v>-6.1665149156639038E-3</v>
      </c>
      <c r="AB1732" s="87">
        <f t="shared" si="164"/>
        <v>2.148228538289605E-3</v>
      </c>
      <c r="AC1732" s="87">
        <f t="shared" si="164"/>
        <v>2.042901629800331E-3</v>
      </c>
      <c r="AD1732" s="87">
        <f t="shared" si="164"/>
        <v>3.3057881344996315E-3</v>
      </c>
      <c r="AE1732" s="90">
        <f t="shared" si="160"/>
        <v>-1.9748012865019563E-3</v>
      </c>
    </row>
    <row r="1733" spans="1:31" ht="15.5" x14ac:dyDescent="0.35">
      <c r="A1733" s="82">
        <v>42279</v>
      </c>
      <c r="B1733" s="83">
        <v>9973.6</v>
      </c>
      <c r="C1733" s="84">
        <v>4707.8</v>
      </c>
      <c r="D1733" s="61">
        <v>633.5</v>
      </c>
      <c r="E1733" s="61">
        <v>28.4</v>
      </c>
      <c r="F1733" s="61">
        <v>107.6</v>
      </c>
      <c r="G1733" s="61">
        <v>43.9</v>
      </c>
      <c r="H1733" s="61">
        <v>10.5</v>
      </c>
      <c r="I1733" s="61">
        <v>28.6</v>
      </c>
      <c r="J1733" s="61">
        <v>19.5</v>
      </c>
      <c r="K1733" s="61">
        <v>9.1</v>
      </c>
      <c r="L1733" s="61">
        <v>48.4</v>
      </c>
      <c r="M1733" s="61">
        <v>45.5</v>
      </c>
      <c r="N1733" s="61">
        <v>48.8</v>
      </c>
      <c r="O1733" s="85">
        <v>60.8</v>
      </c>
      <c r="P1733" s="105"/>
      <c r="Q1733" s="87">
        <f t="shared" si="159"/>
        <v>1.5418651872990918E-2</v>
      </c>
      <c r="R1733" s="87">
        <f t="shared" si="163"/>
        <v>1.7290385644996329E-2</v>
      </c>
      <c r="S1733" s="87">
        <f t="shared" si="163"/>
        <v>3.7956711709997725E-3</v>
      </c>
      <c r="T1733" s="87">
        <f t="shared" si="163"/>
        <v>0</v>
      </c>
      <c r="U1733" s="87">
        <f t="shared" si="163"/>
        <v>2.7919980910311335E-3</v>
      </c>
      <c r="V1733" s="87">
        <f t="shared" si="163"/>
        <v>2.2805026987253031E-3</v>
      </c>
      <c r="W1733" s="87">
        <f t="shared" si="162"/>
        <v>-1.8868484304382691E-2</v>
      </c>
      <c r="X1733" s="87">
        <f t="shared" si="162"/>
        <v>-1.0434877292579508E-2</v>
      </c>
      <c r="Y1733" s="87">
        <f t="shared" si="162"/>
        <v>-5.1151006667704887E-3</v>
      </c>
      <c r="Z1733" s="87">
        <f t="shared" si="162"/>
        <v>1.1049836186584935E-2</v>
      </c>
      <c r="AA1733" s="87">
        <f t="shared" si="162"/>
        <v>-2.0639842208514825E-3</v>
      </c>
      <c r="AB1733" s="87">
        <f t="shared" si="164"/>
        <v>-2.3888215174695492E-2</v>
      </c>
      <c r="AC1733" s="87">
        <f t="shared" si="164"/>
        <v>-4.0899852515251661E-3</v>
      </c>
      <c r="AD1733" s="87">
        <f t="shared" si="164"/>
        <v>3.2948958968524846E-3</v>
      </c>
      <c r="AE1733" s="90">
        <f t="shared" si="160"/>
        <v>7.4928340602310375E-3</v>
      </c>
    </row>
    <row r="1734" spans="1:31" ht="15.5" x14ac:dyDescent="0.35">
      <c r="A1734" s="82">
        <v>42282</v>
      </c>
      <c r="B1734" s="83">
        <v>10167.9</v>
      </c>
      <c r="C1734" s="84">
        <v>4781.3</v>
      </c>
      <c r="D1734" s="61">
        <v>655.9</v>
      </c>
      <c r="E1734" s="61">
        <v>30.4</v>
      </c>
      <c r="F1734" s="61">
        <v>109.1</v>
      </c>
      <c r="G1734" s="61">
        <v>45.7</v>
      </c>
      <c r="H1734" s="61">
        <v>11.1</v>
      </c>
      <c r="I1734" s="61">
        <v>29.3</v>
      </c>
      <c r="J1734" s="61">
        <v>20.8</v>
      </c>
      <c r="K1734" s="61">
        <v>9.8000000000000007</v>
      </c>
      <c r="L1734" s="61">
        <v>50.7</v>
      </c>
      <c r="M1734" s="61">
        <v>47.2</v>
      </c>
      <c r="N1734" s="61">
        <v>50.5</v>
      </c>
      <c r="O1734" s="85">
        <v>62</v>
      </c>
      <c r="P1734" s="105"/>
      <c r="Q1734" s="87">
        <f t="shared" si="159"/>
        <v>1.9294097014395922E-2</v>
      </c>
      <c r="R1734" s="87">
        <f t="shared" si="163"/>
        <v>1.5491768442279797E-2</v>
      </c>
      <c r="S1734" s="87">
        <f t="shared" si="163"/>
        <v>3.4748338538496022E-2</v>
      </c>
      <c r="T1734" s="87">
        <f t="shared" si="163"/>
        <v>6.8053463245015572E-2</v>
      </c>
      <c r="U1734" s="87">
        <f t="shared" si="163"/>
        <v>1.3844245111341165E-2</v>
      </c>
      <c r="V1734" s="87">
        <f t="shared" si="163"/>
        <v>4.0183977819033524E-2</v>
      </c>
      <c r="W1734" s="87">
        <f t="shared" si="162"/>
        <v>5.5569851154810786E-2</v>
      </c>
      <c r="X1734" s="87">
        <f t="shared" si="162"/>
        <v>2.4180798197214613E-2</v>
      </c>
      <c r="Y1734" s="87">
        <f t="shared" si="162"/>
        <v>6.4538521137571164E-2</v>
      </c>
      <c r="Z1734" s="87">
        <f t="shared" si="162"/>
        <v>7.4107972153722043E-2</v>
      </c>
      <c r="AA1734" s="87">
        <f t="shared" si="162"/>
        <v>4.642609687455157E-2</v>
      </c>
      <c r="AB1734" s="87">
        <f t="shared" si="164"/>
        <v>3.6681566634605048E-2</v>
      </c>
      <c r="AC1734" s="87">
        <f t="shared" si="164"/>
        <v>3.4243023422212658E-2</v>
      </c>
      <c r="AD1734" s="87">
        <f t="shared" si="164"/>
        <v>1.9544596072970346E-2</v>
      </c>
      <c r="AE1734" s="90">
        <f t="shared" si="160"/>
        <v>2.1150928270755841E-2</v>
      </c>
    </row>
    <row r="1735" spans="1:31" ht="15.5" x14ac:dyDescent="0.35">
      <c r="A1735" s="82">
        <v>42283</v>
      </c>
      <c r="B1735" s="83">
        <v>10156.4</v>
      </c>
      <c r="C1735" s="84">
        <v>4748.3999999999996</v>
      </c>
      <c r="D1735" s="61">
        <v>663.1</v>
      </c>
      <c r="E1735" s="61">
        <v>30.7</v>
      </c>
      <c r="F1735" s="61">
        <v>109.8</v>
      </c>
      <c r="G1735" s="61">
        <v>46.2</v>
      </c>
      <c r="H1735" s="61">
        <v>11.2</v>
      </c>
      <c r="I1735" s="61">
        <v>29.7</v>
      </c>
      <c r="J1735" s="61">
        <v>21</v>
      </c>
      <c r="K1735" s="61">
        <v>9.6999999999999993</v>
      </c>
      <c r="L1735" s="61">
        <v>49.3</v>
      </c>
      <c r="M1735" s="61">
        <v>47.1</v>
      </c>
      <c r="N1735" s="61">
        <v>52.6</v>
      </c>
      <c r="O1735" s="85">
        <v>61.3</v>
      </c>
      <c r="P1735" s="105"/>
      <c r="Q1735" s="87">
        <f t="shared" si="159"/>
        <v>-1.1316504113079689E-3</v>
      </c>
      <c r="R1735" s="87">
        <f t="shared" si="163"/>
        <v>-6.9047568571275727E-3</v>
      </c>
      <c r="S1735" s="87">
        <f t="shared" si="163"/>
        <v>1.0917470075132225E-2</v>
      </c>
      <c r="T1735" s="87">
        <f t="shared" ref="T1735:AA1779" si="165">+LN(E1735/E1734)</f>
        <v>9.820046180975513E-3</v>
      </c>
      <c r="U1735" s="87">
        <f t="shared" si="165"/>
        <v>6.395636236405244E-3</v>
      </c>
      <c r="V1735" s="87">
        <f t="shared" si="165"/>
        <v>1.0881500187534207E-2</v>
      </c>
      <c r="W1735" s="87">
        <f t="shared" si="162"/>
        <v>8.9686699827603161E-3</v>
      </c>
      <c r="X1735" s="87">
        <f t="shared" si="162"/>
        <v>1.3559529785632294E-2</v>
      </c>
      <c r="Y1735" s="87">
        <f t="shared" si="162"/>
        <v>9.5694510161506725E-3</v>
      </c>
      <c r="Z1735" s="87">
        <f t="shared" si="162"/>
        <v>-1.0256500167189221E-2</v>
      </c>
      <c r="AA1735" s="87">
        <f t="shared" si="162"/>
        <v>-2.8001829548493201E-2</v>
      </c>
      <c r="AB1735" s="87">
        <f t="shared" si="164"/>
        <v>-2.1208915691376244E-3</v>
      </c>
      <c r="AC1735" s="87">
        <f t="shared" si="164"/>
        <v>4.0742783462350073E-2</v>
      </c>
      <c r="AD1735" s="87">
        <f t="shared" si="164"/>
        <v>-1.1354542102925897E-2</v>
      </c>
      <c r="AE1735" s="90">
        <f t="shared" si="160"/>
        <v>1.5751918964388044E-3</v>
      </c>
    </row>
    <row r="1736" spans="1:31" ht="15.5" x14ac:dyDescent="0.35">
      <c r="A1736" s="82">
        <v>42284</v>
      </c>
      <c r="B1736" s="83">
        <v>10258.5</v>
      </c>
      <c r="C1736" s="84">
        <v>4791.1000000000004</v>
      </c>
      <c r="D1736" s="61">
        <v>658.1</v>
      </c>
      <c r="E1736" s="61">
        <v>31.2</v>
      </c>
      <c r="F1736" s="61">
        <v>109.4</v>
      </c>
      <c r="G1736" s="61">
        <v>46</v>
      </c>
      <c r="H1736" s="61">
        <v>11.4</v>
      </c>
      <c r="I1736" s="61">
        <v>30.5</v>
      </c>
      <c r="J1736" s="61">
        <v>21.3</v>
      </c>
      <c r="K1736" s="61">
        <v>9.1999999999999993</v>
      </c>
      <c r="L1736" s="61">
        <v>49.8</v>
      </c>
      <c r="M1736" s="61">
        <v>47.5</v>
      </c>
      <c r="N1736" s="61">
        <v>53.1</v>
      </c>
      <c r="O1736" s="85">
        <v>60.5</v>
      </c>
      <c r="P1736" s="105"/>
      <c r="Q1736" s="87">
        <f t="shared" si="159"/>
        <v>1.0002581572407222E-2</v>
      </c>
      <c r="R1736" s="87">
        <f t="shared" ref="R1736:AA1791" si="166">+LN(C1736/C1735)</f>
        <v>8.9523109551294805E-3</v>
      </c>
      <c r="S1736" s="87">
        <f t="shared" si="166"/>
        <v>-7.5689129127485492E-3</v>
      </c>
      <c r="T1736" s="87">
        <f t="shared" si="165"/>
        <v>1.6155440222285208E-2</v>
      </c>
      <c r="U1736" s="87">
        <f t="shared" si="165"/>
        <v>-3.6496390875493927E-3</v>
      </c>
      <c r="V1736" s="87">
        <f t="shared" si="165"/>
        <v>-4.3384015985982417E-3</v>
      </c>
      <c r="W1736" s="87">
        <f t="shared" si="162"/>
        <v>1.7699577099401075E-2</v>
      </c>
      <c r="X1736" s="87">
        <f t="shared" si="162"/>
        <v>2.6579637804712102E-2</v>
      </c>
      <c r="Y1736" s="87">
        <f t="shared" si="162"/>
        <v>1.4184634991956381E-2</v>
      </c>
      <c r="Z1736" s="87">
        <f t="shared" si="162"/>
        <v>-5.2922401454342551E-2</v>
      </c>
      <c r="AA1736" s="87">
        <f t="shared" si="162"/>
        <v>1.009090298196272E-2</v>
      </c>
      <c r="AB1736" s="87">
        <f t="shared" si="164"/>
        <v>8.4567100182234584E-3</v>
      </c>
      <c r="AC1736" s="87">
        <f t="shared" si="164"/>
        <v>9.4608085042288889E-3</v>
      </c>
      <c r="AD1736" s="87">
        <f t="shared" si="164"/>
        <v>-1.3136477905369851E-2</v>
      </c>
      <c r="AE1736" s="90">
        <f t="shared" si="160"/>
        <v>-2.1727556400819351E-3</v>
      </c>
    </row>
    <row r="1737" spans="1:31" ht="15.5" x14ac:dyDescent="0.35">
      <c r="A1737" s="82">
        <v>42285</v>
      </c>
      <c r="B1737" s="83">
        <v>10361</v>
      </c>
      <c r="C1737" s="84">
        <v>4810.8</v>
      </c>
      <c r="D1737" s="61">
        <v>654.5</v>
      </c>
      <c r="E1737" s="61">
        <v>31.7</v>
      </c>
      <c r="F1737" s="61">
        <v>108.2</v>
      </c>
      <c r="G1737" s="61">
        <v>46.5</v>
      </c>
      <c r="H1737" s="61">
        <v>11.7</v>
      </c>
      <c r="I1737" s="61">
        <v>31.1</v>
      </c>
      <c r="J1737" s="61">
        <v>21.6</v>
      </c>
      <c r="K1737" s="61">
        <v>9.4</v>
      </c>
      <c r="L1737" s="61">
        <v>50.1</v>
      </c>
      <c r="M1737" s="61">
        <v>47.8</v>
      </c>
      <c r="N1737" s="61">
        <v>52.1</v>
      </c>
      <c r="O1737" s="85">
        <v>61.3</v>
      </c>
      <c r="P1737" s="105"/>
      <c r="Q1737" s="87">
        <f t="shared" si="159"/>
        <v>9.9421270454913904E-3</v>
      </c>
      <c r="R1737" s="87">
        <f t="shared" si="166"/>
        <v>4.1033603019533689E-3</v>
      </c>
      <c r="S1737" s="87">
        <f t="shared" si="166"/>
        <v>-5.4853101121188283E-3</v>
      </c>
      <c r="T1737" s="87">
        <f t="shared" si="165"/>
        <v>1.5898586067798204E-2</v>
      </c>
      <c r="U1737" s="87">
        <f t="shared" si="165"/>
        <v>-1.1029523575499732E-2</v>
      </c>
      <c r="V1737" s="87">
        <f t="shared" si="165"/>
        <v>1.0810916104215676E-2</v>
      </c>
      <c r="W1737" s="87">
        <f t="shared" si="162"/>
        <v>2.5975486403260521E-2</v>
      </c>
      <c r="X1737" s="87">
        <f t="shared" si="162"/>
        <v>1.9481135571822489E-2</v>
      </c>
      <c r="Y1737" s="87">
        <f t="shared" si="162"/>
        <v>1.398624197473987E-2</v>
      </c>
      <c r="Z1737" s="87">
        <f t="shared" si="162"/>
        <v>2.1506205220963682E-2</v>
      </c>
      <c r="AA1737" s="87">
        <f t="shared" si="162"/>
        <v>6.0060240602119487E-3</v>
      </c>
      <c r="AB1737" s="87">
        <f t="shared" si="164"/>
        <v>6.2959284568146106E-3</v>
      </c>
      <c r="AC1737" s="87">
        <f t="shared" si="164"/>
        <v>-1.901197948857189E-2</v>
      </c>
      <c r="AD1737" s="87">
        <f t="shared" si="164"/>
        <v>1.3136477905369981E-2</v>
      </c>
      <c r="AE1737" s="90">
        <f t="shared" si="160"/>
        <v>-1.9329812461374471E-3</v>
      </c>
    </row>
    <row r="1738" spans="1:31" ht="15.5" x14ac:dyDescent="0.35">
      <c r="A1738" s="82">
        <v>42286</v>
      </c>
      <c r="B1738" s="83">
        <v>10361.299999999999</v>
      </c>
      <c r="C1738" s="84">
        <v>4830.5</v>
      </c>
      <c r="D1738" s="61">
        <v>662.4</v>
      </c>
      <c r="E1738" s="61">
        <v>32</v>
      </c>
      <c r="F1738" s="61">
        <v>109.5</v>
      </c>
      <c r="G1738" s="61">
        <v>46.9</v>
      </c>
      <c r="H1738" s="61">
        <v>10.9</v>
      </c>
      <c r="I1738" s="61">
        <v>31.7</v>
      </c>
      <c r="J1738" s="61">
        <v>21.7</v>
      </c>
      <c r="K1738" s="61">
        <v>9.6</v>
      </c>
      <c r="L1738" s="61">
        <v>50.7</v>
      </c>
      <c r="M1738" s="61">
        <v>48.2</v>
      </c>
      <c r="N1738" s="61">
        <v>53.7</v>
      </c>
      <c r="O1738" s="85">
        <v>62</v>
      </c>
      <c r="P1738" s="105"/>
      <c r="Q1738" s="87">
        <f t="shared" si="159"/>
        <v>2.8954314918807375E-5</v>
      </c>
      <c r="R1738" s="87">
        <f t="shared" si="166"/>
        <v>4.0865915211027526E-3</v>
      </c>
      <c r="S1738" s="87">
        <f t="shared" si="166"/>
        <v>1.1998017721095313E-2</v>
      </c>
      <c r="T1738" s="87">
        <f t="shared" si="165"/>
        <v>9.4192219164915582E-3</v>
      </c>
      <c r="U1738" s="87">
        <f t="shared" si="165"/>
        <v>1.1943182844174404E-2</v>
      </c>
      <c r="V1738" s="87">
        <f t="shared" si="165"/>
        <v>8.5653628589230004E-3</v>
      </c>
      <c r="W1738" s="87">
        <f t="shared" si="162"/>
        <v>-7.0826052568612283E-2</v>
      </c>
      <c r="X1738" s="87">
        <f t="shared" si="162"/>
        <v>1.9108861698046507E-2</v>
      </c>
      <c r="Y1738" s="87">
        <f t="shared" si="162"/>
        <v>4.6189458562944583E-3</v>
      </c>
      <c r="Z1738" s="87">
        <f t="shared" si="162"/>
        <v>2.1053409197832263E-2</v>
      </c>
      <c r="AA1738" s="87">
        <f t="shared" si="162"/>
        <v>1.1904902506318458E-2</v>
      </c>
      <c r="AB1738" s="87">
        <f t="shared" si="164"/>
        <v>8.3333815591444607E-3</v>
      </c>
      <c r="AC1738" s="87">
        <f t="shared" si="164"/>
        <v>3.0248052755497735E-2</v>
      </c>
      <c r="AD1738" s="87">
        <f t="shared" si="164"/>
        <v>1.1354542102925849E-2</v>
      </c>
      <c r="AE1738" s="90">
        <f t="shared" si="160"/>
        <v>9.5326868105545248E-3</v>
      </c>
    </row>
    <row r="1739" spans="1:31" ht="15.5" x14ac:dyDescent="0.35">
      <c r="A1739" s="82">
        <v>42289</v>
      </c>
      <c r="B1739" s="83">
        <v>10356.5</v>
      </c>
      <c r="C1739" s="84">
        <v>4838.6000000000004</v>
      </c>
      <c r="D1739" s="61">
        <v>667.2</v>
      </c>
      <c r="E1739" s="61">
        <v>32.6</v>
      </c>
      <c r="F1739" s="61">
        <v>111.4</v>
      </c>
      <c r="G1739" s="61">
        <v>46.5</v>
      </c>
      <c r="H1739" s="61">
        <v>10.4</v>
      </c>
      <c r="I1739" s="61">
        <v>31.7</v>
      </c>
      <c r="J1739" s="61">
        <v>21.3</v>
      </c>
      <c r="K1739" s="61">
        <v>9.5</v>
      </c>
      <c r="L1739" s="61">
        <v>49.7</v>
      </c>
      <c r="M1739" s="61">
        <v>48.2</v>
      </c>
      <c r="N1739" s="61">
        <v>54.9</v>
      </c>
      <c r="O1739" s="85">
        <v>62.5</v>
      </c>
      <c r="P1739" s="105"/>
      <c r="Q1739" s="87">
        <f t="shared" si="159"/>
        <v>-4.6336967109288139E-4</v>
      </c>
      <c r="R1739" s="87">
        <f t="shared" si="166"/>
        <v>1.6754407121230195E-3</v>
      </c>
      <c r="S1739" s="87">
        <f t="shared" si="166"/>
        <v>7.2202479734870973E-3</v>
      </c>
      <c r="T1739" s="87">
        <f t="shared" si="165"/>
        <v>1.8576385572935457E-2</v>
      </c>
      <c r="U1739" s="87">
        <f t="shared" si="165"/>
        <v>1.7202778236628101E-2</v>
      </c>
      <c r="V1739" s="87">
        <f t="shared" si="165"/>
        <v>-8.5653628589230455E-3</v>
      </c>
      <c r="W1739" s="87">
        <f t="shared" si="162"/>
        <v>-4.6956983087770979E-2</v>
      </c>
      <c r="X1739" s="87">
        <f t="shared" si="162"/>
        <v>0</v>
      </c>
      <c r="Y1739" s="87">
        <f t="shared" si="162"/>
        <v>-1.8605187831034358E-2</v>
      </c>
      <c r="Z1739" s="87">
        <f t="shared" si="162"/>
        <v>-1.0471299867295366E-2</v>
      </c>
      <c r="AA1739" s="87">
        <f t="shared" si="162"/>
        <v>-1.9920977494554428E-2</v>
      </c>
      <c r="AB1739" s="87">
        <f t="shared" si="164"/>
        <v>0</v>
      </c>
      <c r="AC1739" s="87">
        <f t="shared" si="164"/>
        <v>2.2100347000665922E-2</v>
      </c>
      <c r="AD1739" s="87">
        <f t="shared" si="164"/>
        <v>8.0321716972642527E-3</v>
      </c>
      <c r="AE1739" s="90">
        <f t="shared" si="160"/>
        <v>8.5112821682289397E-3</v>
      </c>
    </row>
    <row r="1740" spans="1:31" ht="15.5" x14ac:dyDescent="0.35">
      <c r="A1740" s="82">
        <v>42290</v>
      </c>
      <c r="B1740" s="83">
        <v>10262.9</v>
      </c>
      <c r="C1740" s="84">
        <v>4796.6000000000004</v>
      </c>
      <c r="D1740" s="61">
        <v>673.1</v>
      </c>
      <c r="E1740" s="61">
        <v>32.299999999999997</v>
      </c>
      <c r="F1740" s="61">
        <v>110.7</v>
      </c>
      <c r="G1740" s="61">
        <v>46.6</v>
      </c>
      <c r="H1740" s="61">
        <v>10.4</v>
      </c>
      <c r="I1740" s="61">
        <v>31.5</v>
      </c>
      <c r="J1740" s="61">
        <v>21.3</v>
      </c>
      <c r="K1740" s="61">
        <v>9.6</v>
      </c>
      <c r="L1740" s="61">
        <v>49.4</v>
      </c>
      <c r="M1740" s="61">
        <v>47.8</v>
      </c>
      <c r="N1740" s="61">
        <v>53.9</v>
      </c>
      <c r="O1740" s="85">
        <v>62.8</v>
      </c>
      <c r="P1740" s="105"/>
      <c r="Q1740" s="87">
        <f t="shared" si="159"/>
        <v>-9.0788910369811026E-3</v>
      </c>
      <c r="R1740" s="87">
        <f t="shared" si="166"/>
        <v>-8.7180890936222055E-3</v>
      </c>
      <c r="S1740" s="87">
        <f t="shared" si="166"/>
        <v>8.8040559721304212E-3</v>
      </c>
      <c r="T1740" s="87">
        <f t="shared" si="165"/>
        <v>-9.2450581440512731E-3</v>
      </c>
      <c r="U1740" s="87">
        <f t="shared" si="165"/>
        <v>-6.3034877785925099E-3</v>
      </c>
      <c r="V1740" s="87">
        <f t="shared" si="165"/>
        <v>2.148228538289605E-3</v>
      </c>
      <c r="W1740" s="87">
        <f t="shared" si="162"/>
        <v>0</v>
      </c>
      <c r="X1740" s="87">
        <f t="shared" si="162"/>
        <v>-6.3291350516475123E-3</v>
      </c>
      <c r="Y1740" s="87">
        <f t="shared" si="162"/>
        <v>0</v>
      </c>
      <c r="Z1740" s="87">
        <f t="shared" si="162"/>
        <v>1.0471299867295437E-2</v>
      </c>
      <c r="AA1740" s="87">
        <f t="shared" si="162"/>
        <v>-6.0545089087062605E-3</v>
      </c>
      <c r="AB1740" s="87">
        <f t="shared" si="164"/>
        <v>-8.3333815591444104E-3</v>
      </c>
      <c r="AC1740" s="87">
        <f t="shared" si="164"/>
        <v>-1.8382870600533424E-2</v>
      </c>
      <c r="AD1740" s="87">
        <f t="shared" si="164"/>
        <v>4.7885167317970939E-3</v>
      </c>
      <c r="AE1740" s="90">
        <f t="shared" si="160"/>
        <v>-1.2560973178111045E-3</v>
      </c>
    </row>
    <row r="1741" spans="1:31" ht="15.5" x14ac:dyDescent="0.35">
      <c r="A1741" s="82">
        <v>42291</v>
      </c>
      <c r="B1741" s="83">
        <v>10229.700000000001</v>
      </c>
      <c r="C1741" s="84">
        <v>4782.8999999999996</v>
      </c>
      <c r="D1741" s="61">
        <v>678.9</v>
      </c>
      <c r="E1741" s="61">
        <v>31.8</v>
      </c>
      <c r="F1741" s="61">
        <v>109.6</v>
      </c>
      <c r="G1741" s="61">
        <v>46.5</v>
      </c>
      <c r="H1741" s="61">
        <v>10.1</v>
      </c>
      <c r="I1741" s="61">
        <v>31.6</v>
      </c>
      <c r="J1741" s="61">
        <v>21.5</v>
      </c>
      <c r="K1741" s="61">
        <v>9.3000000000000007</v>
      </c>
      <c r="L1741" s="61">
        <v>49.5</v>
      </c>
      <c r="M1741" s="61">
        <v>46.8</v>
      </c>
      <c r="N1741" s="61">
        <v>54</v>
      </c>
      <c r="O1741" s="85">
        <v>62.7</v>
      </c>
      <c r="P1741" s="105"/>
      <c r="Q1741" s="87">
        <f t="shared" si="159"/>
        <v>-3.2401968561220356E-3</v>
      </c>
      <c r="R1741" s="87">
        <f t="shared" si="166"/>
        <v>-2.8602764946357704E-3</v>
      </c>
      <c r="S1741" s="87">
        <f t="shared" si="166"/>
        <v>8.5799342909338768E-3</v>
      </c>
      <c r="T1741" s="87">
        <f t="shared" si="165"/>
        <v>-1.5600940442479548E-2</v>
      </c>
      <c r="U1741" s="87">
        <f t="shared" si="165"/>
        <v>-9.9864652006761631E-3</v>
      </c>
      <c r="V1741" s="87">
        <f t="shared" si="165"/>
        <v>-2.1482285382896063E-3</v>
      </c>
      <c r="W1741" s="87">
        <f t="shared" si="162"/>
        <v>-2.9270382300113338E-2</v>
      </c>
      <c r="X1741" s="87">
        <f t="shared" si="162"/>
        <v>3.1695747612790395E-3</v>
      </c>
      <c r="Y1741" s="87">
        <f t="shared" si="162"/>
        <v>9.345862418237599E-3</v>
      </c>
      <c r="Z1741" s="87">
        <f t="shared" si="162"/>
        <v>-3.1748698314580187E-2</v>
      </c>
      <c r="AA1741" s="87">
        <f t="shared" si="162"/>
        <v>2.0222453807678706E-3</v>
      </c>
      <c r="AB1741" s="87">
        <f t="shared" si="164"/>
        <v>-2.1142436573809237E-2</v>
      </c>
      <c r="AC1741" s="87">
        <f t="shared" si="164"/>
        <v>1.8535686493228347E-3</v>
      </c>
      <c r="AD1741" s="87">
        <f t="shared" si="164"/>
        <v>-1.5936258352779249E-3</v>
      </c>
      <c r="AE1741" s="90">
        <f t="shared" si="160"/>
        <v>-1.3946864463162774E-3</v>
      </c>
    </row>
    <row r="1742" spans="1:31" ht="15.5" x14ac:dyDescent="0.35">
      <c r="A1742" s="82">
        <v>42292</v>
      </c>
      <c r="B1742" s="83">
        <v>10378.299999999999</v>
      </c>
      <c r="C1742" s="84">
        <v>4870.1000000000004</v>
      </c>
      <c r="D1742" s="61">
        <v>684.4</v>
      </c>
      <c r="E1742" s="61">
        <v>32.4</v>
      </c>
      <c r="F1742" s="61">
        <v>110.5</v>
      </c>
      <c r="G1742" s="61">
        <v>46.5</v>
      </c>
      <c r="H1742" s="61">
        <v>10</v>
      </c>
      <c r="I1742" s="61">
        <v>31.8</v>
      </c>
      <c r="J1742" s="61">
        <v>22</v>
      </c>
      <c r="K1742" s="61">
        <v>9.3000000000000007</v>
      </c>
      <c r="L1742" s="61">
        <v>49.3</v>
      </c>
      <c r="M1742" s="61">
        <v>47.5</v>
      </c>
      <c r="N1742" s="61">
        <v>53.8</v>
      </c>
      <c r="O1742" s="85">
        <v>63.5</v>
      </c>
      <c r="P1742" s="105"/>
      <c r="Q1742" s="87">
        <f t="shared" ref="Q1742:Q1805" si="167">+LN(B1742/B1741)</f>
        <v>1.4421833811314467E-2</v>
      </c>
      <c r="R1742" s="87">
        <f t="shared" si="166"/>
        <v>1.8067413665292496E-2</v>
      </c>
      <c r="S1742" s="87">
        <f t="shared" si="166"/>
        <v>8.0687007104370961E-3</v>
      </c>
      <c r="T1742" s="87">
        <f t="shared" si="165"/>
        <v>1.8692133012152546E-2</v>
      </c>
      <c r="U1742" s="87">
        <f t="shared" si="165"/>
        <v>8.1781464438924895E-3</v>
      </c>
      <c r="V1742" s="87">
        <f t="shared" si="165"/>
        <v>0</v>
      </c>
      <c r="W1742" s="87">
        <f t="shared" si="162"/>
        <v>-9.950330853168092E-3</v>
      </c>
      <c r="X1742" s="87">
        <f t="shared" si="162"/>
        <v>6.3091691932647556E-3</v>
      </c>
      <c r="Y1742" s="87">
        <f t="shared" si="162"/>
        <v>2.2989518224698781E-2</v>
      </c>
      <c r="Z1742" s="87">
        <f t="shared" si="162"/>
        <v>0</v>
      </c>
      <c r="AA1742" s="87">
        <f t="shared" si="162"/>
        <v>-4.0485885260002205E-3</v>
      </c>
      <c r="AB1742" s="87">
        <f t="shared" si="164"/>
        <v>1.4846508116994638E-2</v>
      </c>
      <c r="AC1742" s="87">
        <f t="shared" si="164"/>
        <v>-3.710579396535713E-3</v>
      </c>
      <c r="AD1742" s="87">
        <f t="shared" si="164"/>
        <v>1.2678458259770872E-2</v>
      </c>
      <c r="AE1742" s="90">
        <f t="shared" si="160"/>
        <v>1.1657402687275506E-2</v>
      </c>
    </row>
    <row r="1743" spans="1:31" ht="15.5" x14ac:dyDescent="0.35">
      <c r="A1743" s="82">
        <v>42293</v>
      </c>
      <c r="B1743" s="83">
        <v>10421.9</v>
      </c>
      <c r="C1743" s="84">
        <v>4886.7</v>
      </c>
      <c r="D1743" s="61">
        <v>689.1</v>
      </c>
      <c r="E1743" s="61">
        <v>33.200000000000003</v>
      </c>
      <c r="F1743" s="61">
        <v>110.5</v>
      </c>
      <c r="G1743" s="61">
        <v>46.9</v>
      </c>
      <c r="H1743" s="61">
        <v>10.199999999999999</v>
      </c>
      <c r="I1743" s="61">
        <v>31.9</v>
      </c>
      <c r="J1743" s="61">
        <v>21.8</v>
      </c>
      <c r="K1743" s="61">
        <v>9.5</v>
      </c>
      <c r="L1743" s="61">
        <v>51.1</v>
      </c>
      <c r="M1743" s="61">
        <v>48.2</v>
      </c>
      <c r="N1743" s="61">
        <v>54.6</v>
      </c>
      <c r="O1743" s="85">
        <v>64.400000000000006</v>
      </c>
      <c r="P1743" s="105"/>
      <c r="Q1743" s="87">
        <f t="shared" si="167"/>
        <v>4.1922735220226229E-3</v>
      </c>
      <c r="R1743" s="87">
        <f t="shared" si="166"/>
        <v>3.4027582849471042E-3</v>
      </c>
      <c r="S1743" s="87">
        <f t="shared" si="166"/>
        <v>6.8438563451239951E-3</v>
      </c>
      <c r="T1743" s="87">
        <f t="shared" si="165"/>
        <v>2.4391453124159263E-2</v>
      </c>
      <c r="U1743" s="87">
        <f t="shared" si="165"/>
        <v>0</v>
      </c>
      <c r="V1743" s="87">
        <f t="shared" si="165"/>
        <v>8.5653628589230004E-3</v>
      </c>
      <c r="W1743" s="87">
        <f t="shared" si="162"/>
        <v>1.980262729617973E-2</v>
      </c>
      <c r="X1743" s="87">
        <f t="shared" si="162"/>
        <v>3.1397200046676247E-3</v>
      </c>
      <c r="Y1743" s="87">
        <f t="shared" si="162"/>
        <v>-9.1324835632724741E-3</v>
      </c>
      <c r="Z1743" s="87">
        <f t="shared" si="162"/>
        <v>2.1277398447284879E-2</v>
      </c>
      <c r="AA1743" s="87">
        <f t="shared" si="162"/>
        <v>3.5860416161014458E-2</v>
      </c>
      <c r="AB1743" s="87">
        <f t="shared" si="164"/>
        <v>1.4629310015959096E-2</v>
      </c>
      <c r="AC1743" s="87">
        <f t="shared" si="164"/>
        <v>1.4760415583120674E-2</v>
      </c>
      <c r="AD1743" s="87">
        <f t="shared" si="164"/>
        <v>1.4073727211662118E-2</v>
      </c>
      <c r="AE1743" s="90">
        <f t="shared" ref="AE1743:AE1806" si="168">+SUMPRODUCT(Q1743:AD1743,$Q$8:$AD$8)</f>
        <v>4.7342455758757236E-3</v>
      </c>
    </row>
    <row r="1744" spans="1:31" ht="15.5" x14ac:dyDescent="0.35">
      <c r="A1744" s="82">
        <v>42296</v>
      </c>
      <c r="B1744" s="83">
        <v>10391.6</v>
      </c>
      <c r="C1744" s="84">
        <v>4905.5</v>
      </c>
      <c r="D1744" s="61">
        <v>692.2</v>
      </c>
      <c r="E1744" s="61">
        <v>33.200000000000003</v>
      </c>
      <c r="F1744" s="61">
        <v>110.1</v>
      </c>
      <c r="G1744" s="61">
        <v>47</v>
      </c>
      <c r="H1744" s="61">
        <v>10.199999999999999</v>
      </c>
      <c r="I1744" s="61">
        <v>32.1</v>
      </c>
      <c r="J1744" s="61">
        <v>21.6</v>
      </c>
      <c r="K1744" s="61">
        <v>9.5</v>
      </c>
      <c r="L1744" s="61">
        <v>50.9</v>
      </c>
      <c r="M1744" s="61">
        <v>48.4</v>
      </c>
      <c r="N1744" s="61">
        <v>54.8</v>
      </c>
      <c r="O1744" s="85">
        <v>65.599999999999994</v>
      </c>
      <c r="P1744" s="105"/>
      <c r="Q1744" s="87">
        <f t="shared" si="167"/>
        <v>-2.9115738732153704E-3</v>
      </c>
      <c r="R1744" s="87">
        <f t="shared" si="166"/>
        <v>3.8397955717765814E-3</v>
      </c>
      <c r="S1744" s="87">
        <f t="shared" si="166"/>
        <v>4.4885328380816639E-3</v>
      </c>
      <c r="T1744" s="87">
        <f t="shared" si="165"/>
        <v>0</v>
      </c>
      <c r="U1744" s="87">
        <f t="shared" si="165"/>
        <v>-3.6264772291733265E-3</v>
      </c>
      <c r="V1744" s="87">
        <f t="shared" si="165"/>
        <v>2.129926257824849E-3</v>
      </c>
      <c r="W1744" s="87">
        <f t="shared" si="162"/>
        <v>0</v>
      </c>
      <c r="X1744" s="87">
        <f t="shared" si="162"/>
        <v>6.2500203451713258E-3</v>
      </c>
      <c r="Y1744" s="87">
        <f t="shared" si="162"/>
        <v>-9.2166551049239522E-3</v>
      </c>
      <c r="Z1744" s="87">
        <f t="shared" si="162"/>
        <v>0</v>
      </c>
      <c r="AA1744" s="87">
        <f t="shared" si="162"/>
        <v>-3.9215736531818023E-3</v>
      </c>
      <c r="AB1744" s="87">
        <f t="shared" si="164"/>
        <v>4.1407926660313871E-3</v>
      </c>
      <c r="AC1744" s="87">
        <f t="shared" si="164"/>
        <v>3.6563112031104792E-3</v>
      </c>
      <c r="AD1744" s="87">
        <f t="shared" si="164"/>
        <v>1.8462062839735352E-2</v>
      </c>
      <c r="AE1744" s="90">
        <f t="shared" si="168"/>
        <v>3.6721356580761552E-3</v>
      </c>
    </row>
    <row r="1745" spans="1:31" ht="15.5" x14ac:dyDescent="0.35">
      <c r="A1745" s="82">
        <v>42297</v>
      </c>
      <c r="B1745" s="83">
        <v>10383.4</v>
      </c>
      <c r="C1745" s="84">
        <v>4881</v>
      </c>
      <c r="D1745" s="61">
        <v>673.7</v>
      </c>
      <c r="E1745" s="61">
        <v>32.799999999999997</v>
      </c>
      <c r="F1745" s="61">
        <v>110.8</v>
      </c>
      <c r="G1745" s="61">
        <v>47</v>
      </c>
      <c r="H1745" s="61">
        <v>10.3</v>
      </c>
      <c r="I1745" s="61">
        <v>31.1</v>
      </c>
      <c r="J1745" s="61">
        <v>21.7</v>
      </c>
      <c r="K1745" s="61">
        <v>9.6999999999999993</v>
      </c>
      <c r="L1745" s="61">
        <v>50.1</v>
      </c>
      <c r="M1745" s="61">
        <v>48.9</v>
      </c>
      <c r="N1745" s="61">
        <v>55.1</v>
      </c>
      <c r="O1745" s="85">
        <v>66</v>
      </c>
      <c r="P1745" s="105"/>
      <c r="Q1745" s="87">
        <f t="shared" si="167"/>
        <v>-7.8941038997182647E-4</v>
      </c>
      <c r="R1745" s="87">
        <f t="shared" si="166"/>
        <v>-5.0069077162979902E-3</v>
      </c>
      <c r="S1745" s="87">
        <f t="shared" si="166"/>
        <v>-2.7090023234629747E-2</v>
      </c>
      <c r="T1745" s="87">
        <f t="shared" si="165"/>
        <v>-1.2121360532344963E-2</v>
      </c>
      <c r="U1745" s="87">
        <f t="shared" si="165"/>
        <v>6.3377305845491389E-3</v>
      </c>
      <c r="V1745" s="87">
        <f t="shared" si="165"/>
        <v>0</v>
      </c>
      <c r="W1745" s="87">
        <f t="shared" si="162"/>
        <v>9.7561749453648743E-3</v>
      </c>
      <c r="X1745" s="87">
        <f t="shared" si="162"/>
        <v>-3.1648210950781734E-2</v>
      </c>
      <c r="Y1745" s="87">
        <f t="shared" si="162"/>
        <v>4.6189458562944583E-3</v>
      </c>
      <c r="Z1745" s="87">
        <f t="shared" si="162"/>
        <v>2.0834086902841834E-2</v>
      </c>
      <c r="AA1745" s="87">
        <f t="shared" si="162"/>
        <v>-1.5841915465657861E-2</v>
      </c>
      <c r="AB1745" s="87">
        <f t="shared" si="164"/>
        <v>1.027758275824023E-2</v>
      </c>
      <c r="AC1745" s="87">
        <f t="shared" si="164"/>
        <v>5.4595222048989742E-3</v>
      </c>
      <c r="AD1745" s="87">
        <f t="shared" si="164"/>
        <v>6.0790460763821925E-3</v>
      </c>
      <c r="AE1745" s="90">
        <f t="shared" si="168"/>
        <v>-6.8807042395412285E-3</v>
      </c>
    </row>
    <row r="1746" spans="1:31" ht="15.5" x14ac:dyDescent="0.35">
      <c r="A1746" s="82">
        <v>42298</v>
      </c>
      <c r="B1746" s="83">
        <v>10306.4</v>
      </c>
      <c r="C1746" s="84">
        <v>4840.1000000000004</v>
      </c>
      <c r="D1746" s="61">
        <v>670.7</v>
      </c>
      <c r="E1746" s="61">
        <v>31</v>
      </c>
      <c r="F1746" s="61">
        <v>113.7</v>
      </c>
      <c r="G1746" s="61">
        <v>47.1</v>
      </c>
      <c r="H1746" s="61">
        <v>10.5</v>
      </c>
      <c r="I1746" s="61">
        <v>32.4</v>
      </c>
      <c r="J1746" s="61">
        <v>21</v>
      </c>
      <c r="K1746" s="61">
        <v>9.6999999999999993</v>
      </c>
      <c r="L1746" s="61">
        <v>50.2</v>
      </c>
      <c r="M1746" s="61">
        <v>49</v>
      </c>
      <c r="N1746" s="61">
        <v>57.6</v>
      </c>
      <c r="O1746" s="85">
        <v>65.900000000000006</v>
      </c>
      <c r="P1746" s="105"/>
      <c r="Q1746" s="87">
        <f t="shared" si="167"/>
        <v>-7.4433155953092826E-3</v>
      </c>
      <c r="R1746" s="87">
        <f t="shared" si="166"/>
        <v>-8.4147352328840467E-3</v>
      </c>
      <c r="S1746" s="87">
        <f t="shared" si="166"/>
        <v>-4.4629648609225744E-3</v>
      </c>
      <c r="T1746" s="87">
        <f t="shared" si="165"/>
        <v>-5.6441310904951733E-2</v>
      </c>
      <c r="U1746" s="87">
        <f t="shared" si="165"/>
        <v>2.5836626443307066E-2</v>
      </c>
      <c r="V1746" s="87">
        <f t="shared" si="165"/>
        <v>2.1253993123135366E-3</v>
      </c>
      <c r="W1746" s="87">
        <f t="shared" si="162"/>
        <v>1.9231361927887592E-2</v>
      </c>
      <c r="X1746" s="87">
        <f t="shared" si="162"/>
        <v>4.0950603613095063E-2</v>
      </c>
      <c r="Y1746" s="87">
        <f t="shared" si="162"/>
        <v>-3.2789822822990838E-2</v>
      </c>
      <c r="Z1746" s="87">
        <f t="shared" si="162"/>
        <v>0</v>
      </c>
      <c r="AA1746" s="87">
        <f t="shared" si="162"/>
        <v>1.9940186068644495E-3</v>
      </c>
      <c r="AB1746" s="87">
        <f t="shared" si="164"/>
        <v>2.042901629800331E-3</v>
      </c>
      <c r="AC1746" s="87">
        <f t="shared" si="164"/>
        <v>4.4372851542976662E-2</v>
      </c>
      <c r="AD1746" s="87">
        <f t="shared" si="164"/>
        <v>-1.5163005179639638E-3</v>
      </c>
      <c r="AE1746" s="90">
        <f t="shared" si="168"/>
        <v>3.3744923017454938E-3</v>
      </c>
    </row>
    <row r="1747" spans="1:31" ht="15.5" x14ac:dyDescent="0.35">
      <c r="A1747" s="82">
        <v>42299</v>
      </c>
      <c r="B1747" s="83">
        <v>10448.799999999999</v>
      </c>
      <c r="C1747" s="84">
        <v>4920</v>
      </c>
      <c r="D1747" s="61">
        <v>671.7</v>
      </c>
      <c r="E1747" s="61">
        <v>31.2</v>
      </c>
      <c r="F1747" s="61">
        <v>114.1</v>
      </c>
      <c r="G1747" s="61">
        <v>47.1</v>
      </c>
      <c r="H1747" s="61">
        <v>7</v>
      </c>
      <c r="I1747" s="61">
        <v>32.299999999999997</v>
      </c>
      <c r="J1747" s="61">
        <v>21.1</v>
      </c>
      <c r="K1747" s="61">
        <v>9.6999999999999993</v>
      </c>
      <c r="L1747" s="61">
        <v>50.3</v>
      </c>
      <c r="M1747" s="61">
        <v>49.4</v>
      </c>
      <c r="N1747" s="61">
        <v>60.2</v>
      </c>
      <c r="O1747" s="85">
        <v>65.3</v>
      </c>
      <c r="P1747" s="105"/>
      <c r="Q1747" s="87">
        <f t="shared" si="167"/>
        <v>1.3722077785996521E-2</v>
      </c>
      <c r="R1747" s="87">
        <f t="shared" si="166"/>
        <v>1.6373148832090279E-2</v>
      </c>
      <c r="S1747" s="87">
        <f t="shared" si="166"/>
        <v>1.4898691671272474E-3</v>
      </c>
      <c r="T1747" s="87">
        <f t="shared" si="165"/>
        <v>6.4308903302903314E-3</v>
      </c>
      <c r="U1747" s="87">
        <f t="shared" si="165"/>
        <v>3.5118561115394281E-3</v>
      </c>
      <c r="V1747" s="87">
        <f t="shared" si="165"/>
        <v>0</v>
      </c>
      <c r="W1747" s="87">
        <f t="shared" si="162"/>
        <v>-0.40546510810816444</v>
      </c>
      <c r="X1747" s="87">
        <f t="shared" si="162"/>
        <v>-3.0911925696728579E-3</v>
      </c>
      <c r="Y1747" s="87">
        <f t="shared" si="162"/>
        <v>4.7506027585977988E-3</v>
      </c>
      <c r="Z1747" s="87">
        <f t="shared" si="162"/>
        <v>0</v>
      </c>
      <c r="AA1747" s="87">
        <f t="shared" si="162"/>
        <v>1.9900504080097876E-3</v>
      </c>
      <c r="AB1747" s="87">
        <f t="shared" si="164"/>
        <v>8.1301260832500888E-3</v>
      </c>
      <c r="AC1747" s="87">
        <f t="shared" si="164"/>
        <v>4.4149784612929753E-2</v>
      </c>
      <c r="AD1747" s="87">
        <f t="shared" si="164"/>
        <v>-9.14640522607626E-3</v>
      </c>
      <c r="AE1747" s="90">
        <f t="shared" si="168"/>
        <v>5.2364542040658334E-3</v>
      </c>
    </row>
    <row r="1748" spans="1:31" ht="15.5" x14ac:dyDescent="0.35">
      <c r="A1748" s="82">
        <v>42300</v>
      </c>
      <c r="B1748" s="83">
        <v>10506.5</v>
      </c>
      <c r="C1748" s="84">
        <v>5031.8999999999996</v>
      </c>
      <c r="D1748" s="61">
        <v>717.9</v>
      </c>
      <c r="E1748" s="61">
        <v>32.200000000000003</v>
      </c>
      <c r="F1748" s="61">
        <v>116.3</v>
      </c>
      <c r="G1748" s="61">
        <v>52.3</v>
      </c>
      <c r="H1748" s="61">
        <v>7</v>
      </c>
      <c r="I1748" s="61">
        <v>32.799999999999997</v>
      </c>
      <c r="J1748" s="61">
        <v>21.6</v>
      </c>
      <c r="K1748" s="61">
        <v>9</v>
      </c>
      <c r="L1748" s="61">
        <v>52.1</v>
      </c>
      <c r="M1748" s="61">
        <v>50</v>
      </c>
      <c r="N1748" s="61">
        <v>59.6</v>
      </c>
      <c r="O1748" s="85">
        <v>64.5</v>
      </c>
      <c r="P1748" s="105"/>
      <c r="Q1748" s="87">
        <f t="shared" si="167"/>
        <v>5.5069739704140409E-3</v>
      </c>
      <c r="R1748" s="87">
        <f t="shared" si="166"/>
        <v>2.2489115882465174E-2</v>
      </c>
      <c r="S1748" s="87">
        <f t="shared" si="166"/>
        <v>6.651847130961841E-2</v>
      </c>
      <c r="T1748" s="87">
        <f t="shared" si="165"/>
        <v>3.1548357734926057E-2</v>
      </c>
      <c r="U1748" s="87">
        <f t="shared" si="165"/>
        <v>1.9097802656588832E-2</v>
      </c>
      <c r="V1748" s="87">
        <f t="shared" si="165"/>
        <v>0.10472337004850513</v>
      </c>
      <c r="W1748" s="87">
        <f t="shared" si="162"/>
        <v>0</v>
      </c>
      <c r="X1748" s="87">
        <f t="shared" si="162"/>
        <v>1.5361285161487149E-2</v>
      </c>
      <c r="Y1748" s="87">
        <f t="shared" si="162"/>
        <v>2.3420274208098422E-2</v>
      </c>
      <c r="Z1748" s="87">
        <f t="shared" si="162"/>
        <v>-7.4901308173117714E-2</v>
      </c>
      <c r="AA1748" s="87">
        <f t="shared" si="162"/>
        <v>3.5159871653627724E-2</v>
      </c>
      <c r="AB1748" s="87">
        <f t="shared" si="164"/>
        <v>1.207258123426924E-2</v>
      </c>
      <c r="AC1748" s="87">
        <f t="shared" si="164"/>
        <v>-1.0016778243471344E-2</v>
      </c>
      <c r="AD1748" s="87">
        <f t="shared" si="164"/>
        <v>-1.2326812480658521E-2</v>
      </c>
      <c r="AE1748" s="90">
        <f t="shared" si="168"/>
        <v>3.0177816938140877E-2</v>
      </c>
    </row>
    <row r="1749" spans="1:31" ht="15.5" x14ac:dyDescent="0.35">
      <c r="A1749" s="82">
        <v>42303</v>
      </c>
      <c r="B1749" s="83">
        <v>10464.6</v>
      </c>
      <c r="C1749" s="84">
        <v>5034.7</v>
      </c>
      <c r="D1749" s="61">
        <v>720</v>
      </c>
      <c r="E1749" s="61">
        <v>33</v>
      </c>
      <c r="F1749" s="61">
        <v>114.9</v>
      </c>
      <c r="G1749" s="61">
        <v>52.5</v>
      </c>
      <c r="H1749" s="61">
        <v>7</v>
      </c>
      <c r="I1749" s="61">
        <v>32.799999999999997</v>
      </c>
      <c r="J1749" s="61">
        <v>21.7</v>
      </c>
      <c r="K1749" s="61">
        <v>8.9</v>
      </c>
      <c r="L1749" s="61">
        <v>52.5</v>
      </c>
      <c r="M1749" s="61">
        <v>50.2</v>
      </c>
      <c r="N1749" s="61">
        <v>59.4</v>
      </c>
      <c r="O1749" s="85">
        <v>65.099999999999994</v>
      </c>
      <c r="P1749" s="105"/>
      <c r="Q1749" s="87">
        <f t="shared" si="167"/>
        <v>-3.9959807310476613E-3</v>
      </c>
      <c r="R1749" s="87">
        <f t="shared" si="166"/>
        <v>5.5629508914795155E-4</v>
      </c>
      <c r="S1749" s="87">
        <f t="shared" si="166"/>
        <v>2.920928427663698E-3</v>
      </c>
      <c r="T1749" s="87">
        <f t="shared" si="165"/>
        <v>2.4541108916117445E-2</v>
      </c>
      <c r="U1749" s="87">
        <f t="shared" si="165"/>
        <v>-1.2110874669908662E-2</v>
      </c>
      <c r="V1749" s="87">
        <f t="shared" si="165"/>
        <v>3.8167985267008112E-3</v>
      </c>
      <c r="W1749" s="87">
        <f t="shared" si="162"/>
        <v>0</v>
      </c>
      <c r="X1749" s="87">
        <f t="shared" si="162"/>
        <v>0</v>
      </c>
      <c r="Y1749" s="87">
        <f t="shared" si="162"/>
        <v>4.6189458562944583E-3</v>
      </c>
      <c r="Z1749" s="87">
        <f t="shared" si="162"/>
        <v>-1.1173300598125189E-2</v>
      </c>
      <c r="AA1749" s="87">
        <f t="shared" si="162"/>
        <v>7.6482208382568188E-3</v>
      </c>
      <c r="AB1749" s="87">
        <f t="shared" si="164"/>
        <v>3.9920212695374567E-3</v>
      </c>
      <c r="AC1749" s="87">
        <f t="shared" si="164"/>
        <v>-3.3613477027048832E-3</v>
      </c>
      <c r="AD1749" s="87">
        <f t="shared" si="164"/>
        <v>9.2593254127967262E-3</v>
      </c>
      <c r="AE1749" s="90">
        <f t="shared" si="168"/>
        <v>-1.3156234232488918E-3</v>
      </c>
    </row>
    <row r="1750" spans="1:31" ht="15.5" x14ac:dyDescent="0.35">
      <c r="A1750" s="82">
        <v>42304</v>
      </c>
      <c r="B1750" s="83">
        <v>10400.200000000001</v>
      </c>
      <c r="C1750" s="84">
        <v>5030.1000000000004</v>
      </c>
      <c r="D1750" s="61">
        <v>724.1</v>
      </c>
      <c r="E1750" s="61">
        <v>33.9</v>
      </c>
      <c r="F1750" s="61">
        <v>114</v>
      </c>
      <c r="G1750" s="61">
        <v>53.6</v>
      </c>
      <c r="H1750" s="61">
        <v>6.8</v>
      </c>
      <c r="I1750" s="61">
        <v>32.4</v>
      </c>
      <c r="J1750" s="61">
        <v>21</v>
      </c>
      <c r="K1750" s="61">
        <v>8.9</v>
      </c>
      <c r="L1750" s="61">
        <v>52.8</v>
      </c>
      <c r="M1750" s="61">
        <v>48.9</v>
      </c>
      <c r="N1750" s="61">
        <v>58</v>
      </c>
      <c r="O1750" s="85">
        <v>64.8</v>
      </c>
      <c r="P1750" s="105"/>
      <c r="Q1750" s="87">
        <f t="shared" si="167"/>
        <v>-6.1730957888918442E-3</v>
      </c>
      <c r="R1750" s="87">
        <f t="shared" si="166"/>
        <v>-9.1407684609504309E-4</v>
      </c>
      <c r="S1750" s="87">
        <f t="shared" si="166"/>
        <v>5.6782923846740805E-3</v>
      </c>
      <c r="T1750" s="87">
        <f t="shared" si="165"/>
        <v>2.6907452919924402E-2</v>
      </c>
      <c r="U1750" s="87">
        <f t="shared" si="165"/>
        <v>-7.8637364602145762E-3</v>
      </c>
      <c r="V1750" s="87">
        <f t="shared" si="165"/>
        <v>2.0735898479178342E-2</v>
      </c>
      <c r="W1750" s="87">
        <f t="shared" si="162"/>
        <v>-2.8987536873252298E-2</v>
      </c>
      <c r="X1750" s="87">
        <f t="shared" si="162"/>
        <v>-1.2270092591814359E-2</v>
      </c>
      <c r="Y1750" s="87">
        <f t="shared" si="162"/>
        <v>-3.2789822822990838E-2</v>
      </c>
      <c r="Z1750" s="87">
        <f t="shared" si="162"/>
        <v>0</v>
      </c>
      <c r="AA1750" s="87">
        <f t="shared" si="162"/>
        <v>5.6980211146375748E-3</v>
      </c>
      <c r="AB1750" s="87">
        <f t="shared" si="164"/>
        <v>-2.6237630216857259E-2</v>
      </c>
      <c r="AC1750" s="87">
        <f t="shared" si="164"/>
        <v>-2.3851215822179909E-2</v>
      </c>
      <c r="AD1750" s="87">
        <f t="shared" si="164"/>
        <v>-4.6189458562945285E-3</v>
      </c>
      <c r="AE1750" s="90">
        <f t="shared" si="168"/>
        <v>-1.4215648328761888E-3</v>
      </c>
    </row>
    <row r="1751" spans="1:31" ht="15.5" x14ac:dyDescent="0.35">
      <c r="A1751" s="82">
        <v>42305</v>
      </c>
      <c r="B1751" s="83">
        <v>10538.2</v>
      </c>
      <c r="C1751" s="84">
        <v>5095.7</v>
      </c>
      <c r="D1751" s="61">
        <v>727.3</v>
      </c>
      <c r="E1751" s="61">
        <v>34.299999999999997</v>
      </c>
      <c r="F1751" s="61">
        <v>116.1</v>
      </c>
      <c r="G1751" s="61">
        <v>52.9</v>
      </c>
      <c r="H1751" s="61">
        <v>6.9</v>
      </c>
      <c r="I1751" s="61">
        <v>32</v>
      </c>
      <c r="J1751" s="61">
        <v>21.1</v>
      </c>
      <c r="K1751" s="61">
        <v>9</v>
      </c>
      <c r="L1751" s="61">
        <v>53.6</v>
      </c>
      <c r="M1751" s="61">
        <v>49.3</v>
      </c>
      <c r="N1751" s="61">
        <v>57.7</v>
      </c>
      <c r="O1751" s="85">
        <v>65</v>
      </c>
      <c r="P1751" s="105"/>
      <c r="Q1751" s="87">
        <f t="shared" si="167"/>
        <v>1.3181713808731385E-2</v>
      </c>
      <c r="R1751" s="87">
        <f t="shared" si="166"/>
        <v>1.295718220551148E-2</v>
      </c>
      <c r="S1751" s="87">
        <f t="shared" si="166"/>
        <v>4.4095427657198337E-3</v>
      </c>
      <c r="T1751" s="87">
        <f t="shared" si="165"/>
        <v>1.17303397854896E-2</v>
      </c>
      <c r="U1751" s="87">
        <f t="shared" si="165"/>
        <v>1.8253440309350302E-2</v>
      </c>
      <c r="V1751" s="87">
        <f t="shared" si="165"/>
        <v>-1.3145729212502616E-2</v>
      </c>
      <c r="W1751" s="87">
        <f t="shared" si="162"/>
        <v>1.4598799421152851E-2</v>
      </c>
      <c r="X1751" s="87">
        <f t="shared" si="162"/>
        <v>-1.2422519998557096E-2</v>
      </c>
      <c r="Y1751" s="87">
        <f t="shared" si="162"/>
        <v>4.7506027585977988E-3</v>
      </c>
      <c r="Z1751" s="87">
        <f t="shared" si="162"/>
        <v>1.1173300598125255E-2</v>
      </c>
      <c r="AA1751" s="87">
        <f t="shared" si="162"/>
        <v>1.5037877364540502E-2</v>
      </c>
      <c r="AB1751" s="87">
        <f t="shared" si="164"/>
        <v>8.146684567818108E-3</v>
      </c>
      <c r="AC1751" s="87">
        <f t="shared" si="164"/>
        <v>-5.1858370323654137E-3</v>
      </c>
      <c r="AD1751" s="87">
        <f t="shared" si="164"/>
        <v>3.0816665374081144E-3</v>
      </c>
      <c r="AE1751" s="90">
        <f t="shared" si="168"/>
        <v>1.076879301559047E-2</v>
      </c>
    </row>
    <row r="1752" spans="1:31" ht="15.5" x14ac:dyDescent="0.35">
      <c r="A1752" s="82">
        <v>42306</v>
      </c>
      <c r="B1752" s="83">
        <v>10498.2</v>
      </c>
      <c r="C1752" s="84">
        <v>5074.3</v>
      </c>
      <c r="D1752" s="61">
        <v>735.2</v>
      </c>
      <c r="E1752" s="61">
        <v>34.700000000000003</v>
      </c>
      <c r="F1752" s="61">
        <v>118.3</v>
      </c>
      <c r="G1752" s="61">
        <v>53.2</v>
      </c>
      <c r="H1752" s="61">
        <v>7</v>
      </c>
      <c r="I1752" s="61">
        <v>30.5</v>
      </c>
      <c r="J1752" s="61">
        <v>20.399999999999999</v>
      </c>
      <c r="K1752" s="61">
        <v>9</v>
      </c>
      <c r="L1752" s="61">
        <v>54.5</v>
      </c>
      <c r="M1752" s="61">
        <v>50.8</v>
      </c>
      <c r="N1752" s="61">
        <v>58</v>
      </c>
      <c r="O1752" s="85">
        <v>65</v>
      </c>
      <c r="P1752" s="105"/>
      <c r="Q1752" s="87">
        <f t="shared" si="167"/>
        <v>-3.8029366438882719E-3</v>
      </c>
      <c r="R1752" s="87">
        <f t="shared" si="166"/>
        <v>-4.2084624552380908E-3</v>
      </c>
      <c r="S1752" s="87">
        <f t="shared" si="166"/>
        <v>1.0803523880982508E-2</v>
      </c>
      <c r="T1752" s="87">
        <f t="shared" si="165"/>
        <v>1.1594332780919446E-2</v>
      </c>
      <c r="U1752" s="87">
        <f t="shared" si="165"/>
        <v>1.8771882280495335E-2</v>
      </c>
      <c r="V1752" s="87">
        <f t="shared" si="165"/>
        <v>5.6550574833450565E-3</v>
      </c>
      <c r="W1752" s="87">
        <f t="shared" si="162"/>
        <v>1.4388737452099452E-2</v>
      </c>
      <c r="X1752" s="87">
        <f t="shared" si="162"/>
        <v>-4.8009219186360606E-2</v>
      </c>
      <c r="Y1752" s="87">
        <f t="shared" si="162"/>
        <v>-3.3738139631850232E-2</v>
      </c>
      <c r="Z1752" s="87">
        <f t="shared" si="162"/>
        <v>0</v>
      </c>
      <c r="AA1752" s="87">
        <f t="shared" si="162"/>
        <v>1.665163359244216E-2</v>
      </c>
      <c r="AB1752" s="87">
        <f t="shared" si="164"/>
        <v>2.9972273535791717E-2</v>
      </c>
      <c r="AC1752" s="87">
        <f t="shared" si="164"/>
        <v>5.1858370323654155E-3</v>
      </c>
      <c r="AD1752" s="87">
        <f t="shared" si="164"/>
        <v>0</v>
      </c>
      <c r="AE1752" s="90">
        <f t="shared" si="168"/>
        <v>7.2690178927102824E-3</v>
      </c>
    </row>
    <row r="1753" spans="1:31" ht="15.5" x14ac:dyDescent="0.35">
      <c r="A1753" s="82">
        <v>42307</v>
      </c>
      <c r="B1753" s="83">
        <v>10461</v>
      </c>
      <c r="C1753" s="84">
        <v>5053.8</v>
      </c>
      <c r="D1753" s="61">
        <v>736.5</v>
      </c>
      <c r="E1753" s="61">
        <v>35.1</v>
      </c>
      <c r="F1753" s="61">
        <v>119.5</v>
      </c>
      <c r="G1753" s="61">
        <v>52.6</v>
      </c>
      <c r="H1753" s="61">
        <v>7</v>
      </c>
      <c r="I1753" s="61">
        <v>31.5</v>
      </c>
      <c r="J1753" s="61">
        <v>19.899999999999999</v>
      </c>
      <c r="K1753" s="61">
        <v>9</v>
      </c>
      <c r="L1753" s="61">
        <v>54.7</v>
      </c>
      <c r="M1753" s="61">
        <v>50.4</v>
      </c>
      <c r="N1753" s="61">
        <v>58.4</v>
      </c>
      <c r="O1753" s="85">
        <v>65</v>
      </c>
      <c r="P1753" s="105"/>
      <c r="Q1753" s="87">
        <f t="shared" si="167"/>
        <v>-3.549757534868375E-3</v>
      </c>
      <c r="R1753" s="87">
        <f t="shared" si="166"/>
        <v>-4.0481488127723899E-3</v>
      </c>
      <c r="S1753" s="87">
        <f t="shared" si="166"/>
        <v>1.7666648612076261E-3</v>
      </c>
      <c r="T1753" s="87">
        <f t="shared" si="165"/>
        <v>1.1461443519006598E-2</v>
      </c>
      <c r="U1753" s="87">
        <f t="shared" si="165"/>
        <v>1.0092600387224347E-2</v>
      </c>
      <c r="V1753" s="87">
        <f t="shared" si="165"/>
        <v>-1.1342276603934495E-2</v>
      </c>
      <c r="W1753" s="87">
        <f t="shared" si="162"/>
        <v>0</v>
      </c>
      <c r="X1753" s="87">
        <f t="shared" si="162"/>
        <v>3.2260862218221477E-2</v>
      </c>
      <c r="Y1753" s="87">
        <f t="shared" si="162"/>
        <v>-2.481516911972402E-2</v>
      </c>
      <c r="Z1753" s="87">
        <f t="shared" si="162"/>
        <v>0</v>
      </c>
      <c r="AA1753" s="87">
        <f t="shared" si="162"/>
        <v>3.6630077587372417E-3</v>
      </c>
      <c r="AB1753" s="87">
        <f t="shared" si="164"/>
        <v>-7.9051795071132611E-3</v>
      </c>
      <c r="AC1753" s="87">
        <f t="shared" si="164"/>
        <v>6.8728792877620504E-3</v>
      </c>
      <c r="AD1753" s="87">
        <f t="shared" si="164"/>
        <v>0</v>
      </c>
      <c r="AE1753" s="90">
        <f t="shared" si="168"/>
        <v>2.189657197945291E-3</v>
      </c>
    </row>
    <row r="1754" spans="1:31" ht="15.5" x14ac:dyDescent="0.35">
      <c r="A1754" s="82">
        <v>42310</v>
      </c>
      <c r="B1754" s="83">
        <v>10579.9</v>
      </c>
      <c r="C1754" s="84">
        <v>5127.1000000000004</v>
      </c>
      <c r="D1754" s="61">
        <v>731.5</v>
      </c>
      <c r="E1754" s="61">
        <v>35.1</v>
      </c>
      <c r="F1754" s="61">
        <v>119.6</v>
      </c>
      <c r="G1754" s="61">
        <v>52.6</v>
      </c>
      <c r="H1754" s="61">
        <v>7.3</v>
      </c>
      <c r="I1754" s="61">
        <v>32.799999999999997</v>
      </c>
      <c r="J1754" s="61">
        <v>20.2</v>
      </c>
      <c r="K1754" s="61">
        <v>8.8000000000000007</v>
      </c>
      <c r="L1754" s="61">
        <v>54.4</v>
      </c>
      <c r="M1754" s="61">
        <v>50.5</v>
      </c>
      <c r="N1754" s="61">
        <v>58.5</v>
      </c>
      <c r="O1754" s="85">
        <v>64.7</v>
      </c>
      <c r="P1754" s="105"/>
      <c r="Q1754" s="87">
        <f t="shared" si="167"/>
        <v>1.1301918228019778E-2</v>
      </c>
      <c r="R1754" s="87">
        <f t="shared" si="166"/>
        <v>1.43997616276929E-2</v>
      </c>
      <c r="S1754" s="87">
        <f t="shared" si="166"/>
        <v>-6.8120154425059948E-3</v>
      </c>
      <c r="T1754" s="87">
        <f t="shared" si="165"/>
        <v>0</v>
      </c>
      <c r="U1754" s="87">
        <f t="shared" si="165"/>
        <v>8.3647014496590643E-4</v>
      </c>
      <c r="V1754" s="87">
        <f t="shared" si="165"/>
        <v>0</v>
      </c>
      <c r="W1754" s="87">
        <f t="shared" si="162"/>
        <v>4.1964199099032207E-2</v>
      </c>
      <c r="X1754" s="87">
        <f t="shared" si="162"/>
        <v>4.044096955851053E-2</v>
      </c>
      <c r="Y1754" s="87">
        <f t="shared" si="162"/>
        <v>1.496287267671232E-2</v>
      </c>
      <c r="Z1754" s="87">
        <f t="shared" si="162"/>
        <v>-2.2472855852058514E-2</v>
      </c>
      <c r="AA1754" s="87">
        <f t="shared" si="162"/>
        <v>-5.4995555660386584E-3</v>
      </c>
      <c r="AB1754" s="87">
        <f t="shared" si="164"/>
        <v>1.9821612039912025E-3</v>
      </c>
      <c r="AC1754" s="87">
        <f t="shared" si="164"/>
        <v>1.7108644036293876E-3</v>
      </c>
      <c r="AD1754" s="87">
        <f t="shared" si="164"/>
        <v>-4.626068388782191E-3</v>
      </c>
      <c r="AE1754" s="90">
        <f t="shared" si="168"/>
        <v>1.9988807262691227E-3</v>
      </c>
    </row>
    <row r="1755" spans="1:31" ht="15.5" x14ac:dyDescent="0.35">
      <c r="A1755" s="82">
        <v>42311</v>
      </c>
      <c r="B1755" s="83">
        <v>10609.9</v>
      </c>
      <c r="C1755" s="84">
        <v>5145.1000000000004</v>
      </c>
      <c r="D1755" s="61">
        <v>741.2</v>
      </c>
      <c r="E1755" s="61">
        <v>34.700000000000003</v>
      </c>
      <c r="F1755" s="61">
        <v>120.7</v>
      </c>
      <c r="G1755" s="61">
        <v>52.9</v>
      </c>
      <c r="H1755" s="61">
        <v>7.5</v>
      </c>
      <c r="I1755" s="61">
        <v>33.1</v>
      </c>
      <c r="J1755" s="61">
        <v>20.8</v>
      </c>
      <c r="K1755" s="61">
        <v>9</v>
      </c>
      <c r="L1755" s="61">
        <v>54.5</v>
      </c>
      <c r="M1755" s="61">
        <v>50.7</v>
      </c>
      <c r="N1755" s="61">
        <v>59.4</v>
      </c>
      <c r="O1755" s="85">
        <v>65.3</v>
      </c>
      <c r="P1755" s="105"/>
      <c r="Q1755" s="87">
        <f t="shared" si="167"/>
        <v>2.8315529211439044E-3</v>
      </c>
      <c r="R1755" s="87">
        <f t="shared" si="166"/>
        <v>3.5046082481677383E-3</v>
      </c>
      <c r="S1755" s="87">
        <f t="shared" si="166"/>
        <v>1.3173273951025669E-2</v>
      </c>
      <c r="T1755" s="87">
        <f t="shared" si="165"/>
        <v>-1.1461443519006539E-2</v>
      </c>
      <c r="U1755" s="87">
        <f t="shared" si="165"/>
        <v>9.1552865869546154E-3</v>
      </c>
      <c r="V1755" s="87">
        <f t="shared" si="165"/>
        <v>5.6872191205895144E-3</v>
      </c>
      <c r="W1755" s="87">
        <f t="shared" si="162"/>
        <v>2.7028672387919419E-2</v>
      </c>
      <c r="X1755" s="87">
        <f t="shared" si="162"/>
        <v>9.104766992919287E-3</v>
      </c>
      <c r="Y1755" s="87">
        <f t="shared" si="162"/>
        <v>2.9270382300113237E-2</v>
      </c>
      <c r="Z1755" s="87">
        <f t="shared" si="162"/>
        <v>2.2472855852058576E-2</v>
      </c>
      <c r="AA1755" s="87">
        <f t="shared" si="162"/>
        <v>1.836547807301552E-3</v>
      </c>
      <c r="AB1755" s="87">
        <f t="shared" si="164"/>
        <v>3.9525743158233418E-3</v>
      </c>
      <c r="AC1755" s="87">
        <f t="shared" si="164"/>
        <v>1.5267472130788381E-2</v>
      </c>
      <c r="AD1755" s="87">
        <f t="shared" si="164"/>
        <v>9.2308347755303017E-3</v>
      </c>
      <c r="AE1755" s="90">
        <f t="shared" si="168"/>
        <v>8.647010335817145E-3</v>
      </c>
    </row>
    <row r="1756" spans="1:31" ht="15.5" x14ac:dyDescent="0.35">
      <c r="A1756" s="82">
        <v>42312</v>
      </c>
      <c r="B1756" s="83">
        <v>10564</v>
      </c>
      <c r="C1756" s="84">
        <v>5142.5</v>
      </c>
      <c r="D1756" s="61">
        <v>749.2</v>
      </c>
      <c r="E1756" s="61">
        <v>34.799999999999997</v>
      </c>
      <c r="F1756" s="61">
        <v>121.6</v>
      </c>
      <c r="G1756" s="61">
        <v>54.1</v>
      </c>
      <c r="H1756" s="61">
        <v>7.2</v>
      </c>
      <c r="I1756" s="61">
        <v>32.799999999999997</v>
      </c>
      <c r="J1756" s="61">
        <v>21.1</v>
      </c>
      <c r="K1756" s="61">
        <v>8.8000000000000007</v>
      </c>
      <c r="L1756" s="61">
        <v>55.2</v>
      </c>
      <c r="M1756" s="61">
        <v>50.3</v>
      </c>
      <c r="N1756" s="61">
        <v>58.8</v>
      </c>
      <c r="O1756" s="85">
        <v>64.900000000000006</v>
      </c>
      <c r="P1756" s="105"/>
      <c r="Q1756" s="87">
        <f t="shared" si="167"/>
        <v>-4.3355330759016824E-3</v>
      </c>
      <c r="R1756" s="87">
        <f t="shared" si="166"/>
        <v>-5.0546289812150613E-4</v>
      </c>
      <c r="S1756" s="87">
        <f t="shared" si="166"/>
        <v>1.0735476158728824E-2</v>
      </c>
      <c r="T1756" s="87">
        <f t="shared" si="165"/>
        <v>2.877699827614974E-3</v>
      </c>
      <c r="U1756" s="87">
        <f t="shared" si="165"/>
        <v>7.4288414285806365E-3</v>
      </c>
      <c r="V1756" s="87">
        <f t="shared" si="165"/>
        <v>2.2430846988182134E-2</v>
      </c>
      <c r="W1756" s="87">
        <f t="shared" si="165"/>
        <v>-4.0821994520255048E-2</v>
      </c>
      <c r="X1756" s="87">
        <f t="shared" si="165"/>
        <v>-9.1047669929193165E-3</v>
      </c>
      <c r="Y1756" s="87">
        <f t="shared" si="165"/>
        <v>1.4320053774748471E-2</v>
      </c>
      <c r="Z1756" s="87">
        <f t="shared" si="165"/>
        <v>-2.2472855852058514E-2</v>
      </c>
      <c r="AA1756" s="87">
        <f t="shared" si="165"/>
        <v>1.2762251613851291E-2</v>
      </c>
      <c r="AB1756" s="87">
        <f t="shared" si="164"/>
        <v>-7.9208334914441098E-3</v>
      </c>
      <c r="AC1756" s="87">
        <f t="shared" si="164"/>
        <v>-1.0152371464018073E-2</v>
      </c>
      <c r="AD1756" s="87">
        <f t="shared" si="164"/>
        <v>-6.1444125723409855E-3</v>
      </c>
      <c r="AE1756" s="90">
        <f t="shared" si="168"/>
        <v>4.3688050429937196E-3</v>
      </c>
    </row>
    <row r="1757" spans="1:31" ht="15.5" x14ac:dyDescent="0.35">
      <c r="A1757" s="82">
        <v>42313</v>
      </c>
      <c r="B1757" s="83">
        <v>10548.4</v>
      </c>
      <c r="C1757" s="84">
        <v>5127.7</v>
      </c>
      <c r="D1757" s="61">
        <v>757.5</v>
      </c>
      <c r="E1757" s="61">
        <v>34.200000000000003</v>
      </c>
      <c r="F1757" s="61">
        <v>120.2</v>
      </c>
      <c r="G1757" s="61">
        <v>54</v>
      </c>
      <c r="H1757" s="61">
        <v>7.1</v>
      </c>
      <c r="I1757" s="61">
        <v>32.700000000000003</v>
      </c>
      <c r="J1757" s="61">
        <v>20.8</v>
      </c>
      <c r="K1757" s="61">
        <v>8.6</v>
      </c>
      <c r="L1757" s="61">
        <v>54.7</v>
      </c>
      <c r="M1757" s="61">
        <v>49</v>
      </c>
      <c r="N1757" s="61">
        <v>58.6</v>
      </c>
      <c r="O1757" s="85">
        <v>65.2</v>
      </c>
      <c r="P1757" s="105"/>
      <c r="Q1757" s="87">
        <f t="shared" si="167"/>
        <v>-1.4778047819365824E-3</v>
      </c>
      <c r="R1757" s="87">
        <f t="shared" si="166"/>
        <v>-2.8821269780285796E-3</v>
      </c>
      <c r="S1757" s="87">
        <f t="shared" si="166"/>
        <v>1.1017566813590715E-2</v>
      </c>
      <c r="T1757" s="87">
        <f t="shared" si="165"/>
        <v>-1.7391742711868996E-2</v>
      </c>
      <c r="U1757" s="87">
        <f t="shared" si="165"/>
        <v>-1.157994743095931E-2</v>
      </c>
      <c r="V1757" s="87">
        <f t="shared" si="165"/>
        <v>-1.8501392881614773E-3</v>
      </c>
      <c r="W1757" s="87">
        <f t="shared" si="165"/>
        <v>-1.3986241974739952E-2</v>
      </c>
      <c r="X1757" s="87">
        <f t="shared" si="165"/>
        <v>-3.0534374868901202E-3</v>
      </c>
      <c r="Y1757" s="87">
        <f t="shared" si="165"/>
        <v>-1.4320053774748558E-2</v>
      </c>
      <c r="Z1757" s="87">
        <f t="shared" si="165"/>
        <v>-2.2989518224698833E-2</v>
      </c>
      <c r="AA1757" s="87">
        <f t="shared" si="165"/>
        <v>-9.0992438551141461E-3</v>
      </c>
      <c r="AB1757" s="87">
        <f t="shared" si="164"/>
        <v>-2.618477899506691E-2</v>
      </c>
      <c r="AC1757" s="87">
        <f t="shared" si="164"/>
        <v>-3.4071583216141975E-3</v>
      </c>
      <c r="AD1757" s="87">
        <f t="shared" si="164"/>
        <v>4.6118452225628456E-3</v>
      </c>
      <c r="AE1757" s="90">
        <f t="shared" si="168"/>
        <v>-3.8895871149777098E-4</v>
      </c>
    </row>
    <row r="1758" spans="1:31" ht="15.5" x14ac:dyDescent="0.35">
      <c r="A1758" s="82">
        <v>42314</v>
      </c>
      <c r="B1758" s="83">
        <v>10513.4</v>
      </c>
      <c r="C1758" s="84">
        <v>5147.1000000000004</v>
      </c>
      <c r="D1758" s="61">
        <v>755</v>
      </c>
      <c r="E1758" s="61">
        <v>33.5</v>
      </c>
      <c r="F1758" s="61">
        <v>120.6</v>
      </c>
      <c r="G1758" s="61">
        <v>54</v>
      </c>
      <c r="H1758" s="61">
        <v>7.4</v>
      </c>
      <c r="I1758" s="61">
        <v>32.6</v>
      </c>
      <c r="J1758" s="61">
        <v>20.2</v>
      </c>
      <c r="K1758" s="61">
        <v>8.6</v>
      </c>
      <c r="L1758" s="61">
        <v>54</v>
      </c>
      <c r="M1758" s="61">
        <v>51.2</v>
      </c>
      <c r="N1758" s="61">
        <v>57.9</v>
      </c>
      <c r="O1758" s="85">
        <v>65.7</v>
      </c>
      <c r="P1758" s="105"/>
      <c r="Q1758" s="87">
        <f t="shared" si="167"/>
        <v>-3.3235556521815095E-3</v>
      </c>
      <c r="R1758" s="87">
        <f t="shared" si="166"/>
        <v>3.7762337084063452E-3</v>
      </c>
      <c r="S1758" s="87">
        <f t="shared" si="166"/>
        <v>-3.3057881344995439E-3</v>
      </c>
      <c r="T1758" s="87">
        <f t="shared" si="165"/>
        <v>-2.0680205237538746E-2</v>
      </c>
      <c r="U1758" s="87">
        <f t="shared" si="165"/>
        <v>3.3222621919778601E-3</v>
      </c>
      <c r="V1758" s="87">
        <f t="shared" si="165"/>
        <v>0</v>
      </c>
      <c r="W1758" s="87">
        <f t="shared" si="165"/>
        <v>4.1385216162854489E-2</v>
      </c>
      <c r="X1758" s="87">
        <f t="shared" si="165"/>
        <v>-3.0627895305457668E-3</v>
      </c>
      <c r="Y1758" s="87">
        <f t="shared" si="165"/>
        <v>-2.9270382300113338E-2</v>
      </c>
      <c r="Z1758" s="87">
        <f t="shared" si="165"/>
        <v>0</v>
      </c>
      <c r="AA1758" s="87">
        <f t="shared" si="165"/>
        <v>-1.2879662863661139E-2</v>
      </c>
      <c r="AB1758" s="87">
        <f t="shared" si="164"/>
        <v>4.3919233934835579E-2</v>
      </c>
      <c r="AC1758" s="87">
        <f t="shared" si="164"/>
        <v>-1.201731200401744E-2</v>
      </c>
      <c r="AD1758" s="87">
        <f t="shared" si="164"/>
        <v>7.6394565579576256E-3</v>
      </c>
      <c r="AE1758" s="90">
        <f t="shared" si="168"/>
        <v>2.0426301932526527E-3</v>
      </c>
    </row>
    <row r="1759" spans="1:31" ht="15.5" x14ac:dyDescent="0.35">
      <c r="A1759" s="82">
        <v>42317</v>
      </c>
      <c r="B1759" s="83">
        <v>10415.200000000001</v>
      </c>
      <c r="C1759" s="84">
        <v>5095.3</v>
      </c>
      <c r="D1759" s="61">
        <v>749.1</v>
      </c>
      <c r="E1759" s="61">
        <v>33.1</v>
      </c>
      <c r="F1759" s="61">
        <v>120.1</v>
      </c>
      <c r="G1759" s="61">
        <v>53.6</v>
      </c>
      <c r="H1759" s="61">
        <v>7.5</v>
      </c>
      <c r="I1759" s="61">
        <v>32.4</v>
      </c>
      <c r="J1759" s="61">
        <v>20.3</v>
      </c>
      <c r="K1759" s="61">
        <v>8.1999999999999993</v>
      </c>
      <c r="L1759" s="61">
        <v>53.7</v>
      </c>
      <c r="M1759" s="61">
        <v>50.5</v>
      </c>
      <c r="N1759" s="61">
        <v>56.6</v>
      </c>
      <c r="O1759" s="85">
        <v>64.599999999999994</v>
      </c>
      <c r="P1759" s="105"/>
      <c r="Q1759" s="87">
        <f t="shared" si="167"/>
        <v>-9.3843563997172957E-3</v>
      </c>
      <c r="R1759" s="87">
        <f t="shared" si="166"/>
        <v>-1.0114903077964419E-2</v>
      </c>
      <c r="S1759" s="87">
        <f t="shared" si="166"/>
        <v>-7.845263295187423E-3</v>
      </c>
      <c r="T1759" s="87">
        <f t="shared" si="165"/>
        <v>-1.2012156448003545E-2</v>
      </c>
      <c r="U1759" s="87">
        <f t="shared" si="165"/>
        <v>-4.154555207147248E-3</v>
      </c>
      <c r="V1759" s="87">
        <f t="shared" si="165"/>
        <v>-7.4349784875180902E-3</v>
      </c>
      <c r="W1759" s="87">
        <f t="shared" si="165"/>
        <v>1.342302033214055E-2</v>
      </c>
      <c r="X1759" s="87">
        <f t="shared" si="165"/>
        <v>-6.1538655743783354E-3</v>
      </c>
      <c r="Y1759" s="87">
        <f t="shared" si="165"/>
        <v>4.9382816405825767E-3</v>
      </c>
      <c r="Z1759" s="87">
        <f t="shared" si="165"/>
        <v>-4.7628048989254705E-2</v>
      </c>
      <c r="AA1759" s="87">
        <f t="shared" si="165"/>
        <v>-5.5710450494553601E-3</v>
      </c>
      <c r="AB1759" s="87">
        <f t="shared" si="164"/>
        <v>-1.3766195764147959E-2</v>
      </c>
      <c r="AC1759" s="87">
        <f t="shared" si="164"/>
        <v>-2.270839936981224E-2</v>
      </c>
      <c r="AD1759" s="87">
        <f t="shared" si="164"/>
        <v>-1.6884514702008829E-2</v>
      </c>
      <c r="AE1759" s="90">
        <f t="shared" si="168"/>
        <v>-8.5689724917621547E-3</v>
      </c>
    </row>
    <row r="1760" spans="1:31" ht="15.5" x14ac:dyDescent="0.35">
      <c r="A1760" s="82">
        <v>42318</v>
      </c>
      <c r="B1760" s="83">
        <v>10432.299999999999</v>
      </c>
      <c r="C1760" s="84">
        <v>5083.2</v>
      </c>
      <c r="D1760" s="61">
        <v>748.4</v>
      </c>
      <c r="E1760" s="61">
        <v>33.299999999999997</v>
      </c>
      <c r="F1760" s="61">
        <v>116.1</v>
      </c>
      <c r="G1760" s="61">
        <v>53.3</v>
      </c>
      <c r="H1760" s="61">
        <v>7.5</v>
      </c>
      <c r="I1760" s="61">
        <v>31.8</v>
      </c>
      <c r="J1760" s="61">
        <v>20.2</v>
      </c>
      <c r="K1760" s="61">
        <v>8.4</v>
      </c>
      <c r="L1760" s="61">
        <v>54</v>
      </c>
      <c r="M1760" s="61">
        <v>50.2</v>
      </c>
      <c r="N1760" s="61">
        <v>56.6</v>
      </c>
      <c r="O1760" s="85">
        <v>64.8</v>
      </c>
      <c r="P1760" s="105"/>
      <c r="Q1760" s="87">
        <f t="shared" si="167"/>
        <v>1.6404848384644996E-3</v>
      </c>
      <c r="R1760" s="87">
        <f t="shared" si="166"/>
        <v>-2.3775616642739009E-3</v>
      </c>
      <c r="S1760" s="87">
        <f t="shared" si="166"/>
        <v>-9.3489155390275394E-4</v>
      </c>
      <c r="T1760" s="87">
        <f t="shared" si="165"/>
        <v>6.0241146033808762E-3</v>
      </c>
      <c r="U1760" s="87">
        <f t="shared" si="165"/>
        <v>-3.3872840382092026E-2</v>
      </c>
      <c r="V1760" s="87">
        <f t="shared" si="165"/>
        <v>-5.6127369049575482E-3</v>
      </c>
      <c r="W1760" s="87">
        <f t="shared" si="165"/>
        <v>0</v>
      </c>
      <c r="X1760" s="87">
        <f t="shared" si="165"/>
        <v>-1.8692133012152522E-2</v>
      </c>
      <c r="Y1760" s="87">
        <f t="shared" si="165"/>
        <v>-4.9382816405826773E-3</v>
      </c>
      <c r="Z1760" s="87">
        <f t="shared" si="165"/>
        <v>2.4097551579060524E-2</v>
      </c>
      <c r="AA1760" s="87">
        <f t="shared" si="165"/>
        <v>5.5710450494554295E-3</v>
      </c>
      <c r="AB1760" s="87">
        <f t="shared" si="164"/>
        <v>-5.9583095836305234E-3</v>
      </c>
      <c r="AC1760" s="87">
        <f t="shared" si="164"/>
        <v>0</v>
      </c>
      <c r="AD1760" s="87">
        <f t="shared" si="164"/>
        <v>3.0911925696728796E-3</v>
      </c>
      <c r="AE1760" s="90">
        <f t="shared" si="168"/>
        <v>-1.0296207921463045E-2</v>
      </c>
    </row>
    <row r="1761" spans="1:31" ht="15.5" x14ac:dyDescent="0.35">
      <c r="A1761" s="82">
        <v>42319</v>
      </c>
      <c r="B1761" s="83">
        <v>10399.9</v>
      </c>
      <c r="C1761" s="84">
        <v>5067</v>
      </c>
      <c r="D1761" s="61">
        <v>759.8</v>
      </c>
      <c r="E1761" s="61">
        <v>33</v>
      </c>
      <c r="F1761" s="61">
        <v>115.2</v>
      </c>
      <c r="G1761" s="61">
        <v>53.5</v>
      </c>
      <c r="H1761" s="61">
        <v>7.6</v>
      </c>
      <c r="I1761" s="61">
        <v>32.4</v>
      </c>
      <c r="J1761" s="61">
        <v>19.8</v>
      </c>
      <c r="K1761" s="61">
        <v>8.1999999999999993</v>
      </c>
      <c r="L1761" s="61">
        <v>53.7</v>
      </c>
      <c r="M1761" s="61">
        <v>50.2</v>
      </c>
      <c r="N1761" s="61">
        <v>57.6</v>
      </c>
      <c r="O1761" s="85">
        <v>63.6</v>
      </c>
      <c r="P1761" s="105"/>
      <c r="Q1761" s="87">
        <f t="shared" si="167"/>
        <v>-3.1105717230314155E-3</v>
      </c>
      <c r="R1761" s="87">
        <f t="shared" si="166"/>
        <v>-3.192058039341898E-3</v>
      </c>
      <c r="S1761" s="87">
        <f t="shared" si="166"/>
        <v>1.5117646353590712E-2</v>
      </c>
      <c r="T1761" s="87">
        <f t="shared" si="165"/>
        <v>-9.0498355199178145E-3</v>
      </c>
      <c r="U1761" s="87">
        <f t="shared" si="165"/>
        <v>-7.7821404420548509E-3</v>
      </c>
      <c r="V1761" s="87">
        <f t="shared" si="165"/>
        <v>3.7453227301621132E-3</v>
      </c>
      <c r="W1761" s="87">
        <f t="shared" si="165"/>
        <v>1.3245226750020505E-2</v>
      </c>
      <c r="X1761" s="87">
        <f t="shared" si="165"/>
        <v>1.8692133012152546E-2</v>
      </c>
      <c r="Y1761" s="87">
        <f t="shared" si="165"/>
        <v>-2.0000666706669428E-2</v>
      </c>
      <c r="Z1761" s="87">
        <f t="shared" si="165"/>
        <v>-2.4097551579060641E-2</v>
      </c>
      <c r="AA1761" s="87">
        <f t="shared" si="165"/>
        <v>-5.5710450494553601E-3</v>
      </c>
      <c r="AB1761" s="87">
        <f t="shared" si="164"/>
        <v>0</v>
      </c>
      <c r="AC1761" s="87">
        <f t="shared" si="164"/>
        <v>1.7513582492708211E-2</v>
      </c>
      <c r="AD1761" s="87">
        <f t="shared" si="164"/>
        <v>-1.8692133012152522E-2</v>
      </c>
      <c r="AE1761" s="90">
        <f t="shared" si="168"/>
        <v>-1.0281199357156617E-3</v>
      </c>
    </row>
    <row r="1762" spans="1:31" ht="15.5" x14ac:dyDescent="0.35">
      <c r="A1762" s="82">
        <v>42320</v>
      </c>
      <c r="B1762" s="83">
        <v>10236</v>
      </c>
      <c r="C1762" s="84">
        <v>5005.1000000000004</v>
      </c>
      <c r="D1762" s="61">
        <v>755.9</v>
      </c>
      <c r="E1762" s="61">
        <v>33.1</v>
      </c>
      <c r="F1762" s="61">
        <v>115.7</v>
      </c>
      <c r="G1762" s="61">
        <v>53.2</v>
      </c>
      <c r="H1762" s="61">
        <v>7.3</v>
      </c>
      <c r="I1762" s="61">
        <v>32.200000000000003</v>
      </c>
      <c r="J1762" s="61">
        <v>19.7</v>
      </c>
      <c r="K1762" s="61">
        <v>8.6</v>
      </c>
      <c r="L1762" s="61">
        <v>53</v>
      </c>
      <c r="M1762" s="61">
        <v>49.4</v>
      </c>
      <c r="N1762" s="61">
        <v>57</v>
      </c>
      <c r="O1762" s="85">
        <v>62.7</v>
      </c>
      <c r="P1762" s="105"/>
      <c r="Q1762" s="87">
        <f t="shared" si="167"/>
        <v>-1.5885272418941027E-2</v>
      </c>
      <c r="R1762" s="87">
        <f t="shared" si="166"/>
        <v>-1.2291533906206683E-2</v>
      </c>
      <c r="S1762" s="87">
        <f t="shared" si="166"/>
        <v>-5.1461484553941336E-3</v>
      </c>
      <c r="T1762" s="87">
        <f t="shared" si="165"/>
        <v>3.0257209165371114E-3</v>
      </c>
      <c r="U1762" s="87">
        <f t="shared" si="165"/>
        <v>4.3308859378399277E-3</v>
      </c>
      <c r="V1762" s="87">
        <f t="shared" si="165"/>
        <v>-5.62325755436212E-3</v>
      </c>
      <c r="W1762" s="87">
        <f t="shared" si="165"/>
        <v>-4.027389913793996E-2</v>
      </c>
      <c r="X1762" s="87">
        <f t="shared" si="165"/>
        <v>-6.1919702479209951E-3</v>
      </c>
      <c r="Y1762" s="87">
        <f t="shared" si="165"/>
        <v>-5.063301956546762E-3</v>
      </c>
      <c r="Z1762" s="87">
        <f t="shared" si="165"/>
        <v>4.7628048989254664E-2</v>
      </c>
      <c r="AA1762" s="87">
        <f t="shared" si="165"/>
        <v>-1.3121087962697212E-2</v>
      </c>
      <c r="AB1762" s="87">
        <f t="shared" si="164"/>
        <v>-1.6064602503806789E-2</v>
      </c>
      <c r="AC1762" s="87">
        <f t="shared" si="164"/>
        <v>-1.0471299867295478E-2</v>
      </c>
      <c r="AD1762" s="87">
        <f t="shared" si="164"/>
        <v>-1.4252022707201389E-2</v>
      </c>
      <c r="AE1762" s="90">
        <f t="shared" si="168"/>
        <v>-5.6849170860444496E-3</v>
      </c>
    </row>
    <row r="1763" spans="1:31" ht="15.5" x14ac:dyDescent="0.35">
      <c r="A1763" s="82">
        <v>42321</v>
      </c>
      <c r="B1763" s="83">
        <v>10155.1</v>
      </c>
      <c r="C1763" s="84">
        <v>4927.8999999999996</v>
      </c>
      <c r="D1763" s="61">
        <v>739.5</v>
      </c>
      <c r="E1763" s="61">
        <v>32.200000000000003</v>
      </c>
      <c r="F1763" s="61">
        <v>112.3</v>
      </c>
      <c r="G1763" s="61">
        <v>52.5</v>
      </c>
      <c r="H1763" s="61">
        <v>7.2</v>
      </c>
      <c r="I1763" s="61">
        <v>31.7</v>
      </c>
      <c r="J1763" s="61">
        <v>19.8</v>
      </c>
      <c r="K1763" s="61">
        <v>7.2</v>
      </c>
      <c r="L1763" s="61">
        <v>52.9</v>
      </c>
      <c r="M1763" s="61">
        <v>49.1</v>
      </c>
      <c r="N1763" s="61">
        <v>55.5</v>
      </c>
      <c r="O1763" s="85">
        <v>60.6</v>
      </c>
      <c r="P1763" s="105"/>
      <c r="Q1763" s="87">
        <f t="shared" si="167"/>
        <v>-7.9348759478496296E-3</v>
      </c>
      <c r="R1763" s="87">
        <f t="shared" si="166"/>
        <v>-1.5544458770029286E-2</v>
      </c>
      <c r="S1763" s="87">
        <f t="shared" si="166"/>
        <v>-2.1934810147276555E-2</v>
      </c>
      <c r="T1763" s="87">
        <f t="shared" si="165"/>
        <v>-2.7566829832654592E-2</v>
      </c>
      <c r="U1763" s="87">
        <f t="shared" si="165"/>
        <v>-2.9826772455233425E-2</v>
      </c>
      <c r="V1763" s="87">
        <f t="shared" si="165"/>
        <v>-1.324522675002068E-2</v>
      </c>
      <c r="W1763" s="87">
        <f t="shared" si="165"/>
        <v>-1.3793322132335761E-2</v>
      </c>
      <c r="X1763" s="87">
        <f t="shared" si="165"/>
        <v>-1.5649771667127776E-2</v>
      </c>
      <c r="Y1763" s="87">
        <f t="shared" si="165"/>
        <v>5.0633019565468548E-3</v>
      </c>
      <c r="Z1763" s="87">
        <f t="shared" si="165"/>
        <v>-0.17768117723745236</v>
      </c>
      <c r="AA1763" s="87">
        <f t="shared" si="165"/>
        <v>-1.8885746878681362E-3</v>
      </c>
      <c r="AB1763" s="87">
        <f t="shared" si="164"/>
        <v>-6.0913893934018172E-3</v>
      </c>
      <c r="AC1763" s="87">
        <f t="shared" si="164"/>
        <v>-2.6668247082161294E-2</v>
      </c>
      <c r="AD1763" s="87">
        <f t="shared" si="164"/>
        <v>-3.4066554563606306E-2</v>
      </c>
      <c r="AE1763" s="90">
        <f t="shared" si="168"/>
        <v>-2.375052337989287E-2</v>
      </c>
    </row>
    <row r="1764" spans="1:31" ht="15.5" x14ac:dyDescent="0.35">
      <c r="A1764" s="82">
        <v>42324</v>
      </c>
      <c r="B1764" s="83">
        <v>10299.4</v>
      </c>
      <c r="C1764" s="84">
        <v>4984.6000000000004</v>
      </c>
      <c r="D1764" s="61">
        <v>734.3</v>
      </c>
      <c r="E1764" s="61">
        <v>32.1</v>
      </c>
      <c r="F1764" s="61">
        <v>111</v>
      </c>
      <c r="G1764" s="61">
        <v>52.9</v>
      </c>
      <c r="H1764" s="61">
        <v>7</v>
      </c>
      <c r="I1764" s="61">
        <v>31.8</v>
      </c>
      <c r="J1764" s="61">
        <v>20.100000000000001</v>
      </c>
      <c r="K1764" s="61">
        <v>7.2</v>
      </c>
      <c r="L1764" s="61">
        <v>52.1</v>
      </c>
      <c r="M1764" s="61">
        <v>49.6</v>
      </c>
      <c r="N1764" s="61">
        <v>55.4</v>
      </c>
      <c r="O1764" s="85">
        <v>60.7</v>
      </c>
      <c r="P1764" s="105"/>
      <c r="Q1764" s="87">
        <f t="shared" si="167"/>
        <v>1.4109598761974354E-2</v>
      </c>
      <c r="R1764" s="87">
        <f t="shared" si="166"/>
        <v>1.1440225654639591E-2</v>
      </c>
      <c r="S1764" s="87">
        <f t="shared" si="166"/>
        <v>-7.0566176932897488E-3</v>
      </c>
      <c r="T1764" s="87">
        <f t="shared" si="165"/>
        <v>-3.1104224143925024E-3</v>
      </c>
      <c r="U1764" s="87">
        <f t="shared" si="165"/>
        <v>-1.1643660432063345E-2</v>
      </c>
      <c r="V1764" s="87">
        <f t="shared" si="165"/>
        <v>7.5901692666756528E-3</v>
      </c>
      <c r="W1764" s="87">
        <f t="shared" si="165"/>
        <v>-2.8170876966696335E-2</v>
      </c>
      <c r="X1764" s="87">
        <f t="shared" si="165"/>
        <v>3.1496089028962013E-3</v>
      </c>
      <c r="Y1764" s="87">
        <f t="shared" si="165"/>
        <v>1.5037877364540502E-2</v>
      </c>
      <c r="Z1764" s="87">
        <f t="shared" si="165"/>
        <v>0</v>
      </c>
      <c r="AA1764" s="87">
        <f t="shared" si="165"/>
        <v>-1.5238390104932385E-2</v>
      </c>
      <c r="AB1764" s="87">
        <f t="shared" si="164"/>
        <v>1.0131798930406955E-2</v>
      </c>
      <c r="AC1764" s="87">
        <f t="shared" si="164"/>
        <v>-1.8034269991506827E-3</v>
      </c>
      <c r="AD1764" s="87">
        <f t="shared" si="164"/>
        <v>1.6488049901838859E-3</v>
      </c>
      <c r="AE1764" s="90">
        <f t="shared" si="168"/>
        <v>-1.7657018004371065E-3</v>
      </c>
    </row>
    <row r="1765" spans="1:31" ht="15.5" x14ac:dyDescent="0.35">
      <c r="A1765" s="82">
        <v>42325</v>
      </c>
      <c r="B1765" s="83">
        <v>10285.799999999999</v>
      </c>
      <c r="C1765" s="84">
        <v>4986</v>
      </c>
      <c r="D1765" s="61">
        <v>744.1</v>
      </c>
      <c r="E1765" s="61">
        <v>32.6</v>
      </c>
      <c r="F1765" s="61">
        <v>113.3</v>
      </c>
      <c r="G1765" s="61">
        <v>52.9</v>
      </c>
      <c r="H1765" s="61">
        <v>7.1</v>
      </c>
      <c r="I1765" s="61">
        <v>32.4</v>
      </c>
      <c r="J1765" s="61">
        <v>20.100000000000001</v>
      </c>
      <c r="K1765" s="61">
        <v>7.4</v>
      </c>
      <c r="L1765" s="61">
        <v>53.3</v>
      </c>
      <c r="M1765" s="61">
        <v>50.1</v>
      </c>
      <c r="N1765" s="61">
        <v>54.1</v>
      </c>
      <c r="O1765" s="85">
        <v>60.2</v>
      </c>
      <c r="P1765" s="105"/>
      <c r="Q1765" s="87">
        <f t="shared" si="167"/>
        <v>-1.3213378523137852E-3</v>
      </c>
      <c r="R1765" s="87">
        <f t="shared" si="166"/>
        <v>2.8082562918978156E-4</v>
      </c>
      <c r="S1765" s="87">
        <f t="shared" si="166"/>
        <v>1.3257769945650937E-2</v>
      </c>
      <c r="T1765" s="87">
        <f t="shared" si="165"/>
        <v>1.5456258236691672E-2</v>
      </c>
      <c r="U1765" s="87">
        <f t="shared" si="165"/>
        <v>2.0508966721626505E-2</v>
      </c>
      <c r="V1765" s="87">
        <f t="shared" si="165"/>
        <v>0</v>
      </c>
      <c r="W1765" s="87">
        <f t="shared" si="165"/>
        <v>1.4184634991956381E-2</v>
      </c>
      <c r="X1765" s="87">
        <f t="shared" si="165"/>
        <v>1.8692133012152546E-2</v>
      </c>
      <c r="Y1765" s="87">
        <f t="shared" si="165"/>
        <v>0</v>
      </c>
      <c r="Z1765" s="87">
        <f t="shared" si="165"/>
        <v>2.7398974188114562E-2</v>
      </c>
      <c r="AA1765" s="87">
        <f t="shared" si="165"/>
        <v>2.2771382412477597E-2</v>
      </c>
      <c r="AB1765" s="87">
        <f t="shared" si="164"/>
        <v>1.0030174359937251E-2</v>
      </c>
      <c r="AC1765" s="87">
        <f t="shared" si="164"/>
        <v>-2.3745407900802287E-2</v>
      </c>
      <c r="AD1765" s="87">
        <f t="shared" si="164"/>
        <v>-8.2713457506771934E-3</v>
      </c>
      <c r="AE1765" s="90">
        <f t="shared" si="168"/>
        <v>8.8245234394243085E-3</v>
      </c>
    </row>
    <row r="1766" spans="1:31" ht="15.5" x14ac:dyDescent="0.35">
      <c r="A1766" s="82">
        <v>42326</v>
      </c>
      <c r="B1766" s="83">
        <v>10429.6</v>
      </c>
      <c r="C1766" s="84">
        <v>5075.2</v>
      </c>
      <c r="D1766" s="61">
        <v>747.4</v>
      </c>
      <c r="E1766" s="61">
        <v>32.299999999999997</v>
      </c>
      <c r="F1766" s="61">
        <v>115.5</v>
      </c>
      <c r="G1766" s="61">
        <v>53</v>
      </c>
      <c r="H1766" s="61">
        <v>7.3</v>
      </c>
      <c r="I1766" s="61">
        <v>32.4</v>
      </c>
      <c r="J1766" s="61">
        <v>20.100000000000001</v>
      </c>
      <c r="K1766" s="61">
        <v>7.4</v>
      </c>
      <c r="L1766" s="61">
        <v>53.7</v>
      </c>
      <c r="M1766" s="61">
        <v>50.5</v>
      </c>
      <c r="N1766" s="61">
        <v>54.4</v>
      </c>
      <c r="O1766" s="85">
        <v>61.3</v>
      </c>
      <c r="P1766" s="105"/>
      <c r="Q1766" s="87">
        <f t="shared" si="167"/>
        <v>1.3883614107078803E-2</v>
      </c>
      <c r="R1766" s="87">
        <f t="shared" si="166"/>
        <v>1.7731947916970827E-2</v>
      </c>
      <c r="S1766" s="87">
        <f t="shared" si="166"/>
        <v>4.4250826481679571E-3</v>
      </c>
      <c r="T1766" s="87">
        <f t="shared" si="165"/>
        <v>-9.2450581440512731E-3</v>
      </c>
      <c r="U1766" s="87">
        <f t="shared" si="165"/>
        <v>1.9231361927887592E-2</v>
      </c>
      <c r="V1766" s="87">
        <f t="shared" si="165"/>
        <v>1.8885746878681546E-3</v>
      </c>
      <c r="W1766" s="87">
        <f t="shared" si="165"/>
        <v>2.7779564107075671E-2</v>
      </c>
      <c r="X1766" s="87">
        <f t="shared" si="165"/>
        <v>0</v>
      </c>
      <c r="Y1766" s="87">
        <f t="shared" si="165"/>
        <v>0</v>
      </c>
      <c r="Z1766" s="87">
        <f t="shared" si="165"/>
        <v>0</v>
      </c>
      <c r="AA1766" s="87">
        <f t="shared" si="165"/>
        <v>7.4766703430203573E-3</v>
      </c>
      <c r="AB1766" s="87">
        <f t="shared" si="164"/>
        <v>7.9523281904950154E-3</v>
      </c>
      <c r="AC1766" s="87">
        <f t="shared" si="164"/>
        <v>5.5299680094609551E-3</v>
      </c>
      <c r="AD1766" s="87">
        <f t="shared" si="164"/>
        <v>1.8107490627390206E-2</v>
      </c>
      <c r="AE1766" s="90">
        <f t="shared" si="168"/>
        <v>1.4310559852553943E-2</v>
      </c>
    </row>
    <row r="1767" spans="1:31" ht="15.5" x14ac:dyDescent="0.35">
      <c r="A1767" s="82">
        <v>42327</v>
      </c>
      <c r="B1767" s="83">
        <v>10431.5</v>
      </c>
      <c r="C1767" s="84">
        <v>5073.6000000000004</v>
      </c>
      <c r="D1767" s="61">
        <v>757.2</v>
      </c>
      <c r="E1767" s="61">
        <v>32.6</v>
      </c>
      <c r="F1767" s="61">
        <v>116.8</v>
      </c>
      <c r="G1767" s="61">
        <v>53.8</v>
      </c>
      <c r="H1767" s="61">
        <v>7.3</v>
      </c>
      <c r="I1767" s="61">
        <v>33.299999999999997</v>
      </c>
      <c r="J1767" s="61">
        <v>20.5</v>
      </c>
      <c r="K1767" s="61">
        <v>7.5</v>
      </c>
      <c r="L1767" s="61">
        <v>53.9</v>
      </c>
      <c r="M1767" s="61">
        <v>50.4</v>
      </c>
      <c r="N1767" s="61">
        <v>54.7</v>
      </c>
      <c r="O1767" s="85">
        <v>62.7</v>
      </c>
      <c r="P1767" s="105"/>
      <c r="Q1767" s="87">
        <f t="shared" si="167"/>
        <v>1.8215722135961999E-4</v>
      </c>
      <c r="R1767" s="87">
        <f t="shared" si="166"/>
        <v>-3.1530821639112066E-4</v>
      </c>
      <c r="S1767" s="87">
        <f t="shared" si="166"/>
        <v>1.3026902283784411E-2</v>
      </c>
      <c r="T1767" s="87">
        <f t="shared" si="165"/>
        <v>9.2450581440512089E-3</v>
      </c>
      <c r="U1767" s="87">
        <f t="shared" si="165"/>
        <v>1.1192540432278492E-2</v>
      </c>
      <c r="V1767" s="87">
        <f t="shared" si="165"/>
        <v>1.4981553615616894E-2</v>
      </c>
      <c r="W1767" s="87">
        <f t="shared" si="165"/>
        <v>0</v>
      </c>
      <c r="X1767" s="87">
        <f t="shared" si="165"/>
        <v>2.7398974188114347E-2</v>
      </c>
      <c r="Y1767" s="87">
        <f t="shared" si="165"/>
        <v>1.9705071079332337E-2</v>
      </c>
      <c r="Z1767" s="87">
        <f t="shared" si="165"/>
        <v>1.342302033214055E-2</v>
      </c>
      <c r="AA1767" s="87">
        <f t="shared" si="165"/>
        <v>3.7174764001323521E-3</v>
      </c>
      <c r="AB1767" s="87">
        <f t="shared" si="164"/>
        <v>-1.9821612039912112E-3</v>
      </c>
      <c r="AC1767" s="87">
        <f t="shared" si="164"/>
        <v>5.4995555660386697E-3</v>
      </c>
      <c r="AD1767" s="87">
        <f t="shared" si="164"/>
        <v>2.2581604696709313E-2</v>
      </c>
      <c r="AE1767" s="90">
        <f t="shared" si="168"/>
        <v>9.6644365582659753E-3</v>
      </c>
    </row>
    <row r="1768" spans="1:31" ht="15.5" x14ac:dyDescent="0.35">
      <c r="A1768" s="82">
        <v>42328</v>
      </c>
      <c r="B1768" s="83">
        <v>10444.200000000001</v>
      </c>
      <c r="C1768" s="84">
        <v>5104.8999999999996</v>
      </c>
      <c r="D1768" s="61">
        <v>764.1</v>
      </c>
      <c r="E1768" s="61">
        <v>32.700000000000003</v>
      </c>
      <c r="F1768" s="61">
        <v>118.9</v>
      </c>
      <c r="G1768" s="61">
        <v>53.3</v>
      </c>
      <c r="H1768" s="61">
        <v>7.3</v>
      </c>
      <c r="I1768" s="61">
        <v>33.799999999999997</v>
      </c>
      <c r="J1768" s="61">
        <v>19.899999999999999</v>
      </c>
      <c r="K1768" s="61">
        <v>7.7</v>
      </c>
      <c r="L1768" s="61">
        <v>54</v>
      </c>
      <c r="M1768" s="61">
        <v>50.9</v>
      </c>
      <c r="N1768" s="61">
        <v>55.1</v>
      </c>
      <c r="O1768" s="85">
        <v>65.2</v>
      </c>
      <c r="P1768" s="105"/>
      <c r="Q1768" s="87">
        <f t="shared" si="167"/>
        <v>1.216725816789986E-3</v>
      </c>
      <c r="R1768" s="87">
        <f t="shared" si="166"/>
        <v>6.1502379842334459E-3</v>
      </c>
      <c r="S1768" s="87">
        <f t="shared" si="166"/>
        <v>9.0712513183531952E-3</v>
      </c>
      <c r="T1768" s="87">
        <f t="shared" si="165"/>
        <v>3.0627895305457308E-3</v>
      </c>
      <c r="U1768" s="87">
        <f t="shared" si="165"/>
        <v>1.7819733302609615E-2</v>
      </c>
      <c r="V1768" s="87">
        <f t="shared" si="165"/>
        <v>-9.3371359959398496E-3</v>
      </c>
      <c r="W1768" s="87">
        <f t="shared" si="165"/>
        <v>0</v>
      </c>
      <c r="X1768" s="87">
        <f t="shared" si="165"/>
        <v>1.4903405502574948E-2</v>
      </c>
      <c r="Y1768" s="87">
        <f t="shared" si="165"/>
        <v>-2.9705154413915809E-2</v>
      </c>
      <c r="Z1768" s="87">
        <f t="shared" si="165"/>
        <v>2.6317308317373358E-2</v>
      </c>
      <c r="AA1768" s="87">
        <f t="shared" si="165"/>
        <v>1.8535686493228347E-3</v>
      </c>
      <c r="AB1768" s="87">
        <f t="shared" si="164"/>
        <v>9.871748479154091E-3</v>
      </c>
      <c r="AC1768" s="87">
        <f t="shared" si="164"/>
        <v>7.2860067309333133E-3</v>
      </c>
      <c r="AD1768" s="87">
        <f t="shared" si="164"/>
        <v>3.9098021293732278E-2</v>
      </c>
      <c r="AE1768" s="90">
        <f t="shared" si="168"/>
        <v>1.434691474734524E-2</v>
      </c>
    </row>
    <row r="1769" spans="1:31" ht="15.5" x14ac:dyDescent="0.35">
      <c r="A1769" s="82">
        <v>42331</v>
      </c>
      <c r="B1769" s="83">
        <v>10421.4</v>
      </c>
      <c r="C1769" s="84">
        <v>5102.5</v>
      </c>
      <c r="D1769" s="61">
        <v>773.5</v>
      </c>
      <c r="E1769" s="61">
        <v>32.9</v>
      </c>
      <c r="F1769" s="61">
        <v>117.3</v>
      </c>
      <c r="G1769" s="61">
        <v>53.8</v>
      </c>
      <c r="H1769" s="61">
        <v>7.5</v>
      </c>
      <c r="I1769" s="61">
        <v>34</v>
      </c>
      <c r="J1769" s="61">
        <v>19.7</v>
      </c>
      <c r="K1769" s="61">
        <v>7.8</v>
      </c>
      <c r="L1769" s="61">
        <v>53.8</v>
      </c>
      <c r="M1769" s="61">
        <v>50.7</v>
      </c>
      <c r="N1769" s="61">
        <v>56.2</v>
      </c>
      <c r="O1769" s="85">
        <v>65.900000000000006</v>
      </c>
      <c r="P1769" s="105"/>
      <c r="Q1769" s="87">
        <f t="shared" si="167"/>
        <v>-2.1854160986966658E-3</v>
      </c>
      <c r="R1769" s="87">
        <f t="shared" si="166"/>
        <v>-4.702470843164969E-4</v>
      </c>
      <c r="S1769" s="87">
        <f t="shared" si="166"/>
        <v>1.2226999359599786E-2</v>
      </c>
      <c r="T1769" s="87">
        <f t="shared" si="165"/>
        <v>6.0975798681183165E-3</v>
      </c>
      <c r="U1769" s="87">
        <f t="shared" si="165"/>
        <v>-1.354804803730647E-2</v>
      </c>
      <c r="V1769" s="87">
        <f t="shared" si="165"/>
        <v>9.3371359959399172E-3</v>
      </c>
      <c r="W1769" s="87">
        <f t="shared" si="165"/>
        <v>2.7028672387919419E-2</v>
      </c>
      <c r="X1769" s="87">
        <f t="shared" si="165"/>
        <v>5.899722127188322E-3</v>
      </c>
      <c r="Y1769" s="87">
        <f t="shared" si="165"/>
        <v>-1.0101095986503821E-2</v>
      </c>
      <c r="Z1769" s="87">
        <f t="shared" si="165"/>
        <v>1.2903404835907782E-2</v>
      </c>
      <c r="AA1769" s="87">
        <f t="shared" si="165"/>
        <v>-3.710579396535713E-3</v>
      </c>
      <c r="AB1769" s="87">
        <f t="shared" si="164"/>
        <v>-3.9370129593395316E-3</v>
      </c>
      <c r="AC1769" s="87">
        <f t="shared" si="164"/>
        <v>1.9767040740776582E-2</v>
      </c>
      <c r="AD1769" s="87">
        <f t="shared" si="164"/>
        <v>1.0678972575854314E-2</v>
      </c>
      <c r="AE1769" s="90">
        <f t="shared" si="168"/>
        <v>8.6276950842548552E-4</v>
      </c>
    </row>
    <row r="1770" spans="1:31" ht="15.5" x14ac:dyDescent="0.35">
      <c r="A1770" s="82">
        <v>42332</v>
      </c>
      <c r="B1770" s="83">
        <v>10449.700000000001</v>
      </c>
      <c r="C1770" s="84">
        <v>5102.8</v>
      </c>
      <c r="D1770" s="61">
        <v>758.1</v>
      </c>
      <c r="E1770" s="61">
        <v>32.6</v>
      </c>
      <c r="F1770" s="61">
        <v>117.1</v>
      </c>
      <c r="G1770" s="61">
        <v>53.6</v>
      </c>
      <c r="H1770" s="61">
        <v>6.9</v>
      </c>
      <c r="I1770" s="61">
        <v>33.799999999999997</v>
      </c>
      <c r="J1770" s="61">
        <v>19.600000000000001</v>
      </c>
      <c r="K1770" s="61">
        <v>8</v>
      </c>
      <c r="L1770" s="61">
        <v>53.1</v>
      </c>
      <c r="M1770" s="61">
        <v>50</v>
      </c>
      <c r="N1770" s="61">
        <v>56.1</v>
      </c>
      <c r="O1770" s="85">
        <v>65.599999999999994</v>
      </c>
      <c r="P1770" s="105"/>
      <c r="Q1770" s="87">
        <f t="shared" si="167"/>
        <v>2.7118855588774684E-3</v>
      </c>
      <c r="R1770" s="87">
        <f t="shared" si="166"/>
        <v>5.8792980135122927E-5</v>
      </c>
      <c r="S1770" s="87">
        <f t="shared" si="166"/>
        <v>-2.0110366950862508E-2</v>
      </c>
      <c r="T1770" s="87">
        <f t="shared" si="165"/>
        <v>-9.1603693986641657E-3</v>
      </c>
      <c r="U1770" s="87">
        <f t="shared" si="165"/>
        <v>-1.7064850557581871E-3</v>
      </c>
      <c r="V1770" s="87">
        <f t="shared" si="165"/>
        <v>-3.7243990909823282E-3</v>
      </c>
      <c r="W1770" s="87">
        <f t="shared" si="165"/>
        <v>-8.3381608939051013E-2</v>
      </c>
      <c r="X1770" s="87">
        <f t="shared" si="165"/>
        <v>-5.8997221271883827E-3</v>
      </c>
      <c r="Y1770" s="87">
        <f t="shared" si="165"/>
        <v>-5.0890695074711813E-3</v>
      </c>
      <c r="Z1770" s="87">
        <f t="shared" si="165"/>
        <v>2.5317807984290001E-2</v>
      </c>
      <c r="AA1770" s="87">
        <f t="shared" si="165"/>
        <v>-1.3096538919845456E-2</v>
      </c>
      <c r="AB1770" s="87">
        <f t="shared" si="164"/>
        <v>-1.3902905168991493E-2</v>
      </c>
      <c r="AC1770" s="87">
        <f t="shared" si="164"/>
        <v>-1.7809443709948087E-3</v>
      </c>
      <c r="AD1770" s="87">
        <f t="shared" si="164"/>
        <v>-4.5627455584183957E-3</v>
      </c>
      <c r="AE1770" s="90">
        <f t="shared" si="168"/>
        <v>-6.9125191606035259E-3</v>
      </c>
    </row>
    <row r="1771" spans="1:31" ht="15.5" x14ac:dyDescent="0.35">
      <c r="A1771" s="82">
        <v>42333</v>
      </c>
      <c r="B1771" s="83">
        <v>10450.4</v>
      </c>
      <c r="C1771" s="84">
        <v>5116.1000000000004</v>
      </c>
      <c r="D1771" s="61">
        <v>766.5</v>
      </c>
      <c r="E1771" s="61">
        <v>32.799999999999997</v>
      </c>
      <c r="F1771" s="61">
        <v>117.9</v>
      </c>
      <c r="G1771" s="61">
        <v>53.7</v>
      </c>
      <c r="H1771" s="61">
        <v>6.9</v>
      </c>
      <c r="I1771" s="61">
        <v>34.4</v>
      </c>
      <c r="J1771" s="61">
        <v>19.7</v>
      </c>
      <c r="K1771" s="61">
        <v>8.1999999999999993</v>
      </c>
      <c r="L1771" s="61">
        <v>53.5</v>
      </c>
      <c r="M1771" s="61">
        <v>50.3</v>
      </c>
      <c r="N1771" s="61">
        <v>56.5</v>
      </c>
      <c r="O1771" s="85">
        <v>66.5</v>
      </c>
      <c r="P1771" s="105"/>
      <c r="Q1771" s="87">
        <f t="shared" si="167"/>
        <v>6.6985325454118174E-5</v>
      </c>
      <c r="R1771" s="87">
        <f t="shared" si="166"/>
        <v>2.6030213642869522E-3</v>
      </c>
      <c r="S1771" s="87">
        <f t="shared" si="166"/>
        <v>1.1019395249610479E-2</v>
      </c>
      <c r="T1771" s="87">
        <f t="shared" si="165"/>
        <v>6.1162270174360536E-3</v>
      </c>
      <c r="U1771" s="87">
        <f t="shared" si="165"/>
        <v>6.8085369396537459E-3</v>
      </c>
      <c r="V1771" s="87">
        <f t="shared" si="165"/>
        <v>1.8639334380627327E-3</v>
      </c>
      <c r="W1771" s="87">
        <f t="shared" si="165"/>
        <v>0</v>
      </c>
      <c r="X1771" s="87">
        <f t="shared" si="165"/>
        <v>1.759576189037966E-2</v>
      </c>
      <c r="Y1771" s="87">
        <f t="shared" si="165"/>
        <v>5.0890695074712281E-3</v>
      </c>
      <c r="Z1771" s="87">
        <f t="shared" si="165"/>
        <v>2.4692612590371414E-2</v>
      </c>
      <c r="AA1771" s="87">
        <f t="shared" si="165"/>
        <v>7.5047256540677924E-3</v>
      </c>
      <c r="AB1771" s="87">
        <f t="shared" si="164"/>
        <v>5.9820716775474689E-3</v>
      </c>
      <c r="AC1771" s="87">
        <f t="shared" si="164"/>
        <v>7.1048256237445824E-3</v>
      </c>
      <c r="AD1771" s="87">
        <f t="shared" si="164"/>
        <v>1.3626251711765274E-2</v>
      </c>
      <c r="AE1771" s="90">
        <f t="shared" si="168"/>
        <v>7.6094103290774966E-3</v>
      </c>
    </row>
    <row r="1772" spans="1:31" ht="15.5" x14ac:dyDescent="0.35">
      <c r="A1772" s="82">
        <v>42335</v>
      </c>
      <c r="B1772" s="83">
        <v>10450.5</v>
      </c>
      <c r="C1772" s="84">
        <v>5127.5</v>
      </c>
      <c r="D1772" s="61">
        <v>767</v>
      </c>
      <c r="E1772" s="61">
        <v>32.4</v>
      </c>
      <c r="F1772" s="61">
        <v>117.6</v>
      </c>
      <c r="G1772" s="61">
        <v>53.8</v>
      </c>
      <c r="H1772" s="61">
        <v>6.9</v>
      </c>
      <c r="I1772" s="61">
        <v>34.4</v>
      </c>
      <c r="J1772" s="61">
        <v>19.600000000000001</v>
      </c>
      <c r="K1772" s="61">
        <v>8.1</v>
      </c>
      <c r="L1772" s="61">
        <v>53.4</v>
      </c>
      <c r="M1772" s="61">
        <v>50.5</v>
      </c>
      <c r="N1772" s="61">
        <v>56.8</v>
      </c>
      <c r="O1772" s="85">
        <v>66.7</v>
      </c>
      <c r="P1772" s="105"/>
      <c r="Q1772" s="87">
        <f t="shared" si="167"/>
        <v>9.568965929861899E-6</v>
      </c>
      <c r="R1772" s="87">
        <f t="shared" si="166"/>
        <v>2.2257809181136534E-3</v>
      </c>
      <c r="S1772" s="87">
        <f t="shared" si="166"/>
        <v>6.5210305538742589E-4</v>
      </c>
      <c r="T1772" s="87">
        <f t="shared" si="165"/>
        <v>-1.2270092591814359E-2</v>
      </c>
      <c r="U1772" s="87">
        <f t="shared" si="165"/>
        <v>-2.5477720787987755E-3</v>
      </c>
      <c r="V1772" s="87">
        <f t="shared" si="165"/>
        <v>1.8604656529196708E-3</v>
      </c>
      <c r="W1772" s="87">
        <f t="shared" si="165"/>
        <v>0</v>
      </c>
      <c r="X1772" s="87">
        <f t="shared" si="165"/>
        <v>0</v>
      </c>
      <c r="Y1772" s="87">
        <f t="shared" si="165"/>
        <v>-5.0890695074711813E-3</v>
      </c>
      <c r="Z1772" s="87">
        <f t="shared" si="165"/>
        <v>-1.2270092591814359E-2</v>
      </c>
      <c r="AA1772" s="87">
        <f t="shared" si="165"/>
        <v>-1.8709079358117313E-3</v>
      </c>
      <c r="AB1772" s="87">
        <f t="shared" si="164"/>
        <v>3.9682591756206699E-3</v>
      </c>
      <c r="AC1772" s="87">
        <f t="shared" si="164"/>
        <v>5.2956875747102823E-3</v>
      </c>
      <c r="AD1772" s="87">
        <f t="shared" si="164"/>
        <v>3.0030052597695561E-3</v>
      </c>
      <c r="AE1772" s="90">
        <f t="shared" si="168"/>
        <v>4.9458982927788608E-4</v>
      </c>
    </row>
    <row r="1773" spans="1:31" ht="15.5" x14ac:dyDescent="0.35">
      <c r="A1773" s="82">
        <v>42338</v>
      </c>
      <c r="B1773" s="83">
        <v>10409.6</v>
      </c>
      <c r="C1773" s="84">
        <v>5108.7</v>
      </c>
      <c r="D1773" s="61">
        <v>761.1</v>
      </c>
      <c r="E1773" s="61">
        <v>32.9</v>
      </c>
      <c r="F1773" s="61">
        <v>117.8</v>
      </c>
      <c r="G1773" s="61">
        <v>54</v>
      </c>
      <c r="H1773" s="61">
        <v>6.9</v>
      </c>
      <c r="I1773" s="61">
        <v>34.700000000000003</v>
      </c>
      <c r="J1773" s="61">
        <v>19.600000000000001</v>
      </c>
      <c r="K1773" s="61">
        <v>7.9</v>
      </c>
      <c r="L1773" s="61">
        <v>53</v>
      </c>
      <c r="M1773" s="61">
        <v>50.5</v>
      </c>
      <c r="N1773" s="61">
        <v>56.4</v>
      </c>
      <c r="O1773" s="85">
        <v>65.8</v>
      </c>
      <c r="P1773" s="105"/>
      <c r="Q1773" s="87">
        <f t="shared" si="167"/>
        <v>-3.9213668592508952E-3</v>
      </c>
      <c r="R1773" s="87">
        <f t="shared" si="166"/>
        <v>-3.6732422458670907E-3</v>
      </c>
      <c r="S1773" s="87">
        <f t="shared" si="166"/>
        <v>-7.7220460939102778E-3</v>
      </c>
      <c r="T1773" s="87">
        <f t="shared" si="165"/>
        <v>1.5314234973042575E-2</v>
      </c>
      <c r="U1773" s="87">
        <f t="shared" si="165"/>
        <v>1.6992357529598428E-3</v>
      </c>
      <c r="V1773" s="87">
        <f t="shared" si="165"/>
        <v>3.7105793965357746E-3</v>
      </c>
      <c r="W1773" s="87">
        <f t="shared" si="165"/>
        <v>0</v>
      </c>
      <c r="X1773" s="87">
        <f t="shared" si="165"/>
        <v>8.6831225734608566E-3</v>
      </c>
      <c r="Y1773" s="87">
        <f t="shared" si="165"/>
        <v>0</v>
      </c>
      <c r="Z1773" s="87">
        <f t="shared" si="165"/>
        <v>-2.5001302205417155E-2</v>
      </c>
      <c r="AA1773" s="87">
        <f t="shared" si="165"/>
        <v>-7.5188324140273398E-3</v>
      </c>
      <c r="AB1773" s="87">
        <f t="shared" si="164"/>
        <v>0</v>
      </c>
      <c r="AC1773" s="87">
        <f t="shared" si="164"/>
        <v>-7.067167223092443E-3</v>
      </c>
      <c r="AD1773" s="87">
        <f t="shared" si="164"/>
        <v>-1.3585114590306592E-2</v>
      </c>
      <c r="AE1773" s="90">
        <f t="shared" si="168"/>
        <v>-4.5271577183167286E-3</v>
      </c>
    </row>
    <row r="1774" spans="1:31" ht="15.5" x14ac:dyDescent="0.35">
      <c r="A1774" s="82">
        <v>42339</v>
      </c>
      <c r="B1774" s="83">
        <v>10519.6</v>
      </c>
      <c r="C1774" s="84">
        <v>5156.3</v>
      </c>
      <c r="D1774" s="61">
        <v>766</v>
      </c>
      <c r="E1774" s="61">
        <v>33.5</v>
      </c>
      <c r="F1774" s="61">
        <v>116.9</v>
      </c>
      <c r="G1774" s="61">
        <v>54.3</v>
      </c>
      <c r="H1774" s="61">
        <v>7.2</v>
      </c>
      <c r="I1774" s="61">
        <v>34.799999999999997</v>
      </c>
      <c r="J1774" s="61">
        <v>19.899999999999999</v>
      </c>
      <c r="K1774" s="61">
        <v>7.9</v>
      </c>
      <c r="L1774" s="61">
        <v>53.4</v>
      </c>
      <c r="M1774" s="61">
        <v>51.1</v>
      </c>
      <c r="N1774" s="61">
        <v>56.3</v>
      </c>
      <c r="O1774" s="85">
        <v>66</v>
      </c>
      <c r="P1774" s="105"/>
      <c r="Q1774" s="87">
        <f t="shared" si="167"/>
        <v>1.0511726476094777E-2</v>
      </c>
      <c r="R1774" s="87">
        <f t="shared" si="166"/>
        <v>9.2742993050042716E-3</v>
      </c>
      <c r="S1774" s="87">
        <f t="shared" si="166"/>
        <v>6.4174144672453767E-3</v>
      </c>
      <c r="T1774" s="87">
        <f t="shared" si="165"/>
        <v>1.80727810596946E-2</v>
      </c>
      <c r="U1774" s="87">
        <f t="shared" si="165"/>
        <v>-7.6694027394635074E-3</v>
      </c>
      <c r="V1774" s="87">
        <f t="shared" si="165"/>
        <v>5.5401803756153509E-3</v>
      </c>
      <c r="W1774" s="87">
        <f t="shared" si="165"/>
        <v>4.2559614418795903E-2</v>
      </c>
      <c r="X1774" s="87">
        <f t="shared" si="165"/>
        <v>2.877699827614974E-3</v>
      </c>
      <c r="Y1774" s="87">
        <f t="shared" si="165"/>
        <v>1.5190165493975019E-2</v>
      </c>
      <c r="Z1774" s="87">
        <f t="shared" si="165"/>
        <v>0</v>
      </c>
      <c r="AA1774" s="87">
        <f t="shared" si="165"/>
        <v>7.518832414027319E-3</v>
      </c>
      <c r="AB1774" s="87">
        <f t="shared" si="164"/>
        <v>1.1811160928344619E-2</v>
      </c>
      <c r="AC1774" s="87">
        <f t="shared" si="164"/>
        <v>-1.7746233583684897E-3</v>
      </c>
      <c r="AD1774" s="87">
        <f t="shared" si="164"/>
        <v>3.0349036951541112E-3</v>
      </c>
      <c r="AE1774" s="90">
        <f t="shared" si="168"/>
        <v>2.8346538105085335E-3</v>
      </c>
    </row>
    <row r="1775" spans="1:31" ht="15.5" x14ac:dyDescent="0.35">
      <c r="A1775" s="82">
        <v>42340</v>
      </c>
      <c r="B1775" s="83">
        <v>10389.200000000001</v>
      </c>
      <c r="C1775" s="84">
        <v>5123.2</v>
      </c>
      <c r="D1775" s="61">
        <v>776.4</v>
      </c>
      <c r="E1775" s="61">
        <v>34.799999999999997</v>
      </c>
      <c r="F1775" s="61">
        <v>116.1</v>
      </c>
      <c r="G1775" s="61">
        <v>55.1</v>
      </c>
      <c r="H1775" s="61">
        <v>7.5</v>
      </c>
      <c r="I1775" s="61">
        <v>34.6</v>
      </c>
      <c r="J1775" s="61">
        <v>19.2</v>
      </c>
      <c r="K1775" s="61">
        <v>7.8</v>
      </c>
      <c r="L1775" s="61">
        <v>53.8</v>
      </c>
      <c r="M1775" s="61">
        <v>50.8</v>
      </c>
      <c r="N1775" s="61">
        <v>55.4</v>
      </c>
      <c r="O1775" s="85">
        <v>66.099999999999994</v>
      </c>
      <c r="P1775" s="105"/>
      <c r="Q1775" s="87">
        <f t="shared" si="167"/>
        <v>-1.247337873889217E-2</v>
      </c>
      <c r="R1775" s="87">
        <f t="shared" si="166"/>
        <v>-6.440024203277309E-3</v>
      </c>
      <c r="S1775" s="87">
        <f t="shared" si="166"/>
        <v>1.348568155426387E-2</v>
      </c>
      <c r="T1775" s="87">
        <f t="shared" si="165"/>
        <v>3.8071947949407756E-2</v>
      </c>
      <c r="U1775" s="87">
        <f t="shared" si="165"/>
        <v>-6.8669797741770485E-3</v>
      </c>
      <c r="V1775" s="87">
        <f t="shared" si="165"/>
        <v>1.4625489218979231E-2</v>
      </c>
      <c r="W1775" s="87">
        <f t="shared" si="165"/>
        <v>4.08219945202552E-2</v>
      </c>
      <c r="X1775" s="87">
        <f t="shared" si="165"/>
        <v>-5.7637047167499065E-3</v>
      </c>
      <c r="Y1775" s="87">
        <f t="shared" si="165"/>
        <v>-3.5809452696710778E-2</v>
      </c>
      <c r="Z1775" s="87">
        <f t="shared" si="165"/>
        <v>-1.2739025777429826E-2</v>
      </c>
      <c r="AA1775" s="87">
        <f t="shared" si="165"/>
        <v>7.4627212015895943E-3</v>
      </c>
      <c r="AB1775" s="87">
        <f t="shared" si="164"/>
        <v>-5.8881426252225975E-3</v>
      </c>
      <c r="AC1775" s="87">
        <f t="shared" si="164"/>
        <v>-1.6114941392406587E-2</v>
      </c>
      <c r="AD1775" s="87">
        <f t="shared" si="164"/>
        <v>1.5140048312150113E-3</v>
      </c>
      <c r="AE1775" s="90">
        <f t="shared" si="168"/>
        <v>2.3822670306725669E-4</v>
      </c>
    </row>
    <row r="1776" spans="1:31" ht="15.5" x14ac:dyDescent="0.35">
      <c r="A1776" s="82">
        <v>42341</v>
      </c>
      <c r="B1776" s="83">
        <v>10257.4</v>
      </c>
      <c r="C1776" s="84">
        <v>5037.5</v>
      </c>
      <c r="D1776" s="61">
        <v>762.5</v>
      </c>
      <c r="E1776" s="61">
        <v>34.1</v>
      </c>
      <c r="F1776" s="61">
        <v>114.2</v>
      </c>
      <c r="G1776" s="61">
        <v>53.9</v>
      </c>
      <c r="H1776" s="61">
        <v>7.3</v>
      </c>
      <c r="I1776" s="61">
        <v>34.299999999999997</v>
      </c>
      <c r="J1776" s="61">
        <v>19.100000000000001</v>
      </c>
      <c r="K1776" s="61">
        <v>7.8</v>
      </c>
      <c r="L1776" s="61">
        <v>52.2</v>
      </c>
      <c r="M1776" s="61">
        <v>49.8</v>
      </c>
      <c r="N1776" s="61">
        <v>54.8</v>
      </c>
      <c r="O1776" s="85">
        <v>64.5</v>
      </c>
      <c r="P1776" s="105"/>
      <c r="Q1776" s="87">
        <f t="shared" si="167"/>
        <v>-1.2767408711587888E-2</v>
      </c>
      <c r="R1776" s="87">
        <f t="shared" si="166"/>
        <v>-1.6869316547457082E-2</v>
      </c>
      <c r="S1776" s="87">
        <f t="shared" si="166"/>
        <v>-1.8065342813288483E-2</v>
      </c>
      <c r="T1776" s="87">
        <f t="shared" si="165"/>
        <v>-2.0320002490957379E-2</v>
      </c>
      <c r="U1776" s="87">
        <f t="shared" si="165"/>
        <v>-1.6500591481935951E-2</v>
      </c>
      <c r="V1776" s="87">
        <f t="shared" si="165"/>
        <v>-2.2019238243917334E-2</v>
      </c>
      <c r="W1776" s="87">
        <f t="shared" si="165"/>
        <v>-2.7028672387919374E-2</v>
      </c>
      <c r="X1776" s="87">
        <f t="shared" si="165"/>
        <v>-8.7083278917844207E-3</v>
      </c>
      <c r="Y1776" s="87">
        <f t="shared" si="165"/>
        <v>-5.2219439811516007E-3</v>
      </c>
      <c r="Z1776" s="87">
        <f t="shared" si="165"/>
        <v>0</v>
      </c>
      <c r="AA1776" s="87">
        <f t="shared" si="165"/>
        <v>-3.0190972279145568E-2</v>
      </c>
      <c r="AB1776" s="87">
        <f t="shared" si="164"/>
        <v>-1.9881370553828933E-2</v>
      </c>
      <c r="AC1776" s="87">
        <f t="shared" si="164"/>
        <v>-1.0889399799268319E-2</v>
      </c>
      <c r="AD1776" s="87">
        <f t="shared" si="164"/>
        <v>-2.4503523055913697E-2</v>
      </c>
      <c r="AE1776" s="90">
        <f t="shared" si="168"/>
        <v>-1.8041961948096982E-2</v>
      </c>
    </row>
    <row r="1777" spans="1:31" ht="15.5" x14ac:dyDescent="0.35">
      <c r="A1777" s="82">
        <v>42342</v>
      </c>
      <c r="B1777" s="83">
        <v>10408.9</v>
      </c>
      <c r="C1777" s="84">
        <v>5142.3</v>
      </c>
      <c r="D1777" s="61">
        <v>765.5</v>
      </c>
      <c r="E1777" s="61">
        <v>34.200000000000003</v>
      </c>
      <c r="F1777" s="61">
        <v>115.1</v>
      </c>
      <c r="G1777" s="61">
        <v>54.1</v>
      </c>
      <c r="H1777" s="61">
        <v>7.2</v>
      </c>
      <c r="I1777" s="61">
        <v>34.4</v>
      </c>
      <c r="J1777" s="61">
        <v>18.8</v>
      </c>
      <c r="K1777" s="61">
        <v>7.8</v>
      </c>
      <c r="L1777" s="61">
        <v>52.8</v>
      </c>
      <c r="M1777" s="61">
        <v>49.9</v>
      </c>
      <c r="N1777" s="61">
        <v>55.4</v>
      </c>
      <c r="O1777" s="85">
        <v>64.900000000000006</v>
      </c>
      <c r="P1777" s="105"/>
      <c r="Q1777" s="87">
        <f t="shared" si="167"/>
        <v>1.4661813093868869E-2</v>
      </c>
      <c r="R1777" s="87">
        <f t="shared" si="166"/>
        <v>2.0590522926182676E-2</v>
      </c>
      <c r="S1777" s="87">
        <f t="shared" si="166"/>
        <v>3.9267066161717962E-3</v>
      </c>
      <c r="T1777" s="87">
        <f t="shared" si="165"/>
        <v>2.9282597790883597E-3</v>
      </c>
      <c r="U1777" s="87">
        <f t="shared" si="165"/>
        <v>7.85001850592708E-3</v>
      </c>
      <c r="V1777" s="87">
        <f t="shared" si="165"/>
        <v>3.7037079374844318E-3</v>
      </c>
      <c r="W1777" s="87">
        <f t="shared" si="165"/>
        <v>-1.3793322132335761E-2</v>
      </c>
      <c r="X1777" s="87">
        <f t="shared" si="165"/>
        <v>2.9112102074585343E-3</v>
      </c>
      <c r="Y1777" s="87">
        <f t="shared" si="165"/>
        <v>-1.5831465216680739E-2</v>
      </c>
      <c r="Z1777" s="87">
        <f t="shared" si="165"/>
        <v>0</v>
      </c>
      <c r="AA1777" s="87">
        <f t="shared" si="165"/>
        <v>1.1428695823622629E-2</v>
      </c>
      <c r="AB1777" s="87">
        <f t="shared" si="164"/>
        <v>2.006018726865766E-3</v>
      </c>
      <c r="AC1777" s="87">
        <f t="shared" si="164"/>
        <v>1.0889399799268317E-2</v>
      </c>
      <c r="AD1777" s="87">
        <f t="shared" si="164"/>
        <v>6.1823999083175599E-3</v>
      </c>
      <c r="AE1777" s="90">
        <f t="shared" si="168"/>
        <v>1.031766373626098E-2</v>
      </c>
    </row>
    <row r="1778" spans="1:31" ht="15.5" x14ac:dyDescent="0.35">
      <c r="A1778" s="82">
        <v>42345</v>
      </c>
      <c r="B1778" s="83">
        <v>10304.5</v>
      </c>
      <c r="C1778" s="84">
        <v>5101.8</v>
      </c>
      <c r="D1778" s="61">
        <v>766.7</v>
      </c>
      <c r="E1778" s="61">
        <v>34.5</v>
      </c>
      <c r="F1778" s="61">
        <v>117.8</v>
      </c>
      <c r="G1778" s="61">
        <v>55.3</v>
      </c>
      <c r="H1778" s="61">
        <v>7</v>
      </c>
      <c r="I1778" s="61">
        <v>34.200000000000003</v>
      </c>
      <c r="J1778" s="61">
        <v>18.3</v>
      </c>
      <c r="K1778" s="61">
        <v>7.8</v>
      </c>
      <c r="L1778" s="61">
        <v>53.2</v>
      </c>
      <c r="M1778" s="61">
        <v>49.9</v>
      </c>
      <c r="N1778" s="61">
        <v>55.7</v>
      </c>
      <c r="O1778" s="85">
        <v>65.3</v>
      </c>
      <c r="P1778" s="105"/>
      <c r="Q1778" s="87">
        <f t="shared" si="167"/>
        <v>-1.0080516386952839E-2</v>
      </c>
      <c r="R1778" s="87">
        <f t="shared" si="166"/>
        <v>-7.9070315613192048E-3</v>
      </c>
      <c r="S1778" s="87">
        <f t="shared" si="166"/>
        <v>1.566375467110342E-3</v>
      </c>
      <c r="T1778" s="87">
        <f t="shared" si="165"/>
        <v>8.7336799687544112E-3</v>
      </c>
      <c r="U1778" s="87">
        <f t="shared" si="165"/>
        <v>2.3186955489649424E-2</v>
      </c>
      <c r="V1778" s="87">
        <f t="shared" si="165"/>
        <v>2.1938722675853117E-2</v>
      </c>
      <c r="W1778" s="87">
        <f t="shared" si="165"/>
        <v>-2.8170876966696335E-2</v>
      </c>
      <c r="X1778" s="87">
        <f t="shared" si="165"/>
        <v>-5.8309203107930986E-3</v>
      </c>
      <c r="Y1778" s="87">
        <f t="shared" si="165"/>
        <v>-2.6955809988528218E-2</v>
      </c>
      <c r="Z1778" s="87">
        <f t="shared" si="165"/>
        <v>0</v>
      </c>
      <c r="AA1778" s="87">
        <f t="shared" si="165"/>
        <v>7.5472056353831241E-3</v>
      </c>
      <c r="AB1778" s="87">
        <f t="shared" si="164"/>
        <v>0</v>
      </c>
      <c r="AC1778" s="87">
        <f t="shared" si="164"/>
        <v>5.4005531800002888E-3</v>
      </c>
      <c r="AD1778" s="87">
        <f t="shared" si="164"/>
        <v>6.1444125723409898E-3</v>
      </c>
      <c r="AE1778" s="90">
        <f t="shared" si="168"/>
        <v>5.4653536710693668E-3</v>
      </c>
    </row>
    <row r="1779" spans="1:31" ht="15.5" x14ac:dyDescent="0.35">
      <c r="A1779" s="82">
        <v>42346</v>
      </c>
      <c r="B1779" s="83">
        <v>10198.4</v>
      </c>
      <c r="C1779" s="84">
        <v>5098.2</v>
      </c>
      <c r="D1779" s="61">
        <v>762.5</v>
      </c>
      <c r="E1779" s="61">
        <v>34</v>
      </c>
      <c r="F1779" s="61">
        <v>116.9</v>
      </c>
      <c r="G1779" s="61">
        <v>55</v>
      </c>
      <c r="H1779" s="61">
        <v>6.9</v>
      </c>
      <c r="I1779" s="61">
        <v>33.700000000000003</v>
      </c>
      <c r="J1779" s="61">
        <v>17.8</v>
      </c>
      <c r="K1779" s="61">
        <v>7.7</v>
      </c>
      <c r="L1779" s="61">
        <v>53.2</v>
      </c>
      <c r="M1779" s="61">
        <v>48.8</v>
      </c>
      <c r="N1779" s="61">
        <v>56.2</v>
      </c>
      <c r="O1779" s="85">
        <v>65.2</v>
      </c>
      <c r="P1779" s="105"/>
      <c r="Q1779" s="87">
        <f t="shared" si="167"/>
        <v>-1.0349847788545889E-2</v>
      </c>
      <c r="R1779" s="87">
        <f t="shared" si="166"/>
        <v>-7.0588238225126278E-4</v>
      </c>
      <c r="S1779" s="87">
        <f t="shared" si="166"/>
        <v>-5.4930820832820694E-3</v>
      </c>
      <c r="T1779" s="87">
        <f t="shared" si="165"/>
        <v>-1.4598799421152636E-2</v>
      </c>
      <c r="U1779" s="87">
        <f t="shared" si="165"/>
        <v>-7.6694027394635074E-3</v>
      </c>
      <c r="V1779" s="87">
        <f t="shared" si="165"/>
        <v>-5.4397232958180979E-3</v>
      </c>
      <c r="W1779" s="87">
        <f t="shared" si="165"/>
        <v>-1.4388737452099556E-2</v>
      </c>
      <c r="X1779" s="87">
        <f t="shared" si="165"/>
        <v>-1.4727806710243398E-2</v>
      </c>
      <c r="Y1779" s="87">
        <f t="shared" si="165"/>
        <v>-2.7702602549335823E-2</v>
      </c>
      <c r="Z1779" s="87">
        <f t="shared" si="165"/>
        <v>-1.2903404835907841E-2</v>
      </c>
      <c r="AA1779" s="87">
        <f t="shared" si="165"/>
        <v>0</v>
      </c>
      <c r="AB1779" s="87">
        <f t="shared" si="164"/>
        <v>-2.2290689898371512E-2</v>
      </c>
      <c r="AC1779" s="87">
        <f t="shared" si="164"/>
        <v>8.9366099664069752E-3</v>
      </c>
      <c r="AD1779" s="87">
        <f t="shared" si="164"/>
        <v>-1.532567349778005E-3</v>
      </c>
      <c r="AE1779" s="90">
        <f t="shared" si="168"/>
        <v>-4.199027304418599E-3</v>
      </c>
    </row>
    <row r="1780" spans="1:31" ht="15.5" x14ac:dyDescent="0.35">
      <c r="A1780" s="82">
        <v>42347</v>
      </c>
      <c r="B1780" s="83">
        <v>10162.4</v>
      </c>
      <c r="C1780" s="84">
        <v>5022.8999999999996</v>
      </c>
      <c r="D1780" s="61">
        <v>752</v>
      </c>
      <c r="E1780" s="61">
        <v>33.200000000000003</v>
      </c>
      <c r="F1780" s="61">
        <v>115.1</v>
      </c>
      <c r="G1780" s="61">
        <v>54.5</v>
      </c>
      <c r="H1780" s="61">
        <v>6.9</v>
      </c>
      <c r="I1780" s="61">
        <v>33.299999999999997</v>
      </c>
      <c r="J1780" s="61">
        <v>17.8</v>
      </c>
      <c r="K1780" s="61">
        <v>7.4</v>
      </c>
      <c r="L1780" s="61">
        <v>52.5</v>
      </c>
      <c r="M1780" s="61">
        <v>48.2</v>
      </c>
      <c r="N1780" s="61">
        <v>55.5</v>
      </c>
      <c r="O1780" s="85">
        <v>63.9</v>
      </c>
      <c r="P1780" s="105"/>
      <c r="Q1780" s="87">
        <f t="shared" si="167"/>
        <v>-3.5362105137662918E-3</v>
      </c>
      <c r="R1780" s="87">
        <f t="shared" si="166"/>
        <v>-1.4880080106943376E-2</v>
      </c>
      <c r="S1780" s="87">
        <f t="shared" si="166"/>
        <v>-1.3866184531726894E-2</v>
      </c>
      <c r="T1780" s="87">
        <f t="shared" si="166"/>
        <v>-2.3810648693718447E-2</v>
      </c>
      <c r="U1780" s="87">
        <f t="shared" si="166"/>
        <v>-1.5517552750185876E-2</v>
      </c>
      <c r="V1780" s="87">
        <f t="shared" si="166"/>
        <v>-9.1324835632724741E-3</v>
      </c>
      <c r="W1780" s="87">
        <f t="shared" si="166"/>
        <v>0</v>
      </c>
      <c r="X1780" s="87">
        <f t="shared" si="166"/>
        <v>-1.1940440371918087E-2</v>
      </c>
      <c r="Y1780" s="87">
        <f t="shared" si="166"/>
        <v>0</v>
      </c>
      <c r="Z1780" s="87">
        <f t="shared" si="166"/>
        <v>-3.9740328649514108E-2</v>
      </c>
      <c r="AA1780" s="87">
        <f t="shared" si="166"/>
        <v>-1.324522675002068E-2</v>
      </c>
      <c r="AB1780" s="87">
        <f t="shared" si="164"/>
        <v>-1.2371291802546718E-2</v>
      </c>
      <c r="AC1780" s="87">
        <f t="shared" si="164"/>
        <v>-1.253373614725658E-2</v>
      </c>
      <c r="AD1780" s="87">
        <f t="shared" si="164"/>
        <v>-2.0140107549118259E-2</v>
      </c>
      <c r="AE1780" s="90">
        <f t="shared" si="168"/>
        <v>-1.5404873011977179E-2</v>
      </c>
    </row>
    <row r="1781" spans="1:31" ht="15.5" x14ac:dyDescent="0.35">
      <c r="A1781" s="82">
        <v>42348</v>
      </c>
      <c r="B1781" s="83">
        <v>10172</v>
      </c>
      <c r="C1781" s="84">
        <v>5045.2</v>
      </c>
      <c r="D1781" s="61">
        <v>755</v>
      </c>
      <c r="E1781" s="61">
        <v>33.9</v>
      </c>
      <c r="F1781" s="61">
        <v>115.5</v>
      </c>
      <c r="G1781" s="61">
        <v>55</v>
      </c>
      <c r="H1781" s="61">
        <v>7.2</v>
      </c>
      <c r="I1781" s="61">
        <v>33.1</v>
      </c>
      <c r="J1781" s="61">
        <v>17.899999999999999</v>
      </c>
      <c r="K1781" s="61">
        <v>7.5</v>
      </c>
      <c r="L1781" s="61">
        <v>52.8</v>
      </c>
      <c r="M1781" s="61">
        <v>48.4</v>
      </c>
      <c r="N1781" s="61">
        <v>55.4</v>
      </c>
      <c r="O1781" s="85">
        <v>64</v>
      </c>
      <c r="P1781" s="105"/>
      <c r="Q1781" s="87">
        <f t="shared" si="167"/>
        <v>9.4421283275927662E-4</v>
      </c>
      <c r="R1781" s="87">
        <f t="shared" si="166"/>
        <v>4.4298400824309726E-3</v>
      </c>
      <c r="S1781" s="87">
        <f t="shared" si="166"/>
        <v>3.9814252991848221E-3</v>
      </c>
      <c r="T1781" s="87">
        <f t="shared" si="166"/>
        <v>2.0865138463961541E-2</v>
      </c>
      <c r="U1781" s="87">
        <f t="shared" si="166"/>
        <v>3.4692142340113198E-3</v>
      </c>
      <c r="V1781" s="87">
        <f t="shared" si="166"/>
        <v>9.1324835632724723E-3</v>
      </c>
      <c r="W1781" s="87">
        <f t="shared" si="166"/>
        <v>4.2559614418795903E-2</v>
      </c>
      <c r="X1781" s="87">
        <f t="shared" si="166"/>
        <v>-6.0241146033807903E-3</v>
      </c>
      <c r="Y1781" s="87">
        <f t="shared" si="166"/>
        <v>5.6022555486697516E-3</v>
      </c>
      <c r="Z1781" s="87">
        <f t="shared" si="166"/>
        <v>1.342302033214055E-2</v>
      </c>
      <c r="AA1781" s="87">
        <f t="shared" si="166"/>
        <v>5.6980211146375748E-3</v>
      </c>
      <c r="AB1781" s="87">
        <f t="shared" si="164"/>
        <v>4.1407926660313871E-3</v>
      </c>
      <c r="AC1781" s="87">
        <f t="shared" si="164"/>
        <v>-1.8034269991506827E-3</v>
      </c>
      <c r="AD1781" s="87">
        <f t="shared" si="164"/>
        <v>1.5637219761827589E-3</v>
      </c>
      <c r="AE1781" s="90">
        <f t="shared" si="168"/>
        <v>3.6755082753935362E-3</v>
      </c>
    </row>
    <row r="1782" spans="1:31" ht="15.5" x14ac:dyDescent="0.35">
      <c r="A1782" s="82">
        <v>42349</v>
      </c>
      <c r="B1782" s="83">
        <v>9976.7000000000007</v>
      </c>
      <c r="C1782" s="84">
        <v>4933.5</v>
      </c>
      <c r="D1782" s="61">
        <v>748.7</v>
      </c>
      <c r="E1782" s="61">
        <v>32.799999999999997</v>
      </c>
      <c r="F1782" s="61">
        <v>112.9</v>
      </c>
      <c r="G1782" s="61">
        <v>54</v>
      </c>
      <c r="H1782" s="61">
        <v>7.1</v>
      </c>
      <c r="I1782" s="61">
        <v>32.1</v>
      </c>
      <c r="J1782" s="61">
        <v>17.3</v>
      </c>
      <c r="K1782" s="61">
        <v>7.3</v>
      </c>
      <c r="L1782" s="61">
        <v>52</v>
      </c>
      <c r="M1782" s="61">
        <v>46.7</v>
      </c>
      <c r="N1782" s="61">
        <v>54.8</v>
      </c>
      <c r="O1782" s="85">
        <v>62.8</v>
      </c>
      <c r="P1782" s="105"/>
      <c r="Q1782" s="87">
        <f t="shared" si="167"/>
        <v>-1.9386473239655106E-2</v>
      </c>
      <c r="R1782" s="87">
        <f t="shared" si="166"/>
        <v>-2.2388620915816702E-2</v>
      </c>
      <c r="S1782" s="87">
        <f t="shared" si="166"/>
        <v>-8.3793800123851195E-3</v>
      </c>
      <c r="T1782" s="87">
        <f t="shared" si="166"/>
        <v>-3.298649899630654E-2</v>
      </c>
      <c r="U1782" s="87">
        <f t="shared" si="166"/>
        <v>-2.2768058806231867E-2</v>
      </c>
      <c r="V1782" s="87">
        <f t="shared" si="166"/>
        <v>-1.8349138668196541E-2</v>
      </c>
      <c r="W1782" s="87">
        <f t="shared" si="166"/>
        <v>-1.3986241974739952E-2</v>
      </c>
      <c r="X1782" s="87">
        <f t="shared" si="166"/>
        <v>-3.0677252247047006E-2</v>
      </c>
      <c r="Y1782" s="87">
        <f t="shared" si="166"/>
        <v>-3.4094211342975897E-2</v>
      </c>
      <c r="Z1782" s="87">
        <f t="shared" si="166"/>
        <v>-2.7028672387919374E-2</v>
      </c>
      <c r="AA1782" s="87">
        <f t="shared" si="166"/>
        <v>-1.5267472130788421E-2</v>
      </c>
      <c r="AB1782" s="87">
        <f t="shared" si="164"/>
        <v>-3.5755649047734331E-2</v>
      </c>
      <c r="AC1782" s="87">
        <f t="shared" si="164"/>
        <v>-1.0889399799268319E-2</v>
      </c>
      <c r="AD1782" s="87">
        <f t="shared" si="164"/>
        <v>-1.8928009885518911E-2</v>
      </c>
      <c r="AE1782" s="90">
        <f t="shared" si="168"/>
        <v>-1.7975079789733051E-2</v>
      </c>
    </row>
    <row r="1783" spans="1:31" ht="15.5" x14ac:dyDescent="0.35">
      <c r="A1783" s="82">
        <v>42352</v>
      </c>
      <c r="B1783" s="83">
        <v>9986.7999999999993</v>
      </c>
      <c r="C1783" s="84">
        <v>4952.2</v>
      </c>
      <c r="D1783" s="61">
        <v>736.3</v>
      </c>
      <c r="E1783" s="61">
        <v>32.200000000000003</v>
      </c>
      <c r="F1783" s="61">
        <v>109.8</v>
      </c>
      <c r="G1783" s="61">
        <v>53.7</v>
      </c>
      <c r="H1783" s="61">
        <v>7.2</v>
      </c>
      <c r="I1783" s="61">
        <v>31.2</v>
      </c>
      <c r="J1783" s="61">
        <v>16.7</v>
      </c>
      <c r="K1783" s="61">
        <v>6.9</v>
      </c>
      <c r="L1783" s="61">
        <v>51.7</v>
      </c>
      <c r="M1783" s="61">
        <v>46</v>
      </c>
      <c r="N1783" s="61">
        <v>54.4</v>
      </c>
      <c r="O1783" s="85">
        <v>63.1</v>
      </c>
      <c r="P1783" s="105"/>
      <c r="Q1783" s="87">
        <f t="shared" si="167"/>
        <v>1.0118467064116909E-3</v>
      </c>
      <c r="R1783" s="87">
        <f t="shared" si="166"/>
        <v>3.7832469737809973E-3</v>
      </c>
      <c r="S1783" s="87">
        <f t="shared" si="166"/>
        <v>-1.6700724861968479E-2</v>
      </c>
      <c r="T1783" s="87">
        <f t="shared" si="166"/>
        <v>-1.8462062839735217E-2</v>
      </c>
      <c r="U1783" s="87">
        <f t="shared" si="166"/>
        <v>-2.7841942080186154E-2</v>
      </c>
      <c r="V1783" s="87">
        <f t="shared" si="166"/>
        <v>-5.5710450494553601E-3</v>
      </c>
      <c r="W1783" s="87">
        <f t="shared" si="166"/>
        <v>1.398624197473987E-2</v>
      </c>
      <c r="X1783" s="87">
        <f t="shared" si="166"/>
        <v>-2.8437935320533625E-2</v>
      </c>
      <c r="Y1783" s="87">
        <f t="shared" si="166"/>
        <v>-3.5297782081023937E-2</v>
      </c>
      <c r="Z1783" s="87">
        <f t="shared" si="166"/>
        <v>-5.6352936551131626E-2</v>
      </c>
      <c r="AA1783" s="87">
        <f t="shared" si="166"/>
        <v>-5.7859370670438875E-3</v>
      </c>
      <c r="AB1783" s="87">
        <f t="shared" si="164"/>
        <v>-1.5102768185756742E-2</v>
      </c>
      <c r="AC1783" s="87">
        <f t="shared" si="164"/>
        <v>-7.3260400920728977E-3</v>
      </c>
      <c r="AD1783" s="87">
        <f t="shared" si="164"/>
        <v>4.7656960730146454E-3</v>
      </c>
      <c r="AE1783" s="90">
        <f t="shared" si="168"/>
        <v>-1.1137186799963488E-2</v>
      </c>
    </row>
    <row r="1784" spans="1:31" ht="15.5" x14ac:dyDescent="0.35">
      <c r="A1784" s="82">
        <v>42353</v>
      </c>
      <c r="B1784" s="83">
        <v>10110.9</v>
      </c>
      <c r="C1784" s="84">
        <v>4995.3999999999996</v>
      </c>
      <c r="D1784" s="61">
        <v>758</v>
      </c>
      <c r="E1784" s="61">
        <v>32.5</v>
      </c>
      <c r="F1784" s="61">
        <v>110.4</v>
      </c>
      <c r="G1784" s="61">
        <v>55.1</v>
      </c>
      <c r="H1784" s="61">
        <v>7.2</v>
      </c>
      <c r="I1784" s="61">
        <v>32</v>
      </c>
      <c r="J1784" s="61">
        <v>16.899999999999999</v>
      </c>
      <c r="K1784" s="61">
        <v>7</v>
      </c>
      <c r="L1784" s="61">
        <v>52.2</v>
      </c>
      <c r="M1784" s="61">
        <v>47</v>
      </c>
      <c r="N1784" s="61">
        <v>55</v>
      </c>
      <c r="O1784" s="85">
        <v>64.2</v>
      </c>
      <c r="P1784" s="105"/>
      <c r="Q1784" s="87">
        <f t="shared" si="167"/>
        <v>1.2349828815149877E-2</v>
      </c>
      <c r="R1784" s="87">
        <f t="shared" si="166"/>
        <v>8.6855666854931783E-3</v>
      </c>
      <c r="S1784" s="87">
        <f t="shared" si="166"/>
        <v>2.9045741267700476E-2</v>
      </c>
      <c r="T1784" s="87">
        <f t="shared" si="166"/>
        <v>9.2736367853290327E-3</v>
      </c>
      <c r="U1784" s="87">
        <f t="shared" si="166"/>
        <v>5.4496047675646848E-3</v>
      </c>
      <c r="V1784" s="87">
        <f t="shared" si="166"/>
        <v>2.5736714644049665E-2</v>
      </c>
      <c r="W1784" s="87">
        <f t="shared" si="166"/>
        <v>0</v>
      </c>
      <c r="X1784" s="87">
        <f t="shared" si="166"/>
        <v>2.5317807984290001E-2</v>
      </c>
      <c r="Y1784" s="87">
        <f t="shared" si="166"/>
        <v>1.1904902506318239E-2</v>
      </c>
      <c r="Z1784" s="87">
        <f t="shared" si="166"/>
        <v>1.4388737452099452E-2</v>
      </c>
      <c r="AA1784" s="87">
        <f t="shared" si="166"/>
        <v>9.6247133742096928E-3</v>
      </c>
      <c r="AB1784" s="87">
        <f t="shared" si="164"/>
        <v>2.1506205220963682E-2</v>
      </c>
      <c r="AC1784" s="87">
        <f t="shared" si="164"/>
        <v>1.0969031370573937E-2</v>
      </c>
      <c r="AD1784" s="87">
        <f t="shared" si="164"/>
        <v>1.7282441148747968E-2</v>
      </c>
      <c r="AE1784" s="90">
        <f t="shared" si="168"/>
        <v>1.4765947048950052E-2</v>
      </c>
    </row>
    <row r="1785" spans="1:31" ht="15.5" x14ac:dyDescent="0.35">
      <c r="A1785" s="82">
        <v>42354</v>
      </c>
      <c r="B1785" s="83">
        <v>10267.799999999999</v>
      </c>
      <c r="C1785" s="84">
        <v>5071.1000000000004</v>
      </c>
      <c r="D1785" s="61">
        <v>757</v>
      </c>
      <c r="E1785" s="61">
        <v>32.9</v>
      </c>
      <c r="F1785" s="61">
        <v>108.8</v>
      </c>
      <c r="G1785" s="61">
        <v>54.8</v>
      </c>
      <c r="H1785" s="61">
        <v>7.3</v>
      </c>
      <c r="I1785" s="61">
        <v>32.700000000000003</v>
      </c>
      <c r="J1785" s="61">
        <v>17.2</v>
      </c>
      <c r="K1785" s="61">
        <v>7</v>
      </c>
      <c r="L1785" s="61">
        <v>53</v>
      </c>
      <c r="M1785" s="61">
        <v>47.8</v>
      </c>
      <c r="N1785" s="61">
        <v>54.9</v>
      </c>
      <c r="O1785" s="85">
        <v>64.400000000000006</v>
      </c>
      <c r="P1785" s="105"/>
      <c r="Q1785" s="87">
        <f t="shared" si="167"/>
        <v>1.5398734987544412E-2</v>
      </c>
      <c r="R1785" s="87">
        <f t="shared" si="166"/>
        <v>1.5040267620423433E-2</v>
      </c>
      <c r="S1785" s="87">
        <f t="shared" si="166"/>
        <v>-1.320132204922844E-3</v>
      </c>
      <c r="T1785" s="87">
        <f t="shared" si="166"/>
        <v>1.2232568435634451E-2</v>
      </c>
      <c r="U1785" s="87">
        <f t="shared" si="166"/>
        <v>-1.4598799421152749E-2</v>
      </c>
      <c r="V1785" s="87">
        <f t="shared" si="166"/>
        <v>-5.459522204898982E-3</v>
      </c>
      <c r="W1785" s="87">
        <f t="shared" si="166"/>
        <v>1.3793322132335769E-2</v>
      </c>
      <c r="X1785" s="87">
        <f t="shared" si="166"/>
        <v>2.1639175103481248E-2</v>
      </c>
      <c r="Y1785" s="87">
        <f t="shared" si="166"/>
        <v>1.759576189037966E-2</v>
      </c>
      <c r="Z1785" s="87">
        <f t="shared" si="166"/>
        <v>0</v>
      </c>
      <c r="AA1785" s="87">
        <f t="shared" si="166"/>
        <v>1.5209418663528708E-2</v>
      </c>
      <c r="AB1785" s="87">
        <f t="shared" si="164"/>
        <v>1.6878037787351731E-2</v>
      </c>
      <c r="AC1785" s="87">
        <f t="shared" si="164"/>
        <v>-1.8198367169859828E-3</v>
      </c>
      <c r="AD1785" s="87">
        <f t="shared" si="164"/>
        <v>3.1104224143925518E-3</v>
      </c>
      <c r="AE1785" s="90">
        <f t="shared" si="168"/>
        <v>3.2551147236008329E-4</v>
      </c>
    </row>
    <row r="1786" spans="1:31" ht="15.5" x14ac:dyDescent="0.35">
      <c r="A1786" s="82">
        <v>42355</v>
      </c>
      <c r="B1786" s="83">
        <v>10112.6</v>
      </c>
      <c r="C1786" s="84">
        <v>5002.5</v>
      </c>
      <c r="D1786" s="61">
        <v>769.3</v>
      </c>
      <c r="E1786" s="61">
        <v>33.1</v>
      </c>
      <c r="F1786" s="61">
        <v>109</v>
      </c>
      <c r="G1786" s="61">
        <v>55.5</v>
      </c>
      <c r="H1786" s="61">
        <v>7.6</v>
      </c>
      <c r="I1786" s="61">
        <v>32.4</v>
      </c>
      <c r="J1786" s="61">
        <v>17.2</v>
      </c>
      <c r="K1786" s="61">
        <v>6.6</v>
      </c>
      <c r="L1786" s="61">
        <v>52.7</v>
      </c>
      <c r="M1786" s="61">
        <v>47.3</v>
      </c>
      <c r="N1786" s="61">
        <v>55.5</v>
      </c>
      <c r="O1786" s="85">
        <v>65</v>
      </c>
      <c r="P1786" s="105"/>
      <c r="Q1786" s="87">
        <f t="shared" si="167"/>
        <v>-1.5230613742062053E-2</v>
      </c>
      <c r="R1786" s="87">
        <f t="shared" si="166"/>
        <v>-1.3619969119030533E-2</v>
      </c>
      <c r="S1786" s="87">
        <f t="shared" si="166"/>
        <v>1.6117757027440189E-2</v>
      </c>
      <c r="T1786" s="87">
        <f t="shared" si="166"/>
        <v>6.0606246116911748E-3</v>
      </c>
      <c r="U1786" s="87">
        <f t="shared" si="166"/>
        <v>1.836547807301552E-3</v>
      </c>
      <c r="V1786" s="87">
        <f t="shared" si="166"/>
        <v>1.2692826798419097E-2</v>
      </c>
      <c r="W1786" s="87">
        <f t="shared" si="166"/>
        <v>4.0273899137939898E-2</v>
      </c>
      <c r="X1786" s="87">
        <f t="shared" si="166"/>
        <v>-9.2166551049241759E-3</v>
      </c>
      <c r="Y1786" s="87">
        <f t="shared" si="166"/>
        <v>0</v>
      </c>
      <c r="Z1786" s="87">
        <f t="shared" si="166"/>
        <v>-5.8840500022933465E-2</v>
      </c>
      <c r="AA1786" s="87">
        <f t="shared" si="166"/>
        <v>-5.6764580048051906E-3</v>
      </c>
      <c r="AB1786" s="87">
        <f t="shared" si="164"/>
        <v>-1.0515343999523008E-2</v>
      </c>
      <c r="AC1786" s="87">
        <f t="shared" si="164"/>
        <v>1.0869672236903891E-2</v>
      </c>
      <c r="AD1786" s="87">
        <f t="shared" si="164"/>
        <v>9.2736367853290327E-3</v>
      </c>
      <c r="AE1786" s="90">
        <f t="shared" si="168"/>
        <v>2.2884737509679476E-3</v>
      </c>
    </row>
    <row r="1787" spans="1:31" ht="15.5" x14ac:dyDescent="0.35">
      <c r="A1787" s="82">
        <v>42356</v>
      </c>
      <c r="B1787" s="83">
        <v>9967.6</v>
      </c>
      <c r="C1787" s="84">
        <v>4923.1000000000004</v>
      </c>
      <c r="D1787" s="61">
        <v>756.6</v>
      </c>
      <c r="E1787" s="61">
        <v>32.9</v>
      </c>
      <c r="F1787" s="61">
        <v>105.8</v>
      </c>
      <c r="G1787" s="61">
        <v>54</v>
      </c>
      <c r="H1787" s="61">
        <v>7.5</v>
      </c>
      <c r="I1787" s="61">
        <v>31.8</v>
      </c>
      <c r="J1787" s="61">
        <v>17.2</v>
      </c>
      <c r="K1787" s="61">
        <v>6.5</v>
      </c>
      <c r="L1787" s="61">
        <v>51.6</v>
      </c>
      <c r="M1787" s="61">
        <v>46.4</v>
      </c>
      <c r="N1787" s="61">
        <v>54</v>
      </c>
      <c r="O1787" s="85">
        <v>64.2</v>
      </c>
      <c r="P1787" s="105"/>
      <c r="Q1787" s="87">
        <f t="shared" si="167"/>
        <v>-1.4442338258245604E-2</v>
      </c>
      <c r="R1787" s="87">
        <f t="shared" si="166"/>
        <v>-1.5999374088602483E-2</v>
      </c>
      <c r="S1787" s="87">
        <f t="shared" si="166"/>
        <v>-1.6646298265960049E-2</v>
      </c>
      <c r="T1787" s="87">
        <f t="shared" si="166"/>
        <v>-6.0606246116910699E-3</v>
      </c>
      <c r="U1787" s="87">
        <f t="shared" si="166"/>
        <v>-2.9797362804944695E-2</v>
      </c>
      <c r="V1787" s="87">
        <f t="shared" si="166"/>
        <v>-2.7398974188114388E-2</v>
      </c>
      <c r="W1787" s="87">
        <f t="shared" si="166"/>
        <v>-1.3245226750020567E-2</v>
      </c>
      <c r="X1787" s="87">
        <f t="shared" si="166"/>
        <v>-1.8692133012152522E-2</v>
      </c>
      <c r="Y1787" s="87">
        <f t="shared" si="166"/>
        <v>0</v>
      </c>
      <c r="Z1787" s="87">
        <f t="shared" si="166"/>
        <v>-1.5267472130788421E-2</v>
      </c>
      <c r="AA1787" s="87">
        <f t="shared" si="166"/>
        <v>-2.1093783059799594E-2</v>
      </c>
      <c r="AB1787" s="87">
        <f t="shared" si="164"/>
        <v>-1.9210836265677697E-2</v>
      </c>
      <c r="AC1787" s="87">
        <f t="shared" si="164"/>
        <v>-2.7398974188114388E-2</v>
      </c>
      <c r="AD1787" s="87">
        <f t="shared" si="164"/>
        <v>-1.2384059199721555E-2</v>
      </c>
      <c r="AE1787" s="90">
        <f t="shared" si="168"/>
        <v>-1.9694717261422221E-2</v>
      </c>
    </row>
    <row r="1788" spans="1:31" ht="15.5" x14ac:dyDescent="0.35">
      <c r="A1788" s="82">
        <v>42359</v>
      </c>
      <c r="B1788" s="83">
        <v>10023</v>
      </c>
      <c r="C1788" s="84">
        <v>4968.8999999999996</v>
      </c>
      <c r="D1788" s="61">
        <v>754.2</v>
      </c>
      <c r="E1788" s="61">
        <v>32.700000000000003</v>
      </c>
      <c r="F1788" s="61">
        <v>105.6</v>
      </c>
      <c r="G1788" s="61">
        <v>54.2</v>
      </c>
      <c r="H1788" s="61">
        <v>7.6</v>
      </c>
      <c r="I1788" s="61">
        <v>31.7</v>
      </c>
      <c r="J1788" s="61">
        <v>16.899999999999999</v>
      </c>
      <c r="K1788" s="61">
        <v>6.6</v>
      </c>
      <c r="L1788" s="61">
        <v>51.2</v>
      </c>
      <c r="M1788" s="61">
        <v>46.4</v>
      </c>
      <c r="N1788" s="61">
        <v>53.8</v>
      </c>
      <c r="O1788" s="85">
        <v>64.3</v>
      </c>
      <c r="P1788" s="105"/>
      <c r="Q1788" s="87">
        <f t="shared" si="167"/>
        <v>5.542619213713019E-3</v>
      </c>
      <c r="R1788" s="87">
        <f t="shared" si="166"/>
        <v>9.2600742569322551E-3</v>
      </c>
      <c r="S1788" s="87">
        <f t="shared" si="166"/>
        <v>-3.1771273746721246E-3</v>
      </c>
      <c r="T1788" s="87">
        <f t="shared" si="166"/>
        <v>-6.0975798681183338E-3</v>
      </c>
      <c r="U1788" s="87">
        <f t="shared" si="166"/>
        <v>-1.8921481520379265E-3</v>
      </c>
      <c r="V1788" s="87">
        <f t="shared" si="166"/>
        <v>3.6968618813262026E-3</v>
      </c>
      <c r="W1788" s="87">
        <f t="shared" si="166"/>
        <v>1.3245226750020505E-2</v>
      </c>
      <c r="X1788" s="87">
        <f t="shared" si="166"/>
        <v>-3.14960890289622E-3</v>
      </c>
      <c r="Y1788" s="87">
        <f t="shared" si="166"/>
        <v>-1.7595761890379601E-2</v>
      </c>
      <c r="Z1788" s="87">
        <f t="shared" si="166"/>
        <v>1.5267472130788381E-2</v>
      </c>
      <c r="AA1788" s="87">
        <f t="shared" si="166"/>
        <v>-7.7821404420549628E-3</v>
      </c>
      <c r="AB1788" s="87">
        <f t="shared" si="164"/>
        <v>0</v>
      </c>
      <c r="AC1788" s="87">
        <f t="shared" si="164"/>
        <v>-3.710579396535713E-3</v>
      </c>
      <c r="AD1788" s="87">
        <f t="shared" si="164"/>
        <v>1.556420547658158E-3</v>
      </c>
      <c r="AE1788" s="90">
        <f t="shared" si="168"/>
        <v>1.4936852133092676E-3</v>
      </c>
    </row>
    <row r="1789" spans="1:31" ht="15.5" x14ac:dyDescent="0.35">
      <c r="A1789" s="82">
        <v>42360</v>
      </c>
      <c r="B1789" s="83">
        <v>10112.4</v>
      </c>
      <c r="C1789" s="84">
        <v>5001.1000000000004</v>
      </c>
      <c r="D1789" s="61">
        <v>761.2</v>
      </c>
      <c r="E1789" s="61">
        <v>33</v>
      </c>
      <c r="F1789" s="61">
        <v>106.5</v>
      </c>
      <c r="G1789" s="61">
        <v>54.5</v>
      </c>
      <c r="H1789" s="61">
        <v>7.7</v>
      </c>
      <c r="I1789" s="61">
        <v>31.6</v>
      </c>
      <c r="J1789" s="61">
        <v>17</v>
      </c>
      <c r="K1789" s="61">
        <v>6.7</v>
      </c>
      <c r="L1789" s="61">
        <v>51.3</v>
      </c>
      <c r="M1789" s="61">
        <v>46.7</v>
      </c>
      <c r="N1789" s="61">
        <v>54.1</v>
      </c>
      <c r="O1789" s="85">
        <v>64.900000000000006</v>
      </c>
      <c r="P1789" s="105"/>
      <c r="Q1789" s="87">
        <f t="shared" si="167"/>
        <v>8.8799415414417288E-3</v>
      </c>
      <c r="R1789" s="87">
        <f t="shared" si="166"/>
        <v>6.459400593568013E-3</v>
      </c>
      <c r="S1789" s="87">
        <f t="shared" si="166"/>
        <v>9.2385505977376214E-3</v>
      </c>
      <c r="T1789" s="87">
        <f t="shared" si="166"/>
        <v>9.1324835632724723E-3</v>
      </c>
      <c r="U1789" s="87">
        <f t="shared" si="166"/>
        <v>8.4866138773187251E-3</v>
      </c>
      <c r="V1789" s="87">
        <f t="shared" si="166"/>
        <v>5.5197932235979017E-3</v>
      </c>
      <c r="W1789" s="87">
        <f t="shared" si="166"/>
        <v>1.3072081567352921E-2</v>
      </c>
      <c r="X1789" s="87">
        <f t="shared" si="166"/>
        <v>-3.1595602903684815E-3</v>
      </c>
      <c r="Y1789" s="87">
        <f t="shared" si="166"/>
        <v>5.899722127188322E-3</v>
      </c>
      <c r="Z1789" s="87">
        <f t="shared" si="166"/>
        <v>1.5037877364540502E-2</v>
      </c>
      <c r="AA1789" s="87">
        <f t="shared" si="166"/>
        <v>1.9512201312615277E-3</v>
      </c>
      <c r="AB1789" s="87">
        <f t="shared" si="164"/>
        <v>6.4447054426421835E-3</v>
      </c>
      <c r="AC1789" s="87">
        <f t="shared" si="164"/>
        <v>5.5607186846971792E-3</v>
      </c>
      <c r="AD1789" s="87">
        <f t="shared" si="164"/>
        <v>9.2879924664707215E-3</v>
      </c>
      <c r="AE1789" s="90">
        <f t="shared" si="168"/>
        <v>8.1965061436146559E-3</v>
      </c>
    </row>
    <row r="1790" spans="1:31" ht="15.5" x14ac:dyDescent="0.35">
      <c r="A1790" s="82">
        <v>42361</v>
      </c>
      <c r="B1790" s="83">
        <v>10276.299999999999</v>
      </c>
      <c r="C1790" s="84">
        <v>5045.8999999999996</v>
      </c>
      <c r="D1790" s="61">
        <v>757.7</v>
      </c>
      <c r="E1790" s="61">
        <v>34</v>
      </c>
      <c r="F1790" s="61">
        <v>107.2</v>
      </c>
      <c r="G1790" s="61">
        <v>55.4</v>
      </c>
      <c r="H1790" s="61">
        <v>7.9</v>
      </c>
      <c r="I1790" s="61">
        <v>32.4</v>
      </c>
      <c r="J1790" s="61">
        <v>17.8</v>
      </c>
      <c r="K1790" s="61">
        <v>6.8</v>
      </c>
      <c r="L1790" s="61">
        <v>52.4</v>
      </c>
      <c r="M1790" s="61">
        <v>47.4</v>
      </c>
      <c r="N1790" s="61">
        <v>55</v>
      </c>
      <c r="O1790" s="85">
        <v>63.9</v>
      </c>
      <c r="P1790" s="105"/>
      <c r="Q1790" s="87">
        <f t="shared" si="167"/>
        <v>1.6077879476326242E-2</v>
      </c>
      <c r="R1790" s="87">
        <f t="shared" si="166"/>
        <v>8.918144107475769E-3</v>
      </c>
      <c r="S1790" s="87">
        <f t="shared" si="166"/>
        <v>-4.6086064846667532E-3</v>
      </c>
      <c r="T1790" s="87">
        <f t="shared" si="166"/>
        <v>2.9852963149681128E-2</v>
      </c>
      <c r="U1790" s="87">
        <f t="shared" si="166"/>
        <v>6.5512634872217281E-3</v>
      </c>
      <c r="V1790" s="87">
        <f t="shared" si="166"/>
        <v>1.6378892084039681E-2</v>
      </c>
      <c r="W1790" s="87">
        <f t="shared" si="166"/>
        <v>2.5642430613337652E-2</v>
      </c>
      <c r="X1790" s="87">
        <f t="shared" si="166"/>
        <v>2.5001302205417186E-2</v>
      </c>
      <c r="Y1790" s="87">
        <f t="shared" si="166"/>
        <v>4.5985113241823437E-2</v>
      </c>
      <c r="Z1790" s="87">
        <f t="shared" si="166"/>
        <v>1.4815085785140682E-2</v>
      </c>
      <c r="AA1790" s="87">
        <f t="shared" si="166"/>
        <v>2.1215839150272572E-2</v>
      </c>
      <c r="AB1790" s="87">
        <f t="shared" si="164"/>
        <v>1.4878064026179076E-2</v>
      </c>
      <c r="AC1790" s="87">
        <f t="shared" si="164"/>
        <v>1.649899938003507E-2</v>
      </c>
      <c r="AD1790" s="87">
        <f t="shared" si="164"/>
        <v>-1.5528262326555334E-2</v>
      </c>
      <c r="AE1790" s="90">
        <f t="shared" si="168"/>
        <v>1.3097929134361101E-3</v>
      </c>
    </row>
    <row r="1791" spans="1:31" ht="15.5" x14ac:dyDescent="0.35">
      <c r="A1791" s="82">
        <v>42362</v>
      </c>
      <c r="B1791" s="83">
        <v>10258.5</v>
      </c>
      <c r="C1791" s="84">
        <v>5048.5</v>
      </c>
      <c r="D1791" s="61">
        <v>764.4</v>
      </c>
      <c r="E1791" s="61">
        <v>34.1</v>
      </c>
      <c r="F1791" s="61">
        <v>108</v>
      </c>
      <c r="G1791" s="61">
        <v>55.4</v>
      </c>
      <c r="H1791" s="61">
        <v>8.1</v>
      </c>
      <c r="I1791" s="61">
        <v>32.700000000000003</v>
      </c>
      <c r="J1791" s="61">
        <v>18</v>
      </c>
      <c r="K1791" s="61">
        <v>6.9</v>
      </c>
      <c r="L1791" s="61">
        <v>52.6</v>
      </c>
      <c r="M1791" s="61">
        <v>48.1</v>
      </c>
      <c r="N1791" s="61">
        <v>55.7</v>
      </c>
      <c r="O1791" s="85">
        <v>62.2</v>
      </c>
      <c r="P1791" s="105"/>
      <c r="Q1791" s="87">
        <f t="shared" si="167"/>
        <v>-1.7336428363737527E-3</v>
      </c>
      <c r="R1791" s="87">
        <f t="shared" si="166"/>
        <v>5.1513711711365063E-4</v>
      </c>
      <c r="S1791" s="87">
        <f t="shared" ref="S1791:AD1813" si="169">+LN(D1791/D1790)</f>
        <v>8.803683428790246E-3</v>
      </c>
      <c r="T1791" s="87">
        <f t="shared" si="169"/>
        <v>2.9368596733097057E-3</v>
      </c>
      <c r="U1791" s="87">
        <f t="shared" si="169"/>
        <v>7.4349784875179905E-3</v>
      </c>
      <c r="V1791" s="87">
        <f t="shared" si="169"/>
        <v>0</v>
      </c>
      <c r="W1791" s="87">
        <f t="shared" si="169"/>
        <v>2.5001302205417186E-2</v>
      </c>
      <c r="X1791" s="87">
        <f t="shared" si="169"/>
        <v>9.2166551049240476E-3</v>
      </c>
      <c r="Y1791" s="87">
        <f t="shared" si="169"/>
        <v>1.1173300598125255E-2</v>
      </c>
      <c r="Z1791" s="87">
        <f t="shared" si="169"/>
        <v>1.4598799421152851E-2</v>
      </c>
      <c r="AA1791" s="87">
        <f t="shared" si="169"/>
        <v>3.8095284166676487E-3</v>
      </c>
      <c r="AB1791" s="87">
        <f t="shared" si="164"/>
        <v>1.4659948410684836E-2</v>
      </c>
      <c r="AC1791" s="87">
        <f t="shared" si="164"/>
        <v>1.264696170076739E-2</v>
      </c>
      <c r="AD1791" s="87">
        <f t="shared" si="164"/>
        <v>-2.6964361638355298E-2</v>
      </c>
      <c r="AE1791" s="90">
        <f t="shared" si="168"/>
        <v>1.580294866147673E-3</v>
      </c>
    </row>
    <row r="1792" spans="1:31" ht="15.5" x14ac:dyDescent="0.35">
      <c r="A1792" s="82">
        <v>42366</v>
      </c>
      <c r="B1792" s="83">
        <v>10217.4</v>
      </c>
      <c r="C1792" s="84">
        <v>5041</v>
      </c>
      <c r="D1792" s="61">
        <v>767.7</v>
      </c>
      <c r="E1792" s="61">
        <v>33.4</v>
      </c>
      <c r="F1792" s="61">
        <v>106.2</v>
      </c>
      <c r="G1792" s="61">
        <v>55</v>
      </c>
      <c r="H1792" s="61">
        <v>8</v>
      </c>
      <c r="I1792" s="61">
        <v>32.299999999999997</v>
      </c>
      <c r="J1792" s="61">
        <v>17.7</v>
      </c>
      <c r="K1792" s="61">
        <v>6.9</v>
      </c>
      <c r="L1792" s="61">
        <v>52.6</v>
      </c>
      <c r="M1792" s="61">
        <v>47.7</v>
      </c>
      <c r="N1792" s="61">
        <v>55.4</v>
      </c>
      <c r="O1792" s="85">
        <v>62.8</v>
      </c>
      <c r="P1792" s="105"/>
      <c r="Q1792" s="87">
        <f t="shared" si="167"/>
        <v>-4.0144809456465246E-3</v>
      </c>
      <c r="R1792" s="87">
        <f t="shared" ref="R1792:X1850" si="170">+LN(C1792/C1791)</f>
        <v>-1.4866943617449404E-3</v>
      </c>
      <c r="S1792" s="87">
        <f t="shared" si="169"/>
        <v>4.307819467734955E-3</v>
      </c>
      <c r="T1792" s="87">
        <f t="shared" si="169"/>
        <v>-2.0741484306816469E-2</v>
      </c>
      <c r="U1792" s="87">
        <f t="shared" si="169"/>
        <v>-1.6807118316381174E-2</v>
      </c>
      <c r="V1792" s="87">
        <f t="shared" si="169"/>
        <v>-7.2464085207671978E-3</v>
      </c>
      <c r="W1792" s="87">
        <f t="shared" si="169"/>
        <v>-1.2422519998557096E-2</v>
      </c>
      <c r="X1792" s="87">
        <f t="shared" si="169"/>
        <v>-1.230784767459704E-2</v>
      </c>
      <c r="Y1792" s="87">
        <f t="shared" si="169"/>
        <v>-1.6807118316381289E-2</v>
      </c>
      <c r="Z1792" s="87">
        <f t="shared" si="169"/>
        <v>0</v>
      </c>
      <c r="AA1792" s="87">
        <f t="shared" si="169"/>
        <v>0</v>
      </c>
      <c r="AB1792" s="87">
        <f t="shared" si="164"/>
        <v>-8.3507792174199631E-3</v>
      </c>
      <c r="AC1792" s="87">
        <f t="shared" si="164"/>
        <v>-5.4005531800002775E-3</v>
      </c>
      <c r="AD1792" s="87">
        <f t="shared" si="164"/>
        <v>9.6000737290191374E-3</v>
      </c>
      <c r="AE1792" s="90">
        <f t="shared" si="168"/>
        <v>-2.8233957214040678E-3</v>
      </c>
    </row>
    <row r="1793" spans="1:31" ht="15.5" x14ac:dyDescent="0.35">
      <c r="A1793" s="82">
        <v>42367</v>
      </c>
      <c r="B1793" s="83">
        <v>10306.6</v>
      </c>
      <c r="C1793" s="84">
        <v>5107.8999999999996</v>
      </c>
      <c r="D1793" s="61">
        <v>786.2</v>
      </c>
      <c r="E1793" s="61">
        <v>33.6</v>
      </c>
      <c r="F1793" s="61">
        <v>106.9</v>
      </c>
      <c r="G1793" s="61">
        <v>56.1</v>
      </c>
      <c r="H1793" s="61">
        <v>7.8</v>
      </c>
      <c r="I1793" s="61">
        <v>32.9</v>
      </c>
      <c r="J1793" s="61">
        <v>17.7</v>
      </c>
      <c r="K1793" s="61">
        <v>6.8</v>
      </c>
      <c r="L1793" s="61">
        <v>52.9</v>
      </c>
      <c r="M1793" s="61">
        <v>48.6</v>
      </c>
      <c r="N1793" s="61">
        <v>56.1</v>
      </c>
      <c r="O1793" s="85">
        <v>64</v>
      </c>
      <c r="P1793" s="105"/>
      <c r="Q1793" s="87">
        <f t="shared" si="167"/>
        <v>8.6923174464110173E-3</v>
      </c>
      <c r="R1793" s="87">
        <f t="shared" si="170"/>
        <v>1.3183885744256812E-2</v>
      </c>
      <c r="S1793" s="87">
        <f t="shared" si="169"/>
        <v>2.3812181153907118E-2</v>
      </c>
      <c r="T1793" s="87">
        <f t="shared" si="169"/>
        <v>5.9701669865039747E-3</v>
      </c>
      <c r="U1793" s="87">
        <f t="shared" si="169"/>
        <v>6.5697092231610408E-3</v>
      </c>
      <c r="V1793" s="87">
        <f t="shared" si="169"/>
        <v>1.980262729617973E-2</v>
      </c>
      <c r="W1793" s="87">
        <f t="shared" si="169"/>
        <v>-2.5317807984289897E-2</v>
      </c>
      <c r="X1793" s="87">
        <f t="shared" si="169"/>
        <v>1.8405427542715343E-2</v>
      </c>
      <c r="Y1793" s="87">
        <f t="shared" si="169"/>
        <v>0</v>
      </c>
      <c r="Z1793" s="87">
        <f t="shared" si="169"/>
        <v>-1.4598799421152749E-2</v>
      </c>
      <c r="AA1793" s="87">
        <f t="shared" si="169"/>
        <v>5.6872191205895144E-3</v>
      </c>
      <c r="AB1793" s="87">
        <f t="shared" si="164"/>
        <v>1.8692133012152546E-2</v>
      </c>
      <c r="AC1793" s="87">
        <f t="shared" si="164"/>
        <v>1.2556218775412464E-2</v>
      </c>
      <c r="AD1793" s="87">
        <f t="shared" si="164"/>
        <v>1.8928009885518859E-2</v>
      </c>
      <c r="AE1793" s="90">
        <f t="shared" si="168"/>
        <v>1.5102409203577761E-2</v>
      </c>
    </row>
    <row r="1794" spans="1:31" ht="15.5" x14ac:dyDescent="0.35">
      <c r="A1794" s="82">
        <v>42368</v>
      </c>
      <c r="B1794" s="83">
        <v>10225.799999999999</v>
      </c>
      <c r="C1794" s="84">
        <v>5065.8999999999996</v>
      </c>
      <c r="D1794" s="61">
        <v>787.2</v>
      </c>
      <c r="E1794" s="61">
        <v>33.4</v>
      </c>
      <c r="F1794" s="61">
        <v>107.2</v>
      </c>
      <c r="G1794" s="61">
        <v>56.3</v>
      </c>
      <c r="H1794" s="61">
        <v>7.9</v>
      </c>
      <c r="I1794" s="61">
        <v>33.1</v>
      </c>
      <c r="J1794" s="61">
        <v>17.3</v>
      </c>
      <c r="K1794" s="61">
        <v>6.7</v>
      </c>
      <c r="L1794" s="61">
        <v>53.1</v>
      </c>
      <c r="M1794" s="61">
        <v>48.6</v>
      </c>
      <c r="N1794" s="61">
        <v>55.8</v>
      </c>
      <c r="O1794" s="85">
        <v>63.2</v>
      </c>
      <c r="P1794" s="105"/>
      <c r="Q1794" s="87">
        <f t="shared" si="167"/>
        <v>-7.870528247779212E-3</v>
      </c>
      <c r="R1794" s="87">
        <f t="shared" si="170"/>
        <v>-8.2565488994924274E-3</v>
      </c>
      <c r="S1794" s="87">
        <f t="shared" si="169"/>
        <v>1.2711327502836723E-3</v>
      </c>
      <c r="T1794" s="87">
        <f t="shared" si="169"/>
        <v>-5.9701669865039079E-3</v>
      </c>
      <c r="U1794" s="87">
        <f t="shared" si="169"/>
        <v>2.8024306057021155E-3</v>
      </c>
      <c r="V1794" s="87">
        <f t="shared" si="169"/>
        <v>3.5587226169939328E-3</v>
      </c>
      <c r="W1794" s="87">
        <f t="shared" si="169"/>
        <v>1.2739025777429932E-2</v>
      </c>
      <c r="X1794" s="87">
        <f t="shared" si="169"/>
        <v>6.0606246116911748E-3</v>
      </c>
      <c r="Y1794" s="87">
        <f t="shared" si="169"/>
        <v>-2.2858138076050097E-2</v>
      </c>
      <c r="Z1794" s="87">
        <f t="shared" si="169"/>
        <v>-1.4815085785140587E-2</v>
      </c>
      <c r="AA1794" s="87">
        <f t="shared" si="169"/>
        <v>3.7735893836394877E-3</v>
      </c>
      <c r="AB1794" s="87">
        <f t="shared" si="164"/>
        <v>0</v>
      </c>
      <c r="AC1794" s="87">
        <f t="shared" si="164"/>
        <v>-5.3619431413853991E-3</v>
      </c>
      <c r="AD1794" s="87">
        <f t="shared" si="164"/>
        <v>-1.2578782206860073E-2</v>
      </c>
      <c r="AE1794" s="90">
        <f t="shared" si="168"/>
        <v>-2.8303507852142718E-3</v>
      </c>
    </row>
    <row r="1795" spans="1:31" ht="15.5" x14ac:dyDescent="0.35">
      <c r="A1795" s="82">
        <v>42369</v>
      </c>
      <c r="B1795" s="83">
        <v>10143.4</v>
      </c>
      <c r="C1795" s="84">
        <v>5007.3999999999996</v>
      </c>
      <c r="D1795" s="61">
        <v>777.3</v>
      </c>
      <c r="E1795" s="61">
        <v>33.200000000000003</v>
      </c>
      <c r="F1795" s="61">
        <v>104.8</v>
      </c>
      <c r="G1795" s="61">
        <v>55.4</v>
      </c>
      <c r="H1795" s="61">
        <v>7.6</v>
      </c>
      <c r="I1795" s="61">
        <v>32.6</v>
      </c>
      <c r="J1795" s="61">
        <v>17</v>
      </c>
      <c r="K1795" s="61">
        <v>6.7</v>
      </c>
      <c r="L1795" s="61">
        <v>52.7</v>
      </c>
      <c r="M1795" s="61">
        <v>48.1</v>
      </c>
      <c r="N1795" s="61">
        <v>55.5</v>
      </c>
      <c r="O1795" s="85">
        <v>62.5</v>
      </c>
      <c r="P1795" s="105"/>
      <c r="Q1795" s="87">
        <f t="shared" si="167"/>
        <v>-8.090690796550561E-3</v>
      </c>
      <c r="R1795" s="87">
        <f t="shared" si="170"/>
        <v>-1.1614993631758606E-2</v>
      </c>
      <c r="S1795" s="87">
        <f t="shared" si="169"/>
        <v>-1.2655969501869799E-2</v>
      </c>
      <c r="T1795" s="87">
        <f t="shared" si="169"/>
        <v>-6.006024060211698E-3</v>
      </c>
      <c r="U1795" s="87">
        <f t="shared" si="169"/>
        <v>-2.2642476749759891E-2</v>
      </c>
      <c r="V1795" s="87">
        <f t="shared" si="169"/>
        <v>-1.6114941392406587E-2</v>
      </c>
      <c r="W1795" s="87">
        <f t="shared" si="169"/>
        <v>-3.8714512180690511E-2</v>
      </c>
      <c r="X1795" s="87">
        <f t="shared" si="169"/>
        <v>-1.5220994010355243E-2</v>
      </c>
      <c r="Y1795" s="87">
        <f t="shared" si="169"/>
        <v>-1.749315744751723E-2</v>
      </c>
      <c r="Z1795" s="87">
        <f t="shared" si="169"/>
        <v>0</v>
      </c>
      <c r="AA1795" s="87">
        <f t="shared" si="169"/>
        <v>-7.5614727005764749E-3</v>
      </c>
      <c r="AB1795" s="87">
        <f t="shared" si="169"/>
        <v>-1.0341353794732595E-2</v>
      </c>
      <c r="AC1795" s="87">
        <f t="shared" si="169"/>
        <v>-5.3908486348764233E-3</v>
      </c>
      <c r="AD1795" s="87">
        <f t="shared" si="169"/>
        <v>-1.1137744410455983E-2</v>
      </c>
      <c r="AE1795" s="90">
        <f t="shared" si="168"/>
        <v>-1.5014932077846781E-2</v>
      </c>
    </row>
    <row r="1796" spans="1:31" ht="15.5" x14ac:dyDescent="0.35">
      <c r="A1796" s="82">
        <v>42373</v>
      </c>
      <c r="B1796" s="83">
        <v>10001.6</v>
      </c>
      <c r="C1796" s="84">
        <v>4903.1000000000004</v>
      </c>
      <c r="D1796" s="61">
        <v>747.5</v>
      </c>
      <c r="E1796" s="61">
        <v>31.1</v>
      </c>
      <c r="F1796" s="61">
        <v>102</v>
      </c>
      <c r="G1796" s="61">
        <v>53.4</v>
      </c>
      <c r="H1796" s="61">
        <v>7.3</v>
      </c>
      <c r="I1796" s="61">
        <v>31</v>
      </c>
      <c r="J1796" s="61">
        <v>16.8</v>
      </c>
      <c r="K1796" s="61">
        <v>6.5</v>
      </c>
      <c r="L1796" s="61">
        <v>51.6</v>
      </c>
      <c r="M1796" s="61">
        <v>46.3</v>
      </c>
      <c r="N1796" s="61">
        <v>54</v>
      </c>
      <c r="O1796" s="85">
        <v>60.9</v>
      </c>
      <c r="P1796" s="105"/>
      <c r="Q1796" s="87">
        <f t="shared" si="167"/>
        <v>-1.4078167485147314E-2</v>
      </c>
      <c r="R1796" s="87">
        <f t="shared" si="170"/>
        <v>-2.1049160176275651E-2</v>
      </c>
      <c r="S1796" s="87">
        <f t="shared" si="169"/>
        <v>-3.9092070971332396E-2</v>
      </c>
      <c r="T1796" s="87">
        <f t="shared" si="169"/>
        <v>-6.534205673725442E-2</v>
      </c>
      <c r="U1796" s="87">
        <f t="shared" si="169"/>
        <v>-2.7080958602670697E-2</v>
      </c>
      <c r="V1796" s="87">
        <f t="shared" si="169"/>
        <v>-3.6768847787088929E-2</v>
      </c>
      <c r="W1796" s="87">
        <f t="shared" si="169"/>
        <v>-4.027389913793996E-2</v>
      </c>
      <c r="X1796" s="87">
        <f t="shared" si="169"/>
        <v>-5.0325083887515769E-2</v>
      </c>
      <c r="Y1796" s="87">
        <f t="shared" si="169"/>
        <v>-1.1834457647002796E-2</v>
      </c>
      <c r="Z1796" s="87">
        <f t="shared" si="169"/>
        <v>-3.0305349495328922E-2</v>
      </c>
      <c r="AA1796" s="87">
        <f t="shared" si="169"/>
        <v>-2.1093783059799594E-2</v>
      </c>
      <c r="AB1796" s="87">
        <f t="shared" si="169"/>
        <v>-3.8140216019527225E-2</v>
      </c>
      <c r="AC1796" s="87">
        <f t="shared" si="169"/>
        <v>-2.7398974188114388E-2</v>
      </c>
      <c r="AD1796" s="87">
        <f t="shared" si="169"/>
        <v>-2.5933382026504543E-2</v>
      </c>
      <c r="AE1796" s="90">
        <f t="shared" si="168"/>
        <v>-2.8649875364601628E-2</v>
      </c>
    </row>
    <row r="1797" spans="1:31" ht="15.5" x14ac:dyDescent="0.35">
      <c r="A1797" s="82">
        <v>42374</v>
      </c>
      <c r="B1797" s="83">
        <v>10028.1</v>
      </c>
      <c r="C1797" s="84">
        <v>4891.3999999999996</v>
      </c>
      <c r="D1797" s="61">
        <v>755.7</v>
      </c>
      <c r="E1797" s="61">
        <v>31.5</v>
      </c>
      <c r="F1797" s="61">
        <v>102.4</v>
      </c>
      <c r="G1797" s="61">
        <v>54.5</v>
      </c>
      <c r="H1797" s="61">
        <v>7.1</v>
      </c>
      <c r="I1797" s="61">
        <v>30.7</v>
      </c>
      <c r="J1797" s="61">
        <v>16.7</v>
      </c>
      <c r="K1797" s="61">
        <v>6.9</v>
      </c>
      <c r="L1797" s="61">
        <v>52.7</v>
      </c>
      <c r="M1797" s="61">
        <v>46.2</v>
      </c>
      <c r="N1797" s="61">
        <v>55</v>
      </c>
      <c r="O1797" s="85">
        <v>61.7</v>
      </c>
      <c r="P1797" s="105"/>
      <c r="Q1797" s="87">
        <f t="shared" si="167"/>
        <v>2.6460721290963271E-3</v>
      </c>
      <c r="R1797" s="87">
        <f t="shared" si="170"/>
        <v>-2.3890970575507833E-3</v>
      </c>
      <c r="S1797" s="87">
        <f t="shared" si="169"/>
        <v>1.0910166761832709E-2</v>
      </c>
      <c r="T1797" s="87">
        <f t="shared" si="169"/>
        <v>1.2779726646398801E-2</v>
      </c>
      <c r="U1797" s="87">
        <f t="shared" si="169"/>
        <v>3.9138993211363148E-3</v>
      </c>
      <c r="V1797" s="87">
        <f t="shared" si="169"/>
        <v>2.0389955703049176E-2</v>
      </c>
      <c r="W1797" s="87">
        <f t="shared" si="169"/>
        <v>-2.7779564107075706E-2</v>
      </c>
      <c r="X1797" s="87">
        <f t="shared" si="169"/>
        <v>-9.7245498919947444E-3</v>
      </c>
      <c r="Y1797" s="87">
        <f t="shared" si="169"/>
        <v>-5.9701669865039079E-3</v>
      </c>
      <c r="Z1797" s="87">
        <f t="shared" si="169"/>
        <v>5.9719234701622277E-2</v>
      </c>
      <c r="AA1797" s="87">
        <f t="shared" si="169"/>
        <v>2.1093783059799628E-2</v>
      </c>
      <c r="AB1797" s="87">
        <f t="shared" si="169"/>
        <v>-2.1621630044951256E-3</v>
      </c>
      <c r="AC1797" s="87">
        <f t="shared" si="169"/>
        <v>1.8349138668196617E-2</v>
      </c>
      <c r="AD1797" s="87">
        <f t="shared" si="169"/>
        <v>1.3050756195490775E-2</v>
      </c>
      <c r="AE1797" s="90">
        <f t="shared" si="168"/>
        <v>5.183412069856206E-3</v>
      </c>
    </row>
    <row r="1798" spans="1:31" ht="15.5" x14ac:dyDescent="0.35">
      <c r="A1798" s="82">
        <v>42375</v>
      </c>
      <c r="B1798" s="83">
        <v>9868.2999999999993</v>
      </c>
      <c r="C1798" s="84">
        <v>4835.8</v>
      </c>
      <c r="D1798" s="61">
        <v>748</v>
      </c>
      <c r="E1798" s="61">
        <v>31.6</v>
      </c>
      <c r="F1798" s="61">
        <v>99.9</v>
      </c>
      <c r="G1798" s="61">
        <v>53.6</v>
      </c>
      <c r="H1798" s="61">
        <v>6.9</v>
      </c>
      <c r="I1798" s="61">
        <v>29.8</v>
      </c>
      <c r="J1798" s="61">
        <v>16</v>
      </c>
      <c r="K1798" s="61">
        <v>6.8</v>
      </c>
      <c r="L1798" s="61">
        <v>52.2</v>
      </c>
      <c r="M1798" s="61">
        <v>44.1</v>
      </c>
      <c r="N1798" s="61">
        <v>53</v>
      </c>
      <c r="O1798" s="85">
        <v>61.2</v>
      </c>
      <c r="P1798" s="105"/>
      <c r="Q1798" s="87">
        <f t="shared" si="167"/>
        <v>-1.6063552822385117E-2</v>
      </c>
      <c r="R1798" s="87">
        <f t="shared" si="170"/>
        <v>-1.1431985675299737E-2</v>
      </c>
      <c r="S1798" s="87">
        <f t="shared" si="169"/>
        <v>-1.0241494052197018E-2</v>
      </c>
      <c r="T1798" s="87">
        <f t="shared" si="169"/>
        <v>3.1695747612790395E-3</v>
      </c>
      <c r="U1798" s="87">
        <f t="shared" si="169"/>
        <v>-2.4717026950899574E-2</v>
      </c>
      <c r="V1798" s="87">
        <f t="shared" si="169"/>
        <v>-1.6651633592442032E-2</v>
      </c>
      <c r="W1798" s="87">
        <f t="shared" si="169"/>
        <v>-2.8573372444055885E-2</v>
      </c>
      <c r="X1798" s="87">
        <f t="shared" si="169"/>
        <v>-2.9754261081792601E-2</v>
      </c>
      <c r="Y1798" s="87">
        <f t="shared" si="169"/>
        <v>-4.2819997182928185E-2</v>
      </c>
      <c r="Z1798" s="87">
        <f t="shared" si="169"/>
        <v>-1.4598799421152749E-2</v>
      </c>
      <c r="AA1798" s="87">
        <f t="shared" si="169"/>
        <v>-9.5329606587236382E-3</v>
      </c>
      <c r="AB1798" s="87">
        <f t="shared" si="169"/>
        <v>-4.6520015634892928E-2</v>
      </c>
      <c r="AC1798" s="87">
        <f t="shared" si="169"/>
        <v>-3.7041271680349097E-2</v>
      </c>
      <c r="AD1798" s="87">
        <f t="shared" si="169"/>
        <v>-8.1367413930617128E-3</v>
      </c>
      <c r="AE1798" s="90">
        <f t="shared" si="168"/>
        <v>-1.4481631430727275E-2</v>
      </c>
    </row>
    <row r="1799" spans="1:31" ht="15.5" x14ac:dyDescent="0.35">
      <c r="A1799" s="82">
        <v>42376</v>
      </c>
      <c r="B1799" s="83">
        <v>9650.4</v>
      </c>
      <c r="C1799" s="84">
        <v>4689.3999999999996</v>
      </c>
      <c r="D1799" s="61">
        <v>735.3</v>
      </c>
      <c r="E1799" s="61">
        <v>30</v>
      </c>
      <c r="F1799" s="61">
        <v>96.4</v>
      </c>
      <c r="G1799" s="61">
        <v>52.1</v>
      </c>
      <c r="H1799" s="61">
        <v>6.6</v>
      </c>
      <c r="I1799" s="61">
        <v>28.6</v>
      </c>
      <c r="J1799" s="61">
        <v>15.8</v>
      </c>
      <c r="K1799" s="61">
        <v>7.1</v>
      </c>
      <c r="L1799" s="61">
        <v>51.4</v>
      </c>
      <c r="M1799" s="61">
        <v>42.3</v>
      </c>
      <c r="N1799" s="61">
        <v>50.9</v>
      </c>
      <c r="O1799" s="85">
        <v>59.8</v>
      </c>
      <c r="P1799" s="105"/>
      <c r="Q1799" s="87">
        <f t="shared" si="167"/>
        <v>-2.2328234233085293E-2</v>
      </c>
      <c r="R1799" s="87">
        <f t="shared" si="170"/>
        <v>-3.0741932899875254E-2</v>
      </c>
      <c r="S1799" s="87">
        <f t="shared" si="169"/>
        <v>-1.7124398772300764E-2</v>
      </c>
      <c r="T1799" s="87">
        <f t="shared" si="169"/>
        <v>-5.1959738930711104E-2</v>
      </c>
      <c r="U1799" s="87">
        <f t="shared" si="169"/>
        <v>-3.5663484038007891E-2</v>
      </c>
      <c r="V1799" s="87">
        <f t="shared" si="169"/>
        <v>-2.8384119317435126E-2</v>
      </c>
      <c r="W1799" s="87">
        <f t="shared" si="169"/>
        <v>-4.4451762570833921E-2</v>
      </c>
      <c r="X1799" s="87">
        <f t="shared" si="169"/>
        <v>-4.11016756855518E-2</v>
      </c>
      <c r="Y1799" s="87">
        <f t="shared" si="169"/>
        <v>-1.2578782206860073E-2</v>
      </c>
      <c r="Z1799" s="87">
        <f t="shared" si="169"/>
        <v>4.3172171865208782E-2</v>
      </c>
      <c r="AA1799" s="87">
        <f t="shared" si="169"/>
        <v>-1.5444322427473744E-2</v>
      </c>
      <c r="AB1799" s="87">
        <f t="shared" si="169"/>
        <v>-4.1672696400568074E-2</v>
      </c>
      <c r="AC1799" s="87">
        <f t="shared" si="169"/>
        <v>-4.0428989995644767E-2</v>
      </c>
      <c r="AD1799" s="87">
        <f t="shared" si="169"/>
        <v>-2.3141528561694491E-2</v>
      </c>
      <c r="AE1799" s="90">
        <f t="shared" si="168"/>
        <v>-2.72386518944219E-2</v>
      </c>
    </row>
    <row r="1800" spans="1:31" ht="15.5" x14ac:dyDescent="0.35">
      <c r="A1800" s="82">
        <v>42377</v>
      </c>
      <c r="B1800" s="83">
        <v>9528.7999999999993</v>
      </c>
      <c r="C1800" s="84">
        <v>4643.6000000000004</v>
      </c>
      <c r="D1800" s="61">
        <v>728.9</v>
      </c>
      <c r="E1800" s="61">
        <v>30</v>
      </c>
      <c r="F1800" s="61">
        <v>96.8</v>
      </c>
      <c r="G1800" s="61">
        <v>52.2</v>
      </c>
      <c r="H1800" s="61">
        <v>6.5</v>
      </c>
      <c r="I1800" s="61">
        <v>28</v>
      </c>
      <c r="J1800" s="61">
        <v>16</v>
      </c>
      <c r="K1800" s="61">
        <v>7.1</v>
      </c>
      <c r="L1800" s="61">
        <v>50.9</v>
      </c>
      <c r="M1800" s="61">
        <v>42</v>
      </c>
      <c r="N1800" s="61">
        <v>50.5</v>
      </c>
      <c r="O1800" s="85">
        <v>58.7</v>
      </c>
      <c r="P1800" s="105"/>
      <c r="Q1800" s="87">
        <f t="shared" si="167"/>
        <v>-1.268057368448282E-2</v>
      </c>
      <c r="R1800" s="87">
        <f t="shared" si="170"/>
        <v>-9.8147150227544545E-3</v>
      </c>
      <c r="S1800" s="87">
        <f t="shared" si="169"/>
        <v>-8.742030814009252E-3</v>
      </c>
      <c r="T1800" s="87">
        <f t="shared" si="169"/>
        <v>0</v>
      </c>
      <c r="U1800" s="87">
        <f t="shared" si="169"/>
        <v>4.1407926660313871E-3</v>
      </c>
      <c r="V1800" s="87">
        <f t="shared" si="169"/>
        <v>1.9175461292718545E-3</v>
      </c>
      <c r="W1800" s="87">
        <f t="shared" si="169"/>
        <v>-1.5267472130788421E-2</v>
      </c>
      <c r="X1800" s="87">
        <f t="shared" si="169"/>
        <v>-2.1202207650603051E-2</v>
      </c>
      <c r="Y1800" s="87">
        <f t="shared" si="169"/>
        <v>1.2578782206859965E-2</v>
      </c>
      <c r="Z1800" s="87">
        <f t="shared" si="169"/>
        <v>0</v>
      </c>
      <c r="AA1800" s="87">
        <f t="shared" si="169"/>
        <v>-9.7752489046423301E-3</v>
      </c>
      <c r="AB1800" s="87">
        <f t="shared" si="169"/>
        <v>-7.1174677688638785E-3</v>
      </c>
      <c r="AC1800" s="87">
        <f t="shared" si="169"/>
        <v>-7.8895872751629324E-3</v>
      </c>
      <c r="AD1800" s="87">
        <f t="shared" si="169"/>
        <v>-1.8565934122535162E-2</v>
      </c>
      <c r="AE1800" s="90">
        <f t="shared" si="168"/>
        <v>-6.573943853330471E-3</v>
      </c>
    </row>
    <row r="1801" spans="1:31" ht="15.5" x14ac:dyDescent="0.35">
      <c r="A1801" s="82">
        <v>42380</v>
      </c>
      <c r="B1801" s="83">
        <v>9527.7000000000007</v>
      </c>
      <c r="C1801" s="84">
        <v>4638</v>
      </c>
      <c r="D1801" s="61">
        <v>719.6</v>
      </c>
      <c r="E1801" s="61">
        <v>29.7</v>
      </c>
      <c r="F1801" s="61">
        <v>97.3</v>
      </c>
      <c r="G1801" s="61">
        <v>51.5</v>
      </c>
      <c r="H1801" s="61">
        <v>6.3</v>
      </c>
      <c r="I1801" s="61">
        <v>28</v>
      </c>
      <c r="J1801" s="61">
        <v>15.4</v>
      </c>
      <c r="K1801" s="61">
        <v>7.1</v>
      </c>
      <c r="L1801" s="61">
        <v>50.6</v>
      </c>
      <c r="M1801" s="61">
        <v>41</v>
      </c>
      <c r="N1801" s="61">
        <v>49.7</v>
      </c>
      <c r="O1801" s="85">
        <v>58.5</v>
      </c>
      <c r="P1801" s="105"/>
      <c r="Q1801" s="87">
        <f t="shared" si="167"/>
        <v>-1.1544617334976123E-4</v>
      </c>
      <c r="R1801" s="87">
        <f t="shared" si="170"/>
        <v>-1.2066886484037903E-3</v>
      </c>
      <c r="S1801" s="87">
        <f t="shared" si="169"/>
        <v>-1.2841046311789192E-2</v>
      </c>
      <c r="T1801" s="87">
        <f t="shared" si="169"/>
        <v>-1.0050335853501451E-2</v>
      </c>
      <c r="U1801" s="87">
        <f t="shared" si="169"/>
        <v>5.1519949094281118E-3</v>
      </c>
      <c r="V1801" s="87">
        <f t="shared" si="169"/>
        <v>-1.3500687218902576E-2</v>
      </c>
      <c r="W1801" s="87">
        <f t="shared" si="169"/>
        <v>-3.1252543504104426E-2</v>
      </c>
      <c r="X1801" s="87">
        <f t="shared" si="169"/>
        <v>0</v>
      </c>
      <c r="Y1801" s="87">
        <f t="shared" si="169"/>
        <v>-3.8221212820197741E-2</v>
      </c>
      <c r="Z1801" s="87">
        <f t="shared" si="169"/>
        <v>0</v>
      </c>
      <c r="AA1801" s="87">
        <f t="shared" si="169"/>
        <v>-5.9113472630571264E-3</v>
      </c>
      <c r="AB1801" s="87">
        <f t="shared" si="169"/>
        <v>-2.409755157906053E-2</v>
      </c>
      <c r="AC1801" s="87">
        <f t="shared" si="169"/>
        <v>-1.5968403178731001E-2</v>
      </c>
      <c r="AD1801" s="87">
        <f t="shared" si="169"/>
        <v>-3.4129725962399574E-3</v>
      </c>
      <c r="AE1801" s="90">
        <f t="shared" si="168"/>
        <v>-3.0627883524401212E-3</v>
      </c>
    </row>
    <row r="1802" spans="1:31" ht="15.5" x14ac:dyDescent="0.35">
      <c r="A1802" s="82">
        <v>42381</v>
      </c>
      <c r="B1802" s="83">
        <v>9576.5</v>
      </c>
      <c r="C1802" s="84">
        <v>4685.8999999999996</v>
      </c>
      <c r="D1802" s="61">
        <v>736.4</v>
      </c>
      <c r="E1802" s="61">
        <v>30.2</v>
      </c>
      <c r="F1802" s="61">
        <v>98.8</v>
      </c>
      <c r="G1802" s="61">
        <v>52.1</v>
      </c>
      <c r="H1802" s="61">
        <v>6.8</v>
      </c>
      <c r="I1802" s="61">
        <v>28.2</v>
      </c>
      <c r="J1802" s="61">
        <v>15</v>
      </c>
      <c r="K1802" s="61">
        <v>7.1</v>
      </c>
      <c r="L1802" s="61">
        <v>51</v>
      </c>
      <c r="M1802" s="61">
        <v>41.4</v>
      </c>
      <c r="N1802" s="61">
        <v>49.9</v>
      </c>
      <c r="O1802" s="85">
        <v>59.6</v>
      </c>
      <c r="P1802" s="105"/>
      <c r="Q1802" s="87">
        <f t="shared" si="167"/>
        <v>5.1088353493744737E-3</v>
      </c>
      <c r="R1802" s="87">
        <f t="shared" si="170"/>
        <v>1.0274760862374084E-2</v>
      </c>
      <c r="S1802" s="87">
        <f t="shared" si="169"/>
        <v>2.3077947282544673E-2</v>
      </c>
      <c r="T1802" s="87">
        <f t="shared" si="169"/>
        <v>1.6694878572170054E-2</v>
      </c>
      <c r="U1802" s="87">
        <f t="shared" si="169"/>
        <v>1.5298615561862721E-2</v>
      </c>
      <c r="V1802" s="87">
        <f t="shared" si="169"/>
        <v>1.1583141089630855E-2</v>
      </c>
      <c r="W1802" s="87">
        <f t="shared" si="169"/>
        <v>7.6372978784573956E-2</v>
      </c>
      <c r="X1802" s="87">
        <f t="shared" si="169"/>
        <v>7.1174677688639549E-3</v>
      </c>
      <c r="Y1802" s="87">
        <f t="shared" si="169"/>
        <v>-2.6317308317373417E-2</v>
      </c>
      <c r="Z1802" s="87">
        <f t="shared" si="169"/>
        <v>0</v>
      </c>
      <c r="AA1802" s="87">
        <f t="shared" si="169"/>
        <v>7.8740564309058656E-3</v>
      </c>
      <c r="AB1802" s="87">
        <f t="shared" si="169"/>
        <v>9.7088141269609032E-3</v>
      </c>
      <c r="AC1802" s="87">
        <f t="shared" si="169"/>
        <v>4.0160696548897437E-3</v>
      </c>
      <c r="AD1802" s="87">
        <f t="shared" si="169"/>
        <v>1.8628819833493199E-2</v>
      </c>
      <c r="AE1802" s="90">
        <f t="shared" si="168"/>
        <v>1.6475013949780258E-2</v>
      </c>
    </row>
    <row r="1803" spans="1:31" ht="15.5" x14ac:dyDescent="0.35">
      <c r="A1803" s="82">
        <v>42382</v>
      </c>
      <c r="B1803" s="83">
        <v>9374.2000000000007</v>
      </c>
      <c r="C1803" s="84">
        <v>4526.1000000000004</v>
      </c>
      <c r="D1803" s="61">
        <v>716.8</v>
      </c>
      <c r="E1803" s="61">
        <v>29.3</v>
      </c>
      <c r="F1803" s="61">
        <v>97.3</v>
      </c>
      <c r="G1803" s="61">
        <v>51.3</v>
      </c>
      <c r="H1803" s="61">
        <v>7</v>
      </c>
      <c r="I1803" s="61">
        <v>27.5</v>
      </c>
      <c r="J1803" s="61">
        <v>15.5</v>
      </c>
      <c r="K1803" s="61">
        <v>7.2</v>
      </c>
      <c r="L1803" s="61">
        <v>50.6</v>
      </c>
      <c r="M1803" s="61">
        <v>42.9</v>
      </c>
      <c r="N1803" s="61">
        <v>49.6</v>
      </c>
      <c r="O1803" s="85">
        <v>58.7</v>
      </c>
      <c r="P1803" s="105"/>
      <c r="Q1803" s="87">
        <f t="shared" si="167"/>
        <v>-2.13509458785336E-2</v>
      </c>
      <c r="R1803" s="87">
        <f t="shared" si="170"/>
        <v>-3.4697358163712583E-2</v>
      </c>
      <c r="S1803" s="87">
        <f t="shared" si="169"/>
        <v>-2.6976587698202083E-2</v>
      </c>
      <c r="T1803" s="87">
        <f t="shared" si="169"/>
        <v>-3.025440835780226E-2</v>
      </c>
      <c r="U1803" s="87">
        <f t="shared" si="169"/>
        <v>-1.5298615561862757E-2</v>
      </c>
      <c r="V1803" s="87">
        <f t="shared" si="169"/>
        <v>-1.5474196582597478E-2</v>
      </c>
      <c r="W1803" s="87">
        <f t="shared" si="169"/>
        <v>2.8987536873252406E-2</v>
      </c>
      <c r="X1803" s="87">
        <f t="shared" si="169"/>
        <v>-2.5135973271542274E-2</v>
      </c>
      <c r="Y1803" s="87">
        <f t="shared" si="169"/>
        <v>3.278982282299097E-2</v>
      </c>
      <c r="Z1803" s="87">
        <f t="shared" si="169"/>
        <v>1.398624197473987E-2</v>
      </c>
      <c r="AA1803" s="87">
        <f t="shared" si="169"/>
        <v>-7.874056430905883E-3</v>
      </c>
      <c r="AB1803" s="87">
        <f t="shared" si="169"/>
        <v>3.5590945102702533E-2</v>
      </c>
      <c r="AC1803" s="87">
        <f t="shared" si="169"/>
        <v>-6.0301690265910758E-3</v>
      </c>
      <c r="AD1803" s="87">
        <f t="shared" si="169"/>
        <v>-1.5215847237253317E-2</v>
      </c>
      <c r="AE1803" s="90">
        <f t="shared" si="168"/>
        <v>-2.452219289970595E-2</v>
      </c>
    </row>
    <row r="1804" spans="1:31" ht="15.5" x14ac:dyDescent="0.35">
      <c r="A1804" s="82">
        <v>42383</v>
      </c>
      <c r="B1804" s="83">
        <v>9516.5</v>
      </c>
      <c r="C1804" s="84">
        <v>4615</v>
      </c>
      <c r="D1804" s="61">
        <v>705</v>
      </c>
      <c r="E1804" s="61">
        <v>28.7</v>
      </c>
      <c r="F1804" s="61">
        <v>95.7</v>
      </c>
      <c r="G1804" s="61">
        <v>51.6</v>
      </c>
      <c r="H1804" s="61">
        <v>6.9</v>
      </c>
      <c r="I1804" s="61">
        <v>26.7</v>
      </c>
      <c r="J1804" s="61">
        <v>15.4</v>
      </c>
      <c r="K1804" s="61">
        <v>7.1</v>
      </c>
      <c r="L1804" s="61">
        <v>50.6</v>
      </c>
      <c r="M1804" s="61">
        <v>42.4</v>
      </c>
      <c r="N1804" s="61">
        <v>49.5</v>
      </c>
      <c r="O1804" s="85">
        <v>57.3</v>
      </c>
      <c r="P1804" s="105"/>
      <c r="Q1804" s="87">
        <f t="shared" si="167"/>
        <v>1.5065899263656373E-2</v>
      </c>
      <c r="R1804" s="87">
        <f t="shared" si="170"/>
        <v>1.9451226422813897E-2</v>
      </c>
      <c r="S1804" s="87">
        <f t="shared" si="169"/>
        <v>-1.6599058848451982E-2</v>
      </c>
      <c r="T1804" s="87">
        <f t="shared" si="169"/>
        <v>-2.0690393257446281E-2</v>
      </c>
      <c r="U1804" s="87">
        <f t="shared" si="169"/>
        <v>-1.6580690733050713E-2</v>
      </c>
      <c r="V1804" s="87">
        <f t="shared" si="169"/>
        <v>5.8309203107933649E-3</v>
      </c>
      <c r="W1804" s="87">
        <f t="shared" si="169"/>
        <v>-1.4388737452099556E-2</v>
      </c>
      <c r="X1804" s="87">
        <f t="shared" si="169"/>
        <v>-2.9522439266321841E-2</v>
      </c>
      <c r="Y1804" s="87">
        <f t="shared" si="169"/>
        <v>-6.4725145056174788E-3</v>
      </c>
      <c r="Z1804" s="87">
        <f t="shared" si="169"/>
        <v>-1.3986241974739952E-2</v>
      </c>
      <c r="AA1804" s="87">
        <f t="shared" si="169"/>
        <v>0</v>
      </c>
      <c r="AB1804" s="87">
        <f t="shared" si="169"/>
        <v>-1.1723463696059259E-2</v>
      </c>
      <c r="AC1804" s="87">
        <f t="shared" si="169"/>
        <v>-2.0181641562372361E-3</v>
      </c>
      <c r="AD1804" s="87">
        <f t="shared" si="169"/>
        <v>-2.4139103113357017E-2</v>
      </c>
      <c r="AE1804" s="90">
        <f t="shared" si="168"/>
        <v>-6.7042668567241235E-3</v>
      </c>
    </row>
    <row r="1805" spans="1:31" ht="15.5" x14ac:dyDescent="0.35">
      <c r="A1805" s="82">
        <v>42384</v>
      </c>
      <c r="B1805" s="83">
        <v>9299.6</v>
      </c>
      <c r="C1805" s="84">
        <v>4488.3999999999996</v>
      </c>
      <c r="D1805" s="61">
        <v>701.5</v>
      </c>
      <c r="E1805" s="61">
        <v>28.6</v>
      </c>
      <c r="F1805" s="61">
        <v>95.4</v>
      </c>
      <c r="G1805" s="61">
        <v>50.3</v>
      </c>
      <c r="H1805" s="61">
        <v>6.9</v>
      </c>
      <c r="I1805" s="61">
        <v>27</v>
      </c>
      <c r="J1805" s="61">
        <v>15.6</v>
      </c>
      <c r="K1805" s="61">
        <v>6.9</v>
      </c>
      <c r="L1805" s="61">
        <v>50.1</v>
      </c>
      <c r="M1805" s="61">
        <v>42</v>
      </c>
      <c r="N1805" s="61">
        <v>48.9</v>
      </c>
      <c r="O1805" s="85">
        <v>56.6</v>
      </c>
      <c r="P1805" s="105"/>
      <c r="Q1805" s="87">
        <f t="shared" si="167"/>
        <v>-2.3055745664168511E-2</v>
      </c>
      <c r="R1805" s="87">
        <f t="shared" si="170"/>
        <v>-2.7815577146241426E-2</v>
      </c>
      <c r="S1805" s="87">
        <f t="shared" si="169"/>
        <v>-4.9769032697529738E-3</v>
      </c>
      <c r="T1805" s="87">
        <f t="shared" si="169"/>
        <v>-3.4904049397684908E-3</v>
      </c>
      <c r="U1805" s="87">
        <f t="shared" si="169"/>
        <v>-3.1397200046677527E-3</v>
      </c>
      <c r="V1805" s="87">
        <f t="shared" si="169"/>
        <v>-2.5516595381823572E-2</v>
      </c>
      <c r="W1805" s="87">
        <f t="shared" si="169"/>
        <v>0</v>
      </c>
      <c r="X1805" s="87">
        <f t="shared" si="169"/>
        <v>1.1173300598125255E-2</v>
      </c>
      <c r="Y1805" s="87">
        <f t="shared" si="169"/>
        <v>1.2903404835907782E-2</v>
      </c>
      <c r="Z1805" s="87">
        <f t="shared" si="169"/>
        <v>-2.8573372444055885E-2</v>
      </c>
      <c r="AA1805" s="87">
        <f t="shared" si="169"/>
        <v>-9.9305682026007997E-3</v>
      </c>
      <c r="AB1805" s="87">
        <f t="shared" si="169"/>
        <v>-9.47874395454377E-3</v>
      </c>
      <c r="AC1805" s="87">
        <f t="shared" si="169"/>
        <v>-1.2195273093818355E-2</v>
      </c>
      <c r="AD1805" s="87">
        <f t="shared" si="169"/>
        <v>-1.2291638511556511E-2</v>
      </c>
      <c r="AE1805" s="90">
        <f t="shared" si="168"/>
        <v>-1.2186532595051871E-2</v>
      </c>
    </row>
    <row r="1806" spans="1:31" ht="15.5" x14ac:dyDescent="0.35">
      <c r="A1806" s="82">
        <v>42388</v>
      </c>
      <c r="B1806" s="83">
        <v>9301.7000000000007</v>
      </c>
      <c r="C1806" s="84">
        <v>4477</v>
      </c>
      <c r="D1806" s="61">
        <v>709.9</v>
      </c>
      <c r="E1806" s="61">
        <v>29.3</v>
      </c>
      <c r="F1806" s="61">
        <v>95.5</v>
      </c>
      <c r="G1806" s="61">
        <v>50.1</v>
      </c>
      <c r="H1806" s="61">
        <v>7</v>
      </c>
      <c r="I1806" s="61">
        <v>27</v>
      </c>
      <c r="J1806" s="61">
        <v>15.9</v>
      </c>
      <c r="K1806" s="61">
        <v>6.5</v>
      </c>
      <c r="L1806" s="61">
        <v>50.8</v>
      </c>
      <c r="M1806" s="61">
        <v>42.3</v>
      </c>
      <c r="N1806" s="61">
        <v>48.8</v>
      </c>
      <c r="O1806" s="85">
        <v>57.7</v>
      </c>
      <c r="P1806" s="105"/>
      <c r="Q1806" s="87">
        <f t="shared" ref="Q1806:Q1869" si="171">+LN(B1806/B1805)</f>
        <v>2.2579067150389526E-4</v>
      </c>
      <c r="R1806" s="87">
        <f t="shared" si="170"/>
        <v>-2.5431115497455341E-3</v>
      </c>
      <c r="S1806" s="87">
        <f t="shared" si="169"/>
        <v>1.190321550282449E-2</v>
      </c>
      <c r="T1806" s="87">
        <f t="shared" si="169"/>
        <v>2.4180798197214613E-2</v>
      </c>
      <c r="U1806" s="87">
        <f t="shared" si="169"/>
        <v>1.0476690324436838E-3</v>
      </c>
      <c r="V1806" s="87">
        <f t="shared" si="169"/>
        <v>-3.9840690148743472E-3</v>
      </c>
      <c r="W1806" s="87">
        <f t="shared" si="169"/>
        <v>1.4388737452099452E-2</v>
      </c>
      <c r="X1806" s="87">
        <f t="shared" si="169"/>
        <v>0</v>
      </c>
      <c r="Y1806" s="87">
        <f t="shared" si="169"/>
        <v>1.904819497069463E-2</v>
      </c>
      <c r="Z1806" s="87">
        <f t="shared" si="169"/>
        <v>-5.9719234701622312E-2</v>
      </c>
      <c r="AA1806" s="87">
        <f t="shared" si="169"/>
        <v>1.3875346493617019E-2</v>
      </c>
      <c r="AB1806" s="87">
        <f t="shared" si="169"/>
        <v>7.1174677688639549E-3</v>
      </c>
      <c r="AC1806" s="87">
        <f t="shared" si="169"/>
        <v>-2.0470836217249106E-3</v>
      </c>
      <c r="AD1806" s="87">
        <f t="shared" si="169"/>
        <v>1.9248188304916546E-2</v>
      </c>
      <c r="AE1806" s="90">
        <f t="shared" si="168"/>
        <v>5.3616959128560716E-3</v>
      </c>
    </row>
    <row r="1807" spans="1:31" ht="15.5" x14ac:dyDescent="0.35">
      <c r="A1807" s="82">
        <v>42389</v>
      </c>
      <c r="B1807" s="83">
        <v>9156.7999999999993</v>
      </c>
      <c r="C1807" s="84">
        <v>4471.7</v>
      </c>
      <c r="D1807" s="61">
        <v>687.8</v>
      </c>
      <c r="E1807" s="61">
        <v>27.4</v>
      </c>
      <c r="F1807" s="61">
        <v>93.4</v>
      </c>
      <c r="G1807" s="61">
        <v>49.1</v>
      </c>
      <c r="H1807" s="61">
        <v>6.9</v>
      </c>
      <c r="I1807" s="61">
        <v>26.5</v>
      </c>
      <c r="J1807" s="61">
        <v>15.4</v>
      </c>
      <c r="K1807" s="61">
        <v>6</v>
      </c>
      <c r="L1807" s="61">
        <v>49.3</v>
      </c>
      <c r="M1807" s="61">
        <v>40.799999999999997</v>
      </c>
      <c r="N1807" s="61">
        <v>47</v>
      </c>
      <c r="O1807" s="85">
        <v>56.8</v>
      </c>
      <c r="P1807" s="105"/>
      <c r="Q1807" s="87">
        <f t="shared" si="171"/>
        <v>-1.5700406480336358E-2</v>
      </c>
      <c r="R1807" s="87">
        <f t="shared" si="170"/>
        <v>-1.1845297349798822E-3</v>
      </c>
      <c r="S1807" s="87">
        <f t="shared" si="169"/>
        <v>-3.1626017047174382E-2</v>
      </c>
      <c r="T1807" s="87">
        <f t="shared" si="169"/>
        <v>-6.7044502628997166E-2</v>
      </c>
      <c r="U1807" s="87">
        <f t="shared" si="169"/>
        <v>-2.2234902251887616E-2</v>
      </c>
      <c r="V1807" s="87">
        <f t="shared" si="169"/>
        <v>-2.0161973290344193E-2</v>
      </c>
      <c r="W1807" s="87">
        <f t="shared" si="169"/>
        <v>-1.4388737452099556E-2</v>
      </c>
      <c r="X1807" s="87">
        <f t="shared" si="169"/>
        <v>-1.8692133012152522E-2</v>
      </c>
      <c r="Y1807" s="87">
        <f t="shared" si="169"/>
        <v>-3.1951599806602358E-2</v>
      </c>
      <c r="Z1807" s="87">
        <f t="shared" si="169"/>
        <v>-8.004270767353637E-2</v>
      </c>
      <c r="AA1807" s="87">
        <f t="shared" si="169"/>
        <v>-2.9972273535791731E-2</v>
      </c>
      <c r="AB1807" s="87">
        <f t="shared" si="169"/>
        <v>-3.6105004642116321E-2</v>
      </c>
      <c r="AC1807" s="87">
        <f t="shared" si="169"/>
        <v>-3.7582711149042894E-2</v>
      </c>
      <c r="AD1807" s="87">
        <f t="shared" si="169"/>
        <v>-1.5720847786948305E-2</v>
      </c>
      <c r="AE1807" s="90">
        <f t="shared" ref="AE1807:AE1870" si="172">+SUMPRODUCT(Q1807:AD1807,$Q$8:$AD$8)</f>
        <v>-1.7882696120360232E-2</v>
      </c>
    </row>
    <row r="1808" spans="1:31" ht="15.5" x14ac:dyDescent="0.35">
      <c r="A1808" s="82">
        <v>42390</v>
      </c>
      <c r="B1808" s="83">
        <v>9226.6</v>
      </c>
      <c r="C1808" s="84">
        <v>4472.1000000000004</v>
      </c>
      <c r="D1808" s="61">
        <v>711.1</v>
      </c>
      <c r="E1808" s="61">
        <v>28.2</v>
      </c>
      <c r="F1808" s="61">
        <v>94.9</v>
      </c>
      <c r="G1808" s="61">
        <v>50.3</v>
      </c>
      <c r="H1808" s="61">
        <v>7.5</v>
      </c>
      <c r="I1808" s="61">
        <v>27.6</v>
      </c>
      <c r="J1808" s="61">
        <v>15.8</v>
      </c>
      <c r="K1808" s="61">
        <v>6.3</v>
      </c>
      <c r="L1808" s="61">
        <v>50.1</v>
      </c>
      <c r="M1808" s="61">
        <v>42.1</v>
      </c>
      <c r="N1808" s="61">
        <v>48.3</v>
      </c>
      <c r="O1808" s="85">
        <v>59.1</v>
      </c>
      <c r="P1808" s="105"/>
      <c r="Q1808" s="87">
        <f t="shared" si="171"/>
        <v>7.5938439490288315E-3</v>
      </c>
      <c r="R1808" s="87">
        <f t="shared" si="170"/>
        <v>8.9447438508741348E-5</v>
      </c>
      <c r="S1808" s="87">
        <f t="shared" si="169"/>
        <v>3.3314968891306439E-2</v>
      </c>
      <c r="T1808" s="87">
        <f t="shared" si="169"/>
        <v>2.8778964550043327E-2</v>
      </c>
      <c r="U1808" s="87">
        <f t="shared" si="169"/>
        <v>1.5932360381085146E-2</v>
      </c>
      <c r="V1808" s="87">
        <f t="shared" si="169"/>
        <v>2.4146042305218572E-2</v>
      </c>
      <c r="W1808" s="87">
        <f t="shared" si="169"/>
        <v>8.3381608939051E-2</v>
      </c>
      <c r="X1808" s="87">
        <f t="shared" si="169"/>
        <v>4.0671039730927783E-2</v>
      </c>
      <c r="Y1808" s="87">
        <f t="shared" si="169"/>
        <v>2.5642430613337652E-2</v>
      </c>
      <c r="Z1808" s="87">
        <f t="shared" si="169"/>
        <v>4.8790164169432049E-2</v>
      </c>
      <c r="AA1808" s="87">
        <f t="shared" si="169"/>
        <v>1.6096927042174799E-2</v>
      </c>
      <c r="AB1808" s="87">
        <f t="shared" si="169"/>
        <v>3.1365659278219826E-2</v>
      </c>
      <c r="AC1808" s="87">
        <f t="shared" si="169"/>
        <v>2.7283958948468294E-2</v>
      </c>
      <c r="AD1808" s="87">
        <f t="shared" si="169"/>
        <v>3.9694598684946958E-2</v>
      </c>
      <c r="AE1808" s="90">
        <f t="shared" si="172"/>
        <v>1.9160737068619409E-2</v>
      </c>
    </row>
    <row r="1809" spans="1:31" ht="15.5" x14ac:dyDescent="0.35">
      <c r="A1809" s="82">
        <v>42391</v>
      </c>
      <c r="B1809" s="83">
        <v>9426.9</v>
      </c>
      <c r="C1809" s="84">
        <v>4591.2</v>
      </c>
      <c r="D1809" s="61">
        <v>740.5</v>
      </c>
      <c r="E1809" s="61">
        <v>29.3</v>
      </c>
      <c r="F1809" s="61">
        <v>98.4</v>
      </c>
      <c r="G1809" s="61">
        <v>51.3</v>
      </c>
      <c r="H1809" s="61">
        <v>7.4</v>
      </c>
      <c r="I1809" s="61">
        <v>27.8</v>
      </c>
      <c r="J1809" s="61">
        <v>16</v>
      </c>
      <c r="K1809" s="61">
        <v>6.5</v>
      </c>
      <c r="L1809" s="61">
        <v>51</v>
      </c>
      <c r="M1809" s="61">
        <v>43.6</v>
      </c>
      <c r="N1809" s="61">
        <v>49.6</v>
      </c>
      <c r="O1809" s="85">
        <v>60.6</v>
      </c>
      <c r="P1809" s="105"/>
      <c r="Q1809" s="87">
        <f t="shared" si="171"/>
        <v>2.1476687907442747E-2</v>
      </c>
      <c r="R1809" s="87">
        <f t="shared" si="170"/>
        <v>2.6283330849658473E-2</v>
      </c>
      <c r="S1809" s="87">
        <f t="shared" si="169"/>
        <v>4.0512566818381286E-2</v>
      </c>
      <c r="T1809" s="87">
        <f t="shared" si="169"/>
        <v>3.8265538078953824E-2</v>
      </c>
      <c r="U1809" s="87">
        <f t="shared" si="169"/>
        <v>3.6217098442325554E-2</v>
      </c>
      <c r="V1809" s="87">
        <f t="shared" si="169"/>
        <v>1.9685675071030358E-2</v>
      </c>
      <c r="W1809" s="87">
        <f t="shared" si="169"/>
        <v>-1.3423020332140661E-2</v>
      </c>
      <c r="X1809" s="87">
        <f t="shared" si="169"/>
        <v>7.2202479734870973E-3</v>
      </c>
      <c r="Y1809" s="87">
        <f t="shared" si="169"/>
        <v>1.2578782206859965E-2</v>
      </c>
      <c r="Z1809" s="87">
        <f t="shared" si="169"/>
        <v>3.125254350410453E-2</v>
      </c>
      <c r="AA1809" s="87">
        <f t="shared" si="169"/>
        <v>1.7804624633506686E-2</v>
      </c>
      <c r="AB1809" s="87">
        <f t="shared" si="169"/>
        <v>3.5009409666652801E-2</v>
      </c>
      <c r="AC1809" s="87">
        <f t="shared" si="169"/>
        <v>2.655927307235488E-2</v>
      </c>
      <c r="AD1809" s="87">
        <f t="shared" si="169"/>
        <v>2.506396866321622E-2</v>
      </c>
      <c r="AE1809" s="90">
        <f t="shared" si="172"/>
        <v>3.3141383013486424E-2</v>
      </c>
    </row>
    <row r="1810" spans="1:31" ht="15.5" x14ac:dyDescent="0.35">
      <c r="A1810" s="82">
        <v>42394</v>
      </c>
      <c r="B1810" s="83">
        <v>9263</v>
      </c>
      <c r="C1810" s="84">
        <v>4518.5</v>
      </c>
      <c r="D1810" s="61">
        <v>732.5</v>
      </c>
      <c r="E1810" s="61">
        <v>29.7</v>
      </c>
      <c r="F1810" s="61">
        <v>99.2</v>
      </c>
      <c r="G1810" s="61">
        <v>51.7</v>
      </c>
      <c r="H1810" s="61">
        <v>7.6</v>
      </c>
      <c r="I1810" s="61">
        <v>27.5</v>
      </c>
      <c r="J1810" s="61">
        <v>14.6</v>
      </c>
      <c r="K1810" s="61">
        <v>6.6</v>
      </c>
      <c r="L1810" s="61">
        <v>50.8</v>
      </c>
      <c r="M1810" s="61">
        <v>42.9</v>
      </c>
      <c r="N1810" s="61">
        <v>49.5</v>
      </c>
      <c r="O1810" s="85">
        <v>60.6</v>
      </c>
      <c r="P1810" s="105"/>
      <c r="Q1810" s="87">
        <f t="shared" si="171"/>
        <v>-1.753933425728187E-2</v>
      </c>
      <c r="R1810" s="87">
        <f t="shared" si="170"/>
        <v>-1.5961347452142238E-2</v>
      </c>
      <c r="S1810" s="87">
        <f t="shared" si="169"/>
        <v>-1.0862292816631118E-2</v>
      </c>
      <c r="T1810" s="87">
        <f t="shared" si="169"/>
        <v>1.3559529785632294E-2</v>
      </c>
      <c r="U1810" s="87">
        <f t="shared" si="169"/>
        <v>8.0972102326193028E-3</v>
      </c>
      <c r="V1810" s="87">
        <f t="shared" si="169"/>
        <v>7.7670293376598167E-3</v>
      </c>
      <c r="W1810" s="87">
        <f t="shared" si="169"/>
        <v>2.6668247082161273E-2</v>
      </c>
      <c r="X1810" s="87">
        <f t="shared" si="169"/>
        <v>-1.0850016024065818E-2</v>
      </c>
      <c r="Y1810" s="87">
        <f t="shared" si="169"/>
        <v>-9.1567193525490503E-2</v>
      </c>
      <c r="Z1810" s="87">
        <f t="shared" si="169"/>
        <v>1.5267472130788381E-2</v>
      </c>
      <c r="AA1810" s="87">
        <f t="shared" si="169"/>
        <v>-3.9292781398896611E-3</v>
      </c>
      <c r="AB1810" s="87">
        <f t="shared" si="169"/>
        <v>-1.618532442101742E-2</v>
      </c>
      <c r="AC1810" s="87">
        <f t="shared" si="169"/>
        <v>-2.0181641562372361E-3</v>
      </c>
      <c r="AD1810" s="87">
        <f t="shared" si="169"/>
        <v>0</v>
      </c>
      <c r="AE1810" s="90">
        <f t="shared" si="172"/>
        <v>-5.6491742512092919E-3</v>
      </c>
    </row>
    <row r="1811" spans="1:31" ht="15.5" x14ac:dyDescent="0.35">
      <c r="A1811" s="82">
        <v>42395</v>
      </c>
      <c r="B1811" s="83">
        <v>9429.1</v>
      </c>
      <c r="C1811" s="84">
        <v>4567.7</v>
      </c>
      <c r="D1811" s="61">
        <v>727</v>
      </c>
      <c r="E1811" s="61">
        <v>29.6</v>
      </c>
      <c r="F1811" s="61">
        <v>98.1</v>
      </c>
      <c r="G1811" s="61">
        <v>51.6</v>
      </c>
      <c r="H1811" s="61">
        <v>7.6</v>
      </c>
      <c r="I1811" s="61">
        <v>27.8</v>
      </c>
      <c r="J1811" s="61">
        <v>15</v>
      </c>
      <c r="K1811" s="61">
        <v>6.6</v>
      </c>
      <c r="L1811" s="61">
        <v>50.8</v>
      </c>
      <c r="M1811" s="61">
        <v>43.1</v>
      </c>
      <c r="N1811" s="61">
        <v>50.2</v>
      </c>
      <c r="O1811" s="85">
        <v>60.3</v>
      </c>
      <c r="P1811" s="105"/>
      <c r="Q1811" s="87">
        <f t="shared" si="171"/>
        <v>1.7772681733945271E-2</v>
      </c>
      <c r="R1811" s="87">
        <f t="shared" si="170"/>
        <v>1.0829715581495595E-2</v>
      </c>
      <c r="S1811" s="87">
        <f t="shared" si="169"/>
        <v>-7.5368633577029614E-3</v>
      </c>
      <c r="T1811" s="87">
        <f t="shared" si="169"/>
        <v>-3.3726844786391187E-3</v>
      </c>
      <c r="U1811" s="87">
        <f t="shared" si="169"/>
        <v>-1.115064771950984E-2</v>
      </c>
      <c r="V1811" s="87">
        <f t="shared" si="169"/>
        <v>-1.9361090268664404E-3</v>
      </c>
      <c r="W1811" s="87">
        <f t="shared" si="169"/>
        <v>0</v>
      </c>
      <c r="X1811" s="87">
        <f t="shared" si="169"/>
        <v>1.0850016024065844E-2</v>
      </c>
      <c r="Y1811" s="87">
        <f t="shared" si="169"/>
        <v>2.7028672387919419E-2</v>
      </c>
      <c r="Z1811" s="87">
        <f t="shared" si="169"/>
        <v>0</v>
      </c>
      <c r="AA1811" s="87">
        <f t="shared" si="169"/>
        <v>0</v>
      </c>
      <c r="AB1811" s="87">
        <f t="shared" si="169"/>
        <v>4.6511711757308803E-3</v>
      </c>
      <c r="AC1811" s="87">
        <f t="shared" si="169"/>
        <v>1.4042357123038984E-2</v>
      </c>
      <c r="AD1811" s="87">
        <f t="shared" si="169"/>
        <v>-4.9627893421291249E-3</v>
      </c>
      <c r="AE1811" s="90">
        <f t="shared" si="172"/>
        <v>-2.7519562608019593E-3</v>
      </c>
    </row>
    <row r="1812" spans="1:31" ht="15.5" x14ac:dyDescent="0.35">
      <c r="A1812" s="82">
        <v>42396</v>
      </c>
      <c r="B1812" s="83">
        <v>9373.7999999999993</v>
      </c>
      <c r="C1812" s="84">
        <v>4468.2</v>
      </c>
      <c r="D1812" s="61">
        <v>713.5</v>
      </c>
      <c r="E1812" s="61">
        <v>29.4</v>
      </c>
      <c r="F1812" s="61">
        <v>93.3</v>
      </c>
      <c r="G1812" s="61">
        <v>51</v>
      </c>
      <c r="H1812" s="61">
        <v>7.3</v>
      </c>
      <c r="I1812" s="61">
        <v>28.4</v>
      </c>
      <c r="J1812" s="61">
        <v>14.8</v>
      </c>
      <c r="K1812" s="61">
        <v>6.7</v>
      </c>
      <c r="L1812" s="61">
        <v>49.8</v>
      </c>
      <c r="M1812" s="61">
        <v>43</v>
      </c>
      <c r="N1812" s="61">
        <v>42.6</v>
      </c>
      <c r="O1812" s="85">
        <v>59.2</v>
      </c>
      <c r="P1812" s="105"/>
      <c r="Q1812" s="87">
        <f t="shared" si="171"/>
        <v>-5.8820883420605038E-3</v>
      </c>
      <c r="R1812" s="87">
        <f t="shared" si="170"/>
        <v>-2.2024152978851175E-2</v>
      </c>
      <c r="S1812" s="87">
        <f t="shared" si="169"/>
        <v>-1.8744040616628269E-2</v>
      </c>
      <c r="T1812" s="87">
        <f t="shared" si="169"/>
        <v>-6.7796869853788038E-3</v>
      </c>
      <c r="U1812" s="87">
        <f t="shared" si="169"/>
        <v>-5.016725871801922E-2</v>
      </c>
      <c r="V1812" s="87">
        <f t="shared" si="169"/>
        <v>-1.1696039763191298E-2</v>
      </c>
      <c r="W1812" s="87">
        <f t="shared" si="169"/>
        <v>-4.027389913793996E-2</v>
      </c>
      <c r="X1812" s="87">
        <f t="shared" si="169"/>
        <v>2.1353124470568842E-2</v>
      </c>
      <c r="Y1812" s="87">
        <f t="shared" si="169"/>
        <v>-1.3423020332140661E-2</v>
      </c>
      <c r="Z1812" s="87">
        <f t="shared" si="169"/>
        <v>1.5037877364540502E-2</v>
      </c>
      <c r="AA1812" s="87">
        <f t="shared" si="169"/>
        <v>-1.9881370553828933E-2</v>
      </c>
      <c r="AB1812" s="87">
        <f t="shared" si="169"/>
        <v>-2.3228814161397496E-3</v>
      </c>
      <c r="AC1812" s="87">
        <f t="shared" si="169"/>
        <v>-0.16416077342235874</v>
      </c>
      <c r="AD1812" s="87">
        <f t="shared" si="169"/>
        <v>-1.8410561843179674E-2</v>
      </c>
      <c r="AE1812" s="90">
        <f t="shared" si="172"/>
        <v>-2.8671836782995841E-2</v>
      </c>
    </row>
    <row r="1813" spans="1:31" ht="15.5" x14ac:dyDescent="0.35">
      <c r="A1813" s="82">
        <v>42397</v>
      </c>
      <c r="B1813" s="83">
        <v>9397.7999999999993</v>
      </c>
      <c r="C1813" s="84">
        <v>4506.7</v>
      </c>
      <c r="D1813" s="61">
        <v>730.6</v>
      </c>
      <c r="E1813" s="61">
        <v>28.6</v>
      </c>
      <c r="F1813" s="61">
        <v>92.4</v>
      </c>
      <c r="G1813" s="61">
        <v>51.3</v>
      </c>
      <c r="H1813" s="61">
        <v>7.5</v>
      </c>
      <c r="I1813" s="61">
        <v>27.7</v>
      </c>
      <c r="J1813" s="61">
        <v>14.8</v>
      </c>
      <c r="K1813" s="61">
        <v>6.8</v>
      </c>
      <c r="L1813" s="61">
        <v>49</v>
      </c>
      <c r="M1813" s="61">
        <v>43.2</v>
      </c>
      <c r="N1813" s="61">
        <v>43.4</v>
      </c>
      <c r="O1813" s="85">
        <v>60</v>
      </c>
      <c r="P1813" s="105"/>
      <c r="Q1813" s="87">
        <f t="shared" si="171"/>
        <v>2.5570556667588815E-3</v>
      </c>
      <c r="R1813" s="87">
        <f t="shared" si="170"/>
        <v>8.5795354065409824E-3</v>
      </c>
      <c r="S1813" s="87">
        <f t="shared" si="169"/>
        <v>2.3683677444291007E-2</v>
      </c>
      <c r="T1813" s="87">
        <f t="shared" si="169"/>
        <v>-2.7587956518828938E-2</v>
      </c>
      <c r="U1813" s="87">
        <f t="shared" si="169"/>
        <v>-9.6931292056595692E-3</v>
      </c>
      <c r="V1813" s="87">
        <f t="shared" ref="V1813:AD1841" si="173">+LN(G1813/G1812)</f>
        <v>5.8651194523980576E-3</v>
      </c>
      <c r="W1813" s="87">
        <f t="shared" si="173"/>
        <v>2.7028672387919419E-2</v>
      </c>
      <c r="X1813" s="87">
        <f t="shared" si="173"/>
        <v>-2.4956731973867507E-2</v>
      </c>
      <c r="Y1813" s="87">
        <f t="shared" si="173"/>
        <v>0</v>
      </c>
      <c r="Z1813" s="87">
        <f t="shared" si="173"/>
        <v>1.4815085785140682E-2</v>
      </c>
      <c r="AA1813" s="87">
        <f t="shared" si="173"/>
        <v>-1.6194685919980606E-2</v>
      </c>
      <c r="AB1813" s="87">
        <f t="shared" si="173"/>
        <v>4.6403795565023009E-3</v>
      </c>
      <c r="AC1813" s="87">
        <f t="shared" si="173"/>
        <v>1.8605187831034268E-2</v>
      </c>
      <c r="AD1813" s="87">
        <f t="shared" si="173"/>
        <v>1.342302033214055E-2</v>
      </c>
      <c r="AE1813" s="90">
        <f t="shared" si="172"/>
        <v>8.3653404361020197E-3</v>
      </c>
    </row>
    <row r="1814" spans="1:31" ht="15.5" x14ac:dyDescent="0.35">
      <c r="A1814" s="82">
        <v>42398</v>
      </c>
      <c r="B1814" s="83">
        <v>9632.7000000000007</v>
      </c>
      <c r="C1814" s="84">
        <v>4614</v>
      </c>
      <c r="D1814" s="61">
        <v>744.2</v>
      </c>
      <c r="E1814" s="61">
        <v>28.5</v>
      </c>
      <c r="F1814" s="61">
        <v>94.4</v>
      </c>
      <c r="G1814" s="61">
        <v>54</v>
      </c>
      <c r="H1814" s="61">
        <v>7.6</v>
      </c>
      <c r="I1814" s="61">
        <v>27.6</v>
      </c>
      <c r="J1814" s="61">
        <v>15.3</v>
      </c>
      <c r="K1814" s="61">
        <v>7</v>
      </c>
      <c r="L1814" s="61">
        <v>49.6</v>
      </c>
      <c r="M1814" s="61">
        <v>43.4</v>
      </c>
      <c r="N1814" s="61">
        <v>44.6</v>
      </c>
      <c r="O1814" s="85">
        <v>61.2</v>
      </c>
      <c r="P1814" s="105"/>
      <c r="Q1814" s="87">
        <f t="shared" si="171"/>
        <v>2.4687941013877984E-2</v>
      </c>
      <c r="R1814" s="87">
        <f t="shared" si="170"/>
        <v>2.3529981382503153E-2</v>
      </c>
      <c r="S1814" s="87">
        <f t="shared" si="170"/>
        <v>1.8443701551340105E-2</v>
      </c>
      <c r="T1814" s="87">
        <f t="shared" si="170"/>
        <v>-3.5026305512021118E-3</v>
      </c>
      <c r="U1814" s="87">
        <f t="shared" si="170"/>
        <v>2.1414094503816573E-2</v>
      </c>
      <c r="V1814" s="87">
        <f t="shared" si="173"/>
        <v>5.1293294387550689E-2</v>
      </c>
      <c r="W1814" s="87">
        <f t="shared" si="173"/>
        <v>1.3245226750020505E-2</v>
      </c>
      <c r="X1814" s="87">
        <f t="shared" si="173"/>
        <v>-3.6166404701884389E-3</v>
      </c>
      <c r="Y1814" s="87">
        <f t="shared" si="173"/>
        <v>3.3225647628320386E-2</v>
      </c>
      <c r="Z1814" s="87">
        <f t="shared" si="173"/>
        <v>2.8987536873252406E-2</v>
      </c>
      <c r="AA1814" s="87">
        <f t="shared" si="173"/>
        <v>1.2170535620255114E-2</v>
      </c>
      <c r="AB1814" s="87">
        <f t="shared" si="173"/>
        <v>4.6189458562944583E-3</v>
      </c>
      <c r="AC1814" s="87">
        <f t="shared" si="173"/>
        <v>2.7274417919659306E-2</v>
      </c>
      <c r="AD1814" s="87">
        <f t="shared" si="173"/>
        <v>1.980262729617973E-2</v>
      </c>
      <c r="AE1814" s="90">
        <f t="shared" si="172"/>
        <v>2.0982832317470553E-2</v>
      </c>
    </row>
    <row r="1815" spans="1:31" ht="15.5" x14ac:dyDescent="0.35">
      <c r="A1815" s="82">
        <v>42401</v>
      </c>
      <c r="B1815" s="83">
        <v>9616.7000000000007</v>
      </c>
      <c r="C1815" s="84">
        <v>4620.3999999999996</v>
      </c>
      <c r="D1815" s="61">
        <v>761.4</v>
      </c>
      <c r="E1815" s="61">
        <v>28.8</v>
      </c>
      <c r="F1815" s="61">
        <v>95.4</v>
      </c>
      <c r="G1815" s="61">
        <v>54.5</v>
      </c>
      <c r="H1815" s="61">
        <v>7.3</v>
      </c>
      <c r="I1815" s="61">
        <v>27.8</v>
      </c>
      <c r="J1815" s="61">
        <v>15.7</v>
      </c>
      <c r="K1815" s="61">
        <v>7</v>
      </c>
      <c r="L1815" s="61">
        <v>49.8</v>
      </c>
      <c r="M1815" s="61">
        <v>43.8</v>
      </c>
      <c r="N1815" s="61">
        <v>45.8</v>
      </c>
      <c r="O1815" s="85">
        <v>61.7</v>
      </c>
      <c r="P1815" s="105"/>
      <c r="Q1815" s="87">
        <f t="shared" si="171"/>
        <v>-1.6623898599145669E-3</v>
      </c>
      <c r="R1815" s="87">
        <f t="shared" si="170"/>
        <v>1.3861216808262792E-3</v>
      </c>
      <c r="S1815" s="87">
        <f t="shared" si="170"/>
        <v>2.2849028035874838E-2</v>
      </c>
      <c r="T1815" s="87">
        <f t="shared" si="170"/>
        <v>1.0471299867295437E-2</v>
      </c>
      <c r="U1815" s="87">
        <f t="shared" si="170"/>
        <v>1.053750530278592E-2</v>
      </c>
      <c r="V1815" s="87">
        <f t="shared" si="173"/>
        <v>9.2166551049240476E-3</v>
      </c>
      <c r="W1815" s="87">
        <f t="shared" si="173"/>
        <v>-4.027389913793996E-2</v>
      </c>
      <c r="X1815" s="87">
        <f t="shared" si="173"/>
        <v>7.2202479734870973E-3</v>
      </c>
      <c r="Y1815" s="87">
        <f t="shared" si="173"/>
        <v>2.5807883955872503E-2</v>
      </c>
      <c r="Z1815" s="87">
        <f t="shared" si="173"/>
        <v>0</v>
      </c>
      <c r="AA1815" s="87">
        <f t="shared" si="173"/>
        <v>4.0241502997253268E-3</v>
      </c>
      <c r="AB1815" s="87">
        <f t="shared" si="173"/>
        <v>9.1743762760412295E-3</v>
      </c>
      <c r="AC1815" s="87">
        <f t="shared" si="173"/>
        <v>2.6550232094120749E-2</v>
      </c>
      <c r="AD1815" s="87">
        <f t="shared" si="173"/>
        <v>8.1367413930617041E-3</v>
      </c>
      <c r="AE1815" s="90">
        <f t="shared" si="172"/>
        <v>1.1106957789455616E-2</v>
      </c>
    </row>
    <row r="1816" spans="1:31" ht="15.5" x14ac:dyDescent="0.35">
      <c r="A1816" s="82">
        <v>42402</v>
      </c>
      <c r="B1816" s="83">
        <v>9413.7999999999993</v>
      </c>
      <c r="C1816" s="84">
        <v>4517</v>
      </c>
      <c r="D1816" s="61">
        <v>780.6</v>
      </c>
      <c r="E1816" s="61">
        <v>28.1</v>
      </c>
      <c r="F1816" s="61">
        <v>94.3</v>
      </c>
      <c r="G1816" s="61">
        <v>52.7</v>
      </c>
      <c r="H1816" s="61">
        <v>6.8</v>
      </c>
      <c r="I1816" s="61">
        <v>28.3</v>
      </c>
      <c r="J1816" s="61">
        <v>15.1</v>
      </c>
      <c r="K1816" s="61">
        <v>7.4</v>
      </c>
      <c r="L1816" s="61">
        <v>49.9</v>
      </c>
      <c r="M1816" s="61">
        <v>42.4</v>
      </c>
      <c r="N1816" s="61">
        <v>44.4</v>
      </c>
      <c r="O1816" s="85">
        <v>62.3</v>
      </c>
      <c r="P1816" s="105"/>
      <c r="Q1816" s="87">
        <f t="shared" si="171"/>
        <v>-2.1324472685547824E-2</v>
      </c>
      <c r="R1816" s="87">
        <f t="shared" si="170"/>
        <v>-2.2633224759921026E-2</v>
      </c>
      <c r="S1816" s="87">
        <f t="shared" si="170"/>
        <v>2.4904010798117649E-2</v>
      </c>
      <c r="T1816" s="87">
        <f t="shared" si="170"/>
        <v>-2.460581080220019E-2</v>
      </c>
      <c r="U1816" s="87">
        <f t="shared" si="170"/>
        <v>-1.1597388814829067E-2</v>
      </c>
      <c r="V1816" s="87">
        <f t="shared" si="173"/>
        <v>-3.3585246121881754E-2</v>
      </c>
      <c r="W1816" s="87">
        <f t="shared" si="173"/>
        <v>-7.0951735972284491E-2</v>
      </c>
      <c r="X1816" s="87">
        <f t="shared" si="173"/>
        <v>1.7825783952600666E-2</v>
      </c>
      <c r="Y1816" s="87">
        <f t="shared" si="173"/>
        <v>-3.8965968533383723E-2</v>
      </c>
      <c r="Z1816" s="87">
        <f t="shared" si="173"/>
        <v>5.5569851154810786E-2</v>
      </c>
      <c r="AA1816" s="87">
        <f t="shared" si="173"/>
        <v>2.006018726865766E-3</v>
      </c>
      <c r="AB1816" s="87">
        <f t="shared" si="173"/>
        <v>-3.2485455144488307E-2</v>
      </c>
      <c r="AC1816" s="87">
        <f t="shared" si="173"/>
        <v>-3.1044621681960163E-2</v>
      </c>
      <c r="AD1816" s="87">
        <f t="shared" si="173"/>
        <v>9.6774948820652178E-3</v>
      </c>
      <c r="AE1816" s="90">
        <f t="shared" si="172"/>
        <v>-1.6331315882707432E-3</v>
      </c>
    </row>
    <row r="1817" spans="1:31" ht="15.5" x14ac:dyDescent="0.35">
      <c r="A1817" s="82">
        <v>42403</v>
      </c>
      <c r="B1817" s="83">
        <v>9495.2000000000007</v>
      </c>
      <c r="C1817" s="84">
        <v>4504.2</v>
      </c>
      <c r="D1817" s="61">
        <v>736.3</v>
      </c>
      <c r="E1817" s="61">
        <v>26.6</v>
      </c>
      <c r="F1817" s="61">
        <v>94.1</v>
      </c>
      <c r="G1817" s="61">
        <v>51.3</v>
      </c>
      <c r="H1817" s="61">
        <v>6.8</v>
      </c>
      <c r="I1817" s="61">
        <v>26.7</v>
      </c>
      <c r="J1817" s="61">
        <v>15.1</v>
      </c>
      <c r="K1817" s="61">
        <v>7.3</v>
      </c>
      <c r="L1817" s="61">
        <v>48.6</v>
      </c>
      <c r="M1817" s="61">
        <v>41.2</v>
      </c>
      <c r="N1817" s="61">
        <v>44.8</v>
      </c>
      <c r="O1817" s="85">
        <v>61.3</v>
      </c>
      <c r="P1817" s="105"/>
      <c r="Q1817" s="87">
        <f t="shared" si="171"/>
        <v>8.6097099612086562E-3</v>
      </c>
      <c r="R1817" s="87">
        <f t="shared" si="170"/>
        <v>-2.8377618475924822E-3</v>
      </c>
      <c r="S1817" s="87">
        <f t="shared" si="170"/>
        <v>-5.8425210371843471E-2</v>
      </c>
      <c r="T1817" s="87">
        <f t="shared" si="170"/>
        <v>-5.4858360552046743E-2</v>
      </c>
      <c r="U1817" s="87">
        <f t="shared" si="170"/>
        <v>-2.1231430480778664E-3</v>
      </c>
      <c r="V1817" s="87">
        <f t="shared" si="173"/>
        <v>-2.692470337059295E-2</v>
      </c>
      <c r="W1817" s="87">
        <f t="shared" si="173"/>
        <v>0</v>
      </c>
      <c r="X1817" s="87">
        <f t="shared" si="173"/>
        <v>-5.819823924298817E-2</v>
      </c>
      <c r="Y1817" s="87">
        <f t="shared" si="173"/>
        <v>0</v>
      </c>
      <c r="Z1817" s="87">
        <f t="shared" si="173"/>
        <v>-1.3605652055778709E-2</v>
      </c>
      <c r="AA1817" s="87">
        <f t="shared" si="173"/>
        <v>-2.6397471851024812E-2</v>
      </c>
      <c r="AB1817" s="87">
        <f t="shared" si="173"/>
        <v>-2.8710105882431253E-2</v>
      </c>
      <c r="AC1817" s="87">
        <f t="shared" si="173"/>
        <v>8.9686699827603161E-3</v>
      </c>
      <c r="AD1817" s="87">
        <f t="shared" si="173"/>
        <v>-1.6181582851241737E-2</v>
      </c>
      <c r="AE1817" s="90">
        <f t="shared" si="172"/>
        <v>-2.052936452068008E-2</v>
      </c>
    </row>
    <row r="1818" spans="1:31" ht="15.5" x14ac:dyDescent="0.35">
      <c r="A1818" s="82">
        <v>42404</v>
      </c>
      <c r="B1818" s="83">
        <v>9534.2999999999993</v>
      </c>
      <c r="C1818" s="84">
        <v>4509.6000000000004</v>
      </c>
      <c r="D1818" s="61">
        <v>722.6</v>
      </c>
      <c r="E1818" s="61">
        <v>27.7</v>
      </c>
      <c r="F1818" s="61">
        <v>95.2</v>
      </c>
      <c r="G1818" s="61">
        <v>51.4</v>
      </c>
      <c r="H1818" s="61">
        <v>7</v>
      </c>
      <c r="I1818" s="61">
        <v>27.4</v>
      </c>
      <c r="J1818" s="61">
        <v>16.2</v>
      </c>
      <c r="K1818" s="61">
        <v>7.2</v>
      </c>
      <c r="L1818" s="61">
        <v>48</v>
      </c>
      <c r="M1818" s="61">
        <v>39.299999999999997</v>
      </c>
      <c r="N1818" s="61">
        <v>46.5</v>
      </c>
      <c r="O1818" s="85">
        <v>60</v>
      </c>
      <c r="P1818" s="105"/>
      <c r="Q1818" s="87">
        <f t="shared" si="171"/>
        <v>4.1094148584464854E-3</v>
      </c>
      <c r="R1818" s="87">
        <f t="shared" si="170"/>
        <v>1.1981629603535833E-3</v>
      </c>
      <c r="S1818" s="87">
        <f t="shared" si="170"/>
        <v>-1.8781825661131225E-2</v>
      </c>
      <c r="T1818" s="87">
        <f t="shared" si="170"/>
        <v>4.0521197405639399E-2</v>
      </c>
      <c r="U1818" s="87">
        <f t="shared" si="170"/>
        <v>1.1621895205985748E-2</v>
      </c>
      <c r="V1818" s="87">
        <f t="shared" si="173"/>
        <v>1.9474202843956288E-3</v>
      </c>
      <c r="W1818" s="87">
        <f t="shared" si="173"/>
        <v>2.8987536873252406E-2</v>
      </c>
      <c r="X1818" s="87">
        <f t="shared" si="173"/>
        <v>2.5879447987820759E-2</v>
      </c>
      <c r="Y1818" s="87">
        <f t="shared" si="173"/>
        <v>7.0316498417459683E-2</v>
      </c>
      <c r="Z1818" s="87">
        <f t="shared" si="173"/>
        <v>-1.3793322132335761E-2</v>
      </c>
      <c r="AA1818" s="87">
        <f t="shared" si="173"/>
        <v>-1.2422519998557209E-2</v>
      </c>
      <c r="AB1818" s="87">
        <f t="shared" si="173"/>
        <v>-4.721373748026525E-2</v>
      </c>
      <c r="AC1818" s="87">
        <f t="shared" si="173"/>
        <v>3.7244173172371178E-2</v>
      </c>
      <c r="AD1818" s="87">
        <f t="shared" si="173"/>
        <v>-2.1435280720065033E-2</v>
      </c>
      <c r="AE1818" s="90">
        <f t="shared" si="172"/>
        <v>-4.4217695991991077E-3</v>
      </c>
    </row>
    <row r="1819" spans="1:31" ht="15.5" x14ac:dyDescent="0.35">
      <c r="A1819" s="82">
        <v>42405</v>
      </c>
      <c r="B1819" s="83">
        <v>9390.2999999999993</v>
      </c>
      <c r="C1819" s="84">
        <v>4363.1000000000004</v>
      </c>
      <c r="D1819" s="61">
        <v>700.1</v>
      </c>
      <c r="E1819" s="61">
        <v>27.7</v>
      </c>
      <c r="F1819" s="61">
        <v>93.7</v>
      </c>
      <c r="G1819" s="61">
        <v>49.6</v>
      </c>
      <c r="H1819" s="61">
        <v>6.8</v>
      </c>
      <c r="I1819" s="61">
        <v>27.1</v>
      </c>
      <c r="J1819" s="61">
        <v>16.5</v>
      </c>
      <c r="K1819" s="61">
        <v>7.2</v>
      </c>
      <c r="L1819" s="61">
        <v>48.3</v>
      </c>
      <c r="M1819" s="61">
        <v>38.6</v>
      </c>
      <c r="N1819" s="61">
        <v>48.6</v>
      </c>
      <c r="O1819" s="85">
        <v>57</v>
      </c>
      <c r="P1819" s="105"/>
      <c r="Q1819" s="87">
        <f t="shared" si="171"/>
        <v>-1.5218581026999139E-2</v>
      </c>
      <c r="R1819" s="87">
        <f t="shared" si="170"/>
        <v>-3.3025643897246985E-2</v>
      </c>
      <c r="S1819" s="87">
        <f t="shared" si="170"/>
        <v>-3.1632636730387902E-2</v>
      </c>
      <c r="T1819" s="87">
        <f t="shared" si="170"/>
        <v>0</v>
      </c>
      <c r="U1819" s="87">
        <f t="shared" si="170"/>
        <v>-1.5881752552943069E-2</v>
      </c>
      <c r="V1819" s="87">
        <f t="shared" si="173"/>
        <v>-3.5647338730237607E-2</v>
      </c>
      <c r="W1819" s="87">
        <f t="shared" si="173"/>
        <v>-2.8987536873252298E-2</v>
      </c>
      <c r="X1819" s="87">
        <f t="shared" si="173"/>
        <v>-1.1009285508369255E-2</v>
      </c>
      <c r="Y1819" s="87">
        <f t="shared" si="173"/>
        <v>1.8349138668196617E-2</v>
      </c>
      <c r="Z1819" s="87">
        <f t="shared" si="173"/>
        <v>0</v>
      </c>
      <c r="AA1819" s="87">
        <f t="shared" si="173"/>
        <v>6.2305497506359416E-3</v>
      </c>
      <c r="AB1819" s="87">
        <f t="shared" si="173"/>
        <v>-1.7972242404430253E-2</v>
      </c>
      <c r="AC1819" s="87">
        <f t="shared" si="173"/>
        <v>4.4171218313137459E-2</v>
      </c>
      <c r="AD1819" s="87">
        <f t="shared" si="173"/>
        <v>-5.1293294387550578E-2</v>
      </c>
      <c r="AE1819" s="90">
        <f t="shared" si="172"/>
        <v>-2.9936116163052404E-2</v>
      </c>
    </row>
    <row r="1820" spans="1:31" ht="15.5" x14ac:dyDescent="0.35">
      <c r="A1820" s="82">
        <v>42408</v>
      </c>
      <c r="B1820" s="83">
        <v>9231.2999999999993</v>
      </c>
      <c r="C1820" s="84">
        <v>4283.8</v>
      </c>
      <c r="D1820" s="61">
        <v>682</v>
      </c>
      <c r="E1820" s="61">
        <v>26.5</v>
      </c>
      <c r="F1820" s="61">
        <v>93</v>
      </c>
      <c r="G1820" s="61">
        <v>48.2</v>
      </c>
      <c r="H1820" s="61">
        <v>8.1999999999999993</v>
      </c>
      <c r="I1820" s="61">
        <v>26.1</v>
      </c>
      <c r="J1820" s="61">
        <v>15.9</v>
      </c>
      <c r="K1820" s="61">
        <v>7.2</v>
      </c>
      <c r="L1820" s="61">
        <v>48</v>
      </c>
      <c r="M1820" s="61">
        <v>36.6</v>
      </c>
      <c r="N1820" s="61">
        <v>48.2</v>
      </c>
      <c r="O1820" s="85">
        <v>53.6</v>
      </c>
      <c r="P1820" s="105"/>
      <c r="Q1820" s="87">
        <f t="shared" si="171"/>
        <v>-1.7077357924158348E-2</v>
      </c>
      <c r="R1820" s="87">
        <f t="shared" si="170"/>
        <v>-1.8342347733076299E-2</v>
      </c>
      <c r="S1820" s="87">
        <f t="shared" si="170"/>
        <v>-2.6193524139689787E-2</v>
      </c>
      <c r="T1820" s="87">
        <f t="shared" si="170"/>
        <v>-4.4287680201116238E-2</v>
      </c>
      <c r="U1820" s="87">
        <f t="shared" si="170"/>
        <v>-7.4986960911206197E-3</v>
      </c>
      <c r="V1820" s="87">
        <f t="shared" si="173"/>
        <v>-2.8631812674327153E-2</v>
      </c>
      <c r="W1820" s="87">
        <f t="shared" si="173"/>
        <v>0.18721154208814636</v>
      </c>
      <c r="X1820" s="87">
        <f t="shared" si="173"/>
        <v>-3.759841355700743E-2</v>
      </c>
      <c r="Y1820" s="87">
        <f t="shared" si="173"/>
        <v>-3.7041271680349097E-2</v>
      </c>
      <c r="Z1820" s="87">
        <f t="shared" si="173"/>
        <v>0</v>
      </c>
      <c r="AA1820" s="87">
        <f t="shared" si="173"/>
        <v>-6.2305497506359745E-3</v>
      </c>
      <c r="AB1820" s="87">
        <f t="shared" si="173"/>
        <v>-5.320403606346457E-2</v>
      </c>
      <c r="AC1820" s="87">
        <f t="shared" si="173"/>
        <v>-8.2645098498934245E-3</v>
      </c>
      <c r="AD1820" s="87">
        <f t="shared" si="173"/>
        <v>-6.1502199757793807E-2</v>
      </c>
      <c r="AE1820" s="90">
        <f t="shared" si="172"/>
        <v>-2.2786274418529973E-2</v>
      </c>
    </row>
    <row r="1821" spans="1:31" ht="15.5" x14ac:dyDescent="0.35">
      <c r="A1821" s="82">
        <v>42409</v>
      </c>
      <c r="B1821" s="83">
        <v>9187.7999999999993</v>
      </c>
      <c r="C1821" s="84">
        <v>4268.8</v>
      </c>
      <c r="D1821" s="61">
        <v>688.5</v>
      </c>
      <c r="E1821" s="61">
        <v>26.5</v>
      </c>
      <c r="F1821" s="61">
        <v>93.9</v>
      </c>
      <c r="G1821" s="61">
        <v>48.7</v>
      </c>
      <c r="H1821" s="61">
        <v>8.4</v>
      </c>
      <c r="I1821" s="61">
        <v>26.3</v>
      </c>
      <c r="J1821" s="61">
        <v>15.4</v>
      </c>
      <c r="K1821" s="61">
        <v>7.3</v>
      </c>
      <c r="L1821" s="61">
        <v>48.4</v>
      </c>
      <c r="M1821" s="61">
        <v>35.799999999999997</v>
      </c>
      <c r="N1821" s="61">
        <v>46.8</v>
      </c>
      <c r="O1821" s="85">
        <v>54.3</v>
      </c>
      <c r="P1821" s="105"/>
      <c r="Q1821" s="87">
        <f t="shared" si="171"/>
        <v>-4.7233666003676372E-3</v>
      </c>
      <c r="R1821" s="87">
        <f t="shared" si="170"/>
        <v>-3.5077088557920488E-3</v>
      </c>
      <c r="S1821" s="87">
        <f t="shared" si="170"/>
        <v>9.4856603252474279E-3</v>
      </c>
      <c r="T1821" s="87">
        <f t="shared" si="170"/>
        <v>0</v>
      </c>
      <c r="U1821" s="87">
        <f t="shared" si="170"/>
        <v>9.6308930609613659E-3</v>
      </c>
      <c r="V1821" s="87">
        <f t="shared" si="173"/>
        <v>1.0320009031989449E-2</v>
      </c>
      <c r="W1821" s="87">
        <f t="shared" si="173"/>
        <v>2.4097551579060524E-2</v>
      </c>
      <c r="X1821" s="87">
        <f t="shared" si="173"/>
        <v>7.6336248550712051E-3</v>
      </c>
      <c r="Y1821" s="87">
        <f t="shared" si="173"/>
        <v>-3.1951599806602358E-2</v>
      </c>
      <c r="Z1821" s="87">
        <f t="shared" si="173"/>
        <v>1.3793322132335769E-2</v>
      </c>
      <c r="AA1821" s="87">
        <f t="shared" si="173"/>
        <v>8.2988028146950641E-3</v>
      </c>
      <c r="AB1821" s="87">
        <f t="shared" si="173"/>
        <v>-2.2100347000666081E-2</v>
      </c>
      <c r="AC1821" s="87">
        <f t="shared" si="173"/>
        <v>-2.9475818132953691E-2</v>
      </c>
      <c r="AD1821" s="87">
        <f t="shared" si="173"/>
        <v>1.2975158863133459E-2</v>
      </c>
      <c r="AE1821" s="90">
        <f t="shared" si="172"/>
        <v>6.0565875043643216E-3</v>
      </c>
    </row>
    <row r="1822" spans="1:31" ht="15.5" x14ac:dyDescent="0.35">
      <c r="A1822" s="82">
        <v>42410</v>
      </c>
      <c r="B1822" s="83">
        <v>9176.7000000000007</v>
      </c>
      <c r="C1822" s="84">
        <v>4283.6000000000004</v>
      </c>
      <c r="D1822" s="61">
        <v>705.4</v>
      </c>
      <c r="E1822" s="61">
        <v>26.8</v>
      </c>
      <c r="F1822" s="61">
        <v>94.1</v>
      </c>
      <c r="G1822" s="61">
        <v>49.5</v>
      </c>
      <c r="H1822" s="61">
        <v>8.5</v>
      </c>
      <c r="I1822" s="61">
        <v>28.1</v>
      </c>
      <c r="J1822" s="61">
        <v>15.3</v>
      </c>
      <c r="K1822" s="61">
        <v>7.4</v>
      </c>
      <c r="L1822" s="61">
        <v>49.5</v>
      </c>
      <c r="M1822" s="61">
        <v>36.799999999999997</v>
      </c>
      <c r="N1822" s="61">
        <v>46.9</v>
      </c>
      <c r="O1822" s="85">
        <v>55.9</v>
      </c>
      <c r="P1822" s="105"/>
      <c r="Q1822" s="87">
        <f t="shared" si="171"/>
        <v>-1.2088541862536372E-3</v>
      </c>
      <c r="R1822" s="87">
        <f t="shared" si="170"/>
        <v>3.4610202454700206E-3</v>
      </c>
      <c r="S1822" s="87">
        <f t="shared" si="170"/>
        <v>2.4249699633241951E-2</v>
      </c>
      <c r="T1822" s="87">
        <f t="shared" si="170"/>
        <v>1.1257154524634468E-2</v>
      </c>
      <c r="U1822" s="87">
        <f t="shared" si="170"/>
        <v>2.1276603771166066E-3</v>
      </c>
      <c r="V1822" s="87">
        <f t="shared" si="173"/>
        <v>1.6293639486100533E-2</v>
      </c>
      <c r="W1822" s="87">
        <f t="shared" si="173"/>
        <v>1.1834457647002798E-2</v>
      </c>
      <c r="X1822" s="87">
        <f t="shared" si="173"/>
        <v>6.6200637155981137E-2</v>
      </c>
      <c r="Y1822" s="87">
        <f t="shared" si="173"/>
        <v>-6.5146810211936419E-3</v>
      </c>
      <c r="Z1822" s="87">
        <f t="shared" si="173"/>
        <v>1.3605652055778678E-2</v>
      </c>
      <c r="AA1822" s="87">
        <f t="shared" si="173"/>
        <v>2.2472855852058576E-2</v>
      </c>
      <c r="AB1822" s="87">
        <f t="shared" si="173"/>
        <v>2.7549951768230649E-2</v>
      </c>
      <c r="AC1822" s="87">
        <f t="shared" si="173"/>
        <v>2.1344725286326196E-3</v>
      </c>
      <c r="AD1822" s="87">
        <f t="shared" si="173"/>
        <v>2.9040153221163649E-2</v>
      </c>
      <c r="AE1822" s="90">
        <f t="shared" si="172"/>
        <v>1.2275043278008609E-2</v>
      </c>
    </row>
    <row r="1823" spans="1:31" ht="15.5" x14ac:dyDescent="0.35">
      <c r="A1823" s="82">
        <v>42411</v>
      </c>
      <c r="B1823" s="83">
        <v>9029.9</v>
      </c>
      <c r="C1823" s="84">
        <v>4266.8</v>
      </c>
      <c r="D1823" s="61">
        <v>691.2</v>
      </c>
      <c r="E1823" s="61">
        <v>26.2</v>
      </c>
      <c r="F1823" s="61">
        <v>92.6</v>
      </c>
      <c r="G1823" s="61">
        <v>48.5</v>
      </c>
      <c r="H1823" s="61">
        <v>8.3000000000000007</v>
      </c>
      <c r="I1823" s="61">
        <v>27.7</v>
      </c>
      <c r="J1823" s="61">
        <v>14.9</v>
      </c>
      <c r="K1823" s="61">
        <v>6.9</v>
      </c>
      <c r="L1823" s="61">
        <v>48.5</v>
      </c>
      <c r="M1823" s="61">
        <v>35</v>
      </c>
      <c r="N1823" s="61">
        <v>46.1</v>
      </c>
      <c r="O1823" s="85">
        <v>55.4</v>
      </c>
      <c r="P1823" s="105"/>
      <c r="Q1823" s="87">
        <f t="shared" si="171"/>
        <v>-1.6126369710372273E-2</v>
      </c>
      <c r="R1823" s="87">
        <f t="shared" si="170"/>
        <v>-3.9296457753922797E-3</v>
      </c>
      <c r="S1823" s="87">
        <f t="shared" si="170"/>
        <v>-2.033580031210562E-2</v>
      </c>
      <c r="T1823" s="87">
        <f t="shared" si="170"/>
        <v>-2.2642476749759891E-2</v>
      </c>
      <c r="U1823" s="87">
        <f t="shared" si="170"/>
        <v>-1.6068904939200213E-2</v>
      </c>
      <c r="V1823" s="87">
        <f t="shared" si="173"/>
        <v>-2.0408871631207123E-2</v>
      </c>
      <c r="W1823" s="87">
        <f t="shared" si="173"/>
        <v>-2.3810648693718447E-2</v>
      </c>
      <c r="X1823" s="87">
        <f t="shared" si="173"/>
        <v>-1.4337163146407331E-2</v>
      </c>
      <c r="Y1823" s="87">
        <f t="shared" si="173"/>
        <v>-2.6491615446976341E-2</v>
      </c>
      <c r="Z1823" s="87">
        <f t="shared" si="173"/>
        <v>-6.9958588606910344E-2</v>
      </c>
      <c r="AA1823" s="87">
        <f t="shared" si="173"/>
        <v>-2.0408871631207123E-2</v>
      </c>
      <c r="AB1823" s="87">
        <f t="shared" si="173"/>
        <v>-5.014978368547144E-2</v>
      </c>
      <c r="AC1823" s="87">
        <f t="shared" si="173"/>
        <v>-1.7204725449630833E-2</v>
      </c>
      <c r="AD1823" s="87">
        <f t="shared" si="173"/>
        <v>-8.984786407815297E-3</v>
      </c>
      <c r="AE1823" s="90">
        <f t="shared" si="172"/>
        <v>-1.2818312747518412E-2</v>
      </c>
    </row>
    <row r="1824" spans="1:31" ht="15.5" x14ac:dyDescent="0.35">
      <c r="A1824" s="82">
        <v>42412</v>
      </c>
      <c r="B1824" s="83">
        <v>9229.7000000000007</v>
      </c>
      <c r="C1824" s="84">
        <v>4337.5</v>
      </c>
      <c r="D1824" s="61">
        <v>701.6</v>
      </c>
      <c r="E1824" s="61">
        <v>26.7</v>
      </c>
      <c r="F1824" s="61">
        <v>93</v>
      </c>
      <c r="G1824" s="61">
        <v>49.8</v>
      </c>
      <c r="H1824" s="61">
        <v>8.5</v>
      </c>
      <c r="I1824" s="61">
        <v>28.6</v>
      </c>
      <c r="J1824" s="61">
        <v>15.2</v>
      </c>
      <c r="K1824" s="61">
        <v>6.9</v>
      </c>
      <c r="L1824" s="61">
        <v>48.3</v>
      </c>
      <c r="M1824" s="61">
        <v>35.799999999999997</v>
      </c>
      <c r="N1824" s="61">
        <v>47.2</v>
      </c>
      <c r="O1824" s="85">
        <v>55.5</v>
      </c>
      <c r="P1824" s="105"/>
      <c r="Q1824" s="87">
        <f t="shared" si="171"/>
        <v>2.1885252107523449E-2</v>
      </c>
      <c r="R1824" s="87">
        <f t="shared" si="170"/>
        <v>1.6434013503786891E-2</v>
      </c>
      <c r="S1824" s="87">
        <f t="shared" si="170"/>
        <v>1.4934223568127403E-2</v>
      </c>
      <c r="T1824" s="87">
        <f t="shared" si="170"/>
        <v>1.8904154639152654E-2</v>
      </c>
      <c r="U1824" s="87">
        <f t="shared" si="170"/>
        <v>4.3103515011222631E-3</v>
      </c>
      <c r="V1824" s="87">
        <f t="shared" si="173"/>
        <v>2.6451186087169634E-2</v>
      </c>
      <c r="W1824" s="87">
        <f t="shared" si="173"/>
        <v>2.3810648693718392E-2</v>
      </c>
      <c r="X1824" s="87">
        <f t="shared" si="173"/>
        <v>3.1974304632514106E-2</v>
      </c>
      <c r="Y1824" s="87">
        <f t="shared" si="173"/>
        <v>1.9934214900817111E-2</v>
      </c>
      <c r="Z1824" s="87">
        <f t="shared" si="173"/>
        <v>0</v>
      </c>
      <c r="AA1824" s="87">
        <f t="shared" si="173"/>
        <v>-4.1322372849106059E-3</v>
      </c>
      <c r="AB1824" s="87">
        <f t="shared" si="173"/>
        <v>2.2599831917240777E-2</v>
      </c>
      <c r="AC1824" s="87">
        <f t="shared" si="173"/>
        <v>2.3580942588906879E-2</v>
      </c>
      <c r="AD1824" s="87">
        <f t="shared" si="173"/>
        <v>1.8034269991507267E-3</v>
      </c>
      <c r="AE1824" s="90">
        <f t="shared" si="172"/>
        <v>1.0749979495634613E-2</v>
      </c>
    </row>
    <row r="1825" spans="1:31" ht="15.5" x14ac:dyDescent="0.35">
      <c r="A1825" s="82">
        <v>42416</v>
      </c>
      <c r="B1825" s="83">
        <v>9375.4</v>
      </c>
      <c r="C1825" s="84">
        <v>4436</v>
      </c>
      <c r="D1825" s="61">
        <v>710.2</v>
      </c>
      <c r="E1825" s="61">
        <v>27.9</v>
      </c>
      <c r="F1825" s="61">
        <v>94.6</v>
      </c>
      <c r="G1825" s="61">
        <v>50.1</v>
      </c>
      <c r="H1825" s="61">
        <v>8.6</v>
      </c>
      <c r="I1825" s="61">
        <v>29.4</v>
      </c>
      <c r="J1825" s="61">
        <v>15.2</v>
      </c>
      <c r="K1825" s="61">
        <v>6.9</v>
      </c>
      <c r="L1825" s="61">
        <v>49.2</v>
      </c>
      <c r="M1825" s="61">
        <v>37.6</v>
      </c>
      <c r="N1825" s="61">
        <v>48.3</v>
      </c>
      <c r="O1825" s="85">
        <v>56.8</v>
      </c>
      <c r="P1825" s="105"/>
      <c r="Q1825" s="87">
        <f t="shared" si="171"/>
        <v>1.5662692334967532E-2</v>
      </c>
      <c r="R1825" s="87">
        <f t="shared" si="170"/>
        <v>2.2454924215142977E-2</v>
      </c>
      <c r="S1825" s="87">
        <f t="shared" si="170"/>
        <v>1.2183179451014305E-2</v>
      </c>
      <c r="T1825" s="87">
        <f t="shared" si="170"/>
        <v>4.3963123421115989E-2</v>
      </c>
      <c r="U1825" s="87">
        <f t="shared" si="170"/>
        <v>1.7057982904576552E-2</v>
      </c>
      <c r="V1825" s="87">
        <f t="shared" si="173"/>
        <v>6.0060240602119487E-3</v>
      </c>
      <c r="W1825" s="87">
        <f t="shared" si="173"/>
        <v>1.1696039763191236E-2</v>
      </c>
      <c r="X1825" s="87">
        <f t="shared" si="173"/>
        <v>2.7587956518828963E-2</v>
      </c>
      <c r="Y1825" s="87">
        <f t="shared" si="173"/>
        <v>0</v>
      </c>
      <c r="Z1825" s="87">
        <f t="shared" si="173"/>
        <v>0</v>
      </c>
      <c r="AA1825" s="87">
        <f t="shared" si="173"/>
        <v>1.8462062839735571E-2</v>
      </c>
      <c r="AB1825" s="87">
        <f t="shared" si="173"/>
        <v>4.9056156989194424E-2</v>
      </c>
      <c r="AC1825" s="87">
        <f t="shared" si="173"/>
        <v>2.3037668067017139E-2</v>
      </c>
      <c r="AD1825" s="87">
        <f t="shared" si="173"/>
        <v>2.3153304974716821E-2</v>
      </c>
      <c r="AE1825" s="90">
        <f t="shared" si="172"/>
        <v>1.7989415143492282E-2</v>
      </c>
    </row>
    <row r="1826" spans="1:31" ht="15.5" x14ac:dyDescent="0.35">
      <c r="A1826" s="82">
        <v>42417</v>
      </c>
      <c r="B1826" s="83">
        <v>9532.2999999999993</v>
      </c>
      <c r="C1826" s="84">
        <v>4534.1000000000004</v>
      </c>
      <c r="D1826" s="61">
        <v>716.6</v>
      </c>
      <c r="E1826" s="61">
        <v>29.1</v>
      </c>
      <c r="F1826" s="61">
        <v>96.2</v>
      </c>
      <c r="G1826" s="61">
        <v>51.5</v>
      </c>
      <c r="H1826" s="61">
        <v>8.6999999999999993</v>
      </c>
      <c r="I1826" s="61">
        <v>30.4</v>
      </c>
      <c r="J1826" s="61">
        <v>15.6</v>
      </c>
      <c r="K1826" s="61">
        <v>7.4</v>
      </c>
      <c r="L1826" s="61">
        <v>50</v>
      </c>
      <c r="M1826" s="61">
        <v>38.4</v>
      </c>
      <c r="N1826" s="61">
        <v>48.9</v>
      </c>
      <c r="O1826" s="85">
        <v>57.1</v>
      </c>
      <c r="P1826" s="105"/>
      <c r="Q1826" s="87">
        <f t="shared" si="171"/>
        <v>1.6596794061565799E-2</v>
      </c>
      <c r="R1826" s="87">
        <f t="shared" si="170"/>
        <v>2.1873537934057743E-2</v>
      </c>
      <c r="S1826" s="87">
        <f t="shared" si="170"/>
        <v>8.9711843618658117E-3</v>
      </c>
      <c r="T1826" s="87">
        <f t="shared" si="170"/>
        <v>4.2111485350127063E-2</v>
      </c>
      <c r="U1826" s="87">
        <f t="shared" si="170"/>
        <v>1.67718816138284E-2</v>
      </c>
      <c r="V1826" s="87">
        <f t="shared" si="173"/>
        <v>2.7560799578871416E-2</v>
      </c>
      <c r="W1826" s="87">
        <f t="shared" si="173"/>
        <v>1.1560822401076006E-2</v>
      </c>
      <c r="X1826" s="87">
        <f t="shared" si="173"/>
        <v>3.3447934067540125E-2</v>
      </c>
      <c r="Y1826" s="87">
        <f t="shared" si="173"/>
        <v>2.5975486403260736E-2</v>
      </c>
      <c r="Z1826" s="87">
        <f t="shared" si="173"/>
        <v>6.9958588606910468E-2</v>
      </c>
      <c r="AA1826" s="87">
        <f t="shared" si="173"/>
        <v>1.6129381929883498E-2</v>
      </c>
      <c r="AB1826" s="87">
        <f t="shared" si="173"/>
        <v>2.1053409197832263E-2</v>
      </c>
      <c r="AC1826" s="87">
        <f t="shared" si="173"/>
        <v>1.2345835822299362E-2</v>
      </c>
      <c r="AD1826" s="87">
        <f t="shared" si="173"/>
        <v>5.2677909348590258E-3</v>
      </c>
      <c r="AE1826" s="90">
        <f t="shared" si="172"/>
        <v>1.461902750917215E-2</v>
      </c>
    </row>
    <row r="1827" spans="1:31" ht="15.5" x14ac:dyDescent="0.35">
      <c r="A1827" s="82">
        <v>42418</v>
      </c>
      <c r="B1827" s="83">
        <v>9505</v>
      </c>
      <c r="C1827" s="84">
        <v>4487.5</v>
      </c>
      <c r="D1827" s="61">
        <v>715.6</v>
      </c>
      <c r="E1827" s="61">
        <v>29.4</v>
      </c>
      <c r="F1827" s="61">
        <v>96.1</v>
      </c>
      <c r="G1827" s="61">
        <v>52.1</v>
      </c>
      <c r="H1827" s="61">
        <v>8.6999999999999993</v>
      </c>
      <c r="I1827" s="61">
        <v>30.1</v>
      </c>
      <c r="J1827" s="61">
        <v>16.7</v>
      </c>
      <c r="K1827" s="61">
        <v>7.6</v>
      </c>
      <c r="L1827" s="61">
        <v>50.2</v>
      </c>
      <c r="M1827" s="61">
        <v>39</v>
      </c>
      <c r="N1827" s="61">
        <v>49.1</v>
      </c>
      <c r="O1827" s="85">
        <v>58</v>
      </c>
      <c r="P1827" s="105"/>
      <c r="Q1827" s="87">
        <f t="shared" si="171"/>
        <v>-2.8680557341180905E-3</v>
      </c>
      <c r="R1827" s="87">
        <f t="shared" si="170"/>
        <v>-1.0330853607781135E-2</v>
      </c>
      <c r="S1827" s="87">
        <f t="shared" si="170"/>
        <v>-1.3964532362893372E-3</v>
      </c>
      <c r="T1827" s="87">
        <f t="shared" si="170"/>
        <v>1.0256500167189061E-2</v>
      </c>
      <c r="U1827" s="87">
        <f t="shared" si="170"/>
        <v>-1.0400416954140814E-3</v>
      </c>
      <c r="V1827" s="87">
        <f t="shared" si="173"/>
        <v>1.1583141089630855E-2</v>
      </c>
      <c r="W1827" s="87">
        <f t="shared" si="173"/>
        <v>0</v>
      </c>
      <c r="X1827" s="87">
        <f t="shared" si="173"/>
        <v>-9.9174366573459155E-3</v>
      </c>
      <c r="Y1827" s="87">
        <f t="shared" si="173"/>
        <v>6.8137805167218041E-2</v>
      </c>
      <c r="Z1827" s="87">
        <f t="shared" si="173"/>
        <v>2.6668247082161273E-2</v>
      </c>
      <c r="AA1827" s="87">
        <f t="shared" si="173"/>
        <v>3.9920212695374567E-3</v>
      </c>
      <c r="AB1827" s="87">
        <f t="shared" si="173"/>
        <v>1.5504186535965254E-2</v>
      </c>
      <c r="AC1827" s="87">
        <f t="shared" si="173"/>
        <v>4.0816383196486776E-3</v>
      </c>
      <c r="AD1827" s="87">
        <f t="shared" si="173"/>
        <v>1.5638893884454729E-2</v>
      </c>
      <c r="AE1827" s="90">
        <f t="shared" si="172"/>
        <v>-1.9019978368508535E-3</v>
      </c>
    </row>
    <row r="1828" spans="1:31" ht="15.5" x14ac:dyDescent="0.35">
      <c r="A1828" s="82">
        <v>42419</v>
      </c>
      <c r="B1828" s="83">
        <v>9486</v>
      </c>
      <c r="C1828" s="84">
        <v>4504.3999999999996</v>
      </c>
      <c r="D1828" s="61">
        <v>713.1</v>
      </c>
      <c r="E1828" s="61">
        <v>29.7</v>
      </c>
      <c r="F1828" s="61">
        <v>95.8</v>
      </c>
      <c r="G1828" s="61">
        <v>51.5</v>
      </c>
      <c r="H1828" s="61">
        <v>8.6</v>
      </c>
      <c r="I1828" s="61">
        <v>29.2</v>
      </c>
      <c r="J1828" s="61">
        <v>16</v>
      </c>
      <c r="K1828" s="61">
        <v>7.3</v>
      </c>
      <c r="L1828" s="61">
        <v>49.9</v>
      </c>
      <c r="M1828" s="61">
        <v>38.5</v>
      </c>
      <c r="N1828" s="61">
        <v>49.2</v>
      </c>
      <c r="O1828" s="85">
        <v>57.6</v>
      </c>
      <c r="P1828" s="105"/>
      <c r="Q1828" s="87">
        <f t="shared" si="171"/>
        <v>-2.0009484850025557E-3</v>
      </c>
      <c r="R1828" s="87">
        <f t="shared" si="170"/>
        <v>3.7589430263359979E-3</v>
      </c>
      <c r="S1828" s="87">
        <f t="shared" si="170"/>
        <v>-3.4996886003062114E-3</v>
      </c>
      <c r="T1828" s="87">
        <f t="shared" si="170"/>
        <v>1.0152371464018128E-2</v>
      </c>
      <c r="U1828" s="87">
        <f t="shared" si="170"/>
        <v>-3.1266309994319734E-3</v>
      </c>
      <c r="V1828" s="87">
        <f t="shared" si="173"/>
        <v>-1.1583141089630759E-2</v>
      </c>
      <c r="W1828" s="87">
        <f t="shared" si="173"/>
        <v>-1.1560822401075971E-2</v>
      </c>
      <c r="X1828" s="87">
        <f t="shared" si="173"/>
        <v>-3.0356462480594069E-2</v>
      </c>
      <c r="Y1828" s="87">
        <f t="shared" si="173"/>
        <v>-4.2819997182928185E-2</v>
      </c>
      <c r="Z1828" s="87">
        <f t="shared" si="173"/>
        <v>-4.027389913793996E-2</v>
      </c>
      <c r="AA1828" s="87">
        <f t="shared" si="173"/>
        <v>-5.994023940210637E-3</v>
      </c>
      <c r="AB1828" s="87">
        <f t="shared" si="173"/>
        <v>-1.2903404835907841E-2</v>
      </c>
      <c r="AC1828" s="87">
        <f t="shared" si="173"/>
        <v>2.0345886977874567E-3</v>
      </c>
      <c r="AD1828" s="87">
        <f t="shared" si="173"/>
        <v>-6.9204428445737952E-3</v>
      </c>
      <c r="AE1828" s="90">
        <f t="shared" si="172"/>
        <v>-1.6330396404664806E-3</v>
      </c>
    </row>
    <row r="1829" spans="1:31" ht="15.5" x14ac:dyDescent="0.35">
      <c r="A1829" s="82">
        <v>42422</v>
      </c>
      <c r="B1829" s="83">
        <v>9616.2999999999993</v>
      </c>
      <c r="C1829" s="84">
        <v>4570.6000000000004</v>
      </c>
      <c r="D1829" s="61">
        <v>723.5</v>
      </c>
      <c r="E1829" s="61">
        <v>30.4</v>
      </c>
      <c r="F1829" s="61">
        <v>95.9</v>
      </c>
      <c r="G1829" s="61">
        <v>52.3</v>
      </c>
      <c r="H1829" s="61">
        <v>8.4</v>
      </c>
      <c r="I1829" s="61">
        <v>29.5</v>
      </c>
      <c r="J1829" s="61">
        <v>16.100000000000001</v>
      </c>
      <c r="K1829" s="61">
        <v>7.2</v>
      </c>
      <c r="L1829" s="61">
        <v>50.1</v>
      </c>
      <c r="M1829" s="61">
        <v>39</v>
      </c>
      <c r="N1829" s="61">
        <v>49.7</v>
      </c>
      <c r="O1829" s="85">
        <v>59.3</v>
      </c>
      <c r="P1829" s="105"/>
      <c r="Q1829" s="87">
        <f t="shared" si="171"/>
        <v>1.3642547854142017E-2</v>
      </c>
      <c r="R1829" s="87">
        <f t="shared" si="170"/>
        <v>1.4589790475913673E-2</v>
      </c>
      <c r="S1829" s="87">
        <f t="shared" si="170"/>
        <v>1.4478883037280611E-2</v>
      </c>
      <c r="T1829" s="87">
        <f t="shared" si="170"/>
        <v>2.3295562603522082E-2</v>
      </c>
      <c r="U1829" s="87">
        <f t="shared" si="170"/>
        <v>1.0432969125776675E-3</v>
      </c>
      <c r="V1829" s="87">
        <f t="shared" si="173"/>
        <v>1.5414563401186793E-2</v>
      </c>
      <c r="W1829" s="87">
        <f t="shared" si="173"/>
        <v>-2.3530497410194046E-2</v>
      </c>
      <c r="X1829" s="87">
        <f t="shared" si="173"/>
        <v>1.0221554071538009E-2</v>
      </c>
      <c r="Y1829" s="87">
        <f t="shared" si="173"/>
        <v>6.2305497506361628E-3</v>
      </c>
      <c r="Z1829" s="87">
        <f t="shared" si="173"/>
        <v>-1.3793322132335761E-2</v>
      </c>
      <c r="AA1829" s="87">
        <f t="shared" si="173"/>
        <v>4.0000053333461372E-3</v>
      </c>
      <c r="AB1829" s="87">
        <f t="shared" si="173"/>
        <v>1.2903404835907782E-2</v>
      </c>
      <c r="AC1829" s="87">
        <f t="shared" si="173"/>
        <v>1.0111309604320695E-2</v>
      </c>
      <c r="AD1829" s="87">
        <f t="shared" si="173"/>
        <v>2.9086738301834166E-2</v>
      </c>
      <c r="AE1829" s="90">
        <f t="shared" si="172"/>
        <v>1.2445929552881003E-2</v>
      </c>
    </row>
    <row r="1830" spans="1:31" ht="15.5" x14ac:dyDescent="0.35">
      <c r="A1830" s="82">
        <v>42423</v>
      </c>
      <c r="B1830" s="83">
        <v>9494.2999999999993</v>
      </c>
      <c r="C1830" s="84">
        <v>4503.6000000000004</v>
      </c>
      <c r="D1830" s="61">
        <v>715.7</v>
      </c>
      <c r="E1830" s="61">
        <v>30.5</v>
      </c>
      <c r="F1830" s="61">
        <v>94.6</v>
      </c>
      <c r="G1830" s="61">
        <v>51</v>
      </c>
      <c r="H1830" s="61">
        <v>8.3000000000000007</v>
      </c>
      <c r="I1830" s="61">
        <v>29.4</v>
      </c>
      <c r="J1830" s="61">
        <v>15.4</v>
      </c>
      <c r="K1830" s="61">
        <v>7.4</v>
      </c>
      <c r="L1830" s="61">
        <v>50.4</v>
      </c>
      <c r="M1830" s="61">
        <v>37.9</v>
      </c>
      <c r="N1830" s="61">
        <v>51.5</v>
      </c>
      <c r="O1830" s="85">
        <v>59.9</v>
      </c>
      <c r="P1830" s="105"/>
      <c r="Q1830" s="87">
        <f t="shared" si="171"/>
        <v>-1.2767956775069221E-2</v>
      </c>
      <c r="R1830" s="87">
        <f t="shared" si="170"/>
        <v>-1.4767410369808583E-2</v>
      </c>
      <c r="S1830" s="87">
        <f t="shared" si="170"/>
        <v>-1.0839461326986679E-2</v>
      </c>
      <c r="T1830" s="87">
        <f t="shared" si="170"/>
        <v>3.2840752011900187E-3</v>
      </c>
      <c r="U1830" s="87">
        <f t="shared" si="170"/>
        <v>-1.364850583156004E-2</v>
      </c>
      <c r="V1830" s="87">
        <f t="shared" si="173"/>
        <v>-2.5170738346551445E-2</v>
      </c>
      <c r="W1830" s="87">
        <f t="shared" si="173"/>
        <v>-1.1976191046715649E-2</v>
      </c>
      <c r="X1830" s="87">
        <f t="shared" si="173"/>
        <v>-3.3955890011382718E-3</v>
      </c>
      <c r="Y1830" s="87">
        <f t="shared" si="173"/>
        <v>-4.4451762570833921E-2</v>
      </c>
      <c r="Z1830" s="87">
        <f t="shared" si="173"/>
        <v>2.7398974188114562E-2</v>
      </c>
      <c r="AA1830" s="87">
        <f t="shared" si="173"/>
        <v>5.9701669865037544E-3</v>
      </c>
      <c r="AB1830" s="87">
        <f t="shared" si="173"/>
        <v>-2.8610534041265775E-2</v>
      </c>
      <c r="AC1830" s="87">
        <f t="shared" si="173"/>
        <v>3.5576874567107432E-2</v>
      </c>
      <c r="AD1830" s="87">
        <f t="shared" si="173"/>
        <v>1.0067199117723941E-2</v>
      </c>
      <c r="AE1830" s="90">
        <f t="shared" si="172"/>
        <v>-1.0278905385320954E-2</v>
      </c>
    </row>
    <row r="1831" spans="1:31" ht="15.5" x14ac:dyDescent="0.35">
      <c r="A1831" s="82">
        <v>42424</v>
      </c>
      <c r="B1831" s="83">
        <v>9506.1</v>
      </c>
      <c r="C1831" s="84">
        <v>4542.6000000000004</v>
      </c>
      <c r="D1831" s="61">
        <v>702</v>
      </c>
      <c r="E1831" s="61">
        <v>29.8</v>
      </c>
      <c r="F1831" s="61">
        <v>93.3</v>
      </c>
      <c r="G1831" s="61">
        <v>50.2</v>
      </c>
      <c r="H1831" s="61">
        <v>8.1999999999999993</v>
      </c>
      <c r="I1831" s="61">
        <v>28.5</v>
      </c>
      <c r="J1831" s="61">
        <v>15.4</v>
      </c>
      <c r="K1831" s="61">
        <v>7.4</v>
      </c>
      <c r="L1831" s="61">
        <v>49.6</v>
      </c>
      <c r="M1831" s="61">
        <v>37.299999999999997</v>
      </c>
      <c r="N1831" s="61">
        <v>48</v>
      </c>
      <c r="O1831" s="85">
        <v>59.2</v>
      </c>
      <c r="P1831" s="105"/>
      <c r="Q1831" s="87">
        <f t="shared" si="171"/>
        <v>1.2420792738100221E-3</v>
      </c>
      <c r="R1831" s="87">
        <f t="shared" si="170"/>
        <v>8.6224584083405328E-3</v>
      </c>
      <c r="S1831" s="87">
        <f t="shared" si="170"/>
        <v>-1.9327680718740806E-2</v>
      </c>
      <c r="T1831" s="87">
        <f t="shared" si="170"/>
        <v>-2.3218290102007107E-2</v>
      </c>
      <c r="U1831" s="87">
        <f t="shared" si="170"/>
        <v>-1.3837368204534383E-2</v>
      </c>
      <c r="V1831" s="87">
        <f t="shared" si="173"/>
        <v>-1.5810606026642204E-2</v>
      </c>
      <c r="W1831" s="87">
        <f t="shared" si="173"/>
        <v>-1.2121360532344963E-2</v>
      </c>
      <c r="X1831" s="87">
        <f t="shared" si="173"/>
        <v>-3.1090587070031005E-2</v>
      </c>
      <c r="Y1831" s="87">
        <f t="shared" si="173"/>
        <v>0</v>
      </c>
      <c r="Z1831" s="87">
        <f t="shared" si="173"/>
        <v>0</v>
      </c>
      <c r="AA1831" s="87">
        <f t="shared" si="173"/>
        <v>-1.6000341346441075E-2</v>
      </c>
      <c r="AB1831" s="87">
        <f t="shared" si="173"/>
        <v>-1.5957785438610806E-2</v>
      </c>
      <c r="AC1831" s="87">
        <f t="shared" si="173"/>
        <v>-7.0380796761799494E-2</v>
      </c>
      <c r="AD1831" s="87">
        <f t="shared" si="173"/>
        <v>-1.175496323144362E-2</v>
      </c>
      <c r="AE1831" s="90">
        <f t="shared" si="172"/>
        <v>-8.459323796466911E-3</v>
      </c>
    </row>
    <row r="1832" spans="1:31" ht="15.5" x14ac:dyDescent="0.35">
      <c r="A1832" s="82">
        <v>42425</v>
      </c>
      <c r="B1832" s="83">
        <v>9625.2999999999993</v>
      </c>
      <c r="C1832" s="84">
        <v>4582.2</v>
      </c>
      <c r="D1832" s="61">
        <v>713.2</v>
      </c>
      <c r="E1832" s="61">
        <v>30.2</v>
      </c>
      <c r="F1832" s="61">
        <v>95.3</v>
      </c>
      <c r="G1832" s="61">
        <v>50.6</v>
      </c>
      <c r="H1832" s="61">
        <v>8</v>
      </c>
      <c r="I1832" s="61">
        <v>29.2</v>
      </c>
      <c r="J1832" s="61">
        <v>16.3</v>
      </c>
      <c r="K1832" s="61">
        <v>7.7</v>
      </c>
      <c r="L1832" s="61">
        <v>50.4</v>
      </c>
      <c r="M1832" s="61">
        <v>38.4</v>
      </c>
      <c r="N1832" s="61">
        <v>47.3</v>
      </c>
      <c r="O1832" s="85">
        <v>60.6</v>
      </c>
      <c r="P1832" s="105"/>
      <c r="Q1832" s="87">
        <f t="shared" si="171"/>
        <v>1.24613507110062E-2</v>
      </c>
      <c r="R1832" s="87">
        <f t="shared" si="170"/>
        <v>8.6796967850773839E-3</v>
      </c>
      <c r="S1832" s="87">
        <f t="shared" si="170"/>
        <v>1.5828481963174313E-2</v>
      </c>
      <c r="T1832" s="87">
        <f t="shared" si="170"/>
        <v>1.3333530869465168E-2</v>
      </c>
      <c r="U1832" s="87">
        <f t="shared" si="170"/>
        <v>2.1209702806858223E-2</v>
      </c>
      <c r="V1832" s="87">
        <f t="shared" si="173"/>
        <v>7.9365495957363415E-3</v>
      </c>
      <c r="W1832" s="87">
        <f t="shared" si="173"/>
        <v>-2.4692612590371411E-2</v>
      </c>
      <c r="X1832" s="87">
        <f t="shared" si="173"/>
        <v>2.4264621999631298E-2</v>
      </c>
      <c r="Y1832" s="87">
        <f t="shared" si="173"/>
        <v>5.6797598393133246E-2</v>
      </c>
      <c r="Z1832" s="87">
        <f t="shared" si="173"/>
        <v>3.9740328649514121E-2</v>
      </c>
      <c r="AA1832" s="87">
        <f t="shared" si="173"/>
        <v>1.600034134644112E-2</v>
      </c>
      <c r="AB1832" s="87">
        <f t="shared" si="173"/>
        <v>2.9064132943911334E-2</v>
      </c>
      <c r="AC1832" s="87">
        <f t="shared" si="173"/>
        <v>-1.4690715410003706E-2</v>
      </c>
      <c r="AD1832" s="87">
        <f t="shared" si="173"/>
        <v>2.3373351185308804E-2</v>
      </c>
      <c r="AE1832" s="90">
        <f t="shared" si="172"/>
        <v>1.614141044567691E-2</v>
      </c>
    </row>
    <row r="1833" spans="1:31" ht="15.5" x14ac:dyDescent="0.35">
      <c r="A1833" s="82">
        <v>42426</v>
      </c>
      <c r="B1833" s="83">
        <v>9619.7999999999993</v>
      </c>
      <c r="C1833" s="84">
        <v>4590.5</v>
      </c>
      <c r="D1833" s="61">
        <v>721.9</v>
      </c>
      <c r="E1833" s="61">
        <v>31.2</v>
      </c>
      <c r="F1833" s="61">
        <v>96.6</v>
      </c>
      <c r="G1833" s="61">
        <v>51.1</v>
      </c>
      <c r="H1833" s="61">
        <v>8.1</v>
      </c>
      <c r="I1833" s="61">
        <v>29.8</v>
      </c>
      <c r="J1833" s="61">
        <v>16.8</v>
      </c>
      <c r="K1833" s="61">
        <v>8.9</v>
      </c>
      <c r="L1833" s="61">
        <v>50.6</v>
      </c>
      <c r="M1833" s="61">
        <v>39.4</v>
      </c>
      <c r="N1833" s="61">
        <v>48</v>
      </c>
      <c r="O1833" s="85">
        <v>62.5</v>
      </c>
      <c r="P1833" s="105"/>
      <c r="Q1833" s="87">
        <f t="shared" si="171"/>
        <v>-5.7157407856920034E-4</v>
      </c>
      <c r="R1833" s="87">
        <f t="shared" si="170"/>
        <v>1.8097184613613162E-3</v>
      </c>
      <c r="S1833" s="87">
        <f t="shared" si="170"/>
        <v>1.2124739156129926E-2</v>
      </c>
      <c r="T1833" s="87">
        <f t="shared" si="170"/>
        <v>3.2576170434612667E-2</v>
      </c>
      <c r="U1833" s="87">
        <f t="shared" si="170"/>
        <v>1.3548930558315872E-2</v>
      </c>
      <c r="V1833" s="87">
        <f t="shared" si="173"/>
        <v>9.8329209162388333E-3</v>
      </c>
      <c r="W1833" s="87">
        <f t="shared" si="173"/>
        <v>1.242251999855711E-2</v>
      </c>
      <c r="X1833" s="87">
        <f t="shared" si="173"/>
        <v>2.0339684237122783E-2</v>
      </c>
      <c r="Y1833" s="87">
        <f t="shared" si="173"/>
        <v>3.0213778596496633E-2</v>
      </c>
      <c r="Z1833" s="87">
        <f t="shared" si="173"/>
        <v>0.14483094787845605</v>
      </c>
      <c r="AA1833" s="87">
        <f t="shared" si="173"/>
        <v>3.9604012160969143E-3</v>
      </c>
      <c r="AB1833" s="87">
        <f t="shared" si="173"/>
        <v>2.570835671020703E-2</v>
      </c>
      <c r="AC1833" s="87">
        <f t="shared" si="173"/>
        <v>1.469071541000381E-2</v>
      </c>
      <c r="AD1833" s="87">
        <f t="shared" si="173"/>
        <v>3.0871663667086931E-2</v>
      </c>
      <c r="AE1833" s="90">
        <f t="shared" si="172"/>
        <v>1.1718714739015526E-2</v>
      </c>
    </row>
    <row r="1834" spans="1:31" ht="15.5" x14ac:dyDescent="0.35">
      <c r="A1834" s="82">
        <v>42429</v>
      </c>
      <c r="B1834" s="83">
        <v>9559.5</v>
      </c>
      <c r="C1834" s="84">
        <v>4558</v>
      </c>
      <c r="D1834" s="61">
        <v>716.8</v>
      </c>
      <c r="E1834" s="61">
        <v>31.3</v>
      </c>
      <c r="F1834" s="61">
        <v>96.7</v>
      </c>
      <c r="G1834" s="61">
        <v>50.7</v>
      </c>
      <c r="H1834" s="61">
        <v>8.1</v>
      </c>
      <c r="I1834" s="61">
        <v>30.1</v>
      </c>
      <c r="J1834" s="61">
        <v>16.8</v>
      </c>
      <c r="K1834" s="61">
        <v>9.4</v>
      </c>
      <c r="L1834" s="61">
        <v>50.2</v>
      </c>
      <c r="M1834" s="61">
        <v>39.4</v>
      </c>
      <c r="N1834" s="61">
        <v>49.7</v>
      </c>
      <c r="O1834" s="85">
        <v>61.6</v>
      </c>
      <c r="P1834" s="105"/>
      <c r="Q1834" s="87">
        <f t="shared" si="171"/>
        <v>-6.2880500003880948E-3</v>
      </c>
      <c r="R1834" s="87">
        <f t="shared" si="170"/>
        <v>-7.1050197781251266E-3</v>
      </c>
      <c r="S1834" s="87">
        <f t="shared" si="170"/>
        <v>-7.0897634843946891E-3</v>
      </c>
      <c r="T1834" s="87">
        <f t="shared" si="170"/>
        <v>3.2000027306708497E-3</v>
      </c>
      <c r="U1834" s="87">
        <f t="shared" si="170"/>
        <v>1.0346612407764603E-3</v>
      </c>
      <c r="V1834" s="87">
        <f t="shared" si="173"/>
        <v>-7.8585866125212706E-3</v>
      </c>
      <c r="W1834" s="87">
        <f t="shared" si="173"/>
        <v>0</v>
      </c>
      <c r="X1834" s="87">
        <f t="shared" si="173"/>
        <v>1.0016778243471209E-2</v>
      </c>
      <c r="Y1834" s="87">
        <f t="shared" si="173"/>
        <v>0</v>
      </c>
      <c r="Z1834" s="87">
        <f t="shared" si="173"/>
        <v>5.4658412537863979E-2</v>
      </c>
      <c r="AA1834" s="87">
        <f t="shared" si="173"/>
        <v>-7.9365495957363034E-3</v>
      </c>
      <c r="AB1834" s="87">
        <f t="shared" si="173"/>
        <v>0</v>
      </c>
      <c r="AC1834" s="87">
        <f t="shared" si="173"/>
        <v>3.4803922194692097E-2</v>
      </c>
      <c r="AD1834" s="87">
        <f t="shared" si="173"/>
        <v>-1.4504686202881688E-2</v>
      </c>
      <c r="AE1834" s="90">
        <f t="shared" si="172"/>
        <v>-5.6725181387499886E-3</v>
      </c>
    </row>
    <row r="1835" spans="1:31" ht="15.5" x14ac:dyDescent="0.35">
      <c r="A1835" s="82">
        <v>42430</v>
      </c>
      <c r="B1835" s="83">
        <v>9771</v>
      </c>
      <c r="C1835" s="84">
        <v>4689.6000000000004</v>
      </c>
      <c r="D1835" s="61">
        <v>718.6</v>
      </c>
      <c r="E1835" s="61">
        <v>32</v>
      </c>
      <c r="F1835" s="61">
        <v>97.4</v>
      </c>
      <c r="G1835" s="61">
        <v>50.9</v>
      </c>
      <c r="H1835" s="61">
        <v>8.3000000000000007</v>
      </c>
      <c r="I1835" s="61">
        <v>30.6</v>
      </c>
      <c r="J1835" s="61">
        <v>17</v>
      </c>
      <c r="K1835" s="61">
        <v>9.9</v>
      </c>
      <c r="L1835" s="61">
        <v>50.1</v>
      </c>
      <c r="M1835" s="61">
        <v>39.9</v>
      </c>
      <c r="N1835" s="61">
        <v>49.9</v>
      </c>
      <c r="O1835" s="85">
        <v>61.8</v>
      </c>
      <c r="P1835" s="105"/>
      <c r="Q1835" s="87">
        <f t="shared" si="171"/>
        <v>2.1883390521884722E-2</v>
      </c>
      <c r="R1835" s="87">
        <f t="shared" si="170"/>
        <v>2.8463360150998592E-2</v>
      </c>
      <c r="S1835" s="87">
        <f t="shared" si="170"/>
        <v>2.5080130186977351E-3</v>
      </c>
      <c r="T1835" s="87">
        <f t="shared" si="170"/>
        <v>2.2117805253618974E-2</v>
      </c>
      <c r="U1835" s="87">
        <f t="shared" si="170"/>
        <v>7.2128081892407839E-3</v>
      </c>
      <c r="V1835" s="87">
        <f t="shared" si="173"/>
        <v>3.9370129593395992E-3</v>
      </c>
      <c r="W1835" s="87">
        <f t="shared" si="173"/>
        <v>2.4391453124159263E-2</v>
      </c>
      <c r="X1835" s="87">
        <f t="shared" si="173"/>
        <v>1.6474837203505042E-2</v>
      </c>
      <c r="Y1835" s="87">
        <f t="shared" si="173"/>
        <v>1.1834457647002798E-2</v>
      </c>
      <c r="Z1835" s="87">
        <f t="shared" si="173"/>
        <v>5.1825067864585947E-2</v>
      </c>
      <c r="AA1835" s="87">
        <f t="shared" si="173"/>
        <v>-1.9940186068643953E-3</v>
      </c>
      <c r="AB1835" s="87">
        <f t="shared" si="173"/>
        <v>1.2610507591929733E-2</v>
      </c>
      <c r="AC1835" s="87">
        <f t="shared" si="173"/>
        <v>4.0160696548897437E-3</v>
      </c>
      <c r="AD1835" s="87">
        <f t="shared" si="173"/>
        <v>3.2414939241710229E-3</v>
      </c>
      <c r="AE1835" s="90">
        <f t="shared" si="172"/>
        <v>1.1722526822416139E-2</v>
      </c>
    </row>
    <row r="1836" spans="1:31" ht="15.5" x14ac:dyDescent="0.35">
      <c r="A1836" s="82">
        <v>42431</v>
      </c>
      <c r="B1836" s="83">
        <v>9837.6</v>
      </c>
      <c r="C1836" s="84">
        <v>4703.3999999999996</v>
      </c>
      <c r="D1836" s="61">
        <v>733.3</v>
      </c>
      <c r="E1836" s="61">
        <v>32.799999999999997</v>
      </c>
      <c r="F1836" s="61">
        <v>99.6</v>
      </c>
      <c r="G1836" s="61">
        <v>52.2</v>
      </c>
      <c r="H1836" s="61">
        <v>8.3000000000000007</v>
      </c>
      <c r="I1836" s="61">
        <v>31</v>
      </c>
      <c r="J1836" s="61">
        <v>17.100000000000001</v>
      </c>
      <c r="K1836" s="61">
        <v>10</v>
      </c>
      <c r="L1836" s="61">
        <v>51.5</v>
      </c>
      <c r="M1836" s="61">
        <v>41.5</v>
      </c>
      <c r="N1836" s="61">
        <v>50.4</v>
      </c>
      <c r="O1836" s="85">
        <v>61.5</v>
      </c>
      <c r="P1836" s="105"/>
      <c r="Q1836" s="87">
        <f t="shared" si="171"/>
        <v>6.7929639138942623E-3</v>
      </c>
      <c r="R1836" s="87">
        <f t="shared" si="170"/>
        <v>2.9383604661033106E-3</v>
      </c>
      <c r="S1836" s="87">
        <f t="shared" si="170"/>
        <v>2.0250020420335392E-2</v>
      </c>
      <c r="T1836" s="87">
        <f t="shared" si="170"/>
        <v>2.4692612590371414E-2</v>
      </c>
      <c r="U1836" s="87">
        <f t="shared" si="170"/>
        <v>2.2335953942063082E-2</v>
      </c>
      <c r="V1836" s="87">
        <f t="shared" si="173"/>
        <v>2.5219571332116105E-2</v>
      </c>
      <c r="W1836" s="87">
        <f t="shared" si="173"/>
        <v>0</v>
      </c>
      <c r="X1836" s="87">
        <f t="shared" si="173"/>
        <v>1.2987195526811112E-2</v>
      </c>
      <c r="Y1836" s="87">
        <f t="shared" si="173"/>
        <v>5.8651194523980576E-3</v>
      </c>
      <c r="Z1836" s="87">
        <f t="shared" si="173"/>
        <v>1.0050335853501506E-2</v>
      </c>
      <c r="AA1836" s="87">
        <f t="shared" si="173"/>
        <v>2.7560799578871416E-2</v>
      </c>
      <c r="AB1836" s="87">
        <f t="shared" si="173"/>
        <v>3.9317103340834839E-2</v>
      </c>
      <c r="AC1836" s="87">
        <f t="shared" si="173"/>
        <v>9.9701723198498508E-3</v>
      </c>
      <c r="AD1836" s="87">
        <f t="shared" si="173"/>
        <v>-4.8661896511728994E-3</v>
      </c>
      <c r="AE1836" s="90">
        <f t="shared" si="172"/>
        <v>1.2604494544581691E-2</v>
      </c>
    </row>
    <row r="1837" spans="1:31" ht="15.5" x14ac:dyDescent="0.35">
      <c r="A1837" s="82">
        <v>42432</v>
      </c>
      <c r="B1837" s="83">
        <v>9908</v>
      </c>
      <c r="C1837" s="84">
        <v>4707.3999999999996</v>
      </c>
      <c r="D1837" s="61">
        <v>729.6</v>
      </c>
      <c r="E1837" s="61">
        <v>32.4</v>
      </c>
      <c r="F1837" s="61">
        <v>100.5</v>
      </c>
      <c r="G1837" s="61">
        <v>51.8</v>
      </c>
      <c r="H1837" s="61">
        <v>8.4</v>
      </c>
      <c r="I1837" s="61">
        <v>31.1</v>
      </c>
      <c r="J1837" s="61">
        <v>18.100000000000001</v>
      </c>
      <c r="K1837" s="61">
        <v>10.4</v>
      </c>
      <c r="L1837" s="61">
        <v>51.2</v>
      </c>
      <c r="M1837" s="61">
        <v>41.8</v>
      </c>
      <c r="N1837" s="61">
        <v>51.6</v>
      </c>
      <c r="O1837" s="85">
        <v>60.9</v>
      </c>
      <c r="P1837" s="105"/>
      <c r="Q1837" s="87">
        <f t="shared" si="171"/>
        <v>7.1307327510125463E-3</v>
      </c>
      <c r="R1837" s="87">
        <f t="shared" si="170"/>
        <v>8.500871851241555E-4</v>
      </c>
      <c r="S1837" s="87">
        <f t="shared" si="170"/>
        <v>-5.0584563396320814E-3</v>
      </c>
      <c r="T1837" s="87">
        <f t="shared" si="170"/>
        <v>-1.2270092591814359E-2</v>
      </c>
      <c r="U1837" s="87">
        <f t="shared" si="170"/>
        <v>8.9955629085780031E-3</v>
      </c>
      <c r="V1837" s="87">
        <f t="shared" si="173"/>
        <v>-7.6923456231557255E-3</v>
      </c>
      <c r="W1837" s="87">
        <f t="shared" si="173"/>
        <v>1.197619104671562E-2</v>
      </c>
      <c r="X1837" s="87">
        <f t="shared" si="173"/>
        <v>3.2206147000421572E-3</v>
      </c>
      <c r="Y1837" s="87">
        <f t="shared" si="173"/>
        <v>5.6833474763165796E-2</v>
      </c>
      <c r="Z1837" s="87">
        <f t="shared" si="173"/>
        <v>3.9220713153281329E-2</v>
      </c>
      <c r="AA1837" s="87">
        <f t="shared" si="173"/>
        <v>-5.8422756242282907E-3</v>
      </c>
      <c r="AB1837" s="87">
        <f t="shared" si="173"/>
        <v>7.2029122940580163E-3</v>
      </c>
      <c r="AC1837" s="87">
        <f t="shared" si="173"/>
        <v>2.3530497410194251E-2</v>
      </c>
      <c r="AD1837" s="87">
        <f t="shared" si="173"/>
        <v>-9.8040000966208556E-3</v>
      </c>
      <c r="AE1837" s="90">
        <f t="shared" si="172"/>
        <v>1.5439933778837772E-4</v>
      </c>
    </row>
    <row r="1838" spans="1:31" ht="15.5" x14ac:dyDescent="0.35">
      <c r="A1838" s="82">
        <v>42433</v>
      </c>
      <c r="B1838" s="83">
        <v>9968.4</v>
      </c>
      <c r="C1838" s="84">
        <v>4717</v>
      </c>
      <c r="D1838" s="61">
        <v>725.6</v>
      </c>
      <c r="E1838" s="61">
        <v>32.799999999999997</v>
      </c>
      <c r="F1838" s="61">
        <v>101.4</v>
      </c>
      <c r="G1838" s="61">
        <v>51.7</v>
      </c>
      <c r="H1838" s="61">
        <v>8.4</v>
      </c>
      <c r="I1838" s="61">
        <v>31.6</v>
      </c>
      <c r="J1838" s="61">
        <v>18.100000000000001</v>
      </c>
      <c r="K1838" s="61">
        <v>10.9</v>
      </c>
      <c r="L1838" s="61">
        <v>51.5</v>
      </c>
      <c r="M1838" s="61">
        <v>41.8</v>
      </c>
      <c r="N1838" s="61">
        <v>54.2</v>
      </c>
      <c r="O1838" s="85">
        <v>60.4</v>
      </c>
      <c r="P1838" s="105"/>
      <c r="Q1838" s="87">
        <f t="shared" si="171"/>
        <v>6.0775780237760152E-3</v>
      </c>
      <c r="R1838" s="87">
        <f t="shared" si="170"/>
        <v>2.0372656764061159E-3</v>
      </c>
      <c r="S1838" s="87">
        <f t="shared" si="170"/>
        <v>-5.4975399591948313E-3</v>
      </c>
      <c r="T1838" s="87">
        <f t="shared" si="170"/>
        <v>1.2270092591814401E-2</v>
      </c>
      <c r="U1838" s="87">
        <f t="shared" si="170"/>
        <v>8.9153636579523288E-3</v>
      </c>
      <c r="V1838" s="87">
        <f t="shared" si="173"/>
        <v>-1.9323677510538128E-3</v>
      </c>
      <c r="W1838" s="87">
        <f t="shared" si="173"/>
        <v>0</v>
      </c>
      <c r="X1838" s="87">
        <f t="shared" si="173"/>
        <v>1.594930140767804E-2</v>
      </c>
      <c r="Y1838" s="87">
        <f t="shared" si="173"/>
        <v>0</v>
      </c>
      <c r="Z1838" s="87">
        <f t="shared" si="173"/>
        <v>4.6956983087771083E-2</v>
      </c>
      <c r="AA1838" s="87">
        <f t="shared" si="173"/>
        <v>5.8422756242283609E-3</v>
      </c>
      <c r="AB1838" s="87">
        <f t="shared" si="173"/>
        <v>0</v>
      </c>
      <c r="AC1838" s="87">
        <f t="shared" si="173"/>
        <v>4.9159235958083559E-2</v>
      </c>
      <c r="AD1838" s="87">
        <f t="shared" si="173"/>
        <v>-8.2440697750820659E-3</v>
      </c>
      <c r="AE1838" s="90">
        <f t="shared" si="172"/>
        <v>5.4838100161691853E-4</v>
      </c>
    </row>
    <row r="1839" spans="1:31" ht="15.5" x14ac:dyDescent="0.35">
      <c r="A1839" s="82">
        <v>42436</v>
      </c>
      <c r="B1839" s="83">
        <v>10006.200000000001</v>
      </c>
      <c r="C1839" s="84">
        <v>4708.3</v>
      </c>
      <c r="D1839" s="61">
        <v>705.1</v>
      </c>
      <c r="E1839" s="61">
        <v>33.6</v>
      </c>
      <c r="F1839" s="61">
        <v>101</v>
      </c>
      <c r="G1839" s="61">
        <v>50.6</v>
      </c>
      <c r="H1839" s="61">
        <v>8.4</v>
      </c>
      <c r="I1839" s="61">
        <v>32.200000000000003</v>
      </c>
      <c r="J1839" s="61">
        <v>18.5</v>
      </c>
      <c r="K1839" s="61">
        <v>11.1</v>
      </c>
      <c r="L1839" s="61">
        <v>51.8</v>
      </c>
      <c r="M1839" s="61">
        <v>41.9</v>
      </c>
      <c r="N1839" s="61">
        <v>55</v>
      </c>
      <c r="O1839" s="85">
        <v>58.8</v>
      </c>
      <c r="P1839" s="105"/>
      <c r="Q1839" s="87">
        <f t="shared" si="171"/>
        <v>3.7848112225623938E-3</v>
      </c>
      <c r="R1839" s="87">
        <f t="shared" si="170"/>
        <v>-1.8460956088081973E-3</v>
      </c>
      <c r="S1839" s="87">
        <f t="shared" si="170"/>
        <v>-2.8659262075931932E-2</v>
      </c>
      <c r="T1839" s="87">
        <f t="shared" si="170"/>
        <v>2.4097551579060524E-2</v>
      </c>
      <c r="U1839" s="87">
        <f t="shared" si="170"/>
        <v>-3.9525743158233583E-3</v>
      </c>
      <c r="V1839" s="87">
        <f t="shared" si="173"/>
        <v>-2.1506205220963619E-2</v>
      </c>
      <c r="W1839" s="87">
        <f t="shared" si="173"/>
        <v>0</v>
      </c>
      <c r="X1839" s="87">
        <f t="shared" si="173"/>
        <v>1.8809331957496293E-2</v>
      </c>
      <c r="Y1839" s="87">
        <f t="shared" si="173"/>
        <v>2.1858793812499017E-2</v>
      </c>
      <c r="Z1839" s="87">
        <f t="shared" si="173"/>
        <v>1.8182319083190328E-2</v>
      </c>
      <c r="AA1839" s="87">
        <f t="shared" si="173"/>
        <v>5.8083415957469551E-3</v>
      </c>
      <c r="AB1839" s="87">
        <f t="shared" si="173"/>
        <v>2.3894873973814854E-3</v>
      </c>
      <c r="AC1839" s="87">
        <f t="shared" si="173"/>
        <v>1.4652276786870415E-2</v>
      </c>
      <c r="AD1839" s="87">
        <f t="shared" si="173"/>
        <v>-2.6847250036188052E-2</v>
      </c>
      <c r="AE1839" s="90">
        <f t="shared" si="172"/>
        <v>-1.3337205004806344E-2</v>
      </c>
    </row>
    <row r="1840" spans="1:31" ht="15.5" x14ac:dyDescent="0.35">
      <c r="A1840" s="82">
        <v>42437</v>
      </c>
      <c r="B1840" s="83">
        <v>9868.5</v>
      </c>
      <c r="C1840" s="84">
        <v>4648.8</v>
      </c>
      <c r="D1840" s="61">
        <v>704</v>
      </c>
      <c r="E1840" s="61">
        <v>32.799999999999997</v>
      </c>
      <c r="F1840" s="61">
        <v>100.4</v>
      </c>
      <c r="G1840" s="61">
        <v>50.6</v>
      </c>
      <c r="H1840" s="61">
        <v>8.1999999999999993</v>
      </c>
      <c r="I1840" s="61">
        <v>31.9</v>
      </c>
      <c r="J1840" s="61">
        <v>18.2</v>
      </c>
      <c r="K1840" s="61">
        <v>11.5</v>
      </c>
      <c r="L1840" s="61">
        <v>52.3</v>
      </c>
      <c r="M1840" s="61">
        <v>41.3</v>
      </c>
      <c r="N1840" s="61">
        <v>53.2</v>
      </c>
      <c r="O1840" s="85">
        <v>58.7</v>
      </c>
      <c r="P1840" s="105"/>
      <c r="Q1840" s="87">
        <f t="shared" si="171"/>
        <v>-1.3857034661426241E-2</v>
      </c>
      <c r="R1840" s="87">
        <f t="shared" si="170"/>
        <v>-1.2717786914557692E-2</v>
      </c>
      <c r="S1840" s="87">
        <f t="shared" si="170"/>
        <v>-1.5612805669525758E-3</v>
      </c>
      <c r="T1840" s="87">
        <f t="shared" si="170"/>
        <v>-2.4097551579060641E-2</v>
      </c>
      <c r="U1840" s="87">
        <f t="shared" si="170"/>
        <v>-5.9583095836305234E-3</v>
      </c>
      <c r="V1840" s="87">
        <f t="shared" si="173"/>
        <v>0</v>
      </c>
      <c r="W1840" s="87">
        <f t="shared" si="173"/>
        <v>-2.4097551579060641E-2</v>
      </c>
      <c r="X1840" s="87">
        <f t="shared" si="173"/>
        <v>-9.3604427595639205E-3</v>
      </c>
      <c r="Y1840" s="87">
        <f t="shared" si="173"/>
        <v>-1.6349138001529526E-2</v>
      </c>
      <c r="Z1840" s="87">
        <f t="shared" si="173"/>
        <v>3.5401927050916E-2</v>
      </c>
      <c r="AA1840" s="87">
        <f t="shared" si="173"/>
        <v>9.6062218054399334E-3</v>
      </c>
      <c r="AB1840" s="87">
        <f t="shared" si="173"/>
        <v>-1.4423326961105052E-2</v>
      </c>
      <c r="AC1840" s="87">
        <f t="shared" si="173"/>
        <v>-3.327478888487221E-2</v>
      </c>
      <c r="AD1840" s="87">
        <f t="shared" si="173"/>
        <v>-1.7021280705304183E-3</v>
      </c>
      <c r="AE1840" s="90">
        <f t="shared" si="172"/>
        <v>-6.1798281419568309E-3</v>
      </c>
    </row>
    <row r="1841" spans="1:31" ht="15.5" x14ac:dyDescent="0.35">
      <c r="A1841" s="82">
        <v>42438</v>
      </c>
      <c r="B1841" s="83">
        <v>9924.7999999999993</v>
      </c>
      <c r="C1841" s="84">
        <v>4674.3999999999996</v>
      </c>
      <c r="D1841" s="61">
        <v>712.7</v>
      </c>
      <c r="E1841" s="61">
        <v>32.799999999999997</v>
      </c>
      <c r="F1841" s="61">
        <v>100.3</v>
      </c>
      <c r="G1841" s="61">
        <v>51.9</v>
      </c>
      <c r="H1841" s="61">
        <v>8.3000000000000007</v>
      </c>
      <c r="I1841" s="61">
        <v>32.299999999999997</v>
      </c>
      <c r="J1841" s="61">
        <v>18.399999999999999</v>
      </c>
      <c r="K1841" s="61">
        <v>11.4</v>
      </c>
      <c r="L1841" s="61">
        <v>52.1</v>
      </c>
      <c r="M1841" s="61">
        <v>41.6</v>
      </c>
      <c r="N1841" s="61">
        <v>53.5</v>
      </c>
      <c r="O1841" s="85">
        <v>58</v>
      </c>
      <c r="P1841" s="105"/>
      <c r="Q1841" s="87">
        <f t="shared" si="171"/>
        <v>5.6888090246907533E-3</v>
      </c>
      <c r="R1841" s="87">
        <f t="shared" si="170"/>
        <v>5.4916904793312904E-3</v>
      </c>
      <c r="S1841" s="87">
        <f t="shared" si="170"/>
        <v>1.2282218349782719E-2</v>
      </c>
      <c r="T1841" s="87">
        <f t="shared" si="170"/>
        <v>0</v>
      </c>
      <c r="U1841" s="87">
        <f t="shared" si="170"/>
        <v>-9.9651228973908447E-4</v>
      </c>
      <c r="V1841" s="87">
        <f t="shared" si="173"/>
        <v>2.5367213878422949E-2</v>
      </c>
      <c r="W1841" s="87">
        <f t="shared" si="173"/>
        <v>1.2121360532345041E-2</v>
      </c>
      <c r="X1841" s="87">
        <f t="shared" si="173"/>
        <v>1.2461220437812033E-2</v>
      </c>
      <c r="Y1841" s="87">
        <f t="shared" ref="Y1841:AD1883" si="174">+LN(J1841/J1840)</f>
        <v>1.092907053219023E-2</v>
      </c>
      <c r="Z1841" s="87">
        <f t="shared" si="174"/>
        <v>-8.7336799687545534E-3</v>
      </c>
      <c r="AA1841" s="87">
        <f t="shared" si="174"/>
        <v>-3.8314223115559487E-3</v>
      </c>
      <c r="AB1841" s="87">
        <f t="shared" si="174"/>
        <v>7.2376673002306031E-3</v>
      </c>
      <c r="AC1841" s="87">
        <f t="shared" si="174"/>
        <v>5.6232575543620393E-3</v>
      </c>
      <c r="AD1841" s="87">
        <f t="shared" si="174"/>
        <v>-1.1996716287631437E-2</v>
      </c>
      <c r="AE1841" s="90">
        <f t="shared" si="172"/>
        <v>3.4987998838801725E-3</v>
      </c>
    </row>
    <row r="1842" spans="1:31" ht="15.5" x14ac:dyDescent="0.35">
      <c r="A1842" s="82">
        <v>42439</v>
      </c>
      <c r="B1842" s="83">
        <v>9918.1</v>
      </c>
      <c r="C1842" s="84">
        <v>4662.2</v>
      </c>
      <c r="D1842" s="61">
        <v>723.3</v>
      </c>
      <c r="E1842" s="61">
        <v>32.1</v>
      </c>
      <c r="F1842" s="61">
        <v>100.2</v>
      </c>
      <c r="G1842" s="61">
        <v>51.2</v>
      </c>
      <c r="H1842" s="61">
        <v>8.1999999999999993</v>
      </c>
      <c r="I1842" s="61">
        <v>31.7</v>
      </c>
      <c r="J1842" s="61">
        <v>18.100000000000001</v>
      </c>
      <c r="K1842" s="61">
        <v>11.3</v>
      </c>
      <c r="L1842" s="61">
        <v>52.4</v>
      </c>
      <c r="M1842" s="61">
        <v>41.6</v>
      </c>
      <c r="N1842" s="61">
        <v>53.1</v>
      </c>
      <c r="O1842" s="85">
        <v>58</v>
      </c>
      <c r="P1842" s="105"/>
      <c r="Q1842" s="87">
        <f t="shared" si="171"/>
        <v>-6.7530454264440841E-4</v>
      </c>
      <c r="R1842" s="87">
        <f t="shared" si="170"/>
        <v>-2.6133725218052553E-3</v>
      </c>
      <c r="S1842" s="87">
        <f t="shared" si="170"/>
        <v>1.4763499347409994E-2</v>
      </c>
      <c r="T1842" s="87">
        <f t="shared" si="170"/>
        <v>-2.1572485254127773E-2</v>
      </c>
      <c r="U1842" s="87">
        <f t="shared" si="170"/>
        <v>-9.975063171254136E-4</v>
      </c>
      <c r="V1842" s="87">
        <f t="shared" si="170"/>
        <v>-1.3579258126380753E-2</v>
      </c>
      <c r="W1842" s="87">
        <f t="shared" si="170"/>
        <v>-1.2121360532344963E-2</v>
      </c>
      <c r="X1842" s="87">
        <f t="shared" si="170"/>
        <v>-1.8750549345375806E-2</v>
      </c>
      <c r="Y1842" s="87">
        <f t="shared" si="174"/>
        <v>-1.643872634315972E-2</v>
      </c>
      <c r="Z1842" s="87">
        <f t="shared" si="174"/>
        <v>-8.810629682154807E-3</v>
      </c>
      <c r="AA1842" s="87">
        <f t="shared" si="174"/>
        <v>5.7416425676751828E-3</v>
      </c>
      <c r="AB1842" s="87">
        <f t="shared" si="174"/>
        <v>0</v>
      </c>
      <c r="AC1842" s="87">
        <f t="shared" si="174"/>
        <v>-7.5047256540676927E-3</v>
      </c>
      <c r="AD1842" s="87">
        <f t="shared" si="174"/>
        <v>0</v>
      </c>
      <c r="AE1842" s="90">
        <f t="shared" si="172"/>
        <v>3.2536455656737269E-3</v>
      </c>
    </row>
    <row r="1843" spans="1:31" ht="15.5" x14ac:dyDescent="0.35">
      <c r="A1843" s="82">
        <v>42440</v>
      </c>
      <c r="B1843" s="83">
        <v>10104.200000000001</v>
      </c>
      <c r="C1843" s="84">
        <v>4748.5</v>
      </c>
      <c r="D1843" s="61">
        <v>736.7</v>
      </c>
      <c r="E1843" s="61">
        <v>32.799999999999997</v>
      </c>
      <c r="F1843" s="61">
        <v>101.5</v>
      </c>
      <c r="G1843" s="61">
        <v>52.4</v>
      </c>
      <c r="H1843" s="61">
        <v>8.1999999999999993</v>
      </c>
      <c r="I1843" s="61">
        <v>32</v>
      </c>
      <c r="J1843" s="61">
        <v>18.100000000000001</v>
      </c>
      <c r="K1843" s="61">
        <v>11.2</v>
      </c>
      <c r="L1843" s="61">
        <v>52.8</v>
      </c>
      <c r="M1843" s="61">
        <v>42.9</v>
      </c>
      <c r="N1843" s="61">
        <v>54.6</v>
      </c>
      <c r="O1843" s="85">
        <v>59.1</v>
      </c>
      <c r="P1843" s="105"/>
      <c r="Q1843" s="87">
        <f t="shared" si="171"/>
        <v>1.8589808299151446E-2</v>
      </c>
      <c r="R1843" s="87">
        <f t="shared" si="170"/>
        <v>1.8341338964585369E-2</v>
      </c>
      <c r="S1843" s="87">
        <f t="shared" si="170"/>
        <v>1.8356679833533073E-2</v>
      </c>
      <c r="T1843" s="87">
        <f t="shared" si="170"/>
        <v>2.1572485254127763E-2</v>
      </c>
      <c r="U1843" s="87">
        <f t="shared" si="170"/>
        <v>1.2890609831077609E-2</v>
      </c>
      <c r="V1843" s="87">
        <f t="shared" si="170"/>
        <v>2.3167059281534379E-2</v>
      </c>
      <c r="W1843" s="87">
        <f t="shared" si="170"/>
        <v>0</v>
      </c>
      <c r="X1843" s="87">
        <f t="shared" si="170"/>
        <v>9.4192219164915582E-3</v>
      </c>
      <c r="Y1843" s="87">
        <f t="shared" si="174"/>
        <v>0</v>
      </c>
      <c r="Z1843" s="87">
        <f t="shared" si="174"/>
        <v>-8.888947417246152E-3</v>
      </c>
      <c r="AA1843" s="87">
        <f t="shared" si="174"/>
        <v>7.6045993852192125E-3</v>
      </c>
      <c r="AB1843" s="87">
        <f t="shared" si="174"/>
        <v>3.0771658666753687E-2</v>
      </c>
      <c r="AC1843" s="87">
        <f t="shared" si="174"/>
        <v>2.7856954502966279E-2</v>
      </c>
      <c r="AD1843" s="87">
        <f t="shared" si="174"/>
        <v>1.878791386563327E-2</v>
      </c>
      <c r="AE1843" s="90">
        <f t="shared" si="172"/>
        <v>1.6841534999132209E-2</v>
      </c>
    </row>
    <row r="1844" spans="1:31" ht="15.5" x14ac:dyDescent="0.35">
      <c r="A1844" s="82">
        <v>42443</v>
      </c>
      <c r="B1844" s="83">
        <v>10074.299999999999</v>
      </c>
      <c r="C1844" s="84">
        <v>4750.3</v>
      </c>
      <c r="D1844" s="61">
        <v>743.7</v>
      </c>
      <c r="E1844" s="61">
        <v>33.5</v>
      </c>
      <c r="F1844" s="61">
        <v>101.8</v>
      </c>
      <c r="G1844" s="61">
        <v>52.6</v>
      </c>
      <c r="H1844" s="61">
        <v>8.1999999999999993</v>
      </c>
      <c r="I1844" s="61">
        <v>32.200000000000003</v>
      </c>
      <c r="J1844" s="61">
        <v>18</v>
      </c>
      <c r="K1844" s="61">
        <v>11.1</v>
      </c>
      <c r="L1844" s="61">
        <v>52.8</v>
      </c>
      <c r="M1844" s="61">
        <v>43.5</v>
      </c>
      <c r="N1844" s="61">
        <v>55.8</v>
      </c>
      <c r="O1844" s="85">
        <v>60.1</v>
      </c>
      <c r="P1844" s="105"/>
      <c r="Q1844" s="87">
        <f t="shared" si="171"/>
        <v>-2.9635524824360429E-3</v>
      </c>
      <c r="R1844" s="87">
        <f t="shared" si="170"/>
        <v>3.7899524604075323E-4</v>
      </c>
      <c r="S1844" s="87">
        <f t="shared" si="170"/>
        <v>9.4569740204867025E-3</v>
      </c>
      <c r="T1844" s="87">
        <f t="shared" si="170"/>
        <v>2.1116923440922829E-2</v>
      </c>
      <c r="U1844" s="87">
        <f t="shared" si="170"/>
        <v>2.9513056345803197E-3</v>
      </c>
      <c r="V1844" s="87">
        <f t="shared" si="170"/>
        <v>3.8095284166676487E-3</v>
      </c>
      <c r="W1844" s="87">
        <f t="shared" si="170"/>
        <v>0</v>
      </c>
      <c r="X1844" s="87">
        <f t="shared" si="170"/>
        <v>6.2305497506361628E-3</v>
      </c>
      <c r="Y1844" s="87">
        <f t="shared" si="174"/>
        <v>-5.540180375615468E-3</v>
      </c>
      <c r="Z1844" s="87">
        <f t="shared" si="174"/>
        <v>-8.9686699827603751E-3</v>
      </c>
      <c r="AA1844" s="87">
        <f t="shared" si="174"/>
        <v>0</v>
      </c>
      <c r="AB1844" s="87">
        <f t="shared" si="174"/>
        <v>1.3889112160667093E-2</v>
      </c>
      <c r="AC1844" s="87">
        <f t="shared" si="174"/>
        <v>2.173998663640582E-2</v>
      </c>
      <c r="AD1844" s="87">
        <f t="shared" si="174"/>
        <v>1.6778917129109287E-2</v>
      </c>
      <c r="AE1844" s="90">
        <f t="shared" si="172"/>
        <v>5.7656090227543944E-3</v>
      </c>
    </row>
    <row r="1845" spans="1:31" ht="15.5" x14ac:dyDescent="0.35">
      <c r="A1845" s="82">
        <v>42444</v>
      </c>
      <c r="B1845" s="83">
        <v>10013.6</v>
      </c>
      <c r="C1845" s="84">
        <v>4728.7</v>
      </c>
      <c r="D1845" s="61">
        <v>742.8</v>
      </c>
      <c r="E1845" s="61">
        <v>33.1</v>
      </c>
      <c r="F1845" s="61">
        <v>103.9</v>
      </c>
      <c r="G1845" s="61">
        <v>52.7</v>
      </c>
      <c r="H1845" s="61">
        <v>8.1999999999999993</v>
      </c>
      <c r="I1845" s="61">
        <v>31.9</v>
      </c>
      <c r="J1845" s="61">
        <v>18</v>
      </c>
      <c r="K1845" s="61">
        <v>10.9</v>
      </c>
      <c r="L1845" s="61">
        <v>52</v>
      </c>
      <c r="M1845" s="61">
        <v>43</v>
      </c>
      <c r="N1845" s="61">
        <v>54.9</v>
      </c>
      <c r="O1845" s="85">
        <v>60.4</v>
      </c>
      <c r="P1845" s="105"/>
      <c r="Q1845" s="87">
        <f t="shared" si="171"/>
        <v>-6.0434574791101399E-3</v>
      </c>
      <c r="R1845" s="87">
        <f t="shared" si="170"/>
        <v>-4.557450656531065E-3</v>
      </c>
      <c r="S1845" s="87">
        <f t="shared" si="170"/>
        <v>-1.2108982307039067E-3</v>
      </c>
      <c r="T1845" s="87">
        <f t="shared" si="170"/>
        <v>-1.2012156448003545E-2</v>
      </c>
      <c r="U1845" s="87">
        <f t="shared" si="170"/>
        <v>2.0418793988759419E-2</v>
      </c>
      <c r="V1845" s="87">
        <f t="shared" si="170"/>
        <v>1.8993358036525374E-3</v>
      </c>
      <c r="W1845" s="87">
        <f t="shared" si="170"/>
        <v>0</v>
      </c>
      <c r="X1845" s="87">
        <f t="shared" si="170"/>
        <v>-9.3604427595639205E-3</v>
      </c>
      <c r="Y1845" s="87">
        <f t="shared" si="174"/>
        <v>0</v>
      </c>
      <c r="Z1845" s="87">
        <f t="shared" si="174"/>
        <v>-1.818231908319036E-2</v>
      </c>
      <c r="AA1845" s="87">
        <f t="shared" si="174"/>
        <v>-1.5267472130788421E-2</v>
      </c>
      <c r="AB1845" s="87">
        <f t="shared" si="174"/>
        <v>-1.1560822401075971E-2</v>
      </c>
      <c r="AC1845" s="87">
        <f t="shared" si="174"/>
        <v>-1.6260520871780291E-2</v>
      </c>
      <c r="AD1845" s="87">
        <f t="shared" si="174"/>
        <v>4.979263399607364E-3</v>
      </c>
      <c r="AE1845" s="90">
        <f t="shared" si="172"/>
        <v>4.7231519045065357E-3</v>
      </c>
    </row>
    <row r="1846" spans="1:31" ht="15.5" x14ac:dyDescent="0.35">
      <c r="A1846" s="82">
        <v>42445</v>
      </c>
      <c r="B1846" s="83">
        <v>10084.200000000001</v>
      </c>
      <c r="C1846" s="84">
        <v>4764</v>
      </c>
      <c r="D1846" s="61">
        <v>746.5</v>
      </c>
      <c r="E1846" s="61">
        <v>33</v>
      </c>
      <c r="F1846" s="61">
        <v>104.6</v>
      </c>
      <c r="G1846" s="61">
        <v>53.4</v>
      </c>
      <c r="H1846" s="61">
        <v>8.1999999999999993</v>
      </c>
      <c r="I1846" s="61">
        <v>32.6</v>
      </c>
      <c r="J1846" s="61">
        <v>18.100000000000001</v>
      </c>
      <c r="K1846" s="61">
        <v>11</v>
      </c>
      <c r="L1846" s="61">
        <v>51.6</v>
      </c>
      <c r="M1846" s="61">
        <v>43.2</v>
      </c>
      <c r="N1846" s="61">
        <v>53.6</v>
      </c>
      <c r="O1846" s="85">
        <v>61.3</v>
      </c>
      <c r="P1846" s="105"/>
      <c r="Q1846" s="87">
        <f t="shared" si="171"/>
        <v>7.0256734967621493E-3</v>
      </c>
      <c r="R1846" s="87">
        <f t="shared" si="170"/>
        <v>7.4373282026739332E-3</v>
      </c>
      <c r="S1846" s="87">
        <f t="shared" si="170"/>
        <v>4.9687875006945064E-3</v>
      </c>
      <c r="T1846" s="87">
        <f t="shared" si="170"/>
        <v>-3.0257209165370676E-3</v>
      </c>
      <c r="U1846" s="87">
        <f t="shared" si="170"/>
        <v>6.714653525640683E-3</v>
      </c>
      <c r="V1846" s="87">
        <f t="shared" si="170"/>
        <v>1.3195290418832424E-2</v>
      </c>
      <c r="W1846" s="87">
        <f t="shared" si="170"/>
        <v>0</v>
      </c>
      <c r="X1846" s="87">
        <f t="shared" si="170"/>
        <v>2.1706278581863074E-2</v>
      </c>
      <c r="Y1846" s="87">
        <f t="shared" si="174"/>
        <v>5.5401803756153509E-3</v>
      </c>
      <c r="Z1846" s="87">
        <f t="shared" si="174"/>
        <v>9.1324835632724723E-3</v>
      </c>
      <c r="AA1846" s="87">
        <f t="shared" si="174"/>
        <v>-7.7220460939102778E-3</v>
      </c>
      <c r="AB1846" s="87">
        <f t="shared" si="174"/>
        <v>4.6403795565023009E-3</v>
      </c>
      <c r="AC1846" s="87">
        <f t="shared" si="174"/>
        <v>-2.3964280438728596E-2</v>
      </c>
      <c r="AD1846" s="87">
        <f t="shared" si="174"/>
        <v>1.4790738001396473E-2</v>
      </c>
      <c r="AE1846" s="90">
        <f t="shared" si="172"/>
        <v>7.40178080327042E-3</v>
      </c>
    </row>
    <row r="1847" spans="1:31" ht="15.5" x14ac:dyDescent="0.35">
      <c r="A1847" s="82">
        <v>42446</v>
      </c>
      <c r="B1847" s="83">
        <v>10190.4</v>
      </c>
      <c r="C1847" s="84">
        <v>4775</v>
      </c>
      <c r="D1847" s="61">
        <v>757.4</v>
      </c>
      <c r="E1847" s="61">
        <v>33.9</v>
      </c>
      <c r="F1847" s="61">
        <v>105</v>
      </c>
      <c r="G1847" s="61">
        <v>54</v>
      </c>
      <c r="H1847" s="61">
        <v>8.1999999999999993</v>
      </c>
      <c r="I1847" s="61">
        <v>32.6</v>
      </c>
      <c r="J1847" s="61">
        <v>18.7</v>
      </c>
      <c r="K1847" s="61">
        <v>11.1</v>
      </c>
      <c r="L1847" s="61">
        <v>51.3</v>
      </c>
      <c r="M1847" s="61">
        <v>43.2</v>
      </c>
      <c r="N1847" s="61">
        <v>55.1</v>
      </c>
      <c r="O1847" s="85">
        <v>61.7</v>
      </c>
      <c r="P1847" s="105"/>
      <c r="Q1847" s="87">
        <f t="shared" si="171"/>
        <v>1.0476258106525379E-2</v>
      </c>
      <c r="R1847" s="87">
        <f t="shared" si="170"/>
        <v>2.3063224396399893E-3</v>
      </c>
      <c r="S1847" s="87">
        <f t="shared" si="170"/>
        <v>1.4495898488449394E-2</v>
      </c>
      <c r="T1847" s="87">
        <f t="shared" si="170"/>
        <v>2.6907452919924402E-2</v>
      </c>
      <c r="U1847" s="87">
        <f t="shared" si="170"/>
        <v>3.8167985267008112E-3</v>
      </c>
      <c r="V1847" s="87">
        <f t="shared" si="170"/>
        <v>1.1173300598125255E-2</v>
      </c>
      <c r="W1847" s="87">
        <f t="shared" si="170"/>
        <v>0</v>
      </c>
      <c r="X1847" s="87">
        <f t="shared" si="170"/>
        <v>0</v>
      </c>
      <c r="Y1847" s="87">
        <f t="shared" si="174"/>
        <v>3.2611585588760796E-2</v>
      </c>
      <c r="Z1847" s="87">
        <f t="shared" si="174"/>
        <v>9.0498355199178562E-3</v>
      </c>
      <c r="AA1847" s="87">
        <f t="shared" si="174"/>
        <v>-5.8309203107933215E-3</v>
      </c>
      <c r="AB1847" s="87">
        <f t="shared" si="174"/>
        <v>0</v>
      </c>
      <c r="AC1847" s="87">
        <f t="shared" si="174"/>
        <v>2.7600648082112551E-2</v>
      </c>
      <c r="AD1847" s="87">
        <f t="shared" si="174"/>
        <v>6.5040879691764825E-3</v>
      </c>
      <c r="AE1847" s="90">
        <f t="shared" si="172"/>
        <v>6.8171304158986465E-3</v>
      </c>
    </row>
    <row r="1848" spans="1:31" ht="15.5" x14ac:dyDescent="0.35">
      <c r="A1848" s="82">
        <v>42447</v>
      </c>
      <c r="B1848" s="83">
        <v>10223.4</v>
      </c>
      <c r="C1848" s="84">
        <v>4795.6000000000004</v>
      </c>
      <c r="D1848" s="61">
        <v>751.8</v>
      </c>
      <c r="E1848" s="61">
        <v>34.4</v>
      </c>
      <c r="F1848" s="61">
        <v>105.2</v>
      </c>
      <c r="G1848" s="61">
        <v>53.4</v>
      </c>
      <c r="H1848" s="61">
        <v>8.1999999999999993</v>
      </c>
      <c r="I1848" s="61">
        <v>32.299999999999997</v>
      </c>
      <c r="J1848" s="61">
        <v>18.7</v>
      </c>
      <c r="K1848" s="61">
        <v>11.5</v>
      </c>
      <c r="L1848" s="61">
        <v>51.6</v>
      </c>
      <c r="M1848" s="61">
        <v>44</v>
      </c>
      <c r="N1848" s="61">
        <v>56.7</v>
      </c>
      <c r="O1848" s="85">
        <v>62.9</v>
      </c>
      <c r="P1848" s="105"/>
      <c r="Q1848" s="87">
        <f t="shared" si="171"/>
        <v>3.2331098321471624E-3</v>
      </c>
      <c r="R1848" s="87">
        <f t="shared" si="170"/>
        <v>4.3048569186679353E-3</v>
      </c>
      <c r="S1848" s="87">
        <f t="shared" si="170"/>
        <v>-7.4211843376168164E-3</v>
      </c>
      <c r="T1848" s="87">
        <f t="shared" si="170"/>
        <v>1.4641549992948187E-2</v>
      </c>
      <c r="U1848" s="87">
        <f t="shared" si="170"/>
        <v>1.9029501460860636E-3</v>
      </c>
      <c r="V1848" s="87">
        <f t="shared" si="170"/>
        <v>-1.1173300598125302E-2</v>
      </c>
      <c r="W1848" s="87">
        <f t="shared" si="170"/>
        <v>0</v>
      </c>
      <c r="X1848" s="87">
        <f t="shared" si="170"/>
        <v>-9.2450581440512731E-3</v>
      </c>
      <c r="Y1848" s="87">
        <f t="shared" si="174"/>
        <v>0</v>
      </c>
      <c r="Z1848" s="87">
        <f t="shared" si="174"/>
        <v>3.5401927050916E-2</v>
      </c>
      <c r="AA1848" s="87">
        <f t="shared" si="174"/>
        <v>5.8309203107933649E-3</v>
      </c>
      <c r="AB1848" s="87">
        <f t="shared" si="174"/>
        <v>1.8349138668196398E-2</v>
      </c>
      <c r="AC1848" s="87">
        <f t="shared" si="174"/>
        <v>2.8624494574837515E-2</v>
      </c>
      <c r="AD1848" s="87">
        <f t="shared" si="174"/>
        <v>1.9262232795052708E-2</v>
      </c>
      <c r="AE1848" s="90">
        <f t="shared" si="172"/>
        <v>2.0031345376165278E-3</v>
      </c>
    </row>
    <row r="1849" spans="1:31" ht="15.5" x14ac:dyDescent="0.35">
      <c r="A1849" s="82">
        <v>42450</v>
      </c>
      <c r="B1849" s="83">
        <v>10219.700000000001</v>
      </c>
      <c r="C1849" s="84">
        <v>4808.8999999999996</v>
      </c>
      <c r="D1849" s="61">
        <v>751.3</v>
      </c>
      <c r="E1849" s="61">
        <v>35</v>
      </c>
      <c r="F1849" s="61">
        <v>105.1</v>
      </c>
      <c r="G1849" s="61">
        <v>52.9</v>
      </c>
      <c r="H1849" s="61">
        <v>8.1999999999999993</v>
      </c>
      <c r="I1849" s="61">
        <v>32.200000000000003</v>
      </c>
      <c r="J1849" s="61">
        <v>18.8</v>
      </c>
      <c r="K1849" s="61">
        <v>11.4</v>
      </c>
      <c r="L1849" s="61">
        <v>52.1</v>
      </c>
      <c r="M1849" s="61">
        <v>44.2</v>
      </c>
      <c r="N1849" s="61">
        <v>56.9</v>
      </c>
      <c r="O1849" s="85">
        <v>63.4</v>
      </c>
      <c r="P1849" s="105"/>
      <c r="Q1849" s="87">
        <f t="shared" si="171"/>
        <v>-3.6198032983257664E-4</v>
      </c>
      <c r="R1849" s="87">
        <f t="shared" si="170"/>
        <v>2.7695368840201981E-3</v>
      </c>
      <c r="S1849" s="87">
        <f t="shared" si="170"/>
        <v>-6.6529175496273755E-4</v>
      </c>
      <c r="T1849" s="87">
        <f t="shared" si="170"/>
        <v>1.7291497110061043E-2</v>
      </c>
      <c r="U1849" s="87">
        <f t="shared" si="170"/>
        <v>-9.5102242070408023E-4</v>
      </c>
      <c r="V1849" s="87">
        <f t="shared" si="170"/>
        <v>-9.4074071018954812E-3</v>
      </c>
      <c r="W1849" s="87">
        <f t="shared" si="170"/>
        <v>0</v>
      </c>
      <c r="X1849" s="87">
        <f t="shared" si="170"/>
        <v>-3.1007776782480479E-3</v>
      </c>
      <c r="Y1849" s="87">
        <f t="shared" si="174"/>
        <v>5.3333459753626029E-3</v>
      </c>
      <c r="Z1849" s="87">
        <f t="shared" si="174"/>
        <v>-8.7336799687545534E-3</v>
      </c>
      <c r="AA1849" s="87">
        <f t="shared" si="174"/>
        <v>9.6432762718042016E-3</v>
      </c>
      <c r="AB1849" s="87">
        <f t="shared" si="174"/>
        <v>4.5351551653913628E-3</v>
      </c>
      <c r="AC1849" s="87">
        <f t="shared" si="174"/>
        <v>3.5211303985787394E-3</v>
      </c>
      <c r="AD1849" s="87">
        <f t="shared" si="174"/>
        <v>7.917697736785306E-3</v>
      </c>
      <c r="AE1849" s="90">
        <f t="shared" si="172"/>
        <v>1.325838798385106E-3</v>
      </c>
    </row>
    <row r="1850" spans="1:31" ht="15.5" x14ac:dyDescent="0.35">
      <c r="A1850" s="82">
        <v>42451</v>
      </c>
      <c r="B1850" s="83">
        <v>10194.200000000001</v>
      </c>
      <c r="C1850" s="84">
        <v>4821.7</v>
      </c>
      <c r="D1850" s="61">
        <v>757.9</v>
      </c>
      <c r="E1850" s="61">
        <v>34.700000000000003</v>
      </c>
      <c r="F1850" s="61">
        <v>105.2</v>
      </c>
      <c r="G1850" s="61">
        <v>53.5</v>
      </c>
      <c r="H1850" s="61">
        <v>8.3000000000000007</v>
      </c>
      <c r="I1850" s="61">
        <v>32.5</v>
      </c>
      <c r="J1850" s="61">
        <v>18.100000000000001</v>
      </c>
      <c r="K1850" s="61">
        <v>11.3</v>
      </c>
      <c r="L1850" s="61">
        <v>52.5</v>
      </c>
      <c r="M1850" s="61">
        <v>43.9</v>
      </c>
      <c r="N1850" s="61">
        <v>56.4</v>
      </c>
      <c r="O1850" s="85">
        <v>64.2</v>
      </c>
      <c r="P1850" s="105"/>
      <c r="Q1850" s="87">
        <f t="shared" si="171"/>
        <v>-2.4982990279350851E-3</v>
      </c>
      <c r="R1850" s="87">
        <f t="shared" si="170"/>
        <v>2.6581952395629562E-3</v>
      </c>
      <c r="S1850" s="87">
        <f t="shared" si="170"/>
        <v>8.7464114428684528E-3</v>
      </c>
      <c r="T1850" s="87">
        <f t="shared" si="170"/>
        <v>-8.6083745366000511E-3</v>
      </c>
      <c r="U1850" s="87">
        <f t="shared" si="170"/>
        <v>9.5102242070415363E-4</v>
      </c>
      <c r="V1850" s="87">
        <f t="shared" si="170"/>
        <v>1.1278315037707274E-2</v>
      </c>
      <c r="W1850" s="87">
        <f t="shared" si="170"/>
        <v>1.2121360532345041E-2</v>
      </c>
      <c r="X1850" s="87">
        <f t="shared" ref="X1850:AA1913" si="175">+LN(I1850/I1849)</f>
        <v>9.2736367853290327E-3</v>
      </c>
      <c r="Y1850" s="87">
        <f t="shared" si="174"/>
        <v>-3.7944931564123367E-2</v>
      </c>
      <c r="Z1850" s="87">
        <f t="shared" si="174"/>
        <v>-8.810629682154807E-3</v>
      </c>
      <c r="AA1850" s="87">
        <f t="shared" si="174"/>
        <v>7.6482208382568188E-3</v>
      </c>
      <c r="AB1850" s="87">
        <f t="shared" si="174"/>
        <v>-6.8104690025268628E-3</v>
      </c>
      <c r="AC1850" s="87">
        <f t="shared" si="174"/>
        <v>-8.8261826282720716E-3</v>
      </c>
      <c r="AD1850" s="87">
        <f t="shared" si="174"/>
        <v>1.2539349252735392E-2</v>
      </c>
      <c r="AE1850" s="90">
        <f t="shared" si="172"/>
        <v>5.1534975556518569E-3</v>
      </c>
    </row>
    <row r="1851" spans="1:31" ht="15.5" x14ac:dyDescent="0.35">
      <c r="A1851" s="82">
        <v>42452</v>
      </c>
      <c r="B1851" s="83">
        <v>10099.700000000001</v>
      </c>
      <c r="C1851" s="84">
        <v>4768.8999999999996</v>
      </c>
      <c r="D1851" s="61">
        <v>756</v>
      </c>
      <c r="E1851" s="61">
        <v>34.700000000000003</v>
      </c>
      <c r="F1851" s="61">
        <v>105.9</v>
      </c>
      <c r="G1851" s="61">
        <v>53.7</v>
      </c>
      <c r="H1851" s="61">
        <v>8.1999999999999993</v>
      </c>
      <c r="I1851" s="61">
        <v>32.200000000000003</v>
      </c>
      <c r="J1851" s="61">
        <v>17.3</v>
      </c>
      <c r="K1851" s="61">
        <v>11</v>
      </c>
      <c r="L1851" s="61">
        <v>52.9</v>
      </c>
      <c r="M1851" s="61">
        <v>43.3</v>
      </c>
      <c r="N1851" s="61">
        <v>55.6</v>
      </c>
      <c r="O1851" s="85">
        <v>61.2</v>
      </c>
      <c r="P1851" s="105"/>
      <c r="Q1851" s="87">
        <f t="shared" si="171"/>
        <v>-9.3132106735689651E-3</v>
      </c>
      <c r="R1851" s="87">
        <f t="shared" ref="R1851:W1887" si="176">+LN(C1851/C1850)</f>
        <v>-1.1010892635257724E-2</v>
      </c>
      <c r="S1851" s="87">
        <f t="shared" si="176"/>
        <v>-2.5100746384504333E-3</v>
      </c>
      <c r="T1851" s="87">
        <f t="shared" si="176"/>
        <v>0</v>
      </c>
      <c r="U1851" s="87">
        <f t="shared" si="176"/>
        <v>6.6319523037512073E-3</v>
      </c>
      <c r="V1851" s="87">
        <f t="shared" si="176"/>
        <v>3.7313476128581842E-3</v>
      </c>
      <c r="W1851" s="87">
        <f t="shared" si="176"/>
        <v>-1.2121360532344963E-2</v>
      </c>
      <c r="X1851" s="87">
        <f t="shared" si="175"/>
        <v>-9.2736367853291021E-3</v>
      </c>
      <c r="Y1851" s="87">
        <f t="shared" si="174"/>
        <v>-4.5205436768046801E-2</v>
      </c>
      <c r="Z1851" s="87">
        <f t="shared" si="174"/>
        <v>-2.6907452919924382E-2</v>
      </c>
      <c r="AA1851" s="87">
        <f t="shared" si="174"/>
        <v>7.5901692666756528E-3</v>
      </c>
      <c r="AB1851" s="87">
        <f t="shared" si="174"/>
        <v>-1.376168507268149E-2</v>
      </c>
      <c r="AC1851" s="87">
        <f t="shared" si="174"/>
        <v>-1.4285957247476428E-2</v>
      </c>
      <c r="AD1851" s="87">
        <f t="shared" si="174"/>
        <v>-4.78560211776351E-2</v>
      </c>
      <c r="AE1851" s="90">
        <f t="shared" si="172"/>
        <v>-7.9558411011450923E-3</v>
      </c>
    </row>
    <row r="1852" spans="1:31" ht="15.5" x14ac:dyDescent="0.35">
      <c r="A1852" s="82">
        <v>42453</v>
      </c>
      <c r="B1852" s="83">
        <v>10086.6</v>
      </c>
      <c r="C1852" s="84">
        <v>4773.5</v>
      </c>
      <c r="D1852" s="61">
        <v>750.5</v>
      </c>
      <c r="E1852" s="61">
        <v>33.9</v>
      </c>
      <c r="F1852" s="61">
        <v>104.9</v>
      </c>
      <c r="G1852" s="61">
        <v>53.7</v>
      </c>
      <c r="H1852" s="61">
        <v>8.1999999999999993</v>
      </c>
      <c r="I1852" s="61">
        <v>31.7</v>
      </c>
      <c r="J1852" s="61">
        <v>16.600000000000001</v>
      </c>
      <c r="K1852" s="61">
        <v>10.5</v>
      </c>
      <c r="L1852" s="61">
        <v>52.6</v>
      </c>
      <c r="M1852" s="61">
        <v>41.7</v>
      </c>
      <c r="N1852" s="61">
        <v>54</v>
      </c>
      <c r="O1852" s="85">
        <v>61.1</v>
      </c>
      <c r="P1852" s="105"/>
      <c r="Q1852" s="87">
        <f t="shared" si="171"/>
        <v>-1.2979101508438589E-3</v>
      </c>
      <c r="R1852" s="87">
        <f t="shared" si="176"/>
        <v>9.6411811626382021E-4</v>
      </c>
      <c r="S1852" s="87">
        <f t="shared" si="176"/>
        <v>-7.3017251060164016E-3</v>
      </c>
      <c r="T1852" s="87">
        <f t="shared" si="176"/>
        <v>-2.3324672566409004E-2</v>
      </c>
      <c r="U1852" s="87">
        <f t="shared" si="176"/>
        <v>-9.4877372051093024E-3</v>
      </c>
      <c r="V1852" s="87">
        <f t="shared" si="176"/>
        <v>0</v>
      </c>
      <c r="W1852" s="87">
        <f t="shared" si="176"/>
        <v>0</v>
      </c>
      <c r="X1852" s="87">
        <f t="shared" si="175"/>
        <v>-1.5649771667127776E-2</v>
      </c>
      <c r="Y1852" s="87">
        <f t="shared" si="174"/>
        <v>-4.1303806141235633E-2</v>
      </c>
      <c r="Z1852" s="87">
        <f t="shared" si="174"/>
        <v>-4.6520015634892817E-2</v>
      </c>
      <c r="AA1852" s="87">
        <f t="shared" si="174"/>
        <v>-5.6872191205894641E-3</v>
      </c>
      <c r="AB1852" s="87">
        <f t="shared" si="174"/>
        <v>-3.7651506203688317E-2</v>
      </c>
      <c r="AC1852" s="87">
        <f t="shared" si="174"/>
        <v>-2.9199154692262353E-2</v>
      </c>
      <c r="AD1852" s="87">
        <f t="shared" si="174"/>
        <v>-1.6353233407307532E-3</v>
      </c>
      <c r="AE1852" s="90">
        <f t="shared" si="172"/>
        <v>-4.7603757242595862E-3</v>
      </c>
    </row>
    <row r="1853" spans="1:31" ht="15.5" x14ac:dyDescent="0.35">
      <c r="A1853" s="82">
        <v>42457</v>
      </c>
      <c r="B1853" s="83">
        <v>10106.4</v>
      </c>
      <c r="C1853" s="84">
        <v>4766.8</v>
      </c>
      <c r="D1853" s="61">
        <v>752</v>
      </c>
      <c r="E1853" s="61">
        <v>34.6</v>
      </c>
      <c r="F1853" s="61">
        <v>105.1</v>
      </c>
      <c r="G1853" s="61">
        <v>53.3</v>
      </c>
      <c r="H1853" s="61">
        <v>7.9</v>
      </c>
      <c r="I1853" s="61">
        <v>31.9</v>
      </c>
      <c r="J1853" s="61">
        <v>16.8</v>
      </c>
      <c r="K1853" s="61">
        <v>10.9</v>
      </c>
      <c r="L1853" s="61">
        <v>52.6</v>
      </c>
      <c r="M1853" s="61">
        <v>42.4</v>
      </c>
      <c r="N1853" s="61">
        <v>55.5</v>
      </c>
      <c r="O1853" s="85">
        <v>61.3</v>
      </c>
      <c r="P1853" s="105"/>
      <c r="Q1853" s="87">
        <f t="shared" si="171"/>
        <v>1.9610762487596765E-3</v>
      </c>
      <c r="R1853" s="87">
        <f t="shared" si="176"/>
        <v>-1.4045682214367322E-3</v>
      </c>
      <c r="S1853" s="87">
        <f t="shared" si="176"/>
        <v>1.9966728763230737E-3</v>
      </c>
      <c r="T1853" s="87">
        <f t="shared" si="176"/>
        <v>2.0438667677274171E-2</v>
      </c>
      <c r="U1853" s="87">
        <f t="shared" si="176"/>
        <v>1.9047624806538821E-3</v>
      </c>
      <c r="V1853" s="87">
        <f t="shared" si="176"/>
        <v>-7.4766703430202515E-3</v>
      </c>
      <c r="W1853" s="87">
        <f t="shared" si="176"/>
        <v>-3.7271394797231537E-2</v>
      </c>
      <c r="X1853" s="87">
        <f t="shared" si="175"/>
        <v>6.2893289075639184E-3</v>
      </c>
      <c r="Y1853" s="87">
        <f t="shared" si="174"/>
        <v>1.197619104671562E-2</v>
      </c>
      <c r="Z1853" s="87">
        <f t="shared" si="174"/>
        <v>3.7387532071620412E-2</v>
      </c>
      <c r="AA1853" s="87">
        <f t="shared" si="174"/>
        <v>0</v>
      </c>
      <c r="AB1853" s="87">
        <f t="shared" si="174"/>
        <v>1.664723343315621E-2</v>
      </c>
      <c r="AC1853" s="87">
        <f t="shared" si="174"/>
        <v>2.7398974188114347E-2</v>
      </c>
      <c r="AD1853" s="87">
        <f t="shared" si="174"/>
        <v>3.267976764616013E-3</v>
      </c>
      <c r="AE1853" s="90">
        <f t="shared" si="172"/>
        <v>1.1053999532826693E-3</v>
      </c>
    </row>
    <row r="1854" spans="1:31" ht="15.5" x14ac:dyDescent="0.35">
      <c r="A1854" s="82">
        <v>42458</v>
      </c>
      <c r="B1854" s="83">
        <v>10190.4</v>
      </c>
      <c r="C1854" s="84">
        <v>4846.6000000000004</v>
      </c>
      <c r="D1854" s="61">
        <v>748.3</v>
      </c>
      <c r="E1854" s="61">
        <v>35</v>
      </c>
      <c r="F1854" s="61">
        <v>104.9</v>
      </c>
      <c r="G1854" s="61">
        <v>53.5</v>
      </c>
      <c r="H1854" s="61">
        <v>7.6</v>
      </c>
      <c r="I1854" s="61">
        <v>31.7</v>
      </c>
      <c r="J1854" s="61">
        <v>16.8</v>
      </c>
      <c r="K1854" s="61">
        <v>11.2</v>
      </c>
      <c r="L1854" s="61">
        <v>52.6</v>
      </c>
      <c r="M1854" s="61">
        <v>42</v>
      </c>
      <c r="N1854" s="61">
        <v>56</v>
      </c>
      <c r="O1854" s="85">
        <v>61.3</v>
      </c>
      <c r="P1854" s="105"/>
      <c r="Q1854" s="87">
        <f t="shared" si="171"/>
        <v>8.2772141012735292E-3</v>
      </c>
      <c r="R1854" s="87">
        <f t="shared" si="176"/>
        <v>1.6602207949962186E-2</v>
      </c>
      <c r="S1854" s="87">
        <f t="shared" si="176"/>
        <v>-4.9323568635270864E-3</v>
      </c>
      <c r="T1854" s="87">
        <f t="shared" si="176"/>
        <v>1.1494379425734991E-2</v>
      </c>
      <c r="U1854" s="87">
        <f t="shared" si="176"/>
        <v>-1.9047624806538361E-3</v>
      </c>
      <c r="V1854" s="87">
        <f t="shared" si="176"/>
        <v>3.7453227301621132E-3</v>
      </c>
      <c r="W1854" s="87">
        <f t="shared" si="176"/>
        <v>-3.8714512180690511E-2</v>
      </c>
      <c r="X1854" s="87">
        <f t="shared" si="175"/>
        <v>-6.2893289075639904E-3</v>
      </c>
      <c r="Y1854" s="87">
        <f t="shared" si="174"/>
        <v>0</v>
      </c>
      <c r="Z1854" s="87">
        <f t="shared" si="174"/>
        <v>2.7150989065950683E-2</v>
      </c>
      <c r="AA1854" s="87">
        <f t="shared" si="174"/>
        <v>0</v>
      </c>
      <c r="AB1854" s="87">
        <f t="shared" si="174"/>
        <v>-9.47874395454377E-3</v>
      </c>
      <c r="AC1854" s="87">
        <f t="shared" si="174"/>
        <v>8.9686699827603161E-3</v>
      </c>
      <c r="AD1854" s="87">
        <f t="shared" si="174"/>
        <v>0</v>
      </c>
      <c r="AE1854" s="90">
        <f t="shared" si="172"/>
        <v>2.9878230906754556E-3</v>
      </c>
    </row>
    <row r="1855" spans="1:31" ht="15.5" x14ac:dyDescent="0.35">
      <c r="A1855" s="82">
        <v>42459</v>
      </c>
      <c r="B1855" s="83">
        <v>10237</v>
      </c>
      <c r="C1855" s="84">
        <v>4869.3</v>
      </c>
      <c r="D1855" s="61">
        <v>767.6</v>
      </c>
      <c r="E1855" s="61">
        <v>36.4</v>
      </c>
      <c r="F1855" s="61">
        <v>108.6</v>
      </c>
      <c r="G1855" s="61">
        <v>54.9</v>
      </c>
      <c r="H1855" s="61">
        <v>7.8</v>
      </c>
      <c r="I1855" s="61">
        <v>32.6</v>
      </c>
      <c r="J1855" s="61">
        <v>17.3</v>
      </c>
      <c r="K1855" s="61">
        <v>11</v>
      </c>
      <c r="L1855" s="61">
        <v>53.1</v>
      </c>
      <c r="M1855" s="61">
        <v>42.8</v>
      </c>
      <c r="N1855" s="61">
        <v>57.1</v>
      </c>
      <c r="O1855" s="85">
        <v>61.8</v>
      </c>
      <c r="P1855" s="105"/>
      <c r="Q1855" s="87">
        <f t="shared" si="171"/>
        <v>4.5625073026694767E-3</v>
      </c>
      <c r="R1855" s="87">
        <f t="shared" si="176"/>
        <v>4.6727614125212742E-3</v>
      </c>
      <c r="S1855" s="87">
        <f t="shared" si="176"/>
        <v>2.546479704723208E-2</v>
      </c>
      <c r="T1855" s="87">
        <f t="shared" si="176"/>
        <v>3.9220713153281329E-2</v>
      </c>
      <c r="U1855" s="87">
        <f t="shared" si="176"/>
        <v>3.4663892097583422E-2</v>
      </c>
      <c r="V1855" s="87">
        <f t="shared" si="176"/>
        <v>2.5831694613523956E-2</v>
      </c>
      <c r="W1855" s="87">
        <f t="shared" si="176"/>
        <v>2.5975486403260736E-2</v>
      </c>
      <c r="X1855" s="87">
        <f t="shared" si="175"/>
        <v>2.7995607489427074E-2</v>
      </c>
      <c r="Y1855" s="87">
        <f t="shared" si="174"/>
        <v>2.9327615094519921E-2</v>
      </c>
      <c r="Z1855" s="87">
        <f t="shared" si="174"/>
        <v>-1.801850550267825E-2</v>
      </c>
      <c r="AA1855" s="87">
        <f t="shared" si="174"/>
        <v>9.4608085042288889E-3</v>
      </c>
      <c r="AB1855" s="87">
        <f t="shared" si="174"/>
        <v>1.8868484304382736E-2</v>
      </c>
      <c r="AC1855" s="87">
        <f t="shared" si="174"/>
        <v>1.9452425926815231E-2</v>
      </c>
      <c r="AD1855" s="87">
        <f t="shared" si="174"/>
        <v>8.1235215214793474E-3</v>
      </c>
      <c r="AE1855" s="90">
        <f t="shared" si="172"/>
        <v>1.9754993197258996E-2</v>
      </c>
    </row>
    <row r="1856" spans="1:31" ht="15.5" x14ac:dyDescent="0.35">
      <c r="A1856" s="82">
        <v>42460</v>
      </c>
      <c r="B1856" s="83">
        <v>10207.4</v>
      </c>
      <c r="C1856" s="84">
        <v>4869.8999999999996</v>
      </c>
      <c r="D1856" s="61">
        <v>758.3</v>
      </c>
      <c r="E1856" s="61">
        <v>36.5</v>
      </c>
      <c r="F1856" s="61">
        <v>108.9</v>
      </c>
      <c r="G1856" s="61">
        <v>54.9</v>
      </c>
      <c r="H1856" s="61">
        <v>8</v>
      </c>
      <c r="I1856" s="61">
        <v>32.6</v>
      </c>
      <c r="J1856" s="61">
        <v>17</v>
      </c>
      <c r="K1856" s="61">
        <v>11</v>
      </c>
      <c r="L1856" s="61">
        <v>52.8</v>
      </c>
      <c r="M1856" s="61">
        <v>43.9</v>
      </c>
      <c r="N1856" s="61">
        <v>57.4</v>
      </c>
      <c r="O1856" s="85">
        <v>61.3</v>
      </c>
      <c r="P1856" s="105"/>
      <c r="Q1856" s="87">
        <f t="shared" si="171"/>
        <v>-2.8956604921276212E-3</v>
      </c>
      <c r="R1856" s="87">
        <f t="shared" si="176"/>
        <v>1.2321340577434549E-4</v>
      </c>
      <c r="S1856" s="87">
        <f t="shared" si="176"/>
        <v>-1.2189678426655077E-2</v>
      </c>
      <c r="T1856" s="87">
        <f t="shared" si="176"/>
        <v>2.7434859457508339E-3</v>
      </c>
      <c r="U1856" s="87">
        <f t="shared" si="176"/>
        <v>2.7586224390798823E-3</v>
      </c>
      <c r="V1856" s="87">
        <f t="shared" si="176"/>
        <v>0</v>
      </c>
      <c r="W1856" s="87">
        <f t="shared" si="176"/>
        <v>2.5317807984290001E-2</v>
      </c>
      <c r="X1856" s="87">
        <f t="shared" si="175"/>
        <v>0</v>
      </c>
      <c r="Y1856" s="87">
        <f t="shared" si="174"/>
        <v>-1.749315744751723E-2</v>
      </c>
      <c r="Z1856" s="87">
        <f t="shared" si="174"/>
        <v>0</v>
      </c>
      <c r="AA1856" s="87">
        <f t="shared" si="174"/>
        <v>-5.6657375356774196E-3</v>
      </c>
      <c r="AB1856" s="87">
        <f t="shared" si="174"/>
        <v>2.5376217493374535E-2</v>
      </c>
      <c r="AC1856" s="87">
        <f t="shared" si="174"/>
        <v>5.2401866635562499E-3</v>
      </c>
      <c r="AD1856" s="87">
        <f t="shared" si="174"/>
        <v>-8.1235215214793318E-3</v>
      </c>
      <c r="AE1856" s="90">
        <f t="shared" si="172"/>
        <v>-3.7303722398266833E-3</v>
      </c>
    </row>
    <row r="1857" spans="1:31" ht="15.5" x14ac:dyDescent="0.35">
      <c r="A1857" s="82">
        <v>42461</v>
      </c>
      <c r="B1857" s="83">
        <v>10220</v>
      </c>
      <c r="C1857" s="84">
        <v>4914.5</v>
      </c>
      <c r="D1857" s="61">
        <v>755.2</v>
      </c>
      <c r="E1857" s="61">
        <v>36.299999999999997</v>
      </c>
      <c r="F1857" s="61">
        <v>108.2</v>
      </c>
      <c r="G1857" s="61">
        <v>54.6</v>
      </c>
      <c r="H1857" s="61">
        <v>8.1</v>
      </c>
      <c r="I1857" s="61">
        <v>32.200000000000003</v>
      </c>
      <c r="J1857" s="61">
        <v>16.5</v>
      </c>
      <c r="K1857" s="61">
        <v>10.6</v>
      </c>
      <c r="L1857" s="61">
        <v>52.4</v>
      </c>
      <c r="M1857" s="61">
        <v>43.5</v>
      </c>
      <c r="N1857" s="61">
        <v>56.4</v>
      </c>
      <c r="O1857" s="85">
        <v>61.2</v>
      </c>
      <c r="P1857" s="105"/>
      <c r="Q1857" s="87">
        <f t="shared" si="171"/>
        <v>1.233637330052194E-3</v>
      </c>
      <c r="R1857" s="87">
        <f t="shared" si="176"/>
        <v>9.1166160217752337E-3</v>
      </c>
      <c r="S1857" s="87">
        <f t="shared" si="176"/>
        <v>-4.0964708755988361E-3</v>
      </c>
      <c r="T1857" s="87">
        <f t="shared" si="176"/>
        <v>-5.4945193176408128E-3</v>
      </c>
      <c r="U1857" s="87">
        <f t="shared" si="176"/>
        <v>-6.4486635265336304E-3</v>
      </c>
      <c r="V1857" s="87">
        <f t="shared" si="176"/>
        <v>-5.4794657646254838E-3</v>
      </c>
      <c r="W1857" s="87">
        <f t="shared" si="176"/>
        <v>1.242251999855711E-2</v>
      </c>
      <c r="X1857" s="87">
        <f t="shared" si="175"/>
        <v>-1.2345835822299266E-2</v>
      </c>
      <c r="Y1857" s="87">
        <f t="shared" si="174"/>
        <v>-2.985296314968116E-2</v>
      </c>
      <c r="Z1857" s="87">
        <f t="shared" si="174"/>
        <v>-3.7041271680349097E-2</v>
      </c>
      <c r="AA1857" s="87">
        <f t="shared" si="174"/>
        <v>-7.6045993852193036E-3</v>
      </c>
      <c r="AB1857" s="87">
        <f t="shared" si="174"/>
        <v>-9.1533819864872482E-3</v>
      </c>
      <c r="AC1857" s="87">
        <f t="shared" si="174"/>
        <v>-1.7575144821507488E-2</v>
      </c>
      <c r="AD1857" s="87">
        <f t="shared" si="174"/>
        <v>-1.6326534238852235E-3</v>
      </c>
      <c r="AE1857" s="90">
        <f t="shared" si="172"/>
        <v>-5.0897861383708467E-4</v>
      </c>
    </row>
    <row r="1858" spans="1:31" ht="15.5" x14ac:dyDescent="0.35">
      <c r="A1858" s="82">
        <v>42464</v>
      </c>
      <c r="B1858" s="83">
        <v>10183</v>
      </c>
      <c r="C1858" s="84">
        <v>4891.8</v>
      </c>
      <c r="D1858" s="61">
        <v>761.8</v>
      </c>
      <c r="E1858" s="61">
        <v>36.5</v>
      </c>
      <c r="F1858" s="61">
        <v>110.3</v>
      </c>
      <c r="G1858" s="61">
        <v>55</v>
      </c>
      <c r="H1858" s="61">
        <v>8</v>
      </c>
      <c r="I1858" s="61">
        <v>31.3</v>
      </c>
      <c r="J1858" s="61">
        <v>16.2</v>
      </c>
      <c r="K1858" s="61">
        <v>10.5</v>
      </c>
      <c r="L1858" s="61">
        <v>53.8</v>
      </c>
      <c r="M1858" s="61">
        <v>43.6</v>
      </c>
      <c r="N1858" s="61">
        <v>57.1</v>
      </c>
      <c r="O1858" s="85">
        <v>59.4</v>
      </c>
      <c r="P1858" s="105"/>
      <c r="Q1858" s="87">
        <f t="shared" si="171"/>
        <v>-3.6269215860300513E-3</v>
      </c>
      <c r="R1858" s="87">
        <f t="shared" si="176"/>
        <v>-4.6296851097638401E-3</v>
      </c>
      <c r="S1858" s="87">
        <f t="shared" si="176"/>
        <v>8.701439213212616E-3</v>
      </c>
      <c r="T1858" s="87">
        <f t="shared" si="176"/>
        <v>5.4945193176407798E-3</v>
      </c>
      <c r="U1858" s="87">
        <f t="shared" si="176"/>
        <v>1.9222559847075552E-2</v>
      </c>
      <c r="V1858" s="87">
        <f t="shared" si="176"/>
        <v>7.2993024816115351E-3</v>
      </c>
      <c r="W1858" s="87">
        <f t="shared" si="176"/>
        <v>-1.2422519998557096E-2</v>
      </c>
      <c r="X1858" s="87">
        <f t="shared" si="175"/>
        <v>-2.8348355004255199E-2</v>
      </c>
      <c r="Y1858" s="87">
        <f t="shared" si="174"/>
        <v>-1.8349138668196541E-2</v>
      </c>
      <c r="Z1858" s="87">
        <f t="shared" si="174"/>
        <v>-9.47874395454377E-3</v>
      </c>
      <c r="AA1858" s="87">
        <f t="shared" si="174"/>
        <v>2.6366875840742134E-2</v>
      </c>
      <c r="AB1858" s="87">
        <f t="shared" si="174"/>
        <v>2.296212260350157E-3</v>
      </c>
      <c r="AC1858" s="87">
        <f t="shared" si="174"/>
        <v>1.2334958157951366E-2</v>
      </c>
      <c r="AD1858" s="87">
        <f t="shared" si="174"/>
        <v>-2.9852963149681274E-2</v>
      </c>
      <c r="AE1858" s="90">
        <f t="shared" si="172"/>
        <v>3.0276325260810066E-3</v>
      </c>
    </row>
    <row r="1859" spans="1:31" ht="15.5" x14ac:dyDescent="0.35">
      <c r="A1859" s="82">
        <v>42465</v>
      </c>
      <c r="B1859" s="83">
        <v>10061.1</v>
      </c>
      <c r="C1859" s="84">
        <v>4843.8999999999996</v>
      </c>
      <c r="D1859" s="61">
        <v>755.6</v>
      </c>
      <c r="E1859" s="61">
        <v>36.200000000000003</v>
      </c>
      <c r="F1859" s="61">
        <v>109.4</v>
      </c>
      <c r="G1859" s="61">
        <v>54.5</v>
      </c>
      <c r="H1859" s="61">
        <v>8</v>
      </c>
      <c r="I1859" s="61">
        <v>30.8</v>
      </c>
      <c r="J1859" s="61">
        <v>16</v>
      </c>
      <c r="K1859" s="61">
        <v>10.199999999999999</v>
      </c>
      <c r="L1859" s="61">
        <v>54</v>
      </c>
      <c r="M1859" s="61">
        <v>42.7</v>
      </c>
      <c r="N1859" s="61">
        <v>57</v>
      </c>
      <c r="O1859" s="85">
        <v>59.4</v>
      </c>
      <c r="P1859" s="105"/>
      <c r="Q1859" s="87">
        <f t="shared" si="171"/>
        <v>-1.2043160559165905E-2</v>
      </c>
      <c r="R1859" s="87">
        <f t="shared" si="176"/>
        <v>-9.8401525328182058E-3</v>
      </c>
      <c r="S1859" s="87">
        <f t="shared" si="176"/>
        <v>-8.1719184171491124E-3</v>
      </c>
      <c r="T1859" s="87">
        <f t="shared" si="176"/>
        <v>-8.2531417567204141E-3</v>
      </c>
      <c r="U1859" s="87">
        <f t="shared" si="176"/>
        <v>-8.1930362715758685E-3</v>
      </c>
      <c r="V1859" s="87">
        <f t="shared" si="176"/>
        <v>-9.1324835632724741E-3</v>
      </c>
      <c r="W1859" s="87">
        <f t="shared" si="176"/>
        <v>0</v>
      </c>
      <c r="X1859" s="87">
        <f t="shared" si="175"/>
        <v>-1.6103407566578735E-2</v>
      </c>
      <c r="Y1859" s="87">
        <f t="shared" si="174"/>
        <v>-1.2422519998557096E-2</v>
      </c>
      <c r="Z1859" s="87">
        <f t="shared" si="174"/>
        <v>-2.8987536873252413E-2</v>
      </c>
      <c r="AA1859" s="87">
        <f t="shared" si="174"/>
        <v>3.7105793965357746E-3</v>
      </c>
      <c r="AB1859" s="87">
        <f t="shared" si="174"/>
        <v>-2.0858230120409695E-2</v>
      </c>
      <c r="AC1859" s="87">
        <f t="shared" si="174"/>
        <v>-1.7528488274143605E-3</v>
      </c>
      <c r="AD1859" s="87">
        <f t="shared" si="174"/>
        <v>0</v>
      </c>
      <c r="AE1859" s="90">
        <f t="shared" si="172"/>
        <v>-7.6847251457653728E-3</v>
      </c>
    </row>
    <row r="1860" spans="1:31" ht="15.5" x14ac:dyDescent="0.35">
      <c r="A1860" s="82">
        <v>42466</v>
      </c>
      <c r="B1860" s="83">
        <v>10159.799999999999</v>
      </c>
      <c r="C1860" s="84">
        <v>4920.7</v>
      </c>
      <c r="D1860" s="61">
        <v>756.3</v>
      </c>
      <c r="E1860" s="61">
        <v>36.299999999999997</v>
      </c>
      <c r="F1860" s="61">
        <v>109.2</v>
      </c>
      <c r="G1860" s="61">
        <v>54.2</v>
      </c>
      <c r="H1860" s="61">
        <v>7.8</v>
      </c>
      <c r="I1860" s="61">
        <v>30.8</v>
      </c>
      <c r="J1860" s="61">
        <v>15.8</v>
      </c>
      <c r="K1860" s="61">
        <v>10.3</v>
      </c>
      <c r="L1860" s="61">
        <v>54.3</v>
      </c>
      <c r="M1860" s="61">
        <v>42.3</v>
      </c>
      <c r="N1860" s="61">
        <v>56.7</v>
      </c>
      <c r="O1860" s="85">
        <v>59.2</v>
      </c>
      <c r="P1860" s="105"/>
      <c r="Q1860" s="87">
        <f t="shared" si="171"/>
        <v>9.7622542868502585E-3</v>
      </c>
      <c r="R1860" s="87">
        <f t="shared" si="176"/>
        <v>1.573061542468571E-2</v>
      </c>
      <c r="S1860" s="87">
        <f t="shared" si="176"/>
        <v>9.259872346291454E-4</v>
      </c>
      <c r="T1860" s="87">
        <f t="shared" si="176"/>
        <v>2.7586224390796607E-3</v>
      </c>
      <c r="U1860" s="87">
        <f t="shared" si="176"/>
        <v>-1.8298266770762272E-3</v>
      </c>
      <c r="V1860" s="87">
        <f t="shared" si="176"/>
        <v>-5.5197932235978098E-3</v>
      </c>
      <c r="W1860" s="87">
        <f t="shared" si="176"/>
        <v>-2.5317807984289897E-2</v>
      </c>
      <c r="X1860" s="87">
        <f t="shared" si="175"/>
        <v>0</v>
      </c>
      <c r="Y1860" s="87">
        <f t="shared" si="174"/>
        <v>-1.2578782206860073E-2</v>
      </c>
      <c r="Z1860" s="87">
        <f t="shared" si="174"/>
        <v>9.7561749453648743E-3</v>
      </c>
      <c r="AA1860" s="87">
        <f t="shared" si="174"/>
        <v>5.5401803756153509E-3</v>
      </c>
      <c r="AB1860" s="87">
        <f t="shared" si="174"/>
        <v>-9.4118341823467063E-3</v>
      </c>
      <c r="AC1860" s="87">
        <f t="shared" si="174"/>
        <v>-5.2770571008436693E-3</v>
      </c>
      <c r="AD1860" s="87">
        <f t="shared" si="174"/>
        <v>-3.3726844786391187E-3</v>
      </c>
      <c r="AE1860" s="90">
        <f t="shared" si="172"/>
        <v>4.0531618768110417E-3</v>
      </c>
    </row>
    <row r="1861" spans="1:31" ht="15.5" x14ac:dyDescent="0.35">
      <c r="A1861" s="82">
        <v>42467</v>
      </c>
      <c r="B1861" s="83">
        <v>10045.200000000001</v>
      </c>
      <c r="C1861" s="84">
        <v>4848.3999999999996</v>
      </c>
      <c r="D1861" s="61">
        <v>757.5</v>
      </c>
      <c r="E1861" s="61">
        <v>35.700000000000003</v>
      </c>
      <c r="F1861" s="61">
        <v>108.1</v>
      </c>
      <c r="G1861" s="61">
        <v>54.2</v>
      </c>
      <c r="H1861" s="61">
        <v>7.7</v>
      </c>
      <c r="I1861" s="61">
        <v>31</v>
      </c>
      <c r="J1861" s="61">
        <v>16</v>
      </c>
      <c r="K1861" s="61">
        <v>10</v>
      </c>
      <c r="L1861" s="61">
        <v>55.1</v>
      </c>
      <c r="M1861" s="61">
        <v>41.5</v>
      </c>
      <c r="N1861" s="61">
        <v>56.6</v>
      </c>
      <c r="O1861" s="85">
        <v>59.7</v>
      </c>
      <c r="P1861" s="105"/>
      <c r="Q1861" s="87">
        <f t="shared" si="171"/>
        <v>-1.1343848445338778E-2</v>
      </c>
      <c r="R1861" s="87">
        <f t="shared" si="176"/>
        <v>-1.4802043192430822E-2</v>
      </c>
      <c r="S1861" s="87">
        <f t="shared" si="176"/>
        <v>1.5854145215404608E-3</v>
      </c>
      <c r="T1861" s="87">
        <f t="shared" si="176"/>
        <v>-1.6667052485211532E-2</v>
      </c>
      <c r="U1861" s="87">
        <f t="shared" si="176"/>
        <v>-1.0124338665642149E-2</v>
      </c>
      <c r="V1861" s="87">
        <f t="shared" si="176"/>
        <v>0</v>
      </c>
      <c r="W1861" s="87">
        <f t="shared" si="176"/>
        <v>-1.2903404835907841E-2</v>
      </c>
      <c r="X1861" s="87">
        <f t="shared" si="175"/>
        <v>6.4725145056175196E-3</v>
      </c>
      <c r="Y1861" s="87">
        <f t="shared" si="174"/>
        <v>1.2578782206859965E-2</v>
      </c>
      <c r="Z1861" s="87">
        <f t="shared" si="174"/>
        <v>-2.9558802241544505E-2</v>
      </c>
      <c r="AA1861" s="87">
        <f t="shared" si="174"/>
        <v>1.4625489218979231E-2</v>
      </c>
      <c r="AB1861" s="87">
        <f t="shared" si="174"/>
        <v>-1.9093658815579586E-2</v>
      </c>
      <c r="AC1861" s="87">
        <f t="shared" si="174"/>
        <v>-1.7652255245691922E-3</v>
      </c>
      <c r="AD1861" s="87">
        <f t="shared" si="174"/>
        <v>8.4104785085965111E-3</v>
      </c>
      <c r="AE1861" s="90">
        <f t="shared" si="172"/>
        <v>-5.8454010307192128E-3</v>
      </c>
    </row>
    <row r="1862" spans="1:31" ht="15.5" x14ac:dyDescent="0.35">
      <c r="A1862" s="82">
        <v>42468</v>
      </c>
      <c r="B1862" s="83">
        <v>10119.700000000001</v>
      </c>
      <c r="C1862" s="84">
        <v>4850.7</v>
      </c>
      <c r="D1862" s="61">
        <v>755.8</v>
      </c>
      <c r="E1862" s="61">
        <v>35.6</v>
      </c>
      <c r="F1862" s="61">
        <v>108.2</v>
      </c>
      <c r="G1862" s="61">
        <v>54.3</v>
      </c>
      <c r="H1862" s="61">
        <v>7.7</v>
      </c>
      <c r="I1862" s="61">
        <v>30.7</v>
      </c>
      <c r="J1862" s="61">
        <v>15.9</v>
      </c>
      <c r="K1862" s="61">
        <v>9.9</v>
      </c>
      <c r="L1862" s="61">
        <v>55.1</v>
      </c>
      <c r="M1862" s="61">
        <v>41.7</v>
      </c>
      <c r="N1862" s="61">
        <v>57.3</v>
      </c>
      <c r="O1862" s="85">
        <v>59.3</v>
      </c>
      <c r="P1862" s="105"/>
      <c r="Q1862" s="87">
        <f t="shared" si="171"/>
        <v>7.3891106792708001E-3</v>
      </c>
      <c r="R1862" s="87">
        <f t="shared" si="176"/>
        <v>4.7427081752166337E-4</v>
      </c>
      <c r="S1862" s="87">
        <f t="shared" si="176"/>
        <v>-2.2467464681356908E-3</v>
      </c>
      <c r="T1862" s="87">
        <f t="shared" si="176"/>
        <v>-2.8050509276086096E-3</v>
      </c>
      <c r="U1862" s="87">
        <f t="shared" si="176"/>
        <v>9.2464176721868488E-4</v>
      </c>
      <c r="V1862" s="87">
        <f t="shared" si="176"/>
        <v>1.843318494289093E-3</v>
      </c>
      <c r="W1862" s="87">
        <f t="shared" si="176"/>
        <v>0</v>
      </c>
      <c r="X1862" s="87">
        <f t="shared" si="175"/>
        <v>-9.7245498919947444E-3</v>
      </c>
      <c r="Y1862" s="87">
        <f t="shared" si="174"/>
        <v>-6.2696130135953742E-3</v>
      </c>
      <c r="Z1862" s="87">
        <f t="shared" si="174"/>
        <v>-1.0050335853501451E-2</v>
      </c>
      <c r="AA1862" s="87">
        <f t="shared" si="174"/>
        <v>0</v>
      </c>
      <c r="AB1862" s="87">
        <f t="shared" si="174"/>
        <v>4.8077015681032989E-3</v>
      </c>
      <c r="AC1862" s="87">
        <f t="shared" si="174"/>
        <v>1.2291638511556497E-2</v>
      </c>
      <c r="AD1862" s="87">
        <f t="shared" si="174"/>
        <v>-6.7227143948767011E-3</v>
      </c>
      <c r="AE1862" s="90">
        <f t="shared" si="172"/>
        <v>-1.068348333612193E-3</v>
      </c>
    </row>
    <row r="1863" spans="1:31" ht="15.5" x14ac:dyDescent="0.35">
      <c r="A1863" s="82">
        <v>42471</v>
      </c>
      <c r="B1863" s="83">
        <v>10114.6</v>
      </c>
      <c r="C1863" s="84">
        <v>4833.3999999999996</v>
      </c>
      <c r="D1863" s="61">
        <v>757.3</v>
      </c>
      <c r="E1863" s="61">
        <v>36.299999999999997</v>
      </c>
      <c r="F1863" s="61">
        <v>108.8</v>
      </c>
      <c r="G1863" s="61">
        <v>54.3</v>
      </c>
      <c r="H1863" s="61">
        <v>7.3</v>
      </c>
      <c r="I1863" s="61">
        <v>31</v>
      </c>
      <c r="J1863" s="61">
        <v>15.8</v>
      </c>
      <c r="K1863" s="61">
        <v>9.8000000000000007</v>
      </c>
      <c r="L1863" s="61">
        <v>55</v>
      </c>
      <c r="M1863" s="61">
        <v>42.2</v>
      </c>
      <c r="N1863" s="61">
        <v>57.5</v>
      </c>
      <c r="O1863" s="85">
        <v>57.8</v>
      </c>
      <c r="P1863" s="105"/>
      <c r="Q1863" s="87">
        <f t="shared" si="171"/>
        <v>-5.0409454322582626E-4</v>
      </c>
      <c r="R1863" s="87">
        <f t="shared" si="176"/>
        <v>-3.5728706649982163E-3</v>
      </c>
      <c r="S1863" s="87">
        <f t="shared" si="176"/>
        <v>1.9826852043885049E-3</v>
      </c>
      <c r="T1863" s="87">
        <f t="shared" si="176"/>
        <v>1.9472103412820099E-2</v>
      </c>
      <c r="U1863" s="87">
        <f t="shared" si="176"/>
        <v>5.5299680094609551E-3</v>
      </c>
      <c r="V1863" s="87">
        <f t="shared" si="176"/>
        <v>0</v>
      </c>
      <c r="W1863" s="87">
        <f t="shared" si="176"/>
        <v>-5.3345980705292735E-2</v>
      </c>
      <c r="X1863" s="87">
        <f t="shared" si="175"/>
        <v>9.7245498919947809E-3</v>
      </c>
      <c r="Y1863" s="87">
        <f t="shared" si="174"/>
        <v>-6.309169193264721E-3</v>
      </c>
      <c r="Z1863" s="87">
        <f t="shared" si="174"/>
        <v>-1.0152371464017962E-2</v>
      </c>
      <c r="AA1863" s="87">
        <f t="shared" si="174"/>
        <v>-1.816530926397894E-3</v>
      </c>
      <c r="AB1863" s="87">
        <f t="shared" si="174"/>
        <v>1.1919092237210284E-2</v>
      </c>
      <c r="AC1863" s="87">
        <f t="shared" si="174"/>
        <v>3.4843240826108427E-3</v>
      </c>
      <c r="AD1863" s="87">
        <f t="shared" si="174"/>
        <v>-2.5620530325347984E-2</v>
      </c>
      <c r="AE1863" s="90">
        <f t="shared" si="172"/>
        <v>-2.0234005989536851E-3</v>
      </c>
    </row>
    <row r="1864" spans="1:31" ht="15.5" x14ac:dyDescent="0.35">
      <c r="A1864" s="82">
        <v>42472</v>
      </c>
      <c r="B1864" s="83">
        <v>10238.700000000001</v>
      </c>
      <c r="C1864" s="84">
        <v>4872.1000000000004</v>
      </c>
      <c r="D1864" s="61">
        <v>751.6</v>
      </c>
      <c r="E1864" s="61">
        <v>36.299999999999997</v>
      </c>
      <c r="F1864" s="61">
        <v>108.7</v>
      </c>
      <c r="G1864" s="61">
        <v>53.8</v>
      </c>
      <c r="H1864" s="61">
        <v>7.2</v>
      </c>
      <c r="I1864" s="61">
        <v>30.9</v>
      </c>
      <c r="J1864" s="61">
        <v>15.5</v>
      </c>
      <c r="K1864" s="61">
        <v>9.6</v>
      </c>
      <c r="L1864" s="61">
        <v>54.9</v>
      </c>
      <c r="M1864" s="61">
        <v>42.4</v>
      </c>
      <c r="N1864" s="61">
        <v>58.3</v>
      </c>
      <c r="O1864" s="85">
        <v>56.9</v>
      </c>
      <c r="P1864" s="105"/>
      <c r="Q1864" s="87">
        <f t="shared" si="171"/>
        <v>1.2194733819212749E-2</v>
      </c>
      <c r="R1864" s="87">
        <f t="shared" si="176"/>
        <v>7.9749018817684043E-3</v>
      </c>
      <c r="S1864" s="87">
        <f t="shared" si="176"/>
        <v>-7.5552085804666243E-3</v>
      </c>
      <c r="T1864" s="87">
        <f t="shared" si="176"/>
        <v>0</v>
      </c>
      <c r="U1864" s="87">
        <f t="shared" si="176"/>
        <v>-9.1954029467843481E-4</v>
      </c>
      <c r="V1864" s="87">
        <f t="shared" si="176"/>
        <v>-9.2507597721509984E-3</v>
      </c>
      <c r="W1864" s="87">
        <f t="shared" si="176"/>
        <v>-1.3793322132335761E-2</v>
      </c>
      <c r="X1864" s="87">
        <f t="shared" si="175"/>
        <v>-3.2310205814465318E-3</v>
      </c>
      <c r="Y1864" s="87">
        <f t="shared" si="174"/>
        <v>-1.9169916107720172E-2</v>
      </c>
      <c r="Z1864" s="87">
        <f t="shared" si="174"/>
        <v>-2.0619287202735818E-2</v>
      </c>
      <c r="AA1864" s="87">
        <f t="shared" si="174"/>
        <v>-1.8198367169859828E-3</v>
      </c>
      <c r="AB1864" s="87">
        <f t="shared" si="174"/>
        <v>4.7281411959458957E-3</v>
      </c>
      <c r="AC1864" s="87">
        <f t="shared" si="174"/>
        <v>1.3817145553141903E-2</v>
      </c>
      <c r="AD1864" s="87">
        <f t="shared" si="174"/>
        <v>-1.5693434546046565E-2</v>
      </c>
      <c r="AE1864" s="90">
        <f t="shared" si="172"/>
        <v>-1.9918724951069177E-3</v>
      </c>
    </row>
    <row r="1865" spans="1:31" ht="15.5" x14ac:dyDescent="0.35">
      <c r="A1865" s="82">
        <v>42473</v>
      </c>
      <c r="B1865" s="83">
        <v>10359.5</v>
      </c>
      <c r="C1865" s="84">
        <v>4947.3999999999996</v>
      </c>
      <c r="D1865" s="61">
        <v>764.6</v>
      </c>
      <c r="E1865" s="61">
        <v>36.9</v>
      </c>
      <c r="F1865" s="61">
        <v>110.8</v>
      </c>
      <c r="G1865" s="61">
        <v>54.9</v>
      </c>
      <c r="H1865" s="61">
        <v>7.4</v>
      </c>
      <c r="I1865" s="61">
        <v>31.3</v>
      </c>
      <c r="J1865" s="61">
        <v>16.2</v>
      </c>
      <c r="K1865" s="61">
        <v>9.6</v>
      </c>
      <c r="L1865" s="61">
        <v>55.3</v>
      </c>
      <c r="M1865" s="61">
        <v>43.6</v>
      </c>
      <c r="N1865" s="61">
        <v>59.5</v>
      </c>
      <c r="O1865" s="85">
        <v>58.8</v>
      </c>
      <c r="P1865" s="105"/>
      <c r="Q1865" s="87">
        <f t="shared" si="171"/>
        <v>1.1729314691268497E-2</v>
      </c>
      <c r="R1865" s="87">
        <f t="shared" si="176"/>
        <v>1.5337130413404015E-2</v>
      </c>
      <c r="S1865" s="87">
        <f t="shared" si="176"/>
        <v>1.7148553723002172E-2</v>
      </c>
      <c r="T1865" s="87">
        <f t="shared" si="176"/>
        <v>1.6393809775676352E-2</v>
      </c>
      <c r="U1865" s="87">
        <f t="shared" si="176"/>
        <v>1.9134980186019532E-2</v>
      </c>
      <c r="V1865" s="87">
        <f t="shared" si="176"/>
        <v>2.0239881347746336E-2</v>
      </c>
      <c r="W1865" s="87">
        <f t="shared" si="176"/>
        <v>2.7398974188114562E-2</v>
      </c>
      <c r="X1865" s="87">
        <f t="shared" si="175"/>
        <v>1.2861913642407822E-2</v>
      </c>
      <c r="Y1865" s="87">
        <f t="shared" si="174"/>
        <v>4.4171218313137459E-2</v>
      </c>
      <c r="Z1865" s="87">
        <f t="shared" si="174"/>
        <v>0</v>
      </c>
      <c r="AA1865" s="87">
        <f t="shared" si="174"/>
        <v>7.2595600128041024E-3</v>
      </c>
      <c r="AB1865" s="87">
        <f t="shared" si="174"/>
        <v>2.7908788117076658E-2</v>
      </c>
      <c r="AC1865" s="87">
        <f t="shared" si="174"/>
        <v>2.0374219195137516E-2</v>
      </c>
      <c r="AD1865" s="87">
        <f t="shared" si="174"/>
        <v>3.2846513772295874E-2</v>
      </c>
      <c r="AE1865" s="90">
        <f t="shared" si="172"/>
        <v>1.9081638482605492E-2</v>
      </c>
    </row>
    <row r="1866" spans="1:31" ht="15.5" x14ac:dyDescent="0.35">
      <c r="A1866" s="82">
        <v>42474</v>
      </c>
      <c r="B1866" s="83">
        <v>10360.200000000001</v>
      </c>
      <c r="C1866" s="84">
        <v>4945.8999999999996</v>
      </c>
      <c r="D1866" s="61">
        <v>773.2</v>
      </c>
      <c r="E1866" s="61">
        <v>36.9</v>
      </c>
      <c r="F1866" s="61">
        <v>111.3</v>
      </c>
      <c r="G1866" s="61">
        <v>55.1</v>
      </c>
      <c r="H1866" s="61">
        <v>7.4</v>
      </c>
      <c r="I1866" s="61">
        <v>31.8</v>
      </c>
      <c r="J1866" s="61">
        <v>16.100000000000001</v>
      </c>
      <c r="K1866" s="61">
        <v>9.6</v>
      </c>
      <c r="L1866" s="61">
        <v>55.9</v>
      </c>
      <c r="M1866" s="61">
        <v>44.1</v>
      </c>
      <c r="N1866" s="61">
        <v>60.6</v>
      </c>
      <c r="O1866" s="85">
        <v>59.4</v>
      </c>
      <c r="P1866" s="105"/>
      <c r="Q1866" s="87">
        <f t="shared" si="171"/>
        <v>6.7568545902506238E-5</v>
      </c>
      <c r="R1866" s="87">
        <f t="shared" si="176"/>
        <v>-3.0323552535433616E-4</v>
      </c>
      <c r="S1866" s="87">
        <f t="shared" si="176"/>
        <v>1.1184926071863539E-2</v>
      </c>
      <c r="T1866" s="87">
        <f t="shared" si="176"/>
        <v>0</v>
      </c>
      <c r="U1866" s="87">
        <f t="shared" si="176"/>
        <v>4.5024839683157755E-3</v>
      </c>
      <c r="V1866" s="87">
        <f t="shared" si="176"/>
        <v>3.6363676433839335E-3</v>
      </c>
      <c r="W1866" s="87">
        <f t="shared" si="176"/>
        <v>0</v>
      </c>
      <c r="X1866" s="87">
        <f t="shared" si="175"/>
        <v>1.5848192240023713E-2</v>
      </c>
      <c r="Y1866" s="87">
        <f t="shared" si="174"/>
        <v>-6.1919702479209951E-3</v>
      </c>
      <c r="Z1866" s="87">
        <f t="shared" si="174"/>
        <v>0</v>
      </c>
      <c r="AA1866" s="87">
        <f t="shared" si="174"/>
        <v>1.0791471632764386E-2</v>
      </c>
      <c r="AB1866" s="87">
        <f t="shared" si="174"/>
        <v>1.140263209781177E-2</v>
      </c>
      <c r="AC1866" s="87">
        <f t="shared" si="174"/>
        <v>1.8318580523684628E-2</v>
      </c>
      <c r="AD1866" s="87">
        <f t="shared" si="174"/>
        <v>1.0152371464018128E-2</v>
      </c>
      <c r="AE1866" s="90">
        <f t="shared" si="172"/>
        <v>5.7050913384935698E-3</v>
      </c>
    </row>
    <row r="1867" spans="1:31" ht="15.5" x14ac:dyDescent="0.35">
      <c r="A1867" s="82">
        <v>42475</v>
      </c>
      <c r="B1867" s="83">
        <v>10355.6</v>
      </c>
      <c r="C1867" s="84">
        <v>4938.2</v>
      </c>
      <c r="D1867" s="61">
        <v>774.9</v>
      </c>
      <c r="E1867" s="61">
        <v>36.4</v>
      </c>
      <c r="F1867" s="61">
        <v>109.7</v>
      </c>
      <c r="G1867" s="61">
        <v>55.1</v>
      </c>
      <c r="H1867" s="61">
        <v>7.4</v>
      </c>
      <c r="I1867" s="61">
        <v>31.5</v>
      </c>
      <c r="J1867" s="61">
        <v>15.9</v>
      </c>
      <c r="K1867" s="61">
        <v>9.5</v>
      </c>
      <c r="L1867" s="61">
        <v>55.9</v>
      </c>
      <c r="M1867" s="61">
        <v>44.4</v>
      </c>
      <c r="N1867" s="61">
        <v>60.4</v>
      </c>
      <c r="O1867" s="85">
        <v>58.4</v>
      </c>
      <c r="P1867" s="105"/>
      <c r="Q1867" s="87">
        <f t="shared" si="171"/>
        <v>-4.4410547269286811E-4</v>
      </c>
      <c r="R1867" s="87">
        <f t="shared" si="176"/>
        <v>-1.5580582061441629E-3</v>
      </c>
      <c r="S1867" s="87">
        <f t="shared" si="176"/>
        <v>2.1962414357285442E-3</v>
      </c>
      <c r="T1867" s="87">
        <f t="shared" si="176"/>
        <v>-1.3642776403786489E-2</v>
      </c>
      <c r="U1867" s="87">
        <f t="shared" si="176"/>
        <v>-1.4479891000314502E-2</v>
      </c>
      <c r="V1867" s="87">
        <f t="shared" si="176"/>
        <v>0</v>
      </c>
      <c r="W1867" s="87">
        <f t="shared" si="176"/>
        <v>0</v>
      </c>
      <c r="X1867" s="87">
        <f t="shared" si="175"/>
        <v>-9.47874395454377E-3</v>
      </c>
      <c r="Y1867" s="87">
        <f t="shared" si="174"/>
        <v>-1.2500162764231494E-2</v>
      </c>
      <c r="Z1867" s="87">
        <f t="shared" si="174"/>
        <v>-1.0471299867295366E-2</v>
      </c>
      <c r="AA1867" s="87">
        <f t="shared" si="174"/>
        <v>0</v>
      </c>
      <c r="AB1867" s="87">
        <f t="shared" si="174"/>
        <v>6.7796869853787691E-3</v>
      </c>
      <c r="AC1867" s="87">
        <f t="shared" si="174"/>
        <v>-3.3057881344995439E-3</v>
      </c>
      <c r="AD1867" s="87">
        <f t="shared" si="174"/>
        <v>-1.6978336534417906E-2</v>
      </c>
      <c r="AE1867" s="90">
        <f t="shared" si="172"/>
        <v>-6.0280959710592059E-3</v>
      </c>
    </row>
    <row r="1868" spans="1:31" ht="15.5" x14ac:dyDescent="0.35">
      <c r="A1868" s="82">
        <v>42478</v>
      </c>
      <c r="B1868" s="83">
        <v>10424.9</v>
      </c>
      <c r="C1868" s="84">
        <v>4960</v>
      </c>
      <c r="D1868" s="61">
        <v>777.6</v>
      </c>
      <c r="E1868" s="61">
        <v>35.9</v>
      </c>
      <c r="F1868" s="61">
        <v>106.9</v>
      </c>
      <c r="G1868" s="61">
        <v>55.2</v>
      </c>
      <c r="H1868" s="61">
        <v>7.4</v>
      </c>
      <c r="I1868" s="61">
        <v>31.8</v>
      </c>
      <c r="J1868" s="61">
        <v>16.3</v>
      </c>
      <c r="K1868" s="61">
        <v>9.8000000000000007</v>
      </c>
      <c r="L1868" s="61">
        <v>55.9</v>
      </c>
      <c r="M1868" s="61">
        <v>44.3</v>
      </c>
      <c r="N1868" s="61">
        <v>61</v>
      </c>
      <c r="O1868" s="85">
        <v>59.4</v>
      </c>
      <c r="P1868" s="105"/>
      <c r="Q1868" s="87">
        <f t="shared" si="171"/>
        <v>6.6697391211095244E-3</v>
      </c>
      <c r="R1868" s="87">
        <f t="shared" si="176"/>
        <v>4.4048484064188719E-3</v>
      </c>
      <c r="S1868" s="87">
        <f t="shared" si="176"/>
        <v>3.4782643763247925E-3</v>
      </c>
      <c r="T1868" s="87">
        <f t="shared" si="176"/>
        <v>-1.3831479148461737E-2</v>
      </c>
      <c r="U1868" s="87">
        <f t="shared" si="176"/>
        <v>-2.5855549250185024E-2</v>
      </c>
      <c r="V1868" s="87">
        <f t="shared" si="176"/>
        <v>1.8132371241809436E-3</v>
      </c>
      <c r="W1868" s="87">
        <f t="shared" si="176"/>
        <v>0</v>
      </c>
      <c r="X1868" s="87">
        <f t="shared" si="175"/>
        <v>9.4787439545437387E-3</v>
      </c>
      <c r="Y1868" s="87">
        <f t="shared" si="174"/>
        <v>2.4845998586530804E-2</v>
      </c>
      <c r="Z1868" s="87">
        <f t="shared" si="174"/>
        <v>3.1090587070031182E-2</v>
      </c>
      <c r="AA1868" s="87">
        <f t="shared" si="174"/>
        <v>0</v>
      </c>
      <c r="AB1868" s="87">
        <f t="shared" si="174"/>
        <v>-2.2547923870890937E-3</v>
      </c>
      <c r="AC1868" s="87">
        <f t="shared" si="174"/>
        <v>9.8847592325419249E-3</v>
      </c>
      <c r="AD1868" s="87">
        <f t="shared" si="174"/>
        <v>1.697833653441783E-2</v>
      </c>
      <c r="AE1868" s="90">
        <f t="shared" si="172"/>
        <v>-2.9907624266112317E-3</v>
      </c>
    </row>
    <row r="1869" spans="1:31" ht="15.5" x14ac:dyDescent="0.35">
      <c r="A1869" s="82">
        <v>42479</v>
      </c>
      <c r="B1869" s="83">
        <v>10517.3</v>
      </c>
      <c r="C1869" s="84">
        <v>4940.3</v>
      </c>
      <c r="D1869" s="61">
        <v>770.3</v>
      </c>
      <c r="E1869" s="61">
        <v>36.1</v>
      </c>
      <c r="F1869" s="61">
        <v>106.2</v>
      </c>
      <c r="G1869" s="61">
        <v>55.7</v>
      </c>
      <c r="H1869" s="61">
        <v>7.4</v>
      </c>
      <c r="I1869" s="61">
        <v>31.8</v>
      </c>
      <c r="J1869" s="61">
        <v>16.7</v>
      </c>
      <c r="K1869" s="61">
        <v>9.6</v>
      </c>
      <c r="L1869" s="61">
        <v>56.2</v>
      </c>
      <c r="M1869" s="61">
        <v>45.2</v>
      </c>
      <c r="N1869" s="61">
        <v>61.3</v>
      </c>
      <c r="O1869" s="85">
        <v>59.3</v>
      </c>
      <c r="P1869" s="105"/>
      <c r="Q1869" s="87">
        <f t="shared" si="171"/>
        <v>8.8243450631766696E-3</v>
      </c>
      <c r="R1869" s="87">
        <f t="shared" si="176"/>
        <v>-3.979682635981226E-3</v>
      </c>
      <c r="S1869" s="87">
        <f t="shared" si="176"/>
        <v>-9.4322037873093099E-3</v>
      </c>
      <c r="T1869" s="87">
        <f t="shared" si="176"/>
        <v>5.555569844602184E-3</v>
      </c>
      <c r="U1869" s="87">
        <f t="shared" si="176"/>
        <v>-6.5697092231610729E-3</v>
      </c>
      <c r="V1869" s="87">
        <f t="shared" si="176"/>
        <v>9.0171936501886405E-3</v>
      </c>
      <c r="W1869" s="87">
        <f t="shared" si="176"/>
        <v>0</v>
      </c>
      <c r="X1869" s="87">
        <f t="shared" si="175"/>
        <v>0</v>
      </c>
      <c r="Y1869" s="87">
        <f t="shared" si="174"/>
        <v>2.4243611609992635E-2</v>
      </c>
      <c r="Z1869" s="87">
        <f t="shared" si="174"/>
        <v>-2.0619287202735818E-2</v>
      </c>
      <c r="AA1869" s="87">
        <f t="shared" si="174"/>
        <v>5.3523767385920606E-3</v>
      </c>
      <c r="AB1869" s="87">
        <f t="shared" si="174"/>
        <v>2.0112409787095688E-2</v>
      </c>
      <c r="AC1869" s="87">
        <f t="shared" si="174"/>
        <v>4.9059787688544056E-3</v>
      </c>
      <c r="AD1869" s="87">
        <f t="shared" si="174"/>
        <v>-1.6849203649195231E-3</v>
      </c>
      <c r="AE1869" s="90">
        <f t="shared" si="172"/>
        <v>-6.0376514010664264E-3</v>
      </c>
    </row>
    <row r="1870" spans="1:31" ht="15.5" x14ac:dyDescent="0.35">
      <c r="A1870" s="82">
        <v>42480</v>
      </c>
      <c r="B1870" s="83">
        <v>10527.8</v>
      </c>
      <c r="C1870" s="84">
        <v>4948.1000000000004</v>
      </c>
      <c r="D1870" s="61">
        <v>771.3</v>
      </c>
      <c r="E1870" s="61">
        <v>37</v>
      </c>
      <c r="F1870" s="61">
        <v>106.1</v>
      </c>
      <c r="G1870" s="61">
        <v>55.5</v>
      </c>
      <c r="H1870" s="61">
        <v>7.2</v>
      </c>
      <c r="I1870" s="61">
        <v>32.1</v>
      </c>
      <c r="J1870" s="61">
        <v>17.600000000000001</v>
      </c>
      <c r="K1870" s="61">
        <v>9.6999999999999993</v>
      </c>
      <c r="L1870" s="61">
        <v>56.4</v>
      </c>
      <c r="M1870" s="61">
        <v>45.5</v>
      </c>
      <c r="N1870" s="61">
        <v>56.9</v>
      </c>
      <c r="O1870" s="85">
        <v>59.4</v>
      </c>
      <c r="P1870" s="105"/>
      <c r="Q1870" s="87">
        <f t="shared" ref="Q1870:Q1933" si="177">+LN(B1870/B1869)</f>
        <v>9.9785706613463032E-4</v>
      </c>
      <c r="R1870" s="87">
        <f t="shared" si="176"/>
        <v>1.5776064110973272E-3</v>
      </c>
      <c r="S1870" s="87">
        <f t="shared" si="176"/>
        <v>1.2973535810334451E-3</v>
      </c>
      <c r="T1870" s="87">
        <f t="shared" si="176"/>
        <v>2.4625047305389194E-2</v>
      </c>
      <c r="U1870" s="87">
        <f t="shared" si="176"/>
        <v>-9.4206318790112872E-4</v>
      </c>
      <c r="V1870" s="87">
        <f t="shared" si="176"/>
        <v>-3.5971261808495918E-3</v>
      </c>
      <c r="W1870" s="87">
        <f t="shared" si="176"/>
        <v>-2.7398974188114503E-2</v>
      </c>
      <c r="X1870" s="87">
        <f t="shared" si="175"/>
        <v>9.3897403498391374E-3</v>
      </c>
      <c r="Y1870" s="87">
        <f t="shared" si="174"/>
        <v>5.2490182621396764E-2</v>
      </c>
      <c r="Z1870" s="87">
        <f t="shared" si="174"/>
        <v>1.0362787035546658E-2</v>
      </c>
      <c r="AA1870" s="87">
        <f t="shared" si="174"/>
        <v>3.5524016043677006E-3</v>
      </c>
      <c r="AB1870" s="87">
        <f t="shared" si="174"/>
        <v>6.6152391187191831E-3</v>
      </c>
      <c r="AC1870" s="87">
        <f t="shared" si="174"/>
        <v>-7.4484501809880463E-2</v>
      </c>
      <c r="AD1870" s="87">
        <f t="shared" si="174"/>
        <v>1.6849203649194455E-3</v>
      </c>
      <c r="AE1870" s="90">
        <f t="shared" si="172"/>
        <v>7.8813059003786661E-4</v>
      </c>
    </row>
    <row r="1871" spans="1:31" ht="15.5" x14ac:dyDescent="0.35">
      <c r="A1871" s="82">
        <v>42481</v>
      </c>
      <c r="B1871" s="83">
        <v>10454.799999999999</v>
      </c>
      <c r="C1871" s="84">
        <v>4945.8999999999996</v>
      </c>
      <c r="D1871" s="61">
        <v>771.6</v>
      </c>
      <c r="E1871" s="61">
        <v>37.4</v>
      </c>
      <c r="F1871" s="61">
        <v>105.5</v>
      </c>
      <c r="G1871" s="61">
        <v>55.4</v>
      </c>
      <c r="H1871" s="61">
        <v>7.1</v>
      </c>
      <c r="I1871" s="61">
        <v>32.1</v>
      </c>
      <c r="J1871" s="61">
        <v>18</v>
      </c>
      <c r="K1871" s="61">
        <v>9.5</v>
      </c>
      <c r="L1871" s="61">
        <v>56.3</v>
      </c>
      <c r="M1871" s="61">
        <v>46.1</v>
      </c>
      <c r="N1871" s="61">
        <v>58.1</v>
      </c>
      <c r="O1871" s="85">
        <v>59.7</v>
      </c>
      <c r="P1871" s="105"/>
      <c r="Q1871" s="87">
        <f t="shared" si="177"/>
        <v>-6.958174347467593E-3</v>
      </c>
      <c r="R1871" s="87">
        <f t="shared" si="176"/>
        <v>-4.4471397539091334E-4</v>
      </c>
      <c r="S1871" s="87">
        <f t="shared" si="176"/>
        <v>3.8887809162064071E-4</v>
      </c>
      <c r="T1871" s="87">
        <f t="shared" si="176"/>
        <v>1.0752791776261697E-2</v>
      </c>
      <c r="U1871" s="87">
        <f t="shared" si="176"/>
        <v>-5.6710927038161694E-3</v>
      </c>
      <c r="V1871" s="87">
        <f t="shared" si="176"/>
        <v>-1.8034269991506827E-3</v>
      </c>
      <c r="W1871" s="87">
        <f t="shared" si="176"/>
        <v>-1.3986241974739952E-2</v>
      </c>
      <c r="X1871" s="87">
        <f t="shared" si="175"/>
        <v>0</v>
      </c>
      <c r="Y1871" s="87">
        <f t="shared" si="174"/>
        <v>2.2472855852058576E-2</v>
      </c>
      <c r="Z1871" s="87">
        <f t="shared" si="174"/>
        <v>-2.0834086902841914E-2</v>
      </c>
      <c r="AA1871" s="87">
        <f t="shared" si="174"/>
        <v>-1.7746233583684897E-3</v>
      </c>
      <c r="AB1871" s="87">
        <f t="shared" si="174"/>
        <v>1.3100624045698056E-2</v>
      </c>
      <c r="AC1871" s="87">
        <f t="shared" si="174"/>
        <v>2.0870322725580377E-2</v>
      </c>
      <c r="AD1871" s="87">
        <f t="shared" si="174"/>
        <v>5.0377940299573022E-3</v>
      </c>
      <c r="AE1871" s="90">
        <f t="shared" ref="AE1871:AE1934" si="178">+SUMPRODUCT(Q1871:AD1871,$Q$8:$AD$8)</f>
        <v>-1.0287038214919371E-3</v>
      </c>
    </row>
    <row r="1872" spans="1:31" ht="15.5" x14ac:dyDescent="0.35">
      <c r="A1872" s="82">
        <v>42482</v>
      </c>
      <c r="B1872" s="83">
        <v>10511</v>
      </c>
      <c r="C1872" s="84">
        <v>4906.2</v>
      </c>
      <c r="D1872" s="61">
        <v>730.4</v>
      </c>
      <c r="E1872" s="61">
        <v>37.200000000000003</v>
      </c>
      <c r="F1872" s="61">
        <v>104.6</v>
      </c>
      <c r="G1872" s="61">
        <v>50.8</v>
      </c>
      <c r="H1872" s="61">
        <v>7.1</v>
      </c>
      <c r="I1872" s="61">
        <v>32.1</v>
      </c>
      <c r="J1872" s="61">
        <v>17.8</v>
      </c>
      <c r="K1872" s="61">
        <v>9.5</v>
      </c>
      <c r="L1872" s="61">
        <v>56.5</v>
      </c>
      <c r="M1872" s="61">
        <v>46.2</v>
      </c>
      <c r="N1872" s="61">
        <v>58.3</v>
      </c>
      <c r="O1872" s="85">
        <v>59</v>
      </c>
      <c r="P1872" s="105"/>
      <c r="Q1872" s="87">
        <f t="shared" si="177"/>
        <v>5.361124746654386E-3</v>
      </c>
      <c r="R1872" s="87">
        <f t="shared" si="176"/>
        <v>-8.0592391227117983E-3</v>
      </c>
      <c r="S1872" s="87">
        <f t="shared" si="176"/>
        <v>-5.4873951750815324E-2</v>
      </c>
      <c r="T1872" s="87">
        <f t="shared" si="176"/>
        <v>-5.3619431413852872E-3</v>
      </c>
      <c r="U1872" s="87">
        <f t="shared" si="176"/>
        <v>-8.5674012852987487E-3</v>
      </c>
      <c r="V1872" s="87">
        <f t="shared" si="176"/>
        <v>-8.6683239168801995E-2</v>
      </c>
      <c r="W1872" s="87">
        <f t="shared" si="176"/>
        <v>0</v>
      </c>
      <c r="X1872" s="87">
        <f t="shared" si="175"/>
        <v>0</v>
      </c>
      <c r="Y1872" s="87">
        <f t="shared" si="174"/>
        <v>-1.1173300598125189E-2</v>
      </c>
      <c r="Z1872" s="87">
        <f t="shared" si="174"/>
        <v>0</v>
      </c>
      <c r="AA1872" s="87">
        <f t="shared" si="174"/>
        <v>3.5461030067507116E-3</v>
      </c>
      <c r="AB1872" s="87">
        <f t="shared" si="174"/>
        <v>2.1668480850902932E-3</v>
      </c>
      <c r="AC1872" s="87">
        <f t="shared" si="174"/>
        <v>3.4364294985810974E-3</v>
      </c>
      <c r="AD1872" s="87">
        <f t="shared" si="174"/>
        <v>-1.1794576492837041E-2</v>
      </c>
      <c r="AE1872" s="90">
        <f t="shared" si="178"/>
        <v>-2.2364244000013654E-2</v>
      </c>
    </row>
    <row r="1873" spans="1:31" ht="15.5" x14ac:dyDescent="0.35">
      <c r="A1873" s="82">
        <v>42485</v>
      </c>
      <c r="B1873" s="83">
        <v>10465.700000000001</v>
      </c>
      <c r="C1873" s="84">
        <v>4895.8</v>
      </c>
      <c r="D1873" s="61">
        <v>735.1</v>
      </c>
      <c r="E1873" s="61">
        <v>37.200000000000003</v>
      </c>
      <c r="F1873" s="61">
        <v>104.5</v>
      </c>
      <c r="G1873" s="61">
        <v>51.6</v>
      </c>
      <c r="H1873" s="61">
        <v>7.2</v>
      </c>
      <c r="I1873" s="61">
        <v>31.9</v>
      </c>
      <c r="J1873" s="61">
        <v>17.7</v>
      </c>
      <c r="K1873" s="61">
        <v>9.4</v>
      </c>
      <c r="L1873" s="61">
        <v>56</v>
      </c>
      <c r="M1873" s="61">
        <v>45.8</v>
      </c>
      <c r="N1873" s="61">
        <v>58</v>
      </c>
      <c r="O1873" s="85">
        <v>58.8</v>
      </c>
      <c r="P1873" s="105"/>
      <c r="Q1873" s="87">
        <f t="shared" si="177"/>
        <v>-4.3190845481588655E-3</v>
      </c>
      <c r="R1873" s="87">
        <f t="shared" si="176"/>
        <v>-2.1220167113976977E-3</v>
      </c>
      <c r="S1873" s="87">
        <f t="shared" si="176"/>
        <v>6.4142150992832969E-3</v>
      </c>
      <c r="T1873" s="87">
        <f t="shared" si="176"/>
        <v>0</v>
      </c>
      <c r="U1873" s="87">
        <f t="shared" si="176"/>
        <v>-9.5648022595682303E-4</v>
      </c>
      <c r="V1873" s="87">
        <f t="shared" si="176"/>
        <v>1.5625317903081033E-2</v>
      </c>
      <c r="W1873" s="87">
        <f t="shared" si="176"/>
        <v>1.398624197473987E-2</v>
      </c>
      <c r="X1873" s="87">
        <f t="shared" si="175"/>
        <v>-6.2500203451714056E-3</v>
      </c>
      <c r="Y1873" s="87">
        <f t="shared" si="174"/>
        <v>-5.633817718256131E-3</v>
      </c>
      <c r="Z1873" s="87">
        <f t="shared" si="174"/>
        <v>-1.0582109330536859E-2</v>
      </c>
      <c r="AA1873" s="87">
        <f t="shared" si="174"/>
        <v>-8.8889474172460393E-3</v>
      </c>
      <c r="AB1873" s="87">
        <f t="shared" si="174"/>
        <v>-8.6957069675540448E-3</v>
      </c>
      <c r="AC1873" s="87">
        <f t="shared" si="174"/>
        <v>-5.1590828100273357E-3</v>
      </c>
      <c r="AD1873" s="87">
        <f t="shared" si="174"/>
        <v>-3.3955890011382718E-3</v>
      </c>
      <c r="AE1873" s="90">
        <f t="shared" si="178"/>
        <v>5.5555921519218239E-4</v>
      </c>
    </row>
    <row r="1874" spans="1:31" ht="15.5" x14ac:dyDescent="0.35">
      <c r="A1874" s="82">
        <v>42486</v>
      </c>
      <c r="B1874" s="83">
        <v>10522.6</v>
      </c>
      <c r="C1874" s="84">
        <v>4888.3</v>
      </c>
      <c r="D1874" s="61">
        <v>720.3</v>
      </c>
      <c r="E1874" s="61">
        <v>36.9</v>
      </c>
      <c r="F1874" s="61">
        <v>103.9</v>
      </c>
      <c r="G1874" s="61">
        <v>51.1</v>
      </c>
      <c r="H1874" s="61">
        <v>7.3</v>
      </c>
      <c r="I1874" s="61">
        <v>32.1</v>
      </c>
      <c r="J1874" s="61">
        <v>17.7</v>
      </c>
      <c r="K1874" s="61">
        <v>9.1999999999999993</v>
      </c>
      <c r="L1874" s="61">
        <v>55.9</v>
      </c>
      <c r="M1874" s="61">
        <v>46.3</v>
      </c>
      <c r="N1874" s="61">
        <v>58.6</v>
      </c>
      <c r="O1874" s="85">
        <v>59.3</v>
      </c>
      <c r="P1874" s="105"/>
      <c r="Q1874" s="87">
        <f t="shared" si="177"/>
        <v>5.4220817693714863E-3</v>
      </c>
      <c r="R1874" s="87">
        <f t="shared" si="176"/>
        <v>-1.5330999210958921E-3</v>
      </c>
      <c r="S1874" s="87">
        <f t="shared" si="176"/>
        <v>-2.0338752484724852E-2</v>
      </c>
      <c r="T1874" s="87">
        <f t="shared" si="176"/>
        <v>-8.0972102326194745E-3</v>
      </c>
      <c r="U1874" s="87">
        <f t="shared" si="176"/>
        <v>-5.758173299683882E-3</v>
      </c>
      <c r="V1874" s="87">
        <f t="shared" si="176"/>
        <v>-9.7371752778583169E-3</v>
      </c>
      <c r="W1874" s="87">
        <f t="shared" si="176"/>
        <v>1.3793322132335769E-2</v>
      </c>
      <c r="X1874" s="87">
        <f t="shared" si="175"/>
        <v>6.2500203451713258E-3</v>
      </c>
      <c r="Y1874" s="87">
        <f t="shared" si="174"/>
        <v>0</v>
      </c>
      <c r="Z1874" s="87">
        <f t="shared" si="174"/>
        <v>-2.150620522096373E-2</v>
      </c>
      <c r="AA1874" s="87">
        <f t="shared" si="174"/>
        <v>-1.7873105740957515E-3</v>
      </c>
      <c r="AB1874" s="87">
        <f t="shared" si="174"/>
        <v>1.0857869972049086E-2</v>
      </c>
      <c r="AC1874" s="87">
        <f t="shared" si="174"/>
        <v>1.0291686036547724E-2</v>
      </c>
      <c r="AD1874" s="87">
        <f t="shared" si="174"/>
        <v>8.4674510990985965E-3</v>
      </c>
      <c r="AE1874" s="90">
        <f t="shared" si="178"/>
        <v>-7.0312876128561545E-3</v>
      </c>
    </row>
    <row r="1875" spans="1:31" ht="15.5" x14ac:dyDescent="0.35">
      <c r="A1875" s="82">
        <v>42487</v>
      </c>
      <c r="B1875" s="83">
        <v>10571.8</v>
      </c>
      <c r="C1875" s="84">
        <v>4863.1000000000004</v>
      </c>
      <c r="D1875" s="61">
        <v>709.1</v>
      </c>
      <c r="E1875" s="61">
        <v>36.6</v>
      </c>
      <c r="F1875" s="61">
        <v>95.7</v>
      </c>
      <c r="G1875" s="61">
        <v>50.6</v>
      </c>
      <c r="H1875" s="61">
        <v>7.2</v>
      </c>
      <c r="I1875" s="61">
        <v>29.5</v>
      </c>
      <c r="J1875" s="61">
        <v>17.899999999999999</v>
      </c>
      <c r="K1875" s="61">
        <v>9.4</v>
      </c>
      <c r="L1875" s="61">
        <v>56.1</v>
      </c>
      <c r="M1875" s="61">
        <v>46.3</v>
      </c>
      <c r="N1875" s="61">
        <v>59.4</v>
      </c>
      <c r="O1875" s="85">
        <v>58.6</v>
      </c>
      <c r="P1875" s="105"/>
      <c r="Q1875" s="87">
        <f t="shared" si="177"/>
        <v>4.6647536043369657E-3</v>
      </c>
      <c r="R1875" s="87">
        <f t="shared" si="176"/>
        <v>-5.1685001329248156E-3</v>
      </c>
      <c r="S1875" s="87">
        <f t="shared" si="176"/>
        <v>-1.5671231585366083E-2</v>
      </c>
      <c r="T1875" s="87">
        <f t="shared" si="176"/>
        <v>-8.1633106391608701E-3</v>
      </c>
      <c r="U1875" s="87">
        <f t="shared" si="176"/>
        <v>-8.2210599646273183E-2</v>
      </c>
      <c r="V1875" s="87">
        <f t="shared" si="176"/>
        <v>-9.832920916238946E-3</v>
      </c>
      <c r="W1875" s="87">
        <f t="shared" si="176"/>
        <v>-1.3793322132335761E-2</v>
      </c>
      <c r="X1875" s="87">
        <f t="shared" si="175"/>
        <v>-8.4465766790196045E-2</v>
      </c>
      <c r="Y1875" s="87">
        <f t="shared" si="174"/>
        <v>1.1236073266925752E-2</v>
      </c>
      <c r="Z1875" s="87">
        <f t="shared" si="174"/>
        <v>2.1506205220963682E-2</v>
      </c>
      <c r="AA1875" s="87">
        <f t="shared" si="174"/>
        <v>3.5714323675971795E-3</v>
      </c>
      <c r="AB1875" s="87">
        <f t="shared" si="174"/>
        <v>0</v>
      </c>
      <c r="AC1875" s="87">
        <f t="shared" si="174"/>
        <v>1.3559529785632294E-2</v>
      </c>
      <c r="AD1875" s="87">
        <f t="shared" si="174"/>
        <v>-1.187460942071274E-2</v>
      </c>
      <c r="AE1875" s="90">
        <f t="shared" si="178"/>
        <v>-3.1087776076891931E-2</v>
      </c>
    </row>
    <row r="1876" spans="1:31" ht="15.5" x14ac:dyDescent="0.35">
      <c r="A1876" s="82">
        <v>42488</v>
      </c>
      <c r="B1876" s="83">
        <v>10480.5</v>
      </c>
      <c r="C1876" s="84">
        <v>4805.3</v>
      </c>
      <c r="D1876" s="61">
        <v>703.2</v>
      </c>
      <c r="E1876" s="61">
        <v>36.5</v>
      </c>
      <c r="F1876" s="61">
        <v>94.3</v>
      </c>
      <c r="G1876" s="61">
        <v>49.6</v>
      </c>
      <c r="H1876" s="61">
        <v>7.4</v>
      </c>
      <c r="I1876" s="61">
        <v>29.8</v>
      </c>
      <c r="J1876" s="61">
        <v>16.899999999999999</v>
      </c>
      <c r="K1876" s="61">
        <v>9.5</v>
      </c>
      <c r="L1876" s="61">
        <v>55.5</v>
      </c>
      <c r="M1876" s="61">
        <v>45.6</v>
      </c>
      <c r="N1876" s="61">
        <v>58.5</v>
      </c>
      <c r="O1876" s="85">
        <v>58.4</v>
      </c>
      <c r="P1876" s="105"/>
      <c r="Q1876" s="87">
        <f t="shared" si="177"/>
        <v>-8.6736909882891202E-3</v>
      </c>
      <c r="R1876" s="87">
        <f t="shared" si="176"/>
        <v>-1.1956619211576798E-2</v>
      </c>
      <c r="S1876" s="87">
        <f t="shared" si="176"/>
        <v>-8.3552139389836879E-3</v>
      </c>
      <c r="T1876" s="87">
        <f t="shared" si="176"/>
        <v>-2.7359798188747488E-3</v>
      </c>
      <c r="U1876" s="87">
        <f t="shared" si="176"/>
        <v>-1.4737108819496882E-2</v>
      </c>
      <c r="V1876" s="87">
        <f t="shared" si="176"/>
        <v>-1.9960742562538058E-2</v>
      </c>
      <c r="W1876" s="87">
        <f t="shared" si="176"/>
        <v>2.7398974188114562E-2</v>
      </c>
      <c r="X1876" s="87">
        <f t="shared" si="175"/>
        <v>1.0118130165584686E-2</v>
      </c>
      <c r="Y1876" s="87">
        <f t="shared" si="174"/>
        <v>-5.7487090917681581E-2</v>
      </c>
      <c r="Z1876" s="87">
        <f t="shared" si="174"/>
        <v>1.0582109330537008E-2</v>
      </c>
      <c r="AA1876" s="87">
        <f t="shared" si="174"/>
        <v>-1.0752791776261849E-2</v>
      </c>
      <c r="AB1876" s="87">
        <f t="shared" si="174"/>
        <v>-1.523424457184786E-2</v>
      </c>
      <c r="AC1876" s="87">
        <f t="shared" si="174"/>
        <v>-1.5267472130788421E-2</v>
      </c>
      <c r="AD1876" s="87">
        <f t="shared" si="174"/>
        <v>-3.418806748785609E-3</v>
      </c>
      <c r="AE1876" s="90">
        <f t="shared" si="178"/>
        <v>-1.0659550282323606E-2</v>
      </c>
    </row>
    <row r="1877" spans="1:31" ht="15.5" x14ac:dyDescent="0.35">
      <c r="A1877" s="82">
        <v>42489</v>
      </c>
      <c r="B1877" s="83">
        <v>10436.9</v>
      </c>
      <c r="C1877" s="84">
        <v>4775.3999999999996</v>
      </c>
      <c r="D1877" s="61">
        <v>703.8</v>
      </c>
      <c r="E1877" s="61">
        <v>36.200000000000003</v>
      </c>
      <c r="F1877" s="61">
        <v>92.5</v>
      </c>
      <c r="G1877" s="61">
        <v>49.4</v>
      </c>
      <c r="H1877" s="61">
        <v>7.5</v>
      </c>
      <c r="I1877" s="61">
        <v>28.5</v>
      </c>
      <c r="J1877" s="61">
        <v>17.399999999999999</v>
      </c>
      <c r="K1877" s="61">
        <v>9.1999999999999993</v>
      </c>
      <c r="L1877" s="61">
        <v>54.6</v>
      </c>
      <c r="M1877" s="61">
        <v>44.6</v>
      </c>
      <c r="N1877" s="61">
        <v>57.2</v>
      </c>
      <c r="O1877" s="85">
        <v>58.1</v>
      </c>
      <c r="P1877" s="105"/>
      <c r="Q1877" s="87">
        <f t="shared" si="177"/>
        <v>-4.1687841837719074E-3</v>
      </c>
      <c r="R1877" s="87">
        <f t="shared" si="176"/>
        <v>-6.2417353791326792E-3</v>
      </c>
      <c r="S1877" s="87">
        <f t="shared" si="176"/>
        <v>8.5287851651738393E-4</v>
      </c>
      <c r="T1877" s="87">
        <f t="shared" si="176"/>
        <v>-8.2531417567204141E-3</v>
      </c>
      <c r="U1877" s="87">
        <f t="shared" si="176"/>
        <v>-1.9272545121032249E-2</v>
      </c>
      <c r="V1877" s="87">
        <f t="shared" si="176"/>
        <v>-4.0404095370050862E-3</v>
      </c>
      <c r="W1877" s="87">
        <f t="shared" si="176"/>
        <v>1.342302033214055E-2</v>
      </c>
      <c r="X1877" s="87">
        <f t="shared" si="175"/>
        <v>-4.4604306236753918E-2</v>
      </c>
      <c r="Y1877" s="87">
        <f t="shared" si="174"/>
        <v>2.9156584291455487E-2</v>
      </c>
      <c r="Z1877" s="87">
        <f t="shared" si="174"/>
        <v>-3.208831455150063E-2</v>
      </c>
      <c r="AA1877" s="87">
        <f t="shared" si="174"/>
        <v>-1.6349138001529411E-2</v>
      </c>
      <c r="AB1877" s="87">
        <f t="shared" si="174"/>
        <v>-2.2173857494321967E-2</v>
      </c>
      <c r="AC1877" s="87">
        <f t="shared" si="174"/>
        <v>-2.2472855852058514E-2</v>
      </c>
      <c r="AD1877" s="87">
        <f t="shared" si="174"/>
        <v>-5.1502259763157934E-3</v>
      </c>
      <c r="AE1877" s="90">
        <f t="shared" si="178"/>
        <v>-7.758030174699092E-3</v>
      </c>
    </row>
    <row r="1878" spans="1:31" ht="15.5" x14ac:dyDescent="0.35">
      <c r="A1878" s="82">
        <v>42492</v>
      </c>
      <c r="B1878" s="83">
        <v>10496.3</v>
      </c>
      <c r="C1878" s="84">
        <v>4817.6000000000004</v>
      </c>
      <c r="D1878" s="61">
        <v>706.4</v>
      </c>
      <c r="E1878" s="61">
        <v>36.299999999999997</v>
      </c>
      <c r="F1878" s="61">
        <v>92.4</v>
      </c>
      <c r="G1878" s="61">
        <v>49.8</v>
      </c>
      <c r="H1878" s="61">
        <v>8.3000000000000007</v>
      </c>
      <c r="I1878" s="61">
        <v>28.6</v>
      </c>
      <c r="J1878" s="61">
        <v>17.3</v>
      </c>
      <c r="K1878" s="61">
        <v>9.3000000000000007</v>
      </c>
      <c r="L1878" s="61">
        <v>54.7</v>
      </c>
      <c r="M1878" s="61">
        <v>45</v>
      </c>
      <c r="N1878" s="61">
        <v>56.9</v>
      </c>
      <c r="O1878" s="85">
        <v>59</v>
      </c>
      <c r="P1878" s="105"/>
      <c r="Q1878" s="87">
        <f t="shared" si="177"/>
        <v>5.6752106156335918E-3</v>
      </c>
      <c r="R1878" s="87">
        <f t="shared" si="176"/>
        <v>8.7981386876107882E-3</v>
      </c>
      <c r="S1878" s="87">
        <f t="shared" si="176"/>
        <v>3.6874244022654557E-3</v>
      </c>
      <c r="T1878" s="87">
        <f t="shared" si="176"/>
        <v>2.7586224390796607E-3</v>
      </c>
      <c r="U1878" s="87">
        <f t="shared" si="176"/>
        <v>-1.0816658707410232E-3</v>
      </c>
      <c r="V1878" s="87">
        <f t="shared" si="176"/>
        <v>8.0645598367304946E-3</v>
      </c>
      <c r="W1878" s="87">
        <f t="shared" si="176"/>
        <v>0.1013524942602875</v>
      </c>
      <c r="X1878" s="87">
        <f t="shared" si="175"/>
        <v>3.5026305512020745E-3</v>
      </c>
      <c r="Y1878" s="87">
        <f t="shared" si="174"/>
        <v>-5.7637047167499065E-3</v>
      </c>
      <c r="Z1878" s="87">
        <f t="shared" si="174"/>
        <v>1.0810916104215676E-2</v>
      </c>
      <c r="AA1878" s="87">
        <f t="shared" si="174"/>
        <v>1.8298266770761572E-3</v>
      </c>
      <c r="AB1878" s="87">
        <f t="shared" si="174"/>
        <v>8.9286307443013982E-3</v>
      </c>
      <c r="AC1878" s="87">
        <f t="shared" si="174"/>
        <v>-5.2585572534670508E-3</v>
      </c>
      <c r="AD1878" s="87">
        <f t="shared" si="174"/>
        <v>1.5371780047853783E-2</v>
      </c>
      <c r="AE1878" s="90">
        <f t="shared" si="178"/>
        <v>5.2758977689174027E-3</v>
      </c>
    </row>
    <row r="1879" spans="1:31" ht="15.5" x14ac:dyDescent="0.35">
      <c r="A1879" s="82">
        <v>42493</v>
      </c>
      <c r="B1879" s="83">
        <v>10365.799999999999</v>
      </c>
      <c r="C1879" s="84">
        <v>4763.2</v>
      </c>
      <c r="D1879" s="61">
        <v>707.3</v>
      </c>
      <c r="E1879" s="61">
        <v>35.9</v>
      </c>
      <c r="F1879" s="61">
        <v>93.7</v>
      </c>
      <c r="G1879" s="61">
        <v>49.6</v>
      </c>
      <c r="H1879" s="61">
        <v>8.5</v>
      </c>
      <c r="I1879" s="61">
        <v>27.7</v>
      </c>
      <c r="J1879" s="61">
        <v>16.8</v>
      </c>
      <c r="K1879" s="61">
        <v>9.3000000000000007</v>
      </c>
      <c r="L1879" s="61">
        <v>54.9</v>
      </c>
      <c r="M1879" s="61">
        <v>44.2</v>
      </c>
      <c r="N1879" s="61">
        <v>56.6</v>
      </c>
      <c r="O1879" s="85">
        <v>59</v>
      </c>
      <c r="P1879" s="105"/>
      <c r="Q1879" s="87">
        <f t="shared" si="177"/>
        <v>-1.2510888374216947E-2</v>
      </c>
      <c r="R1879" s="87">
        <f t="shared" si="176"/>
        <v>-1.1356167465957545E-2</v>
      </c>
      <c r="S1879" s="87">
        <f t="shared" si="176"/>
        <v>1.2732547521939707E-3</v>
      </c>
      <c r="T1879" s="87">
        <f t="shared" si="176"/>
        <v>-1.1080445776571907E-2</v>
      </c>
      <c r="U1879" s="87">
        <f t="shared" si="176"/>
        <v>1.3971210596738079E-2</v>
      </c>
      <c r="V1879" s="87">
        <f t="shared" si="176"/>
        <v>-4.0241502997253797E-3</v>
      </c>
      <c r="W1879" s="87">
        <f t="shared" si="176"/>
        <v>2.3810648693718392E-2</v>
      </c>
      <c r="X1879" s="87">
        <f t="shared" si="175"/>
        <v>-3.1974304632514196E-2</v>
      </c>
      <c r="Y1879" s="87">
        <f t="shared" si="174"/>
        <v>-2.9327615094520063E-2</v>
      </c>
      <c r="Z1879" s="87">
        <f t="shared" si="174"/>
        <v>0</v>
      </c>
      <c r="AA1879" s="87">
        <f t="shared" si="174"/>
        <v>3.6496390875493312E-3</v>
      </c>
      <c r="AB1879" s="87">
        <f t="shared" si="174"/>
        <v>-1.7937700686667207E-2</v>
      </c>
      <c r="AC1879" s="87">
        <f t="shared" si="174"/>
        <v>-5.2863559231479491E-3</v>
      </c>
      <c r="AD1879" s="87">
        <f t="shared" si="174"/>
        <v>0</v>
      </c>
      <c r="AE1879" s="90">
        <f t="shared" si="178"/>
        <v>9.6368230522108234E-4</v>
      </c>
    </row>
    <row r="1880" spans="1:31" ht="15.5" x14ac:dyDescent="0.35">
      <c r="A1880" s="82">
        <v>42494</v>
      </c>
      <c r="B1880" s="83">
        <v>10286.200000000001</v>
      </c>
      <c r="C1880" s="84">
        <v>4725.6000000000004</v>
      </c>
      <c r="D1880" s="61">
        <v>704.1</v>
      </c>
      <c r="E1880" s="61">
        <v>35.700000000000003</v>
      </c>
      <c r="F1880" s="61">
        <v>93.8</v>
      </c>
      <c r="G1880" s="61">
        <v>49.5</v>
      </c>
      <c r="H1880" s="61">
        <v>8.6</v>
      </c>
      <c r="I1880" s="61">
        <v>27.6</v>
      </c>
      <c r="J1880" s="61">
        <v>16.399999999999999</v>
      </c>
      <c r="K1880" s="61">
        <v>8.9</v>
      </c>
      <c r="L1880" s="61">
        <v>54.5</v>
      </c>
      <c r="M1880" s="61">
        <v>43.6</v>
      </c>
      <c r="N1880" s="61">
        <v>56.3</v>
      </c>
      <c r="O1880" s="85">
        <v>58.8</v>
      </c>
      <c r="P1880" s="105"/>
      <c r="Q1880" s="87">
        <f t="shared" si="177"/>
        <v>-7.7087346680924634E-3</v>
      </c>
      <c r="R1880" s="87">
        <f t="shared" si="176"/>
        <v>-7.9251742684863652E-3</v>
      </c>
      <c r="S1880" s="87">
        <f t="shared" si="176"/>
        <v>-4.5345125168565932E-3</v>
      </c>
      <c r="T1880" s="87">
        <f t="shared" si="176"/>
        <v>-5.5866067086397121E-3</v>
      </c>
      <c r="U1880" s="87">
        <f t="shared" si="176"/>
        <v>1.0666667678024464E-3</v>
      </c>
      <c r="V1880" s="87">
        <f t="shared" si="176"/>
        <v>-2.0181641562372361E-3</v>
      </c>
      <c r="W1880" s="87">
        <f t="shared" si="176"/>
        <v>1.1696039763191236E-2</v>
      </c>
      <c r="X1880" s="87">
        <f t="shared" si="175"/>
        <v>-3.6166404701884389E-3</v>
      </c>
      <c r="Y1880" s="87">
        <f t="shared" si="174"/>
        <v>-2.4097551579060641E-2</v>
      </c>
      <c r="Z1880" s="87">
        <f t="shared" si="174"/>
        <v>-4.3963123421116176E-2</v>
      </c>
      <c r="AA1880" s="87">
        <f t="shared" si="174"/>
        <v>-7.3126468462864904E-3</v>
      </c>
      <c r="AB1880" s="87">
        <f t="shared" si="174"/>
        <v>-1.366763872866387E-2</v>
      </c>
      <c r="AC1880" s="87">
        <f t="shared" si="174"/>
        <v>-5.3144500634925897E-3</v>
      </c>
      <c r="AD1880" s="87">
        <f t="shared" si="174"/>
        <v>-3.3955890011382718E-3</v>
      </c>
      <c r="AE1880" s="90">
        <f t="shared" si="178"/>
        <v>-3.8108289638293536E-3</v>
      </c>
    </row>
    <row r="1881" spans="1:31" ht="15.5" x14ac:dyDescent="0.35">
      <c r="A1881" s="82">
        <v>42495</v>
      </c>
      <c r="B1881" s="83">
        <v>10281.299999999999</v>
      </c>
      <c r="C1881" s="84">
        <v>4717.1000000000004</v>
      </c>
      <c r="D1881" s="61">
        <v>709.5</v>
      </c>
      <c r="E1881" s="61">
        <v>36.9</v>
      </c>
      <c r="F1881" s="61">
        <v>92.7</v>
      </c>
      <c r="G1881" s="61">
        <v>49.7</v>
      </c>
      <c r="H1881" s="61">
        <v>8.6999999999999993</v>
      </c>
      <c r="I1881" s="61">
        <v>27.7</v>
      </c>
      <c r="J1881" s="61">
        <v>16</v>
      </c>
      <c r="K1881" s="61">
        <v>8.8000000000000007</v>
      </c>
      <c r="L1881" s="61">
        <v>53.3</v>
      </c>
      <c r="M1881" s="61">
        <v>42.2</v>
      </c>
      <c r="N1881" s="61">
        <v>56.5</v>
      </c>
      <c r="O1881" s="85">
        <v>58</v>
      </c>
      <c r="P1881" s="105"/>
      <c r="Q1881" s="87">
        <f t="shared" si="177"/>
        <v>-4.7647989232591707E-4</v>
      </c>
      <c r="R1881" s="87">
        <f t="shared" si="176"/>
        <v>-1.8003330182785435E-3</v>
      </c>
      <c r="S1881" s="87">
        <f t="shared" si="176"/>
        <v>7.6401050750097843E-3</v>
      </c>
      <c r="T1881" s="87">
        <f t="shared" si="176"/>
        <v>3.3060862260887995E-2</v>
      </c>
      <c r="U1881" s="87">
        <f t="shared" si="176"/>
        <v>-1.1796383440369427E-2</v>
      </c>
      <c r="V1881" s="87">
        <f t="shared" si="176"/>
        <v>4.0322635279384511E-3</v>
      </c>
      <c r="W1881" s="87">
        <f t="shared" si="176"/>
        <v>1.1560822401076006E-2</v>
      </c>
      <c r="X1881" s="87">
        <f t="shared" si="175"/>
        <v>3.6166404701885148E-3</v>
      </c>
      <c r="Y1881" s="87">
        <f t="shared" si="174"/>
        <v>-2.4692612590371411E-2</v>
      </c>
      <c r="Z1881" s="87">
        <f t="shared" si="174"/>
        <v>-1.1299555253933282E-2</v>
      </c>
      <c r="AA1881" s="87">
        <f t="shared" si="174"/>
        <v>-2.2264370497399537E-2</v>
      </c>
      <c r="AB1881" s="87">
        <f t="shared" si="174"/>
        <v>-3.2636929313022429E-2</v>
      </c>
      <c r="AC1881" s="87">
        <f t="shared" si="174"/>
        <v>3.5461030067507116E-3</v>
      </c>
      <c r="AD1881" s="87">
        <f t="shared" si="174"/>
        <v>-1.3698844358161802E-2</v>
      </c>
      <c r="AE1881" s="90">
        <f t="shared" si="178"/>
        <v>-3.3410126189787667E-3</v>
      </c>
    </row>
    <row r="1882" spans="1:31" ht="15.5" x14ac:dyDescent="0.35">
      <c r="A1882" s="82">
        <v>42496</v>
      </c>
      <c r="B1882" s="83">
        <v>10308.799999999999</v>
      </c>
      <c r="C1882" s="84">
        <v>4736.2</v>
      </c>
      <c r="D1882" s="61">
        <v>712</v>
      </c>
      <c r="E1882" s="61">
        <v>36.5</v>
      </c>
      <c r="F1882" s="61">
        <v>91.9</v>
      </c>
      <c r="G1882" s="61">
        <v>49.7</v>
      </c>
      <c r="H1882" s="61">
        <v>8.6999999999999993</v>
      </c>
      <c r="I1882" s="61">
        <v>27.6</v>
      </c>
      <c r="J1882" s="61">
        <v>15.8</v>
      </c>
      <c r="K1882" s="61">
        <v>8</v>
      </c>
      <c r="L1882" s="61">
        <v>53.1</v>
      </c>
      <c r="M1882" s="61">
        <v>42.3</v>
      </c>
      <c r="N1882" s="61">
        <v>55.8</v>
      </c>
      <c r="O1882" s="85">
        <v>57.4</v>
      </c>
      <c r="P1882" s="105"/>
      <c r="Q1882" s="87">
        <f t="shared" si="177"/>
        <v>2.67118822653642E-3</v>
      </c>
      <c r="R1882" s="87">
        <f t="shared" si="176"/>
        <v>4.0409224271743113E-3</v>
      </c>
      <c r="S1882" s="87">
        <f t="shared" si="176"/>
        <v>3.5174148118783831E-3</v>
      </c>
      <c r="T1882" s="87">
        <f t="shared" si="176"/>
        <v>-1.0899290458035631E-2</v>
      </c>
      <c r="U1882" s="87">
        <f t="shared" si="176"/>
        <v>-8.667443210168076E-3</v>
      </c>
      <c r="V1882" s="87">
        <f t="shared" si="176"/>
        <v>0</v>
      </c>
      <c r="W1882" s="87">
        <f t="shared" si="176"/>
        <v>0</v>
      </c>
      <c r="X1882" s="87">
        <f t="shared" si="175"/>
        <v>-3.6166404701884389E-3</v>
      </c>
      <c r="Y1882" s="87">
        <f t="shared" si="174"/>
        <v>-1.2578782206860073E-2</v>
      </c>
      <c r="Z1882" s="87">
        <f t="shared" si="174"/>
        <v>-9.5310179804324893E-2</v>
      </c>
      <c r="AA1882" s="87">
        <f t="shared" si="174"/>
        <v>-3.7594029239055899E-3</v>
      </c>
      <c r="AB1882" s="87">
        <f t="shared" si="174"/>
        <v>2.3668650102660225E-3</v>
      </c>
      <c r="AC1882" s="87">
        <f t="shared" si="174"/>
        <v>-1.2466768765130047E-2</v>
      </c>
      <c r="AD1882" s="87">
        <f t="shared" si="174"/>
        <v>-1.0398707220898622E-2</v>
      </c>
      <c r="AE1882" s="90">
        <f t="shared" si="178"/>
        <v>-1.5012700013791616E-3</v>
      </c>
    </row>
    <row r="1883" spans="1:31" ht="15.5" x14ac:dyDescent="0.35">
      <c r="A1883" s="82">
        <v>42499</v>
      </c>
      <c r="B1883" s="83">
        <v>10291.6</v>
      </c>
      <c r="C1883" s="84">
        <v>4750.2</v>
      </c>
      <c r="D1883" s="61">
        <v>723.5</v>
      </c>
      <c r="E1883" s="61">
        <v>36.9</v>
      </c>
      <c r="F1883" s="61">
        <v>92.6</v>
      </c>
      <c r="G1883" s="61">
        <v>50</v>
      </c>
      <c r="H1883" s="61">
        <v>9.1</v>
      </c>
      <c r="I1883" s="61">
        <v>28.2</v>
      </c>
      <c r="J1883" s="61">
        <v>15.5</v>
      </c>
      <c r="K1883" s="61">
        <v>8.1</v>
      </c>
      <c r="L1883" s="61">
        <v>53.5</v>
      </c>
      <c r="M1883" s="61">
        <v>42.7</v>
      </c>
      <c r="N1883" s="61">
        <v>55.4</v>
      </c>
      <c r="O1883" s="85">
        <v>58.5</v>
      </c>
      <c r="P1883" s="105"/>
      <c r="Q1883" s="87">
        <f t="shared" si="177"/>
        <v>-1.6698708759834108E-3</v>
      </c>
      <c r="R1883" s="87">
        <f t="shared" si="176"/>
        <v>2.9515960035217223E-3</v>
      </c>
      <c r="S1883" s="87">
        <f t="shared" si="176"/>
        <v>1.6022634659562756E-2</v>
      </c>
      <c r="T1883" s="87">
        <f t="shared" si="176"/>
        <v>1.0899290458035638E-2</v>
      </c>
      <c r="U1883" s="87">
        <f t="shared" si="176"/>
        <v>7.5881122904921591E-3</v>
      </c>
      <c r="V1883" s="87">
        <f t="shared" si="176"/>
        <v>6.0180723255629448E-3</v>
      </c>
      <c r="W1883" s="87">
        <f t="shared" si="176"/>
        <v>4.4951387862266268E-2</v>
      </c>
      <c r="X1883" s="87">
        <f t="shared" si="175"/>
        <v>2.1506205220963463E-2</v>
      </c>
      <c r="Y1883" s="87">
        <f t="shared" si="174"/>
        <v>-1.9169916107720172E-2</v>
      </c>
      <c r="Z1883" s="87">
        <f t="shared" si="174"/>
        <v>1.242251999855711E-2</v>
      </c>
      <c r="AA1883" s="87">
        <f t="shared" si="174"/>
        <v>7.5047256540677924E-3</v>
      </c>
      <c r="AB1883" s="87">
        <f t="shared" ref="AB1883:AD1946" si="179">+LN(M1883/M1882)</f>
        <v>9.4118341823468173E-3</v>
      </c>
      <c r="AC1883" s="87">
        <f t="shared" si="179"/>
        <v>-7.1942756340270851E-3</v>
      </c>
      <c r="AD1883" s="87">
        <f t="shared" si="179"/>
        <v>1.898245091229003E-2</v>
      </c>
      <c r="AE1883" s="90">
        <f t="shared" si="178"/>
        <v>1.0052612636695057E-2</v>
      </c>
    </row>
    <row r="1884" spans="1:31" ht="15.5" x14ac:dyDescent="0.35">
      <c r="A1884" s="82">
        <v>42500</v>
      </c>
      <c r="B1884" s="83">
        <v>10424.1</v>
      </c>
      <c r="C1884" s="84">
        <v>4809.8999999999996</v>
      </c>
      <c r="D1884" s="61">
        <v>731.6</v>
      </c>
      <c r="E1884" s="61">
        <v>37.1</v>
      </c>
      <c r="F1884" s="61">
        <v>92.1</v>
      </c>
      <c r="G1884" s="61">
        <v>50.2</v>
      </c>
      <c r="H1884" s="61">
        <v>9.1999999999999993</v>
      </c>
      <c r="I1884" s="61">
        <v>28.2</v>
      </c>
      <c r="J1884" s="61">
        <v>15.5</v>
      </c>
      <c r="K1884" s="61">
        <v>8</v>
      </c>
      <c r="L1884" s="61">
        <v>54.4</v>
      </c>
      <c r="M1884" s="61">
        <v>43.1</v>
      </c>
      <c r="N1884" s="61">
        <v>55.5</v>
      </c>
      <c r="O1884" s="85">
        <v>58.6</v>
      </c>
      <c r="P1884" s="105"/>
      <c r="Q1884" s="87">
        <f t="shared" si="177"/>
        <v>1.2792404496626223E-2</v>
      </c>
      <c r="R1884" s="87">
        <f t="shared" si="176"/>
        <v>1.2489571457458177E-2</v>
      </c>
      <c r="S1884" s="87">
        <f t="shared" si="176"/>
        <v>1.1133370445172149E-2</v>
      </c>
      <c r="T1884" s="87">
        <f t="shared" si="176"/>
        <v>5.4054185669079819E-3</v>
      </c>
      <c r="U1884" s="87">
        <f t="shared" si="176"/>
        <v>-5.4141983908725143E-3</v>
      </c>
      <c r="V1884" s="87">
        <f t="shared" si="176"/>
        <v>3.9920212695374567E-3</v>
      </c>
      <c r="W1884" s="87">
        <f t="shared" si="176"/>
        <v>1.092907053219023E-2</v>
      </c>
      <c r="X1884" s="87">
        <f t="shared" si="175"/>
        <v>0</v>
      </c>
      <c r="Y1884" s="87">
        <f t="shared" si="175"/>
        <v>0</v>
      </c>
      <c r="Z1884" s="87">
        <f t="shared" si="175"/>
        <v>-1.2422519998557096E-2</v>
      </c>
      <c r="AA1884" s="87">
        <f t="shared" si="175"/>
        <v>1.6682499959936061E-2</v>
      </c>
      <c r="AB1884" s="87">
        <f t="shared" si="179"/>
        <v>9.3240768751232436E-3</v>
      </c>
      <c r="AC1884" s="87">
        <f t="shared" si="179"/>
        <v>1.8034269991507267E-3</v>
      </c>
      <c r="AD1884" s="87">
        <f t="shared" si="179"/>
        <v>1.7079423451561158E-3</v>
      </c>
      <c r="AE1884" s="90">
        <f t="shared" si="178"/>
        <v>5.6626513749413387E-3</v>
      </c>
    </row>
    <row r="1885" spans="1:31" ht="15.5" x14ac:dyDescent="0.35">
      <c r="A1885" s="82">
        <v>42501</v>
      </c>
      <c r="B1885" s="83">
        <v>10332.200000000001</v>
      </c>
      <c r="C1885" s="84">
        <v>4760.7</v>
      </c>
      <c r="D1885" s="61">
        <v>727.9</v>
      </c>
      <c r="E1885" s="61">
        <v>37.200000000000003</v>
      </c>
      <c r="F1885" s="61">
        <v>92.5</v>
      </c>
      <c r="G1885" s="61">
        <v>51</v>
      </c>
      <c r="H1885" s="61">
        <v>9.1999999999999993</v>
      </c>
      <c r="I1885" s="61">
        <v>27.9</v>
      </c>
      <c r="J1885" s="61">
        <v>15.9</v>
      </c>
      <c r="K1885" s="61">
        <v>7.8</v>
      </c>
      <c r="L1885" s="61">
        <v>54.3</v>
      </c>
      <c r="M1885" s="61">
        <v>43.4</v>
      </c>
      <c r="N1885" s="61">
        <v>55.6</v>
      </c>
      <c r="O1885" s="85">
        <v>56.9</v>
      </c>
      <c r="P1885" s="105"/>
      <c r="Q1885" s="87">
        <f t="shared" si="177"/>
        <v>-8.8552006402098527E-3</v>
      </c>
      <c r="R1885" s="87">
        <f t="shared" si="176"/>
        <v>-1.0281577625995011E-2</v>
      </c>
      <c r="S1885" s="87">
        <f t="shared" si="176"/>
        <v>-5.0702403924984714E-3</v>
      </c>
      <c r="T1885" s="87">
        <f t="shared" si="176"/>
        <v>2.691791665711353E-3</v>
      </c>
      <c r="U1885" s="87">
        <f t="shared" si="176"/>
        <v>4.3337012571183506E-3</v>
      </c>
      <c r="V1885" s="87">
        <f t="shared" si="176"/>
        <v>1.5810606026642245E-2</v>
      </c>
      <c r="W1885" s="87">
        <f t="shared" si="176"/>
        <v>0</v>
      </c>
      <c r="X1885" s="87">
        <f t="shared" si="175"/>
        <v>-1.069528911674803E-2</v>
      </c>
      <c r="Y1885" s="87">
        <f t="shared" si="175"/>
        <v>2.5479085300984968E-2</v>
      </c>
      <c r="Z1885" s="87">
        <f t="shared" si="175"/>
        <v>-2.5317807984289897E-2</v>
      </c>
      <c r="AA1885" s="87">
        <f t="shared" si="175"/>
        <v>-1.8399269220071826E-3</v>
      </c>
      <c r="AB1885" s="87">
        <f t="shared" si="179"/>
        <v>6.9364439966569484E-3</v>
      </c>
      <c r="AC1885" s="87">
        <f t="shared" si="179"/>
        <v>1.8001805041478473E-3</v>
      </c>
      <c r="AD1885" s="87">
        <f t="shared" si="179"/>
        <v>-2.9439355450681794E-2</v>
      </c>
      <c r="AE1885" s="90">
        <f t="shared" si="178"/>
        <v>-6.9054012038631185E-3</v>
      </c>
    </row>
    <row r="1886" spans="1:31" ht="15.5" x14ac:dyDescent="0.35">
      <c r="A1886" s="82">
        <v>42502</v>
      </c>
      <c r="B1886" s="83">
        <v>10334.4</v>
      </c>
      <c r="C1886" s="84">
        <v>4737.3</v>
      </c>
      <c r="D1886" s="61">
        <v>724.3</v>
      </c>
      <c r="E1886" s="61">
        <v>36.799999999999997</v>
      </c>
      <c r="F1886" s="61">
        <v>89.5</v>
      </c>
      <c r="G1886" s="61">
        <v>50.9</v>
      </c>
      <c r="H1886" s="61">
        <v>9.1</v>
      </c>
      <c r="I1886" s="61">
        <v>27.8</v>
      </c>
      <c r="J1886" s="61">
        <v>15.8</v>
      </c>
      <c r="K1886" s="61">
        <v>7.7</v>
      </c>
      <c r="L1886" s="61">
        <v>53.9</v>
      </c>
      <c r="M1886" s="61">
        <v>43.2</v>
      </c>
      <c r="N1886" s="61">
        <v>55.6</v>
      </c>
      <c r="O1886" s="85">
        <v>57.3</v>
      </c>
      <c r="P1886" s="105"/>
      <c r="Q1886" s="87">
        <f t="shared" si="177"/>
        <v>2.1290391339736075E-4</v>
      </c>
      <c r="R1886" s="87">
        <f t="shared" si="176"/>
        <v>-4.9273630961990649E-3</v>
      </c>
      <c r="S1886" s="87">
        <f t="shared" si="176"/>
        <v>-4.9580049229318744E-3</v>
      </c>
      <c r="T1886" s="87">
        <f t="shared" si="176"/>
        <v>-1.081091610421573E-2</v>
      </c>
      <c r="U1886" s="87">
        <f t="shared" si="176"/>
        <v>-3.2970019237569828E-2</v>
      </c>
      <c r="V1886" s="87">
        <f t="shared" si="176"/>
        <v>-1.9627091678487058E-3</v>
      </c>
      <c r="W1886" s="87">
        <f t="shared" si="176"/>
        <v>-1.0929070532190206E-2</v>
      </c>
      <c r="X1886" s="87">
        <f t="shared" si="175"/>
        <v>-3.5906681307284844E-3</v>
      </c>
      <c r="Y1886" s="87">
        <f t="shared" si="175"/>
        <v>-6.309169193264721E-3</v>
      </c>
      <c r="Z1886" s="87">
        <f t="shared" si="175"/>
        <v>-1.2903404835907841E-2</v>
      </c>
      <c r="AA1886" s="87">
        <f t="shared" si="175"/>
        <v>-7.3937490249382648E-3</v>
      </c>
      <c r="AB1886" s="87">
        <f t="shared" si="179"/>
        <v>-4.6189458562944166E-3</v>
      </c>
      <c r="AC1886" s="87">
        <f t="shared" si="179"/>
        <v>0</v>
      </c>
      <c r="AD1886" s="87">
        <f t="shared" si="179"/>
        <v>7.0052825884085925E-3</v>
      </c>
      <c r="AE1886" s="90">
        <f t="shared" si="178"/>
        <v>-1.1504428667673003E-2</v>
      </c>
    </row>
    <row r="1887" spans="1:31" ht="15.5" x14ac:dyDescent="0.35">
      <c r="A1887" s="82">
        <v>42503</v>
      </c>
      <c r="B1887" s="83">
        <v>10228.1</v>
      </c>
      <c r="C1887" s="84">
        <v>4717.7</v>
      </c>
      <c r="D1887" s="61">
        <v>723.5</v>
      </c>
      <c r="E1887" s="61">
        <v>36.4</v>
      </c>
      <c r="F1887" s="61">
        <v>90</v>
      </c>
      <c r="G1887" s="61">
        <v>51</v>
      </c>
      <c r="H1887" s="61">
        <v>9.1</v>
      </c>
      <c r="I1887" s="61">
        <v>27.6</v>
      </c>
      <c r="J1887" s="61">
        <v>15.7</v>
      </c>
      <c r="K1887" s="61">
        <v>7.3</v>
      </c>
      <c r="L1887" s="61">
        <v>53.8</v>
      </c>
      <c r="M1887" s="61">
        <v>42.9</v>
      </c>
      <c r="N1887" s="61">
        <v>54.4</v>
      </c>
      <c r="O1887" s="85">
        <v>57.3</v>
      </c>
      <c r="P1887" s="105"/>
      <c r="Q1887" s="87">
        <f t="shared" si="177"/>
        <v>-1.0339301832407707E-2</v>
      </c>
      <c r="R1887" s="87">
        <f t="shared" si="176"/>
        <v>-4.145960460145824E-3</v>
      </c>
      <c r="S1887" s="87">
        <f t="shared" si="176"/>
        <v>-1.1051251297418002E-3</v>
      </c>
      <c r="T1887" s="87">
        <f t="shared" ref="T1887:AA1932" si="180">+LN(E1887/E1886)</f>
        <v>-1.0929070532190206E-2</v>
      </c>
      <c r="U1887" s="87">
        <f t="shared" si="180"/>
        <v>5.5710450494554295E-3</v>
      </c>
      <c r="V1887" s="87">
        <f t="shared" si="180"/>
        <v>1.9627091678486889E-3</v>
      </c>
      <c r="W1887" s="87">
        <f t="shared" si="180"/>
        <v>0</v>
      </c>
      <c r="X1887" s="87">
        <f t="shared" si="175"/>
        <v>-7.2202479734870201E-3</v>
      </c>
      <c r="Y1887" s="87">
        <f t="shared" si="175"/>
        <v>-6.3492276786588919E-3</v>
      </c>
      <c r="Z1887" s="87">
        <f t="shared" si="175"/>
        <v>-5.3345980705292735E-2</v>
      </c>
      <c r="AA1887" s="87">
        <f t="shared" si="175"/>
        <v>-1.8570107472127711E-3</v>
      </c>
      <c r="AB1887" s="87">
        <f t="shared" si="179"/>
        <v>-6.9686693160934277E-3</v>
      </c>
      <c r="AC1887" s="87">
        <f t="shared" si="179"/>
        <v>-2.1819047394639839E-2</v>
      </c>
      <c r="AD1887" s="87">
        <f t="shared" si="179"/>
        <v>0</v>
      </c>
      <c r="AE1887" s="90">
        <f t="shared" si="178"/>
        <v>2.6691973643648472E-5</v>
      </c>
    </row>
    <row r="1888" spans="1:31" ht="15.5" x14ac:dyDescent="0.35">
      <c r="A1888" s="82">
        <v>42506</v>
      </c>
      <c r="B1888" s="83">
        <v>10332.5</v>
      </c>
      <c r="C1888" s="84">
        <v>4775.5</v>
      </c>
      <c r="D1888" s="61">
        <v>720</v>
      </c>
      <c r="E1888" s="61">
        <v>36.9</v>
      </c>
      <c r="F1888" s="61">
        <v>91.7</v>
      </c>
      <c r="G1888" s="61">
        <v>50.8</v>
      </c>
      <c r="H1888" s="61">
        <v>9.1999999999999993</v>
      </c>
      <c r="I1888" s="61">
        <v>27.5</v>
      </c>
      <c r="J1888" s="61">
        <v>15.8</v>
      </c>
      <c r="K1888" s="61">
        <v>7.4</v>
      </c>
      <c r="L1888" s="61">
        <v>53.6</v>
      </c>
      <c r="M1888" s="61">
        <v>43.1</v>
      </c>
      <c r="N1888" s="61">
        <v>54.4</v>
      </c>
      <c r="O1888" s="85">
        <v>56.6</v>
      </c>
      <c r="P1888" s="105"/>
      <c r="Q1888" s="87">
        <f t="shared" si="177"/>
        <v>1.0155432940086966E-2</v>
      </c>
      <c r="R1888" s="87">
        <f t="shared" ref="R1888:V1951" si="181">+LN(C1888/C1887)</f>
        <v>1.217728779423081E-2</v>
      </c>
      <c r="S1888" s="87">
        <f t="shared" si="181"/>
        <v>-4.8493340614375949E-3</v>
      </c>
      <c r="T1888" s="87">
        <f t="shared" si="180"/>
        <v>1.3642776403786479E-2</v>
      </c>
      <c r="U1888" s="87">
        <f t="shared" si="180"/>
        <v>1.8712708932154164E-2</v>
      </c>
      <c r="V1888" s="87">
        <f t="shared" si="180"/>
        <v>-3.9292781398896611E-3</v>
      </c>
      <c r="W1888" s="87">
        <f t="shared" si="180"/>
        <v>1.092907053219023E-2</v>
      </c>
      <c r="X1888" s="87">
        <f t="shared" si="175"/>
        <v>-3.6297680505787237E-3</v>
      </c>
      <c r="Y1888" s="87">
        <f t="shared" si="175"/>
        <v>6.3492276786587445E-3</v>
      </c>
      <c r="Z1888" s="87">
        <f t="shared" si="175"/>
        <v>1.3605652055778678E-2</v>
      </c>
      <c r="AA1888" s="87">
        <f t="shared" si="175"/>
        <v>-3.7243990909823282E-3</v>
      </c>
      <c r="AB1888" s="87">
        <f t="shared" si="179"/>
        <v>4.6511711757308803E-3</v>
      </c>
      <c r="AC1888" s="87">
        <f t="shared" si="179"/>
        <v>0</v>
      </c>
      <c r="AD1888" s="87">
        <f t="shared" si="179"/>
        <v>-1.2291638511556511E-2</v>
      </c>
      <c r="AE1888" s="90">
        <f t="shared" si="178"/>
        <v>6.0870764776061433E-3</v>
      </c>
    </row>
    <row r="1889" spans="1:31" ht="15.5" x14ac:dyDescent="0.35">
      <c r="A1889" s="82">
        <v>42507</v>
      </c>
      <c r="B1889" s="83">
        <v>10257.6</v>
      </c>
      <c r="C1889" s="84">
        <v>4715.7</v>
      </c>
      <c r="D1889" s="61">
        <v>718</v>
      </c>
      <c r="E1889" s="61">
        <v>37.299999999999997</v>
      </c>
      <c r="F1889" s="61">
        <v>93</v>
      </c>
      <c r="G1889" s="61">
        <v>50.4</v>
      </c>
      <c r="H1889" s="61">
        <v>9.1</v>
      </c>
      <c r="I1889" s="61">
        <v>27.3</v>
      </c>
      <c r="J1889" s="61">
        <v>16</v>
      </c>
      <c r="K1889" s="61">
        <v>7.2</v>
      </c>
      <c r="L1889" s="61">
        <v>54</v>
      </c>
      <c r="M1889" s="61">
        <v>43.1</v>
      </c>
      <c r="N1889" s="61">
        <v>53.7</v>
      </c>
      <c r="O1889" s="85">
        <v>56.7</v>
      </c>
      <c r="P1889" s="105"/>
      <c r="Q1889" s="87">
        <f t="shared" si="177"/>
        <v>-7.275373152894506E-3</v>
      </c>
      <c r="R1889" s="87">
        <f t="shared" si="181"/>
        <v>-1.2601313072490359E-2</v>
      </c>
      <c r="S1889" s="87">
        <f t="shared" si="181"/>
        <v>-2.7816429618768026E-3</v>
      </c>
      <c r="T1889" s="87">
        <f t="shared" si="180"/>
        <v>1.0781775603288413E-2</v>
      </c>
      <c r="U1889" s="87">
        <f t="shared" si="180"/>
        <v>1.4077113890836811E-2</v>
      </c>
      <c r="V1889" s="87">
        <f t="shared" si="180"/>
        <v>-7.9051795071132611E-3</v>
      </c>
      <c r="W1889" s="87">
        <f t="shared" si="180"/>
        <v>-1.0929070532190206E-2</v>
      </c>
      <c r="X1889" s="87">
        <f t="shared" si="175"/>
        <v>-7.299302481611496E-3</v>
      </c>
      <c r="Y1889" s="87">
        <f t="shared" si="175"/>
        <v>1.2578782206859965E-2</v>
      </c>
      <c r="Z1889" s="87">
        <f t="shared" si="175"/>
        <v>-2.7398974188114503E-2</v>
      </c>
      <c r="AA1889" s="87">
        <f t="shared" si="175"/>
        <v>7.4349784875179905E-3</v>
      </c>
      <c r="AB1889" s="87">
        <f t="shared" si="179"/>
        <v>0</v>
      </c>
      <c r="AC1889" s="87">
        <f t="shared" si="179"/>
        <v>-1.2951152347077893E-2</v>
      </c>
      <c r="AD1889" s="87">
        <f t="shared" si="179"/>
        <v>1.7652255245691492E-3</v>
      </c>
      <c r="AE1889" s="90">
        <f t="shared" si="178"/>
        <v>-3.5183568068130786E-4</v>
      </c>
    </row>
    <row r="1890" spans="1:31" ht="15.5" x14ac:dyDescent="0.35">
      <c r="A1890" s="82">
        <v>42508</v>
      </c>
      <c r="B1890" s="83">
        <v>10239.700000000001</v>
      </c>
      <c r="C1890" s="84">
        <v>4739.1000000000004</v>
      </c>
      <c r="D1890" s="61">
        <v>715</v>
      </c>
      <c r="E1890" s="61">
        <v>36.9</v>
      </c>
      <c r="F1890" s="61">
        <v>93.9</v>
      </c>
      <c r="G1890" s="61">
        <v>50.3</v>
      </c>
      <c r="H1890" s="61">
        <v>9.1999999999999993</v>
      </c>
      <c r="I1890" s="61">
        <v>27.2</v>
      </c>
      <c r="J1890" s="61">
        <v>16</v>
      </c>
      <c r="K1890" s="61">
        <v>7.1</v>
      </c>
      <c r="L1890" s="61">
        <v>54.2</v>
      </c>
      <c r="M1890" s="61">
        <v>43.3</v>
      </c>
      <c r="N1890" s="61">
        <v>53.5</v>
      </c>
      <c r="O1890" s="85">
        <v>55.7</v>
      </c>
      <c r="P1890" s="105"/>
      <c r="Q1890" s="87">
        <f t="shared" si="177"/>
        <v>-1.7465719436559018E-3</v>
      </c>
      <c r="R1890" s="87">
        <f t="shared" si="181"/>
        <v>4.9498768408593498E-3</v>
      </c>
      <c r="S1890" s="87">
        <f t="shared" si="181"/>
        <v>-4.1870263542165762E-3</v>
      </c>
      <c r="T1890" s="87">
        <f t="shared" si="180"/>
        <v>-1.0781775603288362E-2</v>
      </c>
      <c r="U1890" s="87">
        <f t="shared" si="180"/>
        <v>9.6308930609613659E-3</v>
      </c>
      <c r="V1890" s="87">
        <f t="shared" si="180"/>
        <v>-1.9860979716294028E-3</v>
      </c>
      <c r="W1890" s="87">
        <f t="shared" si="180"/>
        <v>1.092907053219023E-2</v>
      </c>
      <c r="X1890" s="87">
        <f t="shared" si="175"/>
        <v>-3.6697288889625131E-3</v>
      </c>
      <c r="Y1890" s="87">
        <f t="shared" si="175"/>
        <v>0</v>
      </c>
      <c r="Z1890" s="87">
        <f t="shared" si="175"/>
        <v>-1.3986241974739952E-2</v>
      </c>
      <c r="AA1890" s="87">
        <f t="shared" si="175"/>
        <v>3.6968618813262026E-3</v>
      </c>
      <c r="AB1890" s="87">
        <f t="shared" si="179"/>
        <v>4.6296378987419756E-3</v>
      </c>
      <c r="AC1890" s="87">
        <f t="shared" si="179"/>
        <v>-3.7313476128582471E-3</v>
      </c>
      <c r="AD1890" s="87">
        <f t="shared" si="179"/>
        <v>-1.7794063800468048E-2</v>
      </c>
      <c r="AE1890" s="90">
        <f t="shared" si="178"/>
        <v>8.4891613478133617E-4</v>
      </c>
    </row>
    <row r="1891" spans="1:31" ht="15.5" x14ac:dyDescent="0.35">
      <c r="A1891" s="82">
        <v>42509</v>
      </c>
      <c r="B1891" s="83">
        <v>10192.5</v>
      </c>
      <c r="C1891" s="84">
        <v>4712.5</v>
      </c>
      <c r="D1891" s="61">
        <v>710.3</v>
      </c>
      <c r="E1891" s="61">
        <v>36.700000000000003</v>
      </c>
      <c r="F1891" s="61">
        <v>93.6</v>
      </c>
      <c r="G1891" s="61">
        <v>49.8</v>
      </c>
      <c r="H1891" s="61">
        <v>9.1999999999999993</v>
      </c>
      <c r="I1891" s="61">
        <v>26.9</v>
      </c>
      <c r="J1891" s="61">
        <v>16</v>
      </c>
      <c r="K1891" s="61">
        <v>7.3</v>
      </c>
      <c r="L1891" s="61">
        <v>54.1</v>
      </c>
      <c r="M1891" s="61">
        <v>43.8</v>
      </c>
      <c r="N1891" s="61">
        <v>53.3</v>
      </c>
      <c r="O1891" s="85">
        <v>55.7</v>
      </c>
      <c r="P1891" s="105"/>
      <c r="Q1891" s="87">
        <f t="shared" si="177"/>
        <v>-4.6201665959285038E-3</v>
      </c>
      <c r="R1891" s="87">
        <f t="shared" si="181"/>
        <v>-5.6286914868950693E-3</v>
      </c>
      <c r="S1891" s="87">
        <f t="shared" si="181"/>
        <v>-6.5951266902434342E-3</v>
      </c>
      <c r="T1891" s="87">
        <f t="shared" si="180"/>
        <v>-5.4347959859568327E-3</v>
      </c>
      <c r="U1891" s="87">
        <f t="shared" si="180"/>
        <v>-3.2000027306710141E-3</v>
      </c>
      <c r="V1891" s="87">
        <f t="shared" si="180"/>
        <v>-9.9900930750862985E-3</v>
      </c>
      <c r="W1891" s="87">
        <f t="shared" si="180"/>
        <v>0</v>
      </c>
      <c r="X1891" s="87">
        <f t="shared" si="175"/>
        <v>-1.1090686694158284E-2</v>
      </c>
      <c r="Y1891" s="87">
        <f t="shared" si="175"/>
        <v>0</v>
      </c>
      <c r="Z1891" s="87">
        <f t="shared" si="175"/>
        <v>2.7779564107075671E-2</v>
      </c>
      <c r="AA1891" s="87">
        <f t="shared" si="175"/>
        <v>-1.8467225931646629E-3</v>
      </c>
      <c r="AB1891" s="87">
        <f t="shared" si="179"/>
        <v>1.1481182373956232E-2</v>
      </c>
      <c r="AC1891" s="87">
        <f t="shared" si="179"/>
        <v>-3.7453227301620529E-3</v>
      </c>
      <c r="AD1891" s="87">
        <f t="shared" si="179"/>
        <v>0</v>
      </c>
      <c r="AE1891" s="90">
        <f t="shared" si="178"/>
        <v>-4.533015002068202E-3</v>
      </c>
    </row>
    <row r="1892" spans="1:31" ht="15.5" x14ac:dyDescent="0.35">
      <c r="A1892" s="82">
        <v>42510</v>
      </c>
      <c r="B1892" s="83">
        <v>10250.5</v>
      </c>
      <c r="C1892" s="84">
        <v>4769.6000000000004</v>
      </c>
      <c r="D1892" s="61">
        <v>715</v>
      </c>
      <c r="E1892" s="61">
        <v>35.9</v>
      </c>
      <c r="F1892" s="61">
        <v>94.5</v>
      </c>
      <c r="G1892" s="61">
        <v>50.4</v>
      </c>
      <c r="H1892" s="61">
        <v>9.1999999999999993</v>
      </c>
      <c r="I1892" s="61">
        <v>27.1</v>
      </c>
      <c r="J1892" s="61">
        <v>16.5</v>
      </c>
      <c r="K1892" s="61">
        <v>7.5</v>
      </c>
      <c r="L1892" s="61">
        <v>54.6</v>
      </c>
      <c r="M1892" s="61">
        <v>44.4</v>
      </c>
      <c r="N1892" s="61">
        <v>53.9</v>
      </c>
      <c r="O1892" s="85">
        <v>55.4</v>
      </c>
      <c r="P1892" s="105"/>
      <c r="Q1892" s="87">
        <f t="shared" si="177"/>
        <v>5.6743291712212582E-3</v>
      </c>
      <c r="R1892" s="87">
        <f t="shared" si="181"/>
        <v>1.2043891167540954E-2</v>
      </c>
      <c r="S1892" s="87">
        <f t="shared" si="181"/>
        <v>6.5951266902434256E-3</v>
      </c>
      <c r="T1892" s="87">
        <f t="shared" si="180"/>
        <v>-2.2039459566291501E-2</v>
      </c>
      <c r="U1892" s="87">
        <f t="shared" si="180"/>
        <v>9.5694510161506725E-3</v>
      </c>
      <c r="V1892" s="87">
        <f t="shared" si="180"/>
        <v>1.197619104671562E-2</v>
      </c>
      <c r="W1892" s="87">
        <f t="shared" si="180"/>
        <v>0</v>
      </c>
      <c r="X1892" s="87">
        <f t="shared" si="175"/>
        <v>7.4074412778618176E-3</v>
      </c>
      <c r="Y1892" s="87">
        <f t="shared" si="175"/>
        <v>3.0771658666753687E-2</v>
      </c>
      <c r="Z1892" s="87">
        <f t="shared" si="175"/>
        <v>2.7028672387919419E-2</v>
      </c>
      <c r="AA1892" s="87">
        <f t="shared" si="175"/>
        <v>9.1996968984234158E-3</v>
      </c>
      <c r="AB1892" s="87">
        <f t="shared" si="179"/>
        <v>1.3605652055778678E-2</v>
      </c>
      <c r="AC1892" s="87">
        <f t="shared" si="179"/>
        <v>1.1194146743152708E-2</v>
      </c>
      <c r="AD1892" s="87">
        <f t="shared" si="179"/>
        <v>-5.4005531800002775E-3</v>
      </c>
      <c r="AE1892" s="90">
        <f t="shared" si="178"/>
        <v>7.6208069059658014E-3</v>
      </c>
    </row>
    <row r="1893" spans="1:31" ht="15.5" x14ac:dyDescent="0.35">
      <c r="A1893" s="82">
        <v>42513</v>
      </c>
      <c r="B1893" s="83">
        <v>10226.6</v>
      </c>
      <c r="C1893" s="84">
        <v>4765.8</v>
      </c>
      <c r="D1893" s="61">
        <v>716.9</v>
      </c>
      <c r="E1893" s="61">
        <v>36.4</v>
      </c>
      <c r="F1893" s="61">
        <v>95.7</v>
      </c>
      <c r="G1893" s="61">
        <v>50</v>
      </c>
      <c r="H1893" s="61">
        <v>9.1</v>
      </c>
      <c r="I1893" s="61">
        <v>26.8</v>
      </c>
      <c r="J1893" s="61">
        <v>16.399999999999999</v>
      </c>
      <c r="K1893" s="61">
        <v>7.7</v>
      </c>
      <c r="L1893" s="61">
        <v>54.8</v>
      </c>
      <c r="M1893" s="61">
        <v>44.2</v>
      </c>
      <c r="N1893" s="61">
        <v>54.4</v>
      </c>
      <c r="O1893" s="85">
        <v>56</v>
      </c>
      <c r="P1893" s="105"/>
      <c r="Q1893" s="87">
        <f t="shared" si="177"/>
        <v>-2.3343159776191454E-3</v>
      </c>
      <c r="R1893" s="87">
        <f t="shared" si="181"/>
        <v>-7.9703005666568452E-4</v>
      </c>
      <c r="S1893" s="87">
        <f t="shared" si="181"/>
        <v>2.6538181648188687E-3</v>
      </c>
      <c r="T1893" s="87">
        <f t="shared" si="180"/>
        <v>1.3831479148461799E-2</v>
      </c>
      <c r="U1893" s="87">
        <f t="shared" si="180"/>
        <v>1.2618463959211464E-2</v>
      </c>
      <c r="V1893" s="87">
        <f t="shared" si="180"/>
        <v>-7.9681696491768449E-3</v>
      </c>
      <c r="W1893" s="87">
        <f t="shared" si="180"/>
        <v>-1.0929070532190206E-2</v>
      </c>
      <c r="X1893" s="87">
        <f t="shared" si="175"/>
        <v>-1.1131840368844294E-2</v>
      </c>
      <c r="Y1893" s="87">
        <f t="shared" si="175"/>
        <v>-6.0790460763822263E-3</v>
      </c>
      <c r="Z1893" s="87">
        <f t="shared" si="175"/>
        <v>2.6317308317373358E-2</v>
      </c>
      <c r="AA1893" s="87">
        <f t="shared" si="175"/>
        <v>3.6563112031104792E-3</v>
      </c>
      <c r="AB1893" s="87">
        <f t="shared" si="179"/>
        <v>-4.5146803545265827E-3</v>
      </c>
      <c r="AC1893" s="87">
        <f t="shared" si="179"/>
        <v>9.2336759469455239E-3</v>
      </c>
      <c r="AD1893" s="87">
        <f t="shared" si="179"/>
        <v>1.077209698191104E-2</v>
      </c>
      <c r="AE1893" s="90">
        <f t="shared" si="178"/>
        <v>5.4554742384368615E-3</v>
      </c>
    </row>
    <row r="1894" spans="1:31" ht="15.5" x14ac:dyDescent="0.35">
      <c r="A1894" s="82">
        <v>42514</v>
      </c>
      <c r="B1894" s="83">
        <v>10353.6</v>
      </c>
      <c r="C1894" s="84">
        <v>4861.1000000000004</v>
      </c>
      <c r="D1894" s="61">
        <v>719.6</v>
      </c>
      <c r="E1894" s="61">
        <v>36.799999999999997</v>
      </c>
      <c r="F1894" s="61">
        <v>96.8</v>
      </c>
      <c r="G1894" s="61">
        <v>50.4</v>
      </c>
      <c r="H1894" s="61">
        <v>9.1</v>
      </c>
      <c r="I1894" s="61">
        <v>27.2</v>
      </c>
      <c r="J1894" s="61">
        <v>16.2</v>
      </c>
      <c r="K1894" s="61">
        <v>7.6</v>
      </c>
      <c r="L1894" s="61">
        <v>55.2</v>
      </c>
      <c r="M1894" s="61">
        <v>44.7</v>
      </c>
      <c r="N1894" s="61">
        <v>55.1</v>
      </c>
      <c r="O1894" s="85">
        <v>55.9</v>
      </c>
      <c r="P1894" s="105"/>
      <c r="Q1894" s="87">
        <f t="shared" si="177"/>
        <v>1.2342116415990865E-2</v>
      </c>
      <c r="R1894" s="87">
        <f t="shared" si="181"/>
        <v>1.9799335865501876E-2</v>
      </c>
      <c r="S1894" s="87">
        <f t="shared" si="181"/>
        <v>3.7591412175514483E-3</v>
      </c>
      <c r="T1894" s="87">
        <f t="shared" si="180"/>
        <v>1.092907053219023E-2</v>
      </c>
      <c r="U1894" s="87">
        <f t="shared" si="180"/>
        <v>1.1428695823622629E-2</v>
      </c>
      <c r="V1894" s="87">
        <f t="shared" si="180"/>
        <v>7.9681696491768813E-3</v>
      </c>
      <c r="W1894" s="87">
        <f t="shared" si="180"/>
        <v>0</v>
      </c>
      <c r="X1894" s="87">
        <f t="shared" si="175"/>
        <v>1.4815085785140682E-2</v>
      </c>
      <c r="Y1894" s="87">
        <f t="shared" si="175"/>
        <v>-1.2270092591814359E-2</v>
      </c>
      <c r="Z1894" s="87">
        <f t="shared" si="175"/>
        <v>-1.3072081567352888E-2</v>
      </c>
      <c r="AA1894" s="87">
        <f t="shared" si="175"/>
        <v>7.2727593290798781E-3</v>
      </c>
      <c r="AB1894" s="87">
        <f t="shared" si="179"/>
        <v>1.1248712535870667E-2</v>
      </c>
      <c r="AC1894" s="87">
        <f t="shared" si="179"/>
        <v>1.2785562296971925E-2</v>
      </c>
      <c r="AD1894" s="87">
        <f t="shared" si="179"/>
        <v>-1.7873105740957515E-3</v>
      </c>
      <c r="AE1894" s="90">
        <f t="shared" si="178"/>
        <v>1.008602822452425E-2</v>
      </c>
    </row>
    <row r="1895" spans="1:31" ht="15.5" x14ac:dyDescent="0.35">
      <c r="A1895" s="82">
        <v>42515</v>
      </c>
      <c r="B1895" s="83">
        <v>10446.6</v>
      </c>
      <c r="C1895" s="84">
        <v>4894.8999999999996</v>
      </c>
      <c r="D1895" s="61">
        <v>732.6</v>
      </c>
      <c r="E1895" s="61">
        <v>35.5</v>
      </c>
      <c r="F1895" s="61">
        <v>98.1</v>
      </c>
      <c r="G1895" s="61">
        <v>51.8</v>
      </c>
      <c r="H1895" s="61">
        <v>9.1</v>
      </c>
      <c r="I1895" s="61">
        <v>27.5</v>
      </c>
      <c r="J1895" s="61">
        <v>16.3</v>
      </c>
      <c r="K1895" s="61">
        <v>7.7</v>
      </c>
      <c r="L1895" s="61">
        <v>55.8</v>
      </c>
      <c r="M1895" s="61">
        <v>45.5</v>
      </c>
      <c r="N1895" s="61">
        <v>55.2</v>
      </c>
      <c r="O1895" s="85">
        <v>55.8</v>
      </c>
      <c r="P1895" s="105"/>
      <c r="Q1895" s="87">
        <f t="shared" si="177"/>
        <v>8.9422812976061115E-3</v>
      </c>
      <c r="R1895" s="87">
        <f t="shared" si="181"/>
        <v>6.929097014099439E-3</v>
      </c>
      <c r="S1895" s="87">
        <f t="shared" si="181"/>
        <v>1.7904348268335896E-2</v>
      </c>
      <c r="T1895" s="87">
        <f t="shared" si="180"/>
        <v>-3.5965148693515005E-2</v>
      </c>
      <c r="U1895" s="87">
        <f t="shared" si="180"/>
        <v>1.3340372288786104E-2</v>
      </c>
      <c r="V1895" s="87">
        <f t="shared" si="180"/>
        <v>2.7398974188114347E-2</v>
      </c>
      <c r="W1895" s="87">
        <f t="shared" si="180"/>
        <v>0</v>
      </c>
      <c r="X1895" s="87">
        <f t="shared" si="175"/>
        <v>1.0969031370573937E-2</v>
      </c>
      <c r="Y1895" s="87">
        <f t="shared" si="175"/>
        <v>6.1538655743782859E-3</v>
      </c>
      <c r="Z1895" s="87">
        <f t="shared" si="175"/>
        <v>1.3072081567352921E-2</v>
      </c>
      <c r="AA1895" s="87">
        <f t="shared" si="175"/>
        <v>1.0810916104215456E-2</v>
      </c>
      <c r="AB1895" s="87">
        <f t="shared" si="179"/>
        <v>1.7738824337381411E-2</v>
      </c>
      <c r="AC1895" s="87">
        <f t="shared" si="179"/>
        <v>1.8132371241809436E-3</v>
      </c>
      <c r="AD1895" s="87">
        <f t="shared" si="179"/>
        <v>-1.7905107737882331E-3</v>
      </c>
      <c r="AE1895" s="90">
        <f t="shared" si="178"/>
        <v>1.0915639160973815E-2</v>
      </c>
    </row>
    <row r="1896" spans="1:31" ht="15.5" x14ac:dyDescent="0.35">
      <c r="A1896" s="82">
        <v>42516</v>
      </c>
      <c r="B1896" s="83">
        <v>10439.6</v>
      </c>
      <c r="C1896" s="84">
        <v>4901.8</v>
      </c>
      <c r="D1896" s="61">
        <v>733</v>
      </c>
      <c r="E1896" s="61">
        <v>36.1</v>
      </c>
      <c r="F1896" s="61">
        <v>98.6</v>
      </c>
      <c r="G1896" s="61">
        <v>51.4</v>
      </c>
      <c r="H1896" s="61">
        <v>9.1999999999999993</v>
      </c>
      <c r="I1896" s="61">
        <v>27.4</v>
      </c>
      <c r="J1896" s="61">
        <v>16.7</v>
      </c>
      <c r="K1896" s="61">
        <v>7.6</v>
      </c>
      <c r="L1896" s="61">
        <v>56.3</v>
      </c>
      <c r="M1896" s="61">
        <v>45</v>
      </c>
      <c r="N1896" s="61">
        <v>55.5</v>
      </c>
      <c r="O1896" s="85">
        <v>55.6</v>
      </c>
      <c r="P1896" s="105"/>
      <c r="Q1896" s="87">
        <f t="shared" si="177"/>
        <v>-6.7029907423013188E-4</v>
      </c>
      <c r="R1896" s="87">
        <f t="shared" si="181"/>
        <v>1.4086378353834845E-3</v>
      </c>
      <c r="S1896" s="87">
        <f t="shared" si="181"/>
        <v>5.458515419374632E-4</v>
      </c>
      <c r="T1896" s="87">
        <f t="shared" si="180"/>
        <v>1.6760168857465101E-2</v>
      </c>
      <c r="U1896" s="87">
        <f t="shared" si="180"/>
        <v>5.0838950372723282E-3</v>
      </c>
      <c r="V1896" s="87">
        <f t="shared" si="180"/>
        <v>-7.7519768043179359E-3</v>
      </c>
      <c r="W1896" s="87">
        <f t="shared" si="180"/>
        <v>1.092907053219023E-2</v>
      </c>
      <c r="X1896" s="87">
        <f t="shared" si="175"/>
        <v>-3.6429912785010919E-3</v>
      </c>
      <c r="Y1896" s="87">
        <f t="shared" si="175"/>
        <v>2.4243611609992635E-2</v>
      </c>
      <c r="Z1896" s="87">
        <f t="shared" si="175"/>
        <v>-1.3072081567352888E-2</v>
      </c>
      <c r="AA1896" s="87">
        <f t="shared" si="175"/>
        <v>8.9206657583793623E-3</v>
      </c>
      <c r="AB1896" s="87">
        <f t="shared" si="179"/>
        <v>-1.1049836186584935E-2</v>
      </c>
      <c r="AC1896" s="87">
        <f t="shared" si="179"/>
        <v>5.4200674693391133E-3</v>
      </c>
      <c r="AD1896" s="87">
        <f t="shared" si="179"/>
        <v>-3.5906681307284844E-3</v>
      </c>
      <c r="AE1896" s="90">
        <f t="shared" si="178"/>
        <v>1.5992869949497939E-3</v>
      </c>
    </row>
    <row r="1897" spans="1:31" ht="15.5" x14ac:dyDescent="0.35">
      <c r="A1897" s="82">
        <v>42517</v>
      </c>
      <c r="B1897" s="83">
        <v>10469.5</v>
      </c>
      <c r="C1897" s="84">
        <v>4933.5</v>
      </c>
      <c r="D1897" s="61">
        <v>737</v>
      </c>
      <c r="E1897" s="61">
        <v>36.799999999999997</v>
      </c>
      <c r="F1897" s="61">
        <v>99.2</v>
      </c>
      <c r="G1897" s="61">
        <v>51.8</v>
      </c>
      <c r="H1897" s="61">
        <v>9.1999999999999993</v>
      </c>
      <c r="I1897" s="61">
        <v>27.4</v>
      </c>
      <c r="J1897" s="61">
        <v>16.5</v>
      </c>
      <c r="K1897" s="61">
        <v>7.7</v>
      </c>
      <c r="L1897" s="61">
        <v>56.2</v>
      </c>
      <c r="M1897" s="61">
        <v>45.1</v>
      </c>
      <c r="N1897" s="61">
        <v>56</v>
      </c>
      <c r="O1897" s="85">
        <v>56</v>
      </c>
      <c r="P1897" s="105"/>
      <c r="Q1897" s="87">
        <f t="shared" si="177"/>
        <v>2.8600007059935151E-3</v>
      </c>
      <c r="R1897" s="87">
        <f t="shared" si="181"/>
        <v>6.4461907150954265E-3</v>
      </c>
      <c r="S1897" s="87">
        <f t="shared" si="181"/>
        <v>5.4421903026850363E-3</v>
      </c>
      <c r="T1897" s="87">
        <f t="shared" si="180"/>
        <v>1.9204979836049827E-2</v>
      </c>
      <c r="U1897" s="87">
        <f t="shared" si="180"/>
        <v>6.066752682237362E-3</v>
      </c>
      <c r="V1897" s="87">
        <f t="shared" si="180"/>
        <v>7.7519768043179237E-3</v>
      </c>
      <c r="W1897" s="87">
        <f t="shared" si="180"/>
        <v>0</v>
      </c>
      <c r="X1897" s="87">
        <f t="shared" si="175"/>
        <v>0</v>
      </c>
      <c r="Y1897" s="87">
        <f t="shared" si="175"/>
        <v>-1.204833851617448E-2</v>
      </c>
      <c r="Z1897" s="87">
        <f t="shared" si="175"/>
        <v>1.3072081567352921E-2</v>
      </c>
      <c r="AA1897" s="87">
        <f t="shared" si="175"/>
        <v>-1.7777782459991608E-3</v>
      </c>
      <c r="AB1897" s="87">
        <f t="shared" si="179"/>
        <v>2.2197567383130316E-3</v>
      </c>
      <c r="AC1897" s="87">
        <f t="shared" si="179"/>
        <v>8.9686699827603161E-3</v>
      </c>
      <c r="AD1897" s="87">
        <f t="shared" si="179"/>
        <v>7.168489478612497E-3</v>
      </c>
      <c r="AE1897" s="90">
        <f t="shared" si="178"/>
        <v>6.1315532567356567E-3</v>
      </c>
    </row>
    <row r="1898" spans="1:31" ht="15.5" x14ac:dyDescent="0.35">
      <c r="A1898" s="82">
        <v>42521</v>
      </c>
      <c r="B1898" s="83">
        <v>10441</v>
      </c>
      <c r="C1898" s="84">
        <v>4948</v>
      </c>
      <c r="D1898" s="61">
        <v>745.6</v>
      </c>
      <c r="E1898" s="61">
        <v>37.5</v>
      </c>
      <c r="F1898" s="61">
        <v>98.8</v>
      </c>
      <c r="G1898" s="61">
        <v>52.1</v>
      </c>
      <c r="H1898" s="61">
        <v>9.1999999999999993</v>
      </c>
      <c r="I1898" s="61">
        <v>27.8</v>
      </c>
      <c r="J1898" s="61">
        <v>16.2</v>
      </c>
      <c r="K1898" s="61">
        <v>7.7</v>
      </c>
      <c r="L1898" s="61">
        <v>56.1</v>
      </c>
      <c r="M1898" s="61">
        <v>45.3</v>
      </c>
      <c r="N1898" s="61">
        <v>56.3</v>
      </c>
      <c r="O1898" s="85">
        <v>55.2</v>
      </c>
      <c r="P1898" s="105"/>
      <c r="Q1898" s="87">
        <f t="shared" si="177"/>
        <v>-2.7259049422608526E-3</v>
      </c>
      <c r="R1898" s="87">
        <f t="shared" si="181"/>
        <v>2.934779215157177E-3</v>
      </c>
      <c r="S1898" s="87">
        <f t="shared" si="181"/>
        <v>1.1601371182044793E-2</v>
      </c>
      <c r="T1898" s="87">
        <f t="shared" si="180"/>
        <v>1.8843087801479915E-2</v>
      </c>
      <c r="U1898" s="87">
        <f t="shared" si="180"/>
        <v>-4.0404095370050862E-3</v>
      </c>
      <c r="V1898" s="87">
        <f t="shared" si="180"/>
        <v>5.7747994938839578E-3</v>
      </c>
      <c r="W1898" s="87">
        <f t="shared" si="180"/>
        <v>0</v>
      </c>
      <c r="X1898" s="87">
        <f t="shared" si="175"/>
        <v>1.4493007302566824E-2</v>
      </c>
      <c r="Y1898" s="87">
        <f t="shared" si="175"/>
        <v>-1.8349138668196541E-2</v>
      </c>
      <c r="Z1898" s="87">
        <f t="shared" si="175"/>
        <v>0</v>
      </c>
      <c r="AA1898" s="87">
        <f t="shared" si="175"/>
        <v>-1.7809443709948087E-3</v>
      </c>
      <c r="AB1898" s="87">
        <f t="shared" si="179"/>
        <v>4.4247859803556357E-3</v>
      </c>
      <c r="AC1898" s="87">
        <f t="shared" si="179"/>
        <v>5.342844410495446E-3</v>
      </c>
      <c r="AD1898" s="87">
        <f t="shared" si="179"/>
        <v>-1.4388737452099556E-2</v>
      </c>
      <c r="AE1898" s="90">
        <f t="shared" si="178"/>
        <v>1.3719271166629807E-3</v>
      </c>
    </row>
    <row r="1899" spans="1:31" ht="15.5" x14ac:dyDescent="0.35">
      <c r="A1899" s="82">
        <v>42522</v>
      </c>
      <c r="B1899" s="83">
        <v>10454.9</v>
      </c>
      <c r="C1899" s="84">
        <v>4952.3</v>
      </c>
      <c r="D1899" s="61">
        <v>744.3</v>
      </c>
      <c r="E1899" s="61">
        <v>36.6</v>
      </c>
      <c r="F1899" s="61">
        <v>98.3</v>
      </c>
      <c r="G1899" s="61">
        <v>52.4</v>
      </c>
      <c r="H1899" s="61">
        <v>9.1999999999999993</v>
      </c>
      <c r="I1899" s="61">
        <v>27.2</v>
      </c>
      <c r="J1899" s="61">
        <v>15.9</v>
      </c>
      <c r="K1899" s="61">
        <v>7.7</v>
      </c>
      <c r="L1899" s="61">
        <v>56</v>
      </c>
      <c r="M1899" s="61">
        <v>44.3</v>
      </c>
      <c r="N1899" s="61">
        <v>56</v>
      </c>
      <c r="O1899" s="85">
        <v>52.9</v>
      </c>
      <c r="P1899" s="105"/>
      <c r="Q1899" s="87">
        <f t="shared" si="177"/>
        <v>1.3304047253501904E-3</v>
      </c>
      <c r="R1899" s="87">
        <f t="shared" si="181"/>
        <v>8.6866060026236536E-4</v>
      </c>
      <c r="S1899" s="87">
        <f t="shared" si="181"/>
        <v>-1.7450840055165131E-3</v>
      </c>
      <c r="T1899" s="87">
        <f t="shared" si="180"/>
        <v>-2.4292692569044472E-2</v>
      </c>
      <c r="U1899" s="87">
        <f t="shared" si="180"/>
        <v>-5.0735776007012267E-3</v>
      </c>
      <c r="V1899" s="87">
        <f t="shared" si="180"/>
        <v>5.7416425676751828E-3</v>
      </c>
      <c r="W1899" s="87">
        <f t="shared" si="180"/>
        <v>0</v>
      </c>
      <c r="X1899" s="87">
        <f t="shared" si="175"/>
        <v>-2.1819047394639839E-2</v>
      </c>
      <c r="Y1899" s="87">
        <f t="shared" si="175"/>
        <v>-1.8692133012152522E-2</v>
      </c>
      <c r="Z1899" s="87">
        <f t="shared" si="175"/>
        <v>0</v>
      </c>
      <c r="AA1899" s="87">
        <f t="shared" si="175"/>
        <v>-1.7841217935014426E-3</v>
      </c>
      <c r="AB1899" s="87">
        <f t="shared" si="179"/>
        <v>-2.2322355437898383E-2</v>
      </c>
      <c r="AC1899" s="87">
        <f t="shared" si="179"/>
        <v>-5.3428444104954695E-3</v>
      </c>
      <c r="AD1899" s="87">
        <f t="shared" si="179"/>
        <v>-4.2559614418796007E-2</v>
      </c>
      <c r="AE1899" s="90">
        <f t="shared" si="178"/>
        <v>-6.8742985085393027E-3</v>
      </c>
    </row>
    <row r="1900" spans="1:31" ht="15.5" x14ac:dyDescent="0.35">
      <c r="A1900" s="82">
        <v>42523</v>
      </c>
      <c r="B1900" s="83">
        <v>10487.6</v>
      </c>
      <c r="C1900" s="84">
        <v>4971.3999999999996</v>
      </c>
      <c r="D1900" s="61">
        <v>737</v>
      </c>
      <c r="E1900" s="61">
        <v>36.6</v>
      </c>
      <c r="F1900" s="61">
        <v>96.6</v>
      </c>
      <c r="G1900" s="61">
        <v>51.8</v>
      </c>
      <c r="H1900" s="61">
        <v>9.1999999999999993</v>
      </c>
      <c r="I1900" s="61">
        <v>27.3</v>
      </c>
      <c r="J1900" s="61">
        <v>16.2</v>
      </c>
      <c r="K1900" s="61">
        <v>7.8</v>
      </c>
      <c r="L1900" s="61">
        <v>56.4</v>
      </c>
      <c r="M1900" s="61">
        <v>45.3</v>
      </c>
      <c r="N1900" s="61">
        <v>56.9</v>
      </c>
      <c r="O1900" s="85">
        <v>54.2</v>
      </c>
      <c r="P1900" s="105"/>
      <c r="Q1900" s="87">
        <f t="shared" si="177"/>
        <v>3.1228388754475814E-3</v>
      </c>
      <c r="R1900" s="87">
        <f t="shared" si="181"/>
        <v>3.8493754516599546E-3</v>
      </c>
      <c r="S1900" s="87">
        <f t="shared" si="181"/>
        <v>-9.8562871765283649E-3</v>
      </c>
      <c r="T1900" s="87">
        <f t="shared" si="180"/>
        <v>0</v>
      </c>
      <c r="U1900" s="87">
        <f t="shared" si="180"/>
        <v>-1.7445285934648641E-2</v>
      </c>
      <c r="V1900" s="87">
        <f t="shared" si="180"/>
        <v>-1.151644206155918E-2</v>
      </c>
      <c r="W1900" s="87">
        <f t="shared" si="180"/>
        <v>0</v>
      </c>
      <c r="X1900" s="87">
        <f t="shared" si="175"/>
        <v>3.6697288889624017E-3</v>
      </c>
      <c r="Y1900" s="87">
        <f t="shared" si="175"/>
        <v>1.8692133012152546E-2</v>
      </c>
      <c r="Z1900" s="87">
        <f t="shared" si="175"/>
        <v>1.2903404835907782E-2</v>
      </c>
      <c r="AA1900" s="87">
        <f t="shared" si="175"/>
        <v>7.1174677688639549E-3</v>
      </c>
      <c r="AB1900" s="87">
        <f t="shared" si="179"/>
        <v>2.2322355437898487E-2</v>
      </c>
      <c r="AC1900" s="87">
        <f t="shared" si="179"/>
        <v>1.5943650397135946E-2</v>
      </c>
      <c r="AD1900" s="87">
        <f t="shared" si="179"/>
        <v>2.4277569581346841E-2</v>
      </c>
      <c r="AE1900" s="90">
        <f t="shared" si="178"/>
        <v>-3.769114993118904E-3</v>
      </c>
    </row>
    <row r="1901" spans="1:31" ht="15.5" x14ac:dyDescent="0.35">
      <c r="A1901" s="82">
        <v>42524</v>
      </c>
      <c r="B1901" s="83">
        <v>10487.9</v>
      </c>
      <c r="C1901" s="84">
        <v>4942.5</v>
      </c>
      <c r="D1901" s="61">
        <v>733.9</v>
      </c>
      <c r="E1901" s="61">
        <v>36.5</v>
      </c>
      <c r="F1901" s="61">
        <v>97.5</v>
      </c>
      <c r="G1901" s="61">
        <v>51.6</v>
      </c>
      <c r="H1901" s="61">
        <v>9.1999999999999993</v>
      </c>
      <c r="I1901" s="61">
        <v>26.7</v>
      </c>
      <c r="J1901" s="61">
        <v>16.100000000000001</v>
      </c>
      <c r="K1901" s="61">
        <v>8.3000000000000007</v>
      </c>
      <c r="L1901" s="61">
        <v>56.3</v>
      </c>
      <c r="M1901" s="61">
        <v>43.8</v>
      </c>
      <c r="N1901" s="61">
        <v>57</v>
      </c>
      <c r="O1901" s="85">
        <v>53.4</v>
      </c>
      <c r="P1901" s="105"/>
      <c r="Q1901" s="87">
        <f t="shared" si="177"/>
        <v>2.8604800840846111E-5</v>
      </c>
      <c r="R1901" s="87">
        <f t="shared" si="181"/>
        <v>-5.8302145195288264E-3</v>
      </c>
      <c r="S1901" s="87">
        <f t="shared" si="181"/>
        <v>-4.2151126383195466E-3</v>
      </c>
      <c r="T1901" s="87">
        <f t="shared" si="180"/>
        <v>-2.7359798188747488E-3</v>
      </c>
      <c r="U1901" s="87">
        <f t="shared" si="180"/>
        <v>9.273636785329253E-3</v>
      </c>
      <c r="V1901" s="87">
        <f t="shared" si="180"/>
        <v>-3.8684767779202061E-3</v>
      </c>
      <c r="W1901" s="87">
        <f t="shared" si="180"/>
        <v>0</v>
      </c>
      <c r="X1901" s="87">
        <f t="shared" si="175"/>
        <v>-2.2223136784710235E-2</v>
      </c>
      <c r="Y1901" s="87">
        <f t="shared" si="175"/>
        <v>-6.1919702479209951E-3</v>
      </c>
      <c r="Z1901" s="87">
        <f t="shared" si="175"/>
        <v>6.2131781107006387E-2</v>
      </c>
      <c r="AA1901" s="87">
        <f t="shared" si="175"/>
        <v>-1.7746233583684897E-3</v>
      </c>
      <c r="AB1901" s="87">
        <f t="shared" si="179"/>
        <v>-3.3673215106587835E-2</v>
      </c>
      <c r="AC1901" s="87">
        <f t="shared" si="179"/>
        <v>1.7559267022650125E-3</v>
      </c>
      <c r="AD1901" s="87">
        <f t="shared" si="179"/>
        <v>-1.4870162479451506E-2</v>
      </c>
      <c r="AE1901" s="90">
        <f t="shared" si="178"/>
        <v>-2.1373811549455488E-3</v>
      </c>
    </row>
    <row r="1902" spans="1:31" ht="15.5" x14ac:dyDescent="0.35">
      <c r="A1902" s="82">
        <v>42527</v>
      </c>
      <c r="B1902" s="83">
        <v>10554.8</v>
      </c>
      <c r="C1902" s="84">
        <v>4968.7</v>
      </c>
      <c r="D1902" s="61">
        <v>728.3</v>
      </c>
      <c r="E1902" s="61">
        <v>36.5</v>
      </c>
      <c r="F1902" s="61">
        <v>97.6</v>
      </c>
      <c r="G1902" s="61">
        <v>51.9</v>
      </c>
      <c r="H1902" s="61">
        <v>9.1999999999999993</v>
      </c>
      <c r="I1902" s="61">
        <v>26.7</v>
      </c>
      <c r="J1902" s="61">
        <v>16.899999999999999</v>
      </c>
      <c r="K1902" s="61">
        <v>8.4</v>
      </c>
      <c r="L1902" s="61">
        <v>56.7</v>
      </c>
      <c r="M1902" s="61">
        <v>44.3</v>
      </c>
      <c r="N1902" s="61">
        <v>57.5</v>
      </c>
      <c r="O1902" s="85">
        <v>53.7</v>
      </c>
      <c r="P1902" s="105"/>
      <c r="Q1902" s="87">
        <f t="shared" si="177"/>
        <v>6.3585210454458344E-3</v>
      </c>
      <c r="R1902" s="87">
        <f t="shared" si="181"/>
        <v>5.2869604141570015E-3</v>
      </c>
      <c r="S1902" s="87">
        <f t="shared" si="181"/>
        <v>-7.6597283271476347E-3</v>
      </c>
      <c r="T1902" s="87">
        <f t="shared" si="180"/>
        <v>0</v>
      </c>
      <c r="U1902" s="87">
        <f t="shared" si="180"/>
        <v>1.0251154152453505E-3</v>
      </c>
      <c r="V1902" s="87">
        <f t="shared" si="180"/>
        <v>5.7971176843259146E-3</v>
      </c>
      <c r="W1902" s="87">
        <f t="shared" si="180"/>
        <v>0</v>
      </c>
      <c r="X1902" s="87">
        <f t="shared" si="175"/>
        <v>0</v>
      </c>
      <c r="Y1902" s="87">
        <f t="shared" si="175"/>
        <v>4.8494349938610355E-2</v>
      </c>
      <c r="Z1902" s="87">
        <f t="shared" si="175"/>
        <v>1.197619104671562E-2</v>
      </c>
      <c r="AA1902" s="87">
        <f t="shared" si="175"/>
        <v>7.0796755880617682E-3</v>
      </c>
      <c r="AB1902" s="87">
        <f t="shared" si="179"/>
        <v>1.135085966868948E-2</v>
      </c>
      <c r="AC1902" s="87">
        <f t="shared" si="179"/>
        <v>8.7336799687546315E-3</v>
      </c>
      <c r="AD1902" s="87">
        <f t="shared" si="179"/>
        <v>5.6022555486699727E-3</v>
      </c>
      <c r="AE1902" s="90">
        <f t="shared" si="178"/>
        <v>3.1632800108091693E-4</v>
      </c>
    </row>
    <row r="1903" spans="1:31" ht="15.5" x14ac:dyDescent="0.35">
      <c r="A1903" s="82">
        <v>42528</v>
      </c>
      <c r="B1903" s="83">
        <v>10599.2</v>
      </c>
      <c r="C1903" s="84">
        <v>4961.8</v>
      </c>
      <c r="D1903" s="61">
        <v>730.8</v>
      </c>
      <c r="E1903" s="61">
        <v>36.6</v>
      </c>
      <c r="F1903" s="61">
        <v>99</v>
      </c>
      <c r="G1903" s="61">
        <v>52.1</v>
      </c>
      <c r="H1903" s="61">
        <v>9.1999999999999993</v>
      </c>
      <c r="I1903" s="61">
        <v>27</v>
      </c>
      <c r="J1903" s="61">
        <v>18.100000000000001</v>
      </c>
      <c r="K1903" s="61">
        <v>8.5</v>
      </c>
      <c r="L1903" s="61">
        <v>56.9</v>
      </c>
      <c r="M1903" s="61">
        <v>44.5</v>
      </c>
      <c r="N1903" s="61">
        <v>57.5</v>
      </c>
      <c r="O1903" s="85">
        <v>53.6</v>
      </c>
      <c r="P1903" s="105"/>
      <c r="Q1903" s="87">
        <f t="shared" si="177"/>
        <v>4.1977938167184741E-3</v>
      </c>
      <c r="R1903" s="87">
        <f t="shared" si="181"/>
        <v>-1.3896583475980471E-3</v>
      </c>
      <c r="S1903" s="87">
        <f t="shared" si="181"/>
        <v>3.4267732799822073E-3</v>
      </c>
      <c r="T1903" s="87">
        <f t="shared" si="180"/>
        <v>2.7359798188748455E-3</v>
      </c>
      <c r="U1903" s="87">
        <f t="shared" si="180"/>
        <v>1.4242356715543168E-2</v>
      </c>
      <c r="V1903" s="87">
        <f t="shared" si="180"/>
        <v>3.8461585874783148E-3</v>
      </c>
      <c r="W1903" s="87">
        <f t="shared" si="180"/>
        <v>0</v>
      </c>
      <c r="X1903" s="87">
        <f t="shared" si="175"/>
        <v>1.1173300598125255E-2</v>
      </c>
      <c r="Y1903" s="87">
        <f t="shared" si="175"/>
        <v>6.8598316342752402E-2</v>
      </c>
      <c r="Z1903" s="87">
        <f t="shared" si="175"/>
        <v>1.1834457647002798E-2</v>
      </c>
      <c r="AA1903" s="87">
        <f t="shared" si="175"/>
        <v>3.5211303985787394E-3</v>
      </c>
      <c r="AB1903" s="87">
        <f t="shared" si="179"/>
        <v>4.5045121211047291E-3</v>
      </c>
      <c r="AC1903" s="87">
        <f t="shared" si="179"/>
        <v>0</v>
      </c>
      <c r="AD1903" s="87">
        <f t="shared" si="179"/>
        <v>-1.8639334380627533E-3</v>
      </c>
      <c r="AE1903" s="90">
        <f t="shared" si="178"/>
        <v>4.4325752699326771E-3</v>
      </c>
    </row>
    <row r="1904" spans="1:31" ht="15.5" x14ac:dyDescent="0.35">
      <c r="A1904" s="82">
        <v>42529</v>
      </c>
      <c r="B1904" s="83">
        <v>10638.4</v>
      </c>
      <c r="C1904" s="84">
        <v>4974.6000000000004</v>
      </c>
      <c r="D1904" s="61">
        <v>735.8</v>
      </c>
      <c r="E1904" s="61">
        <v>36.799999999999997</v>
      </c>
      <c r="F1904" s="61">
        <v>98.7</v>
      </c>
      <c r="G1904" s="61">
        <v>51.9</v>
      </c>
      <c r="H1904" s="61">
        <v>9.1999999999999993</v>
      </c>
      <c r="I1904" s="61">
        <v>27.3</v>
      </c>
      <c r="J1904" s="61">
        <v>17.600000000000001</v>
      </c>
      <c r="K1904" s="61">
        <v>8.5</v>
      </c>
      <c r="L1904" s="61">
        <v>57</v>
      </c>
      <c r="M1904" s="61">
        <v>44.4</v>
      </c>
      <c r="N1904" s="61">
        <v>58.1</v>
      </c>
      <c r="O1904" s="85">
        <v>53.7</v>
      </c>
      <c r="P1904" s="105"/>
      <c r="Q1904" s="87">
        <f t="shared" si="177"/>
        <v>3.6915700942769963E-3</v>
      </c>
      <c r="R1904" s="87">
        <f t="shared" si="181"/>
        <v>2.5763872388971138E-3</v>
      </c>
      <c r="S1904" s="87">
        <f t="shared" si="181"/>
        <v>6.8185181668222357E-3</v>
      </c>
      <c r="T1904" s="87">
        <f t="shared" si="180"/>
        <v>5.4496047675644645E-3</v>
      </c>
      <c r="U1904" s="87">
        <f t="shared" si="180"/>
        <v>-3.034903695154047E-3</v>
      </c>
      <c r="V1904" s="87">
        <f t="shared" si="180"/>
        <v>-3.8461585874783868E-3</v>
      </c>
      <c r="W1904" s="87">
        <f t="shared" si="180"/>
        <v>0</v>
      </c>
      <c r="X1904" s="87">
        <f t="shared" si="175"/>
        <v>1.1049836186584935E-2</v>
      </c>
      <c r="Y1904" s="87">
        <f t="shared" si="175"/>
        <v>-2.8013036227674006E-2</v>
      </c>
      <c r="Z1904" s="87">
        <f t="shared" si="175"/>
        <v>0</v>
      </c>
      <c r="AA1904" s="87">
        <f t="shared" si="175"/>
        <v>1.7559267022650125E-3</v>
      </c>
      <c r="AB1904" s="87">
        <f t="shared" si="179"/>
        <v>-2.2497197340154416E-3</v>
      </c>
      <c r="AC1904" s="87">
        <f t="shared" si="179"/>
        <v>1.0380716054560818E-2</v>
      </c>
      <c r="AD1904" s="87">
        <f t="shared" si="179"/>
        <v>1.8639334380627327E-3</v>
      </c>
      <c r="AE1904" s="90">
        <f t="shared" si="178"/>
        <v>2.1272478429524692E-3</v>
      </c>
    </row>
    <row r="1905" spans="1:31" ht="15.5" x14ac:dyDescent="0.35">
      <c r="A1905" s="82">
        <v>42530</v>
      </c>
      <c r="B1905" s="83">
        <v>10589.8</v>
      </c>
      <c r="C1905" s="84">
        <v>4958.6000000000004</v>
      </c>
      <c r="D1905" s="61">
        <v>736.5</v>
      </c>
      <c r="E1905" s="61">
        <v>36.700000000000003</v>
      </c>
      <c r="F1905" s="61">
        <v>98.5</v>
      </c>
      <c r="G1905" s="61">
        <v>51.5</v>
      </c>
      <c r="H1905" s="61">
        <v>9.1999999999999993</v>
      </c>
      <c r="I1905" s="61">
        <v>27.5</v>
      </c>
      <c r="J1905" s="61">
        <v>17.2</v>
      </c>
      <c r="K1905" s="61">
        <v>8.1999999999999993</v>
      </c>
      <c r="L1905" s="61">
        <v>56.9</v>
      </c>
      <c r="M1905" s="61">
        <v>43.6</v>
      </c>
      <c r="N1905" s="61">
        <v>58</v>
      </c>
      <c r="O1905" s="85">
        <v>53.9</v>
      </c>
      <c r="P1905" s="105"/>
      <c r="Q1905" s="87">
        <f t="shared" si="177"/>
        <v>-4.5788229723415803E-3</v>
      </c>
      <c r="R1905" s="87">
        <f t="shared" si="181"/>
        <v>-3.2215225380758418E-3</v>
      </c>
      <c r="S1905" s="87">
        <f t="shared" si="181"/>
        <v>9.5089323201104966E-4</v>
      </c>
      <c r="T1905" s="87">
        <f t="shared" si="180"/>
        <v>-2.7210901143605018E-3</v>
      </c>
      <c r="U1905" s="87">
        <f t="shared" si="180"/>
        <v>-2.0283982613927207E-3</v>
      </c>
      <c r="V1905" s="87">
        <f t="shared" si="180"/>
        <v>-7.7369825021524515E-3</v>
      </c>
      <c r="W1905" s="87">
        <f t="shared" si="180"/>
        <v>0</v>
      </c>
      <c r="X1905" s="87">
        <f t="shared" si="175"/>
        <v>7.2993024816115351E-3</v>
      </c>
      <c r="Y1905" s="87">
        <f t="shared" si="175"/>
        <v>-2.2989518224698833E-2</v>
      </c>
      <c r="Z1905" s="87">
        <f t="shared" si="175"/>
        <v>-3.593200922606344E-2</v>
      </c>
      <c r="AA1905" s="87">
        <f t="shared" si="175"/>
        <v>-1.7559267022649199E-3</v>
      </c>
      <c r="AB1905" s="87">
        <f t="shared" si="179"/>
        <v>-1.818231908319036E-2</v>
      </c>
      <c r="AC1905" s="87">
        <f t="shared" si="179"/>
        <v>-1.7226533114461818E-3</v>
      </c>
      <c r="AD1905" s="87">
        <f t="shared" si="179"/>
        <v>3.7174764001323521E-3</v>
      </c>
      <c r="AE1905" s="90">
        <f t="shared" si="178"/>
        <v>-8.1540421043156067E-4</v>
      </c>
    </row>
    <row r="1906" spans="1:31" ht="15.5" x14ac:dyDescent="0.35">
      <c r="A1906" s="82">
        <v>42531</v>
      </c>
      <c r="B1906" s="83">
        <v>10446.1</v>
      </c>
      <c r="C1906" s="84">
        <v>4894.5</v>
      </c>
      <c r="D1906" s="61">
        <v>730.5</v>
      </c>
      <c r="E1906" s="61">
        <v>36.6</v>
      </c>
      <c r="F1906" s="61">
        <v>98.5</v>
      </c>
      <c r="G1906" s="61">
        <v>51</v>
      </c>
      <c r="H1906" s="61">
        <v>9.1</v>
      </c>
      <c r="I1906" s="61">
        <v>27.3</v>
      </c>
      <c r="J1906" s="61">
        <v>16.899999999999999</v>
      </c>
      <c r="K1906" s="61">
        <v>8.1</v>
      </c>
      <c r="L1906" s="61">
        <v>56.6</v>
      </c>
      <c r="M1906" s="61">
        <v>42.6</v>
      </c>
      <c r="N1906" s="61">
        <v>57.6</v>
      </c>
      <c r="O1906" s="85">
        <v>54.6</v>
      </c>
      <c r="P1906" s="105"/>
      <c r="Q1906" s="87">
        <f t="shared" si="177"/>
        <v>-1.3662570683113237E-2</v>
      </c>
      <c r="R1906" s="87">
        <f t="shared" si="181"/>
        <v>-1.3011317110667209E-2</v>
      </c>
      <c r="S1906" s="87">
        <f t="shared" si="181"/>
        <v>-8.1800047119308071E-3</v>
      </c>
      <c r="T1906" s="87">
        <f t="shared" si="180"/>
        <v>-2.7285146532040625E-3</v>
      </c>
      <c r="U1906" s="87">
        <f t="shared" si="180"/>
        <v>0</v>
      </c>
      <c r="V1906" s="87">
        <f t="shared" si="180"/>
        <v>-9.7561749453646852E-3</v>
      </c>
      <c r="W1906" s="87">
        <f t="shared" si="180"/>
        <v>-1.0929070532190206E-2</v>
      </c>
      <c r="X1906" s="87">
        <f t="shared" si="175"/>
        <v>-7.299302481611496E-3</v>
      </c>
      <c r="Y1906" s="87">
        <f t="shared" si="175"/>
        <v>-1.7595761890379601E-2</v>
      </c>
      <c r="Z1906" s="87">
        <f t="shared" si="175"/>
        <v>-1.2270092591814359E-2</v>
      </c>
      <c r="AA1906" s="87">
        <f t="shared" si="175"/>
        <v>-5.2863559231479491E-3</v>
      </c>
      <c r="AB1906" s="87">
        <f t="shared" si="179"/>
        <v>-2.3202897079663869E-2</v>
      </c>
      <c r="AC1906" s="87">
        <f t="shared" si="179"/>
        <v>-6.9204428445737952E-3</v>
      </c>
      <c r="AD1906" s="87">
        <f t="shared" si="179"/>
        <v>1.2903404835908001E-2</v>
      </c>
      <c r="AE1906" s="90">
        <f t="shared" si="178"/>
        <v>-4.7265501345044383E-3</v>
      </c>
    </row>
    <row r="1907" spans="1:31" ht="15.5" x14ac:dyDescent="0.35">
      <c r="A1907" s="82">
        <v>42534</v>
      </c>
      <c r="B1907" s="83">
        <v>10349.200000000001</v>
      </c>
      <c r="C1907" s="84">
        <v>4848.3999999999996</v>
      </c>
      <c r="D1907" s="61">
        <v>729.8</v>
      </c>
      <c r="E1907" s="61">
        <v>36.4</v>
      </c>
      <c r="F1907" s="61">
        <v>97.1</v>
      </c>
      <c r="G1907" s="61">
        <v>49.1</v>
      </c>
      <c r="H1907" s="61">
        <v>9.1</v>
      </c>
      <c r="I1907" s="61">
        <v>27</v>
      </c>
      <c r="J1907" s="61">
        <v>17.100000000000001</v>
      </c>
      <c r="K1907" s="61">
        <v>8.1</v>
      </c>
      <c r="L1907" s="61">
        <v>56.1</v>
      </c>
      <c r="M1907" s="61">
        <v>42.7</v>
      </c>
      <c r="N1907" s="61">
        <v>56.1</v>
      </c>
      <c r="O1907" s="85">
        <v>54.9</v>
      </c>
      <c r="P1907" s="105"/>
      <c r="Q1907" s="87">
        <f t="shared" si="177"/>
        <v>-9.3194809725989491E-3</v>
      </c>
      <c r="R1907" s="87">
        <f t="shared" si="181"/>
        <v>-9.4633721051280914E-3</v>
      </c>
      <c r="S1907" s="87">
        <f t="shared" si="181"/>
        <v>-9.5870718840691566E-4</v>
      </c>
      <c r="T1907" s="87">
        <f t="shared" si="180"/>
        <v>-5.4794657646257076E-3</v>
      </c>
      <c r="U1907" s="87">
        <f t="shared" si="180"/>
        <v>-1.4315172880764058E-2</v>
      </c>
      <c r="V1907" s="87">
        <f t="shared" si="180"/>
        <v>-3.7966597923850855E-2</v>
      </c>
      <c r="W1907" s="87">
        <f t="shared" si="180"/>
        <v>0</v>
      </c>
      <c r="X1907" s="87">
        <f t="shared" si="175"/>
        <v>-1.1049836186585046E-2</v>
      </c>
      <c r="Y1907" s="87">
        <f t="shared" si="175"/>
        <v>1.1764841579586431E-2</v>
      </c>
      <c r="Z1907" s="87">
        <f t="shared" si="175"/>
        <v>0</v>
      </c>
      <c r="AA1907" s="87">
        <f t="shared" si="175"/>
        <v>-8.8731726804865702E-3</v>
      </c>
      <c r="AB1907" s="87">
        <f t="shared" si="179"/>
        <v>2.3446669592540547E-3</v>
      </c>
      <c r="AC1907" s="87">
        <f t="shared" si="179"/>
        <v>-2.6386755173194887E-2</v>
      </c>
      <c r="AD1907" s="87">
        <f t="shared" si="179"/>
        <v>5.4794657646255705E-3</v>
      </c>
      <c r="AE1907" s="90">
        <f t="shared" si="178"/>
        <v>-6.5445525377965134E-3</v>
      </c>
    </row>
    <row r="1908" spans="1:31" ht="15.5" x14ac:dyDescent="0.35">
      <c r="A1908" s="82">
        <v>42535</v>
      </c>
      <c r="B1908" s="83">
        <v>10294.6</v>
      </c>
      <c r="C1908" s="84">
        <v>4843.5</v>
      </c>
      <c r="D1908" s="61">
        <v>726.5</v>
      </c>
      <c r="E1908" s="61">
        <v>36.6</v>
      </c>
      <c r="F1908" s="61">
        <v>96.8</v>
      </c>
      <c r="G1908" s="61">
        <v>49.6</v>
      </c>
      <c r="H1908" s="61">
        <v>9.1999999999999993</v>
      </c>
      <c r="I1908" s="61">
        <v>26.4</v>
      </c>
      <c r="J1908" s="61">
        <v>16.7</v>
      </c>
      <c r="K1908" s="61">
        <v>7.9</v>
      </c>
      <c r="L1908" s="61">
        <v>55.6</v>
      </c>
      <c r="M1908" s="61">
        <v>41.9</v>
      </c>
      <c r="N1908" s="61">
        <v>55.1</v>
      </c>
      <c r="O1908" s="85">
        <v>54.1</v>
      </c>
      <c r="P1908" s="105"/>
      <c r="Q1908" s="87">
        <f t="shared" si="177"/>
        <v>-5.2897361256060687E-3</v>
      </c>
      <c r="R1908" s="87">
        <f t="shared" si="181"/>
        <v>-1.0111537299172994E-3</v>
      </c>
      <c r="S1908" s="87">
        <f t="shared" si="181"/>
        <v>-4.5320409920095945E-3</v>
      </c>
      <c r="T1908" s="87">
        <f t="shared" si="180"/>
        <v>5.4794657646255705E-3</v>
      </c>
      <c r="U1908" s="87">
        <f t="shared" si="180"/>
        <v>-3.0943810147479119E-3</v>
      </c>
      <c r="V1908" s="87">
        <f t="shared" si="180"/>
        <v>1.0131798930406955E-2</v>
      </c>
      <c r="W1908" s="87">
        <f t="shared" si="180"/>
        <v>1.092907053219023E-2</v>
      </c>
      <c r="X1908" s="87">
        <f t="shared" si="175"/>
        <v>-2.2472855852058628E-2</v>
      </c>
      <c r="Y1908" s="87">
        <f t="shared" si="175"/>
        <v>-2.3669744085904849E-2</v>
      </c>
      <c r="Z1908" s="87">
        <f t="shared" si="175"/>
        <v>-2.5001302205417155E-2</v>
      </c>
      <c r="AA1908" s="87">
        <f t="shared" si="175"/>
        <v>-8.9526112721139382E-3</v>
      </c>
      <c r="AB1908" s="87">
        <f t="shared" si="179"/>
        <v>-1.8913093306486956E-2</v>
      </c>
      <c r="AC1908" s="87">
        <f t="shared" si="179"/>
        <v>-1.7986096369781827E-2</v>
      </c>
      <c r="AD1908" s="87">
        <f t="shared" si="179"/>
        <v>-1.4679162663049089E-2</v>
      </c>
      <c r="AE1908" s="90">
        <f t="shared" si="178"/>
        <v>-4.2989422230214512E-3</v>
      </c>
    </row>
    <row r="1909" spans="1:31" ht="15.5" x14ac:dyDescent="0.35">
      <c r="A1909" s="82">
        <v>42536</v>
      </c>
      <c r="B1909" s="83">
        <v>10297.200000000001</v>
      </c>
      <c r="C1909" s="84">
        <v>4834.8999999999996</v>
      </c>
      <c r="D1909" s="61">
        <v>731.3</v>
      </c>
      <c r="E1909" s="61">
        <v>37.1</v>
      </c>
      <c r="F1909" s="61">
        <v>97</v>
      </c>
      <c r="G1909" s="61">
        <v>49.7</v>
      </c>
      <c r="H1909" s="61">
        <v>9.1999999999999993</v>
      </c>
      <c r="I1909" s="61">
        <v>26.5</v>
      </c>
      <c r="J1909" s="61">
        <v>16.7</v>
      </c>
      <c r="K1909" s="61">
        <v>8</v>
      </c>
      <c r="L1909" s="61">
        <v>56</v>
      </c>
      <c r="M1909" s="61">
        <v>41.9</v>
      </c>
      <c r="N1909" s="61">
        <v>55.3</v>
      </c>
      <c r="O1909" s="85">
        <v>54.2</v>
      </c>
      <c r="P1909" s="105"/>
      <c r="Q1909" s="87">
        <f t="shared" si="177"/>
        <v>2.5252770654513951E-4</v>
      </c>
      <c r="R1909" s="87">
        <f t="shared" si="181"/>
        <v>-1.7771537161991645E-3</v>
      </c>
      <c r="S1909" s="87">
        <f t="shared" si="181"/>
        <v>6.5852892665678401E-3</v>
      </c>
      <c r="T1909" s="87">
        <f t="shared" si="180"/>
        <v>1.3568729206068796E-2</v>
      </c>
      <c r="U1909" s="87">
        <f t="shared" si="180"/>
        <v>2.0639842208514275E-3</v>
      </c>
      <c r="V1909" s="87">
        <f t="shared" si="180"/>
        <v>2.0140993717011856E-3</v>
      </c>
      <c r="W1909" s="87">
        <f t="shared" si="180"/>
        <v>0</v>
      </c>
      <c r="X1909" s="87">
        <f t="shared" si="175"/>
        <v>3.7807228399061523E-3</v>
      </c>
      <c r="Y1909" s="87">
        <f t="shared" si="175"/>
        <v>0</v>
      </c>
      <c r="Z1909" s="87">
        <f t="shared" si="175"/>
        <v>1.2578782206859965E-2</v>
      </c>
      <c r="AA1909" s="87">
        <f t="shared" si="175"/>
        <v>7.168489478612497E-3</v>
      </c>
      <c r="AB1909" s="87">
        <f t="shared" si="179"/>
        <v>0</v>
      </c>
      <c r="AC1909" s="87">
        <f t="shared" si="179"/>
        <v>3.623192369420331E-3</v>
      </c>
      <c r="AD1909" s="87">
        <f t="shared" si="179"/>
        <v>1.8467225931647112E-3</v>
      </c>
      <c r="AE1909" s="90">
        <f t="shared" si="178"/>
        <v>2.2098779362599418E-3</v>
      </c>
    </row>
    <row r="1910" spans="1:31" ht="15.5" x14ac:dyDescent="0.35">
      <c r="A1910" s="82">
        <v>42537</v>
      </c>
      <c r="B1910" s="83">
        <v>10322.799999999999</v>
      </c>
      <c r="C1910" s="84">
        <v>4844.8999999999996</v>
      </c>
      <c r="D1910" s="61">
        <v>715.5</v>
      </c>
      <c r="E1910" s="61">
        <v>36.5</v>
      </c>
      <c r="F1910" s="61">
        <v>96.1</v>
      </c>
      <c r="G1910" s="61">
        <v>49.5</v>
      </c>
      <c r="H1910" s="61">
        <v>9.1999999999999993</v>
      </c>
      <c r="I1910" s="61">
        <v>26.3</v>
      </c>
      <c r="J1910" s="61">
        <v>16.2</v>
      </c>
      <c r="K1910" s="61">
        <v>8.1999999999999993</v>
      </c>
      <c r="L1910" s="61">
        <v>56.1</v>
      </c>
      <c r="M1910" s="61">
        <v>41</v>
      </c>
      <c r="N1910" s="61">
        <v>54</v>
      </c>
      <c r="O1910" s="85">
        <v>52.9</v>
      </c>
      <c r="P1910" s="105"/>
      <c r="Q1910" s="87">
        <f t="shared" si="177"/>
        <v>2.4830274639093641E-3</v>
      </c>
      <c r="R1910" s="87">
        <f t="shared" si="181"/>
        <v>2.0661591267405314E-3</v>
      </c>
      <c r="S1910" s="87">
        <f t="shared" si="181"/>
        <v>-2.1842173280399894E-2</v>
      </c>
      <c r="T1910" s="87">
        <f t="shared" si="180"/>
        <v>-1.6304709024943697E-2</v>
      </c>
      <c r="U1910" s="87">
        <f t="shared" si="180"/>
        <v>-9.3216625271360931E-3</v>
      </c>
      <c r="V1910" s="87">
        <f t="shared" si="180"/>
        <v>-4.0322635279384511E-3</v>
      </c>
      <c r="W1910" s="87">
        <f t="shared" si="180"/>
        <v>0</v>
      </c>
      <c r="X1910" s="87">
        <f t="shared" si="175"/>
        <v>-7.5757938084576558E-3</v>
      </c>
      <c r="Y1910" s="87">
        <f t="shared" si="175"/>
        <v>-3.0397477184371045E-2</v>
      </c>
      <c r="Z1910" s="87">
        <f t="shared" si="175"/>
        <v>2.4692612590371414E-2</v>
      </c>
      <c r="AA1910" s="87">
        <f t="shared" si="175"/>
        <v>1.784121793501392E-3</v>
      </c>
      <c r="AB1910" s="87">
        <f t="shared" si="179"/>
        <v>-2.1713760223784247E-2</v>
      </c>
      <c r="AC1910" s="87">
        <f t="shared" si="179"/>
        <v>-2.3788861964014713E-2</v>
      </c>
      <c r="AD1910" s="87">
        <f t="shared" si="179"/>
        <v>-2.4277569581346949E-2</v>
      </c>
      <c r="AE1910" s="90">
        <f t="shared" si="178"/>
        <v>-1.1391603244768978E-2</v>
      </c>
    </row>
    <row r="1911" spans="1:31" ht="15.5" x14ac:dyDescent="0.35">
      <c r="A1911" s="82">
        <v>42538</v>
      </c>
      <c r="B1911" s="83">
        <v>10347.9</v>
      </c>
      <c r="C1911" s="84">
        <v>4800.3</v>
      </c>
      <c r="D1911" s="61">
        <v>701.1</v>
      </c>
      <c r="E1911" s="61">
        <v>36.799999999999997</v>
      </c>
      <c r="F1911" s="61">
        <v>95.3</v>
      </c>
      <c r="G1911" s="61">
        <v>49.8</v>
      </c>
      <c r="H1911" s="61">
        <v>9.1999999999999993</v>
      </c>
      <c r="I1911" s="61">
        <v>26.9</v>
      </c>
      <c r="J1911" s="61">
        <v>16.600000000000001</v>
      </c>
      <c r="K1911" s="61">
        <v>8.3000000000000007</v>
      </c>
      <c r="L1911" s="61">
        <v>55.7</v>
      </c>
      <c r="M1911" s="61">
        <v>41.8</v>
      </c>
      <c r="N1911" s="61">
        <v>55</v>
      </c>
      <c r="O1911" s="85">
        <v>53.2</v>
      </c>
      <c r="P1911" s="105"/>
      <c r="Q1911" s="87">
        <f t="shared" si="177"/>
        <v>2.4285594911099355E-3</v>
      </c>
      <c r="R1911" s="87">
        <f t="shared" si="181"/>
        <v>-9.2481893340422006E-3</v>
      </c>
      <c r="S1911" s="87">
        <f t="shared" si="181"/>
        <v>-2.0331068783583633E-2</v>
      </c>
      <c r="T1911" s="87">
        <f t="shared" si="180"/>
        <v>8.1855845864392818E-3</v>
      </c>
      <c r="U1911" s="87">
        <f t="shared" si="180"/>
        <v>-8.3595053160902995E-3</v>
      </c>
      <c r="V1911" s="87">
        <f t="shared" si="180"/>
        <v>6.0423144559626617E-3</v>
      </c>
      <c r="W1911" s="87">
        <f t="shared" si="180"/>
        <v>0</v>
      </c>
      <c r="X1911" s="87">
        <f t="shared" si="175"/>
        <v>2.2557347424074527E-2</v>
      </c>
      <c r="Y1911" s="87">
        <f t="shared" si="175"/>
        <v>2.4391453124159263E-2</v>
      </c>
      <c r="Z1911" s="87">
        <f t="shared" si="175"/>
        <v>1.2121360532345041E-2</v>
      </c>
      <c r="AA1911" s="87">
        <f t="shared" si="175"/>
        <v>-7.1556655954122476E-3</v>
      </c>
      <c r="AB1911" s="87">
        <f t="shared" si="179"/>
        <v>1.9324272826402842E-2</v>
      </c>
      <c r="AC1911" s="87">
        <f t="shared" si="179"/>
        <v>1.8349138668196617E-2</v>
      </c>
      <c r="AD1911" s="87">
        <f t="shared" si="179"/>
        <v>5.6550574833450565E-3</v>
      </c>
      <c r="AE1911" s="90">
        <f t="shared" si="178"/>
        <v>-1.0427288185338968E-2</v>
      </c>
    </row>
    <row r="1912" spans="1:31" ht="15.5" x14ac:dyDescent="0.35">
      <c r="A1912" s="82">
        <v>42541</v>
      </c>
      <c r="B1912" s="83">
        <v>10450</v>
      </c>
      <c r="C1912" s="84">
        <v>4837.2</v>
      </c>
      <c r="D1912" s="61">
        <v>705.4</v>
      </c>
      <c r="E1912" s="61">
        <v>37.200000000000003</v>
      </c>
      <c r="F1912" s="61">
        <v>95</v>
      </c>
      <c r="G1912" s="61">
        <v>50</v>
      </c>
      <c r="H1912" s="61">
        <v>9.1999999999999993</v>
      </c>
      <c r="I1912" s="61">
        <v>27.5</v>
      </c>
      <c r="J1912" s="61">
        <v>16.899999999999999</v>
      </c>
      <c r="K1912" s="61">
        <v>8.5</v>
      </c>
      <c r="L1912" s="61">
        <v>56.1</v>
      </c>
      <c r="M1912" s="61">
        <v>42.5</v>
      </c>
      <c r="N1912" s="61">
        <v>57</v>
      </c>
      <c r="O1912" s="85">
        <v>54.2</v>
      </c>
      <c r="P1912" s="105"/>
      <c r="Q1912" s="87">
        <f t="shared" si="177"/>
        <v>9.8183778368622788E-3</v>
      </c>
      <c r="R1912" s="87">
        <f t="shared" si="181"/>
        <v>7.6576249681815818E-3</v>
      </c>
      <c r="S1912" s="87">
        <f t="shared" si="181"/>
        <v>6.1144875890295448E-3</v>
      </c>
      <c r="T1912" s="87">
        <f t="shared" si="180"/>
        <v>1.0810916104215676E-2</v>
      </c>
      <c r="U1912" s="87">
        <f t="shared" si="180"/>
        <v>-3.1529190596155305E-3</v>
      </c>
      <c r="V1912" s="87">
        <f t="shared" si="180"/>
        <v>4.0080213975388678E-3</v>
      </c>
      <c r="W1912" s="87">
        <f t="shared" si="180"/>
        <v>0</v>
      </c>
      <c r="X1912" s="87">
        <f t="shared" si="175"/>
        <v>2.2059718064732257E-2</v>
      </c>
      <c r="Y1912" s="87">
        <f t="shared" si="175"/>
        <v>1.7910926566530025E-2</v>
      </c>
      <c r="Z1912" s="87">
        <f t="shared" si="175"/>
        <v>2.3810648693718392E-2</v>
      </c>
      <c r="AA1912" s="87">
        <f t="shared" si="175"/>
        <v>7.155665595412232E-3</v>
      </c>
      <c r="AB1912" s="87">
        <f t="shared" si="179"/>
        <v>1.6607736399660546E-2</v>
      </c>
      <c r="AC1912" s="87">
        <f t="shared" si="179"/>
        <v>3.5718082602079246E-2</v>
      </c>
      <c r="AD1912" s="87">
        <f t="shared" si="179"/>
        <v>1.862251209800185E-2</v>
      </c>
      <c r="AE1912" s="90">
        <f t="shared" si="178"/>
        <v>5.4474568873923539E-3</v>
      </c>
    </row>
    <row r="1913" spans="1:31" ht="15.5" x14ac:dyDescent="0.35">
      <c r="A1913" s="82">
        <v>42542</v>
      </c>
      <c r="B1913" s="83">
        <v>10490.8</v>
      </c>
      <c r="C1913" s="84">
        <v>4843.8</v>
      </c>
      <c r="D1913" s="61">
        <v>704.7</v>
      </c>
      <c r="E1913" s="61">
        <v>37.200000000000003</v>
      </c>
      <c r="F1913" s="61">
        <v>94.7</v>
      </c>
      <c r="G1913" s="61">
        <v>50.2</v>
      </c>
      <c r="H1913" s="61">
        <v>9.1</v>
      </c>
      <c r="I1913" s="61">
        <v>27.1</v>
      </c>
      <c r="J1913" s="61">
        <v>16.5</v>
      </c>
      <c r="K1913" s="61">
        <v>8.4</v>
      </c>
      <c r="L1913" s="61">
        <v>56.2</v>
      </c>
      <c r="M1913" s="61">
        <v>42.2</v>
      </c>
      <c r="N1913" s="61">
        <v>56.7</v>
      </c>
      <c r="O1913" s="85">
        <v>54.4</v>
      </c>
      <c r="P1913" s="105"/>
      <c r="Q1913" s="87">
        <f t="shared" si="177"/>
        <v>3.8967041972244173E-3</v>
      </c>
      <c r="R1913" s="87">
        <f t="shared" si="181"/>
        <v>1.3634957179044906E-3</v>
      </c>
      <c r="S1913" s="87">
        <f t="shared" si="181"/>
        <v>-9.9283746897467755E-4</v>
      </c>
      <c r="T1913" s="87">
        <f t="shared" si="180"/>
        <v>0</v>
      </c>
      <c r="U1913" s="87">
        <f t="shared" si="180"/>
        <v>-3.1628914085081953E-3</v>
      </c>
      <c r="V1913" s="87">
        <f t="shared" si="180"/>
        <v>3.9920212695374567E-3</v>
      </c>
      <c r="W1913" s="87">
        <f t="shared" si="180"/>
        <v>-1.0929070532190206E-2</v>
      </c>
      <c r="X1913" s="87">
        <f t="shared" si="175"/>
        <v>-1.4652276786870375E-2</v>
      </c>
      <c r="Y1913" s="87">
        <f t="shared" si="175"/>
        <v>-2.3953241022492758E-2</v>
      </c>
      <c r="Z1913" s="87">
        <f t="shared" si="175"/>
        <v>-1.1834457647002796E-2</v>
      </c>
      <c r="AA1913" s="87">
        <f t="shared" si="175"/>
        <v>1.780944370994692E-3</v>
      </c>
      <c r="AB1913" s="87">
        <f t="shared" si="179"/>
        <v>-7.0838548884049318E-3</v>
      </c>
      <c r="AC1913" s="87">
        <f t="shared" si="179"/>
        <v>-5.2770571008436693E-3</v>
      </c>
      <c r="AD1913" s="87">
        <f t="shared" si="179"/>
        <v>3.683245416296368E-3</v>
      </c>
      <c r="AE1913" s="90">
        <f t="shared" si="178"/>
        <v>-3.3866333268074028E-4</v>
      </c>
    </row>
    <row r="1914" spans="1:31" ht="15.5" x14ac:dyDescent="0.35">
      <c r="A1914" s="82">
        <v>42543</v>
      </c>
      <c r="B1914" s="83">
        <v>10473.1</v>
      </c>
      <c r="C1914" s="84">
        <v>4833.3</v>
      </c>
      <c r="D1914" s="61">
        <v>705.9</v>
      </c>
      <c r="E1914" s="61">
        <v>37.200000000000003</v>
      </c>
      <c r="F1914" s="61">
        <v>95.4</v>
      </c>
      <c r="G1914" s="61">
        <v>51</v>
      </c>
      <c r="H1914" s="61">
        <v>9.1</v>
      </c>
      <c r="I1914" s="61">
        <v>27</v>
      </c>
      <c r="J1914" s="61">
        <v>16.5</v>
      </c>
      <c r="K1914" s="61">
        <v>8.4</v>
      </c>
      <c r="L1914" s="61">
        <v>56.1</v>
      </c>
      <c r="M1914" s="61">
        <v>42.5</v>
      </c>
      <c r="N1914" s="61">
        <v>56.8</v>
      </c>
      <c r="O1914" s="85">
        <v>54.5</v>
      </c>
      <c r="P1914" s="105"/>
      <c r="Q1914" s="87">
        <f t="shared" si="177"/>
        <v>-1.6886175001652455E-3</v>
      </c>
      <c r="R1914" s="87">
        <f t="shared" si="181"/>
        <v>-2.1700724639742435E-3</v>
      </c>
      <c r="S1914" s="87">
        <f t="shared" si="181"/>
        <v>1.7014040684496059E-3</v>
      </c>
      <c r="T1914" s="87">
        <f t="shared" si="180"/>
        <v>0</v>
      </c>
      <c r="U1914" s="87">
        <f t="shared" si="180"/>
        <v>7.3645782622082951E-3</v>
      </c>
      <c r="V1914" s="87">
        <f t="shared" si="180"/>
        <v>1.5810606026642245E-2</v>
      </c>
      <c r="W1914" s="87">
        <f t="shared" si="180"/>
        <v>0</v>
      </c>
      <c r="X1914" s="87">
        <f t="shared" si="180"/>
        <v>-3.6968618813262031E-3</v>
      </c>
      <c r="Y1914" s="87">
        <f t="shared" si="180"/>
        <v>0</v>
      </c>
      <c r="Z1914" s="87">
        <f t="shared" si="180"/>
        <v>0</v>
      </c>
      <c r="AA1914" s="87">
        <f t="shared" si="180"/>
        <v>-1.7809443709948087E-3</v>
      </c>
      <c r="AB1914" s="87">
        <f t="shared" si="179"/>
        <v>7.0838548884050419E-3</v>
      </c>
      <c r="AC1914" s="87">
        <f t="shared" si="179"/>
        <v>1.7621149933992233E-3</v>
      </c>
      <c r="AD1914" s="87">
        <f t="shared" si="179"/>
        <v>1.836547807301552E-3</v>
      </c>
      <c r="AE1914" s="90">
        <f t="shared" si="178"/>
        <v>2.176683195777141E-3</v>
      </c>
    </row>
    <row r="1915" spans="1:31" ht="15.5" x14ac:dyDescent="0.35">
      <c r="A1915" s="82">
        <v>42544</v>
      </c>
      <c r="B1915" s="83">
        <v>10641.2</v>
      </c>
      <c r="C1915" s="84">
        <v>4910</v>
      </c>
      <c r="D1915" s="61">
        <v>700.3</v>
      </c>
      <c r="E1915" s="61">
        <v>37.4</v>
      </c>
      <c r="F1915" s="61">
        <v>95.3</v>
      </c>
      <c r="G1915" s="61">
        <v>51.2</v>
      </c>
      <c r="H1915" s="61">
        <v>9.1</v>
      </c>
      <c r="I1915" s="61">
        <v>27.3</v>
      </c>
      <c r="J1915" s="61">
        <v>17.100000000000001</v>
      </c>
      <c r="K1915" s="61">
        <v>8.5</v>
      </c>
      <c r="L1915" s="61">
        <v>57.1</v>
      </c>
      <c r="M1915" s="61">
        <v>43.2</v>
      </c>
      <c r="N1915" s="61">
        <v>57.8</v>
      </c>
      <c r="O1915" s="85">
        <v>54</v>
      </c>
      <c r="P1915" s="105"/>
      <c r="Q1915" s="87">
        <f t="shared" si="177"/>
        <v>1.5923194401099905E-2</v>
      </c>
      <c r="R1915" s="87">
        <f t="shared" si="181"/>
        <v>1.574447762351569E-2</v>
      </c>
      <c r="S1915" s="87">
        <f t="shared" si="181"/>
        <v>-7.96476973995453E-3</v>
      </c>
      <c r="T1915" s="87">
        <f t="shared" si="180"/>
        <v>5.3619431413853731E-3</v>
      </c>
      <c r="U1915" s="87">
        <f t="shared" si="180"/>
        <v>-1.048767794084488E-3</v>
      </c>
      <c r="V1915" s="87">
        <f t="shared" si="180"/>
        <v>3.9138993211363148E-3</v>
      </c>
      <c r="W1915" s="87">
        <f t="shared" si="180"/>
        <v>0</v>
      </c>
      <c r="X1915" s="87">
        <f t="shared" si="180"/>
        <v>1.1049836186584935E-2</v>
      </c>
      <c r="Y1915" s="87">
        <f t="shared" si="180"/>
        <v>3.5718082602079246E-2</v>
      </c>
      <c r="Z1915" s="87">
        <f t="shared" si="180"/>
        <v>1.1834457647002798E-2</v>
      </c>
      <c r="AA1915" s="87">
        <f t="shared" si="180"/>
        <v>1.7668304133313897E-2</v>
      </c>
      <c r="AB1915" s="87">
        <f t="shared" si="179"/>
        <v>1.6336419319693599E-2</v>
      </c>
      <c r="AC1915" s="87">
        <f t="shared" si="179"/>
        <v>1.7452449951226207E-2</v>
      </c>
      <c r="AD1915" s="87">
        <f t="shared" si="179"/>
        <v>-9.2166551049239522E-3</v>
      </c>
      <c r="AE1915" s="90">
        <f t="shared" si="178"/>
        <v>9.6743131684248946E-4</v>
      </c>
    </row>
    <row r="1916" spans="1:31" ht="15.5" x14ac:dyDescent="0.35">
      <c r="A1916" s="82">
        <v>42545</v>
      </c>
      <c r="B1916" s="83">
        <v>10183.5</v>
      </c>
      <c r="C1916" s="84">
        <v>4708</v>
      </c>
      <c r="D1916" s="61">
        <v>684.9</v>
      </c>
      <c r="E1916" s="61">
        <v>36.1</v>
      </c>
      <c r="F1916" s="61">
        <v>92.7</v>
      </c>
      <c r="G1916" s="61">
        <v>49.5</v>
      </c>
      <c r="H1916" s="61">
        <v>9</v>
      </c>
      <c r="I1916" s="61">
        <v>25.5</v>
      </c>
      <c r="J1916" s="61">
        <v>16.600000000000001</v>
      </c>
      <c r="K1916" s="61">
        <v>8.1999999999999993</v>
      </c>
      <c r="L1916" s="61">
        <v>55.8</v>
      </c>
      <c r="M1916" s="61">
        <v>39.4</v>
      </c>
      <c r="N1916" s="61">
        <v>52.6</v>
      </c>
      <c r="O1916" s="85">
        <v>52.2</v>
      </c>
      <c r="P1916" s="105"/>
      <c r="Q1916" s="87">
        <f t="shared" si="177"/>
        <v>-4.3964496081304642E-2</v>
      </c>
      <c r="R1916" s="87">
        <f t="shared" si="181"/>
        <v>-4.201075240839891E-2</v>
      </c>
      <c r="S1916" s="87">
        <f t="shared" si="181"/>
        <v>-2.2235972457612493E-2</v>
      </c>
      <c r="T1916" s="87">
        <f t="shared" si="180"/>
        <v>-3.537783908165093E-2</v>
      </c>
      <c r="U1916" s="87">
        <f t="shared" si="180"/>
        <v>-2.7661338088346931E-2</v>
      </c>
      <c r="V1916" s="87">
        <f t="shared" si="180"/>
        <v>-3.3766862470817484E-2</v>
      </c>
      <c r="W1916" s="87">
        <f t="shared" si="180"/>
        <v>-1.1049836186584935E-2</v>
      </c>
      <c r="X1916" s="87">
        <f t="shared" si="180"/>
        <v>-6.8208250026533579E-2</v>
      </c>
      <c r="Y1916" s="87">
        <f t="shared" si="180"/>
        <v>-2.9675768146116551E-2</v>
      </c>
      <c r="Z1916" s="87">
        <f t="shared" si="180"/>
        <v>-3.593200922606344E-2</v>
      </c>
      <c r="AA1916" s="87">
        <f t="shared" si="180"/>
        <v>-2.3030247274699343E-2</v>
      </c>
      <c r="AB1916" s="87">
        <f t="shared" si="179"/>
        <v>-9.2074678946176561E-2</v>
      </c>
      <c r="AC1916" s="87">
        <f t="shared" si="179"/>
        <v>-9.4272655934667535E-2</v>
      </c>
      <c r="AD1916" s="87">
        <f t="shared" si="179"/>
        <v>-3.3901551675681339E-2</v>
      </c>
      <c r="AE1916" s="90">
        <f t="shared" si="178"/>
        <v>-3.1132687044645713E-2</v>
      </c>
    </row>
    <row r="1917" spans="1:31" ht="15.5" x14ac:dyDescent="0.35">
      <c r="A1917" s="82">
        <v>42548</v>
      </c>
      <c r="B1917" s="83">
        <v>9973.5</v>
      </c>
      <c r="C1917" s="84">
        <v>4594.3999999999996</v>
      </c>
      <c r="D1917" s="61">
        <v>672.7</v>
      </c>
      <c r="E1917" s="61">
        <v>35.1</v>
      </c>
      <c r="F1917" s="61">
        <v>91.5</v>
      </c>
      <c r="G1917" s="61">
        <v>48</v>
      </c>
      <c r="H1917" s="61">
        <v>8.9</v>
      </c>
      <c r="I1917" s="61">
        <v>24.4</v>
      </c>
      <c r="J1917" s="61">
        <v>15.7</v>
      </c>
      <c r="K1917" s="61">
        <v>8</v>
      </c>
      <c r="L1917" s="61">
        <v>55.1</v>
      </c>
      <c r="M1917" s="61">
        <v>36.200000000000003</v>
      </c>
      <c r="N1917" s="61">
        <v>50.4</v>
      </c>
      <c r="O1917" s="85">
        <v>51.5</v>
      </c>
      <c r="P1917" s="105"/>
      <c r="Q1917" s="87">
        <f t="shared" si="177"/>
        <v>-2.0837187899192124E-2</v>
      </c>
      <c r="R1917" s="87">
        <f t="shared" si="181"/>
        <v>-2.4425018830080684E-2</v>
      </c>
      <c r="S1917" s="87">
        <f t="shared" si="181"/>
        <v>-1.7973377172299309E-2</v>
      </c>
      <c r="T1917" s="87">
        <f t="shared" si="180"/>
        <v>-2.8091734867015068E-2</v>
      </c>
      <c r="U1917" s="87">
        <f t="shared" si="180"/>
        <v>-1.3029500290333907E-2</v>
      </c>
      <c r="V1917" s="87">
        <f t="shared" si="180"/>
        <v>-3.077165866675366E-2</v>
      </c>
      <c r="W1917" s="87">
        <f t="shared" si="180"/>
        <v>-1.1173300598125189E-2</v>
      </c>
      <c r="X1917" s="87">
        <f t="shared" si="180"/>
        <v>-4.4095319865224351E-2</v>
      </c>
      <c r="Y1917" s="87">
        <f t="shared" si="180"/>
        <v>-5.5741983008235303E-2</v>
      </c>
      <c r="Z1917" s="87">
        <f t="shared" si="180"/>
        <v>-2.4692612590371411E-2</v>
      </c>
      <c r="AA1917" s="87">
        <f t="shared" si="180"/>
        <v>-1.2624153228396402E-2</v>
      </c>
      <c r="AB1917" s="87">
        <f t="shared" si="179"/>
        <v>-8.4706697472162668E-2</v>
      </c>
      <c r="AC1917" s="87">
        <f t="shared" si="179"/>
        <v>-4.2724944666341268E-2</v>
      </c>
      <c r="AD1917" s="87">
        <f t="shared" si="179"/>
        <v>-1.3500687218902576E-2</v>
      </c>
      <c r="AE1917" s="90">
        <f t="shared" si="178"/>
        <v>-1.7949952632746232E-2</v>
      </c>
    </row>
    <row r="1918" spans="1:31" ht="15.5" x14ac:dyDescent="0.35">
      <c r="A1918" s="82">
        <v>42549</v>
      </c>
      <c r="B1918" s="83">
        <v>10161.200000000001</v>
      </c>
      <c r="C1918" s="84">
        <v>4691.8999999999996</v>
      </c>
      <c r="D1918" s="61">
        <v>684.9</v>
      </c>
      <c r="E1918" s="61">
        <v>35.5</v>
      </c>
      <c r="F1918" s="61">
        <v>92.1</v>
      </c>
      <c r="G1918" s="61">
        <v>48.7</v>
      </c>
      <c r="H1918" s="61">
        <v>9</v>
      </c>
      <c r="I1918" s="61">
        <v>24.7</v>
      </c>
      <c r="J1918" s="61">
        <v>15.7</v>
      </c>
      <c r="K1918" s="61">
        <v>8.5</v>
      </c>
      <c r="L1918" s="61">
        <v>55.1</v>
      </c>
      <c r="M1918" s="61">
        <v>36.6</v>
      </c>
      <c r="N1918" s="61">
        <v>51.6</v>
      </c>
      <c r="O1918" s="85">
        <v>51.6</v>
      </c>
      <c r="P1918" s="105"/>
      <c r="Q1918" s="87">
        <f t="shared" si="177"/>
        <v>1.8644969883609381E-2</v>
      </c>
      <c r="R1918" s="87">
        <f t="shared" si="181"/>
        <v>2.0999447123181549E-2</v>
      </c>
      <c r="S1918" s="87">
        <f t="shared" si="181"/>
        <v>1.797337717229933E-2</v>
      </c>
      <c r="T1918" s="87">
        <f t="shared" si="180"/>
        <v>1.1331566009550018E-2</v>
      </c>
      <c r="U1918" s="87">
        <f t="shared" si="180"/>
        <v>6.5359709797854493E-3</v>
      </c>
      <c r="V1918" s="87">
        <f t="shared" si="180"/>
        <v>1.4478019180653235E-2</v>
      </c>
      <c r="W1918" s="87">
        <f t="shared" si="180"/>
        <v>1.1173300598125255E-2</v>
      </c>
      <c r="X1918" s="87">
        <f t="shared" si="180"/>
        <v>1.2220111334775397E-2</v>
      </c>
      <c r="Y1918" s="87">
        <f t="shared" si="180"/>
        <v>0</v>
      </c>
      <c r="Z1918" s="87">
        <f t="shared" si="180"/>
        <v>6.062462181643484E-2</v>
      </c>
      <c r="AA1918" s="87">
        <f t="shared" si="180"/>
        <v>0</v>
      </c>
      <c r="AB1918" s="87">
        <f t="shared" si="179"/>
        <v>1.0989121575595165E-2</v>
      </c>
      <c r="AC1918" s="87">
        <f t="shared" si="179"/>
        <v>2.3530497410194251E-2</v>
      </c>
      <c r="AD1918" s="87">
        <f t="shared" si="179"/>
        <v>1.9398648178266761E-3</v>
      </c>
      <c r="AE1918" s="90">
        <f t="shared" si="178"/>
        <v>1.3661192157982848E-2</v>
      </c>
    </row>
    <row r="1919" spans="1:31" ht="15.5" x14ac:dyDescent="0.35">
      <c r="A1919" s="82">
        <v>42550</v>
      </c>
      <c r="B1919" s="83">
        <v>10350.5</v>
      </c>
      <c r="C1919" s="84">
        <v>4779.3</v>
      </c>
      <c r="D1919" s="61">
        <v>692.7</v>
      </c>
      <c r="E1919" s="61">
        <v>36.299999999999997</v>
      </c>
      <c r="F1919" s="61">
        <v>93.6</v>
      </c>
      <c r="G1919" s="61">
        <v>49.8</v>
      </c>
      <c r="H1919" s="61">
        <v>9</v>
      </c>
      <c r="I1919" s="61">
        <v>25.2</v>
      </c>
      <c r="J1919" s="61">
        <v>15.8</v>
      </c>
      <c r="K1919" s="61">
        <v>8.8000000000000007</v>
      </c>
      <c r="L1919" s="61">
        <v>56</v>
      </c>
      <c r="M1919" s="61">
        <v>37.799999999999997</v>
      </c>
      <c r="N1919" s="61">
        <v>53.9</v>
      </c>
      <c r="O1919" s="85">
        <v>52.9</v>
      </c>
      <c r="P1919" s="105"/>
      <c r="Q1919" s="87">
        <f t="shared" si="177"/>
        <v>1.8458282311179762E-2</v>
      </c>
      <c r="R1919" s="87">
        <f t="shared" si="181"/>
        <v>1.8456474573690675E-2</v>
      </c>
      <c r="S1919" s="87">
        <f t="shared" si="181"/>
        <v>1.1324162824700033E-2</v>
      </c>
      <c r="T1919" s="87">
        <f t="shared" si="180"/>
        <v>2.2285044789434955E-2</v>
      </c>
      <c r="U1919" s="87">
        <f t="shared" si="180"/>
        <v>1.6155440222285208E-2</v>
      </c>
      <c r="V1919" s="87">
        <f t="shared" si="180"/>
        <v>2.2335953942063082E-2</v>
      </c>
      <c r="W1919" s="87">
        <f t="shared" si="180"/>
        <v>0</v>
      </c>
      <c r="X1919" s="87">
        <f t="shared" si="180"/>
        <v>2.0040750883446191E-2</v>
      </c>
      <c r="Y1919" s="87">
        <f t="shared" si="180"/>
        <v>6.3492276786587445E-3</v>
      </c>
      <c r="Z1919" s="87">
        <f t="shared" si="180"/>
        <v>3.4685557987890109E-2</v>
      </c>
      <c r="AA1919" s="87">
        <f t="shared" si="180"/>
        <v>1.6201974576280406E-2</v>
      </c>
      <c r="AB1919" s="87">
        <f t="shared" si="179"/>
        <v>3.2260862218221262E-2</v>
      </c>
      <c r="AC1919" s="87">
        <f t="shared" si="179"/>
        <v>4.3608805427434283E-2</v>
      </c>
      <c r="AD1919" s="87">
        <f t="shared" si="179"/>
        <v>2.4881666376736691E-2</v>
      </c>
      <c r="AE1919" s="90">
        <f t="shared" si="178"/>
        <v>1.6491403646398856E-2</v>
      </c>
    </row>
    <row r="1920" spans="1:31" ht="15.5" x14ac:dyDescent="0.35">
      <c r="A1920" s="82">
        <v>42551</v>
      </c>
      <c r="B1920" s="83">
        <v>10489.8</v>
      </c>
      <c r="C1920" s="84">
        <v>4842.7</v>
      </c>
      <c r="D1920" s="61">
        <v>694.9</v>
      </c>
      <c r="E1920" s="61">
        <v>36.9</v>
      </c>
      <c r="F1920" s="61">
        <v>94.3</v>
      </c>
      <c r="G1920" s="61">
        <v>50.5</v>
      </c>
      <c r="H1920" s="61">
        <v>9</v>
      </c>
      <c r="I1920" s="61">
        <v>25.2</v>
      </c>
      <c r="J1920" s="61">
        <v>15.6</v>
      </c>
      <c r="K1920" s="61">
        <v>8.6999999999999993</v>
      </c>
      <c r="L1920" s="61">
        <v>56.9</v>
      </c>
      <c r="M1920" s="61">
        <v>38.799999999999997</v>
      </c>
      <c r="N1920" s="61">
        <v>54.5</v>
      </c>
      <c r="O1920" s="85">
        <v>54.6</v>
      </c>
      <c r="P1920" s="105"/>
      <c r="Q1920" s="87">
        <f t="shared" si="177"/>
        <v>1.3368528726249882E-2</v>
      </c>
      <c r="R1920" s="87">
        <f t="shared" si="181"/>
        <v>1.3178324162228222E-2</v>
      </c>
      <c r="S1920" s="87">
        <f t="shared" si="181"/>
        <v>3.1709452917221691E-3</v>
      </c>
      <c r="T1920" s="87">
        <f t="shared" si="180"/>
        <v>1.6393809775676352E-2</v>
      </c>
      <c r="U1920" s="87">
        <f t="shared" si="180"/>
        <v>7.4508061558654212E-3</v>
      </c>
      <c r="V1920" s="87">
        <f t="shared" si="180"/>
        <v>1.3958352250706855E-2</v>
      </c>
      <c r="W1920" s="87">
        <f t="shared" si="180"/>
        <v>0</v>
      </c>
      <c r="X1920" s="87">
        <f t="shared" si="180"/>
        <v>0</v>
      </c>
      <c r="Y1920" s="87">
        <f t="shared" si="180"/>
        <v>-1.2739025777429826E-2</v>
      </c>
      <c r="Z1920" s="87">
        <f t="shared" si="180"/>
        <v>-1.1428695823622968E-2</v>
      </c>
      <c r="AA1920" s="87">
        <f t="shared" si="180"/>
        <v>1.5943650397135946E-2</v>
      </c>
      <c r="AB1920" s="87">
        <f t="shared" si="179"/>
        <v>2.6111144003685804E-2</v>
      </c>
      <c r="AC1920" s="87">
        <f t="shared" si="179"/>
        <v>1.1070223754246893E-2</v>
      </c>
      <c r="AD1920" s="87">
        <f t="shared" si="179"/>
        <v>3.1630543886605744E-2</v>
      </c>
      <c r="AE1920" s="90">
        <f t="shared" si="178"/>
        <v>1.0853635266951045E-2</v>
      </c>
    </row>
    <row r="1921" spans="1:31" ht="15.5" x14ac:dyDescent="0.35">
      <c r="A1921" s="82">
        <v>42552</v>
      </c>
      <c r="B1921" s="83">
        <v>10515.8</v>
      </c>
      <c r="C1921" s="84">
        <v>4862.6000000000004</v>
      </c>
      <c r="D1921" s="61">
        <v>703.7</v>
      </c>
      <c r="E1921" s="61">
        <v>37.4</v>
      </c>
      <c r="F1921" s="61">
        <v>95.3</v>
      </c>
      <c r="G1921" s="61">
        <v>51.1</v>
      </c>
      <c r="H1921" s="61">
        <v>9.1</v>
      </c>
      <c r="I1921" s="61">
        <v>25.7</v>
      </c>
      <c r="J1921" s="61">
        <v>16.3</v>
      </c>
      <c r="K1921" s="61">
        <v>8.8000000000000007</v>
      </c>
      <c r="L1921" s="61">
        <v>57.4</v>
      </c>
      <c r="M1921" s="61">
        <v>39.200000000000003</v>
      </c>
      <c r="N1921" s="61">
        <v>55.9</v>
      </c>
      <c r="O1921" s="85">
        <v>54.9</v>
      </c>
      <c r="P1921" s="105"/>
      <c r="Q1921" s="87">
        <f t="shared" si="177"/>
        <v>2.4755315989915053E-3</v>
      </c>
      <c r="R1921" s="87">
        <f t="shared" si="181"/>
        <v>4.1008578587456946E-3</v>
      </c>
      <c r="S1921" s="87">
        <f t="shared" si="181"/>
        <v>1.2584178652221631E-2</v>
      </c>
      <c r="T1921" s="87">
        <f t="shared" si="180"/>
        <v>1.3459153374004711E-2</v>
      </c>
      <c r="U1921" s="87">
        <f t="shared" si="180"/>
        <v>1.0548621020744541E-2</v>
      </c>
      <c r="V1921" s="87">
        <f t="shared" si="180"/>
        <v>1.1811160928344619E-2</v>
      </c>
      <c r="W1921" s="87">
        <f t="shared" si="180"/>
        <v>1.1049836186584935E-2</v>
      </c>
      <c r="X1921" s="87">
        <f t="shared" si="180"/>
        <v>1.9646997383796421E-2</v>
      </c>
      <c r="Y1921" s="87">
        <f t="shared" si="180"/>
        <v>4.3894193557225347E-2</v>
      </c>
      <c r="Z1921" s="87">
        <f t="shared" si="180"/>
        <v>1.142869582362285E-2</v>
      </c>
      <c r="AA1921" s="87">
        <f t="shared" si="180"/>
        <v>8.7489621932355446E-3</v>
      </c>
      <c r="AB1921" s="87">
        <f t="shared" si="179"/>
        <v>1.0256500167189282E-2</v>
      </c>
      <c r="AC1921" s="87">
        <f t="shared" si="179"/>
        <v>2.5363678491854977E-2</v>
      </c>
      <c r="AD1921" s="87">
        <f t="shared" si="179"/>
        <v>5.4794657646255705E-3</v>
      </c>
      <c r="AE1921" s="90">
        <f t="shared" si="178"/>
        <v>8.5957053928573893E-3</v>
      </c>
    </row>
    <row r="1922" spans="1:31" ht="15.5" x14ac:dyDescent="0.35">
      <c r="A1922" s="82">
        <v>42556</v>
      </c>
      <c r="B1922" s="83">
        <v>10409.5</v>
      </c>
      <c r="C1922" s="84">
        <v>4822.8999999999996</v>
      </c>
      <c r="D1922" s="61">
        <v>699.1</v>
      </c>
      <c r="E1922" s="61">
        <v>37.200000000000003</v>
      </c>
      <c r="F1922" s="61">
        <v>94.5</v>
      </c>
      <c r="G1922" s="61">
        <v>50.7</v>
      </c>
      <c r="H1922" s="61">
        <v>8.9</v>
      </c>
      <c r="I1922" s="61">
        <v>24.9</v>
      </c>
      <c r="J1922" s="61">
        <v>16.2</v>
      </c>
      <c r="K1922" s="61">
        <v>8.5</v>
      </c>
      <c r="L1922" s="61">
        <v>57.8</v>
      </c>
      <c r="M1922" s="61">
        <v>37.5</v>
      </c>
      <c r="N1922" s="61">
        <v>54.1</v>
      </c>
      <c r="O1922" s="85">
        <v>55</v>
      </c>
      <c r="P1922" s="105"/>
      <c r="Q1922" s="87">
        <f t="shared" si="177"/>
        <v>-1.0160037314821388E-2</v>
      </c>
      <c r="R1922" s="87">
        <f t="shared" si="181"/>
        <v>-8.1978673969113156E-3</v>
      </c>
      <c r="S1922" s="87">
        <f t="shared" si="181"/>
        <v>-6.5583354545638373E-3</v>
      </c>
      <c r="T1922" s="87">
        <f t="shared" si="180"/>
        <v>-5.3619431413852872E-3</v>
      </c>
      <c r="U1922" s="87">
        <f t="shared" si="180"/>
        <v>-8.4299761604593754E-3</v>
      </c>
      <c r="V1922" s="87">
        <f t="shared" si="180"/>
        <v>-7.8585866125212706E-3</v>
      </c>
      <c r="W1922" s="87">
        <f t="shared" si="180"/>
        <v>-2.2223136784710124E-2</v>
      </c>
      <c r="X1922" s="87">
        <f t="shared" si="180"/>
        <v>-3.1623188430512185E-2</v>
      </c>
      <c r="Y1922" s="87">
        <f t="shared" si="180"/>
        <v>-6.1538655743783354E-3</v>
      </c>
      <c r="Z1922" s="87">
        <f t="shared" si="180"/>
        <v>-3.4685557987890102E-2</v>
      </c>
      <c r="AA1922" s="87">
        <f t="shared" si="180"/>
        <v>6.944472352810995E-3</v>
      </c>
      <c r="AB1922" s="87">
        <f t="shared" si="179"/>
        <v>-4.4335813820051743E-2</v>
      </c>
      <c r="AC1922" s="87">
        <f t="shared" si="179"/>
        <v>-3.2730194308617629E-2</v>
      </c>
      <c r="AD1922" s="87">
        <f t="shared" si="179"/>
        <v>1.8198367169858993E-3</v>
      </c>
      <c r="AE1922" s="90">
        <f t="shared" si="178"/>
        <v>-6.5666054795520705E-3</v>
      </c>
    </row>
    <row r="1923" spans="1:31" ht="15.5" x14ac:dyDescent="0.35">
      <c r="A1923" s="82">
        <v>42557</v>
      </c>
      <c r="B1923" s="83">
        <v>10441.6</v>
      </c>
      <c r="C1923" s="84">
        <v>4859.2</v>
      </c>
      <c r="D1923" s="61">
        <v>699</v>
      </c>
      <c r="E1923" s="61">
        <v>37.1</v>
      </c>
      <c r="F1923" s="61">
        <v>94.4</v>
      </c>
      <c r="G1923" s="61">
        <v>50.4</v>
      </c>
      <c r="H1923" s="61">
        <v>9</v>
      </c>
      <c r="I1923" s="61">
        <v>24.3</v>
      </c>
      <c r="J1923" s="61">
        <v>15.7</v>
      </c>
      <c r="K1923" s="61">
        <v>8.3000000000000007</v>
      </c>
      <c r="L1923" s="61">
        <v>58.1</v>
      </c>
      <c r="M1923" s="61">
        <v>37</v>
      </c>
      <c r="N1923" s="61">
        <v>53.5</v>
      </c>
      <c r="O1923" s="85">
        <v>54.8</v>
      </c>
      <c r="P1923" s="105"/>
      <c r="Q1923" s="87">
        <f t="shared" si="177"/>
        <v>3.0789766831732135E-3</v>
      </c>
      <c r="R1923" s="87">
        <f t="shared" si="181"/>
        <v>7.498408420462635E-3</v>
      </c>
      <c r="S1923" s="87">
        <f t="shared" si="181"/>
        <v>-1.4305128412924853E-4</v>
      </c>
      <c r="T1923" s="87">
        <f t="shared" si="180"/>
        <v>-2.6917916657114146E-3</v>
      </c>
      <c r="U1923" s="87">
        <f t="shared" si="180"/>
        <v>-1.0587613482419878E-3</v>
      </c>
      <c r="V1923" s="87">
        <f t="shared" si="180"/>
        <v>-5.9347355198145777E-3</v>
      </c>
      <c r="W1923" s="87">
        <f t="shared" si="180"/>
        <v>1.1173300598125255E-2</v>
      </c>
      <c r="X1923" s="87">
        <f t="shared" si="180"/>
        <v>-2.4391453124159124E-2</v>
      </c>
      <c r="Y1923" s="87">
        <f t="shared" si="180"/>
        <v>-3.1350529884076044E-2</v>
      </c>
      <c r="Z1923" s="87">
        <f t="shared" si="180"/>
        <v>-2.3810648693718447E-2</v>
      </c>
      <c r="AA1923" s="87">
        <f t="shared" si="180"/>
        <v>5.1768881795337274E-3</v>
      </c>
      <c r="AB1923" s="87">
        <f t="shared" si="179"/>
        <v>-1.3423020332140661E-2</v>
      </c>
      <c r="AC1923" s="87">
        <f t="shared" si="179"/>
        <v>-1.1152531950475003E-2</v>
      </c>
      <c r="AD1923" s="87">
        <f t="shared" si="179"/>
        <v>-3.6429912785010919E-3</v>
      </c>
      <c r="AE1923" s="90">
        <f t="shared" si="178"/>
        <v>1.4602160904477891E-3</v>
      </c>
    </row>
    <row r="1924" spans="1:31" ht="15.5" x14ac:dyDescent="0.35">
      <c r="A1924" s="82">
        <v>42558</v>
      </c>
      <c r="B1924" s="83">
        <v>10414</v>
      </c>
      <c r="C1924" s="84">
        <v>4876.8</v>
      </c>
      <c r="D1924" s="61">
        <v>700.7</v>
      </c>
      <c r="E1924" s="61">
        <v>37.299999999999997</v>
      </c>
      <c r="F1924" s="61">
        <v>95.6</v>
      </c>
      <c r="G1924" s="61">
        <v>51.1</v>
      </c>
      <c r="H1924" s="61">
        <v>8.9</v>
      </c>
      <c r="I1924" s="61">
        <v>25.3</v>
      </c>
      <c r="J1924" s="61">
        <v>15.9</v>
      </c>
      <c r="K1924" s="61">
        <v>8.4</v>
      </c>
      <c r="L1924" s="61">
        <v>58.3</v>
      </c>
      <c r="M1924" s="61">
        <v>37.9</v>
      </c>
      <c r="N1924" s="61">
        <v>54.9</v>
      </c>
      <c r="O1924" s="85">
        <v>55.6</v>
      </c>
      <c r="P1924" s="105"/>
      <c r="Q1924" s="87">
        <f t="shared" si="177"/>
        <v>-2.6467726761571823E-3</v>
      </c>
      <c r="R1924" s="87">
        <f t="shared" si="181"/>
        <v>3.6154517607881443E-3</v>
      </c>
      <c r="S1924" s="87">
        <f t="shared" si="181"/>
        <v>2.4290931426780502E-3</v>
      </c>
      <c r="T1924" s="87">
        <f t="shared" si="180"/>
        <v>5.3763570363802747E-3</v>
      </c>
      <c r="U1924" s="87">
        <f t="shared" si="180"/>
        <v>1.2631746905900564E-2</v>
      </c>
      <c r="V1924" s="87">
        <f t="shared" si="180"/>
        <v>1.3793322132335769E-2</v>
      </c>
      <c r="W1924" s="87">
        <f t="shared" si="180"/>
        <v>-1.1173300598125189E-2</v>
      </c>
      <c r="X1924" s="87">
        <f t="shared" si="180"/>
        <v>4.0328045386971809E-2</v>
      </c>
      <c r="Y1924" s="87">
        <f t="shared" si="180"/>
        <v>1.2658396871923465E-2</v>
      </c>
      <c r="Z1924" s="87">
        <f t="shared" si="180"/>
        <v>1.197619104671562E-2</v>
      </c>
      <c r="AA1924" s="87">
        <f t="shared" si="180"/>
        <v>3.4364294985810974E-3</v>
      </c>
      <c r="AB1924" s="87">
        <f t="shared" si="179"/>
        <v>2.4033199444156193E-2</v>
      </c>
      <c r="AC1924" s="87">
        <f t="shared" si="179"/>
        <v>2.5831694613523956E-2</v>
      </c>
      <c r="AD1924" s="87">
        <f t="shared" si="179"/>
        <v>1.4493007302566824E-2</v>
      </c>
      <c r="AE1924" s="90">
        <f t="shared" si="178"/>
        <v>7.1683858240789468E-3</v>
      </c>
    </row>
    <row r="1925" spans="1:31" ht="15.5" x14ac:dyDescent="0.35">
      <c r="A1925" s="82">
        <v>42559</v>
      </c>
      <c r="B1925" s="83">
        <v>10571.8</v>
      </c>
      <c r="C1925" s="84">
        <v>4956.8</v>
      </c>
      <c r="D1925" s="61">
        <v>708.1</v>
      </c>
      <c r="E1925" s="61">
        <v>37.1</v>
      </c>
      <c r="F1925" s="61">
        <v>96.1</v>
      </c>
      <c r="G1925" s="61">
        <v>51.6</v>
      </c>
      <c r="H1925" s="61">
        <v>8.9</v>
      </c>
      <c r="I1925" s="61">
        <v>25.9</v>
      </c>
      <c r="J1925" s="61">
        <v>15.6</v>
      </c>
      <c r="K1925" s="61">
        <v>8.4</v>
      </c>
      <c r="L1925" s="61">
        <v>58.8</v>
      </c>
      <c r="M1925" s="61">
        <v>38.9</v>
      </c>
      <c r="N1925" s="61">
        <v>56.4</v>
      </c>
      <c r="O1925" s="85">
        <v>56.1</v>
      </c>
      <c r="P1925" s="105"/>
      <c r="Q1925" s="87">
        <f t="shared" si="177"/>
        <v>1.5039023926059705E-2</v>
      </c>
      <c r="R1925" s="87">
        <f t="shared" si="181"/>
        <v>1.6271104170277093E-2</v>
      </c>
      <c r="S1925" s="87">
        <f t="shared" si="181"/>
        <v>1.050549128123999E-2</v>
      </c>
      <c r="T1925" s="87">
        <f t="shared" si="180"/>
        <v>-5.3763570363802938E-3</v>
      </c>
      <c r="U1925" s="87">
        <f t="shared" si="180"/>
        <v>5.2164959188911505E-3</v>
      </c>
      <c r="V1925" s="87">
        <f t="shared" si="180"/>
        <v>9.737175277858244E-3</v>
      </c>
      <c r="W1925" s="87">
        <f t="shared" si="180"/>
        <v>0</v>
      </c>
      <c r="X1925" s="87">
        <f t="shared" si="180"/>
        <v>2.3438572972017381E-2</v>
      </c>
      <c r="Y1925" s="87">
        <f t="shared" si="180"/>
        <v>-1.9048194970694474E-2</v>
      </c>
      <c r="Z1925" s="87">
        <f t="shared" si="180"/>
        <v>0</v>
      </c>
      <c r="AA1925" s="87">
        <f t="shared" si="180"/>
        <v>8.539761548134581E-3</v>
      </c>
      <c r="AB1925" s="87">
        <f t="shared" si="179"/>
        <v>2.6043138536019875E-2</v>
      </c>
      <c r="AC1925" s="87">
        <f t="shared" si="179"/>
        <v>2.6955809988528295E-2</v>
      </c>
      <c r="AD1925" s="87">
        <f t="shared" si="179"/>
        <v>8.9526112721138845E-3</v>
      </c>
      <c r="AE1925" s="90">
        <f t="shared" si="178"/>
        <v>1.0532645621894265E-2</v>
      </c>
    </row>
    <row r="1926" spans="1:31" ht="15.5" x14ac:dyDescent="0.35">
      <c r="A1926" s="82">
        <v>42562</v>
      </c>
      <c r="B1926" s="83">
        <v>10627.2</v>
      </c>
      <c r="C1926" s="84">
        <v>4988.6000000000004</v>
      </c>
      <c r="D1926" s="61">
        <v>718.9</v>
      </c>
      <c r="E1926" s="61">
        <v>37.4</v>
      </c>
      <c r="F1926" s="61">
        <v>96.7</v>
      </c>
      <c r="G1926" s="61">
        <v>52.5</v>
      </c>
      <c r="H1926" s="61">
        <v>9</v>
      </c>
      <c r="I1926" s="61">
        <v>26.6</v>
      </c>
      <c r="J1926" s="61">
        <v>15.8</v>
      </c>
      <c r="K1926" s="61">
        <v>8.5</v>
      </c>
      <c r="L1926" s="61">
        <v>59.2</v>
      </c>
      <c r="M1926" s="61">
        <v>39.4</v>
      </c>
      <c r="N1926" s="61">
        <v>57.2</v>
      </c>
      <c r="O1926" s="85">
        <v>56.7</v>
      </c>
      <c r="P1926" s="105"/>
      <c r="Q1926" s="87">
        <f t="shared" si="177"/>
        <v>5.2266735335233482E-3</v>
      </c>
      <c r="R1926" s="87">
        <f t="shared" si="181"/>
        <v>6.394938036135763E-3</v>
      </c>
      <c r="S1926" s="87">
        <f t="shared" si="181"/>
        <v>1.5136939332097551E-2</v>
      </c>
      <c r="T1926" s="87">
        <f t="shared" si="180"/>
        <v>8.053734807096825E-3</v>
      </c>
      <c r="U1926" s="87">
        <f t="shared" si="180"/>
        <v>6.2240864830018852E-3</v>
      </c>
      <c r="V1926" s="87">
        <f t="shared" si="180"/>
        <v>1.7291497110061043E-2</v>
      </c>
      <c r="W1926" s="87">
        <f t="shared" si="180"/>
        <v>1.1173300598125255E-2</v>
      </c>
      <c r="X1926" s="87">
        <f t="shared" si="180"/>
        <v>2.6668247082161489E-2</v>
      </c>
      <c r="Y1926" s="87">
        <f t="shared" si="180"/>
        <v>1.2739025777429932E-2</v>
      </c>
      <c r="Z1926" s="87">
        <f t="shared" si="180"/>
        <v>1.1834457647002798E-2</v>
      </c>
      <c r="AA1926" s="87">
        <f t="shared" si="180"/>
        <v>6.7796869853787691E-3</v>
      </c>
      <c r="AB1926" s="87">
        <f t="shared" si="179"/>
        <v>1.2771565679487539E-2</v>
      </c>
      <c r="AC1926" s="87">
        <f t="shared" si="179"/>
        <v>1.4084739881739023E-2</v>
      </c>
      <c r="AD1926" s="87">
        <f t="shared" si="179"/>
        <v>1.0638398205055797E-2</v>
      </c>
      <c r="AE1926" s="90">
        <f t="shared" si="178"/>
        <v>9.4212161987252165E-3</v>
      </c>
    </row>
    <row r="1927" spans="1:31" ht="15.5" x14ac:dyDescent="0.35">
      <c r="A1927" s="82">
        <v>42563</v>
      </c>
      <c r="B1927" s="83">
        <v>10726.8</v>
      </c>
      <c r="C1927" s="84">
        <v>5022.8</v>
      </c>
      <c r="D1927" s="61">
        <v>727.5</v>
      </c>
      <c r="E1927" s="61">
        <v>37.9</v>
      </c>
      <c r="F1927" s="61">
        <v>97.1</v>
      </c>
      <c r="G1927" s="61">
        <v>52.8</v>
      </c>
      <c r="H1927" s="61">
        <v>9.1</v>
      </c>
      <c r="I1927" s="61">
        <v>26.9</v>
      </c>
      <c r="J1927" s="61">
        <v>16</v>
      </c>
      <c r="K1927" s="61">
        <v>8.5</v>
      </c>
      <c r="L1927" s="61">
        <v>59.1</v>
      </c>
      <c r="M1927" s="61">
        <v>40.299999999999997</v>
      </c>
      <c r="N1927" s="61">
        <v>58.4</v>
      </c>
      <c r="O1927" s="85">
        <v>57.1</v>
      </c>
      <c r="P1927" s="105"/>
      <c r="Q1927" s="87">
        <f t="shared" si="177"/>
        <v>9.3285306993797536E-3</v>
      </c>
      <c r="R1927" s="87">
        <f t="shared" si="181"/>
        <v>6.8322378561236404E-3</v>
      </c>
      <c r="S1927" s="87">
        <f t="shared" si="181"/>
        <v>1.1891733055821677E-2</v>
      </c>
      <c r="T1927" s="87">
        <f t="shared" si="180"/>
        <v>1.3280407667894466E-2</v>
      </c>
      <c r="U1927" s="87">
        <f t="shared" si="180"/>
        <v>4.1279728380305908E-3</v>
      </c>
      <c r="V1927" s="87">
        <f t="shared" si="180"/>
        <v>5.6980211146375748E-3</v>
      </c>
      <c r="W1927" s="87">
        <f t="shared" si="180"/>
        <v>1.1049836186584935E-2</v>
      </c>
      <c r="X1927" s="87">
        <f t="shared" si="180"/>
        <v>1.1215070820140003E-2</v>
      </c>
      <c r="Y1927" s="87">
        <f t="shared" si="180"/>
        <v>1.2578782206859965E-2</v>
      </c>
      <c r="Z1927" s="87">
        <f t="shared" si="180"/>
        <v>0</v>
      </c>
      <c r="AA1927" s="87">
        <f t="shared" si="180"/>
        <v>-1.6906174779075501E-3</v>
      </c>
      <c r="AB1927" s="87">
        <f t="shared" si="179"/>
        <v>2.258565264874907E-2</v>
      </c>
      <c r="AC1927" s="87">
        <f t="shared" si="179"/>
        <v>2.0761991448429006E-2</v>
      </c>
      <c r="AD1927" s="87">
        <f t="shared" si="179"/>
        <v>7.0299059282581461E-3</v>
      </c>
      <c r="AE1927" s="90">
        <f t="shared" si="178"/>
        <v>7.5642491411783142E-3</v>
      </c>
    </row>
    <row r="1928" spans="1:31" ht="15.5" x14ac:dyDescent="0.35">
      <c r="A1928" s="82">
        <v>42564</v>
      </c>
      <c r="B1928" s="83">
        <v>10734.2</v>
      </c>
      <c r="C1928" s="84">
        <v>5005.7</v>
      </c>
      <c r="D1928" s="61">
        <v>729</v>
      </c>
      <c r="E1928" s="61">
        <v>37.5</v>
      </c>
      <c r="F1928" s="61">
        <v>96.8</v>
      </c>
      <c r="G1928" s="61">
        <v>53.2</v>
      </c>
      <c r="H1928" s="61">
        <v>9</v>
      </c>
      <c r="I1928" s="61">
        <v>26.5</v>
      </c>
      <c r="J1928" s="61">
        <v>16</v>
      </c>
      <c r="K1928" s="61">
        <v>8.5</v>
      </c>
      <c r="L1928" s="61">
        <v>59.5</v>
      </c>
      <c r="M1928" s="61">
        <v>40</v>
      </c>
      <c r="N1928" s="61">
        <v>58.6</v>
      </c>
      <c r="O1928" s="85">
        <v>57.7</v>
      </c>
      <c r="P1928" s="105"/>
      <c r="Q1928" s="87">
        <f t="shared" si="177"/>
        <v>6.8962306446827154E-4</v>
      </c>
      <c r="R1928" s="87">
        <f t="shared" si="181"/>
        <v>-3.4102840051453286E-3</v>
      </c>
      <c r="S1928" s="87">
        <f t="shared" si="181"/>
        <v>2.0597329630105622E-3</v>
      </c>
      <c r="T1928" s="87">
        <f t="shared" si="180"/>
        <v>-1.0610179112015459E-2</v>
      </c>
      <c r="U1928" s="87">
        <f t="shared" si="180"/>
        <v>-3.0943810147479119E-3</v>
      </c>
      <c r="V1928" s="87">
        <f t="shared" si="180"/>
        <v>7.5472056353831241E-3</v>
      </c>
      <c r="W1928" s="87">
        <f t="shared" si="180"/>
        <v>-1.1049836186584935E-2</v>
      </c>
      <c r="X1928" s="87">
        <f t="shared" si="180"/>
        <v>-1.4981553615616833E-2</v>
      </c>
      <c r="Y1928" s="87">
        <f t="shared" si="180"/>
        <v>0</v>
      </c>
      <c r="Z1928" s="87">
        <f t="shared" si="180"/>
        <v>0</v>
      </c>
      <c r="AA1928" s="87">
        <f t="shared" si="180"/>
        <v>6.7453881395314347E-3</v>
      </c>
      <c r="AB1928" s="87">
        <f t="shared" si="179"/>
        <v>-7.4720148387009541E-3</v>
      </c>
      <c r="AC1928" s="87">
        <f t="shared" si="179"/>
        <v>3.4188067487856823E-3</v>
      </c>
      <c r="AD1928" s="87">
        <f t="shared" si="179"/>
        <v>1.0453056852089441E-2</v>
      </c>
      <c r="AE1928" s="90">
        <f t="shared" si="178"/>
        <v>-3.3464419269607507E-5</v>
      </c>
    </row>
    <row r="1929" spans="1:31" ht="15.5" x14ac:dyDescent="0.35">
      <c r="A1929" s="82">
        <v>42565</v>
      </c>
      <c r="B1929" s="83">
        <v>10786.6</v>
      </c>
      <c r="C1929" s="84">
        <v>5034.1000000000004</v>
      </c>
      <c r="D1929" s="61">
        <v>730.6</v>
      </c>
      <c r="E1929" s="61">
        <v>37.9</v>
      </c>
      <c r="F1929" s="61">
        <v>97.3</v>
      </c>
      <c r="G1929" s="61">
        <v>53.6</v>
      </c>
      <c r="H1929" s="61">
        <v>9</v>
      </c>
      <c r="I1929" s="61">
        <v>26.5</v>
      </c>
      <c r="J1929" s="61">
        <v>16.8</v>
      </c>
      <c r="K1929" s="61">
        <v>8.5</v>
      </c>
      <c r="L1929" s="61">
        <v>59.5</v>
      </c>
      <c r="M1929" s="61">
        <v>41.9</v>
      </c>
      <c r="N1929" s="61">
        <v>59.1</v>
      </c>
      <c r="O1929" s="85">
        <v>58.2</v>
      </c>
      <c r="P1929" s="105"/>
      <c r="Q1929" s="87">
        <f t="shared" si="177"/>
        <v>4.8697170692281857E-3</v>
      </c>
      <c r="R1929" s="87">
        <f t="shared" si="181"/>
        <v>5.6574983068467056E-3</v>
      </c>
      <c r="S1929" s="87">
        <f t="shared" si="181"/>
        <v>2.1923823525239979E-3</v>
      </c>
      <c r="T1929" s="87">
        <f t="shared" si="180"/>
        <v>1.0610179112015469E-2</v>
      </c>
      <c r="U1929" s="87">
        <f t="shared" si="180"/>
        <v>5.1519949094281118E-3</v>
      </c>
      <c r="V1929" s="87">
        <f t="shared" si="180"/>
        <v>7.4906717291576587E-3</v>
      </c>
      <c r="W1929" s="87">
        <f t="shared" si="180"/>
        <v>0</v>
      </c>
      <c r="X1929" s="87">
        <f t="shared" si="180"/>
        <v>0</v>
      </c>
      <c r="Y1929" s="87">
        <f t="shared" si="180"/>
        <v>4.8790164169432049E-2</v>
      </c>
      <c r="Z1929" s="87">
        <f t="shared" si="180"/>
        <v>0</v>
      </c>
      <c r="AA1929" s="87">
        <f t="shared" si="180"/>
        <v>0</v>
      </c>
      <c r="AB1929" s="87">
        <f t="shared" si="179"/>
        <v>4.6406372814155626E-2</v>
      </c>
      <c r="AC1929" s="87">
        <f t="shared" si="179"/>
        <v>8.4962278290855991E-3</v>
      </c>
      <c r="AD1929" s="87">
        <f t="shared" si="179"/>
        <v>8.6281812233381886E-3</v>
      </c>
      <c r="AE1929" s="90">
        <f t="shared" si="178"/>
        <v>4.8595741734291818E-3</v>
      </c>
    </row>
    <row r="1930" spans="1:31" ht="15.5" x14ac:dyDescent="0.35">
      <c r="A1930" s="82">
        <v>42566</v>
      </c>
      <c r="B1930" s="83">
        <v>10773.1</v>
      </c>
      <c r="C1930" s="84">
        <v>5029.6000000000004</v>
      </c>
      <c r="D1930" s="61">
        <v>734.6</v>
      </c>
      <c r="E1930" s="61">
        <v>37.700000000000003</v>
      </c>
      <c r="F1930" s="61">
        <v>98.5</v>
      </c>
      <c r="G1930" s="61">
        <v>53.2</v>
      </c>
      <c r="H1930" s="61">
        <v>9</v>
      </c>
      <c r="I1930" s="61">
        <v>26.4</v>
      </c>
      <c r="J1930" s="61">
        <v>17</v>
      </c>
      <c r="K1930" s="61">
        <v>8.4</v>
      </c>
      <c r="L1930" s="61">
        <v>59.3</v>
      </c>
      <c r="M1930" s="61">
        <v>42.2</v>
      </c>
      <c r="N1930" s="61">
        <v>59.2</v>
      </c>
      <c r="O1930" s="85">
        <v>57.9</v>
      </c>
      <c r="P1930" s="105"/>
      <c r="Q1930" s="87">
        <f t="shared" si="177"/>
        <v>-1.2523366989699307E-3</v>
      </c>
      <c r="R1930" s="87">
        <f t="shared" si="181"/>
        <v>-8.9430334765880988E-4</v>
      </c>
      <c r="S1930" s="87">
        <f t="shared" si="181"/>
        <v>5.4600190243848943E-3</v>
      </c>
      <c r="T1930" s="87">
        <f t="shared" si="180"/>
        <v>-5.2910176344154363E-3</v>
      </c>
      <c r="U1930" s="87">
        <f t="shared" si="180"/>
        <v>1.2257558986083838E-2</v>
      </c>
      <c r="V1930" s="87">
        <f t="shared" si="180"/>
        <v>-7.4906717291576257E-3</v>
      </c>
      <c r="W1930" s="87">
        <f t="shared" si="180"/>
        <v>0</v>
      </c>
      <c r="X1930" s="87">
        <f t="shared" si="180"/>
        <v>-3.7807228399060443E-3</v>
      </c>
      <c r="Y1930" s="87">
        <f t="shared" si="180"/>
        <v>1.1834457647002798E-2</v>
      </c>
      <c r="Z1930" s="87">
        <f t="shared" si="180"/>
        <v>-1.1834457647002796E-2</v>
      </c>
      <c r="AA1930" s="87">
        <f t="shared" si="180"/>
        <v>-3.3670065479044068E-3</v>
      </c>
      <c r="AB1930" s="87">
        <f t="shared" si="179"/>
        <v>7.1343941138741112E-3</v>
      </c>
      <c r="AC1930" s="87">
        <f t="shared" si="179"/>
        <v>1.6906174779074521E-3</v>
      </c>
      <c r="AD1930" s="87">
        <f t="shared" si="179"/>
        <v>-5.1679701584426731E-3</v>
      </c>
      <c r="AE1930" s="90">
        <f t="shared" si="178"/>
        <v>4.2071882100439472E-3</v>
      </c>
    </row>
    <row r="1931" spans="1:31" ht="15.5" x14ac:dyDescent="0.35">
      <c r="A1931" s="82">
        <v>42569</v>
      </c>
      <c r="B1931" s="83">
        <v>10793.2</v>
      </c>
      <c r="C1931" s="84">
        <v>5055.8</v>
      </c>
      <c r="D1931" s="61">
        <v>736.5</v>
      </c>
      <c r="E1931" s="61">
        <v>37.5</v>
      </c>
      <c r="F1931" s="61">
        <v>98.6</v>
      </c>
      <c r="G1931" s="61">
        <v>53.6</v>
      </c>
      <c r="H1931" s="61">
        <v>9.1</v>
      </c>
      <c r="I1931" s="61">
        <v>26.3</v>
      </c>
      <c r="J1931" s="61">
        <v>17.100000000000001</v>
      </c>
      <c r="K1931" s="61">
        <v>8.5</v>
      </c>
      <c r="L1931" s="61">
        <v>58.7</v>
      </c>
      <c r="M1931" s="61">
        <v>42.5</v>
      </c>
      <c r="N1931" s="61">
        <v>58.3</v>
      </c>
      <c r="O1931" s="85">
        <v>57.7</v>
      </c>
      <c r="P1931" s="105"/>
      <c r="Q1931" s="87">
        <f t="shared" si="177"/>
        <v>1.8640198661713139E-3</v>
      </c>
      <c r="R1931" s="87">
        <f t="shared" si="181"/>
        <v>5.195641013419512E-3</v>
      </c>
      <c r="S1931" s="87">
        <f t="shared" si="181"/>
        <v>2.5831025171179833E-3</v>
      </c>
      <c r="T1931" s="87">
        <f t="shared" si="180"/>
        <v>-5.3191614776000448E-3</v>
      </c>
      <c r="U1931" s="87">
        <f t="shared" si="180"/>
        <v>1.0147134305463833E-3</v>
      </c>
      <c r="V1931" s="87">
        <f t="shared" si="180"/>
        <v>7.4906717291576587E-3</v>
      </c>
      <c r="W1931" s="87">
        <f t="shared" si="180"/>
        <v>1.1049836186584935E-2</v>
      </c>
      <c r="X1931" s="87">
        <f t="shared" si="180"/>
        <v>-3.7950709685514979E-3</v>
      </c>
      <c r="Y1931" s="87">
        <f t="shared" si="180"/>
        <v>5.8651194523980576E-3</v>
      </c>
      <c r="Z1931" s="87">
        <f t="shared" si="180"/>
        <v>1.1834457647002798E-2</v>
      </c>
      <c r="AA1931" s="87">
        <f t="shared" si="180"/>
        <v>-1.0169579169628937E-2</v>
      </c>
      <c r="AB1931" s="87">
        <f t="shared" si="179"/>
        <v>7.0838548884050419E-3</v>
      </c>
      <c r="AC1931" s="87">
        <f t="shared" si="179"/>
        <v>-1.5319448533513457E-2</v>
      </c>
      <c r="AD1931" s="87">
        <f t="shared" si="179"/>
        <v>-3.4602110648956196E-3</v>
      </c>
      <c r="AE1931" s="90">
        <f t="shared" si="178"/>
        <v>2.1831893533233435E-3</v>
      </c>
    </row>
    <row r="1932" spans="1:31" ht="15.5" x14ac:dyDescent="0.35">
      <c r="A1932" s="82">
        <v>42570</v>
      </c>
      <c r="B1932" s="83">
        <v>10758.5</v>
      </c>
      <c r="C1932" s="84">
        <v>5036.3999999999996</v>
      </c>
      <c r="D1932" s="61">
        <v>748.5</v>
      </c>
      <c r="E1932" s="61">
        <v>37.700000000000003</v>
      </c>
      <c r="F1932" s="61">
        <v>99.3</v>
      </c>
      <c r="G1932" s="61">
        <v>52.9</v>
      </c>
      <c r="H1932" s="61">
        <v>9</v>
      </c>
      <c r="I1932" s="61">
        <v>26.4</v>
      </c>
      <c r="J1932" s="61">
        <v>17.100000000000001</v>
      </c>
      <c r="K1932" s="61">
        <v>8.5</v>
      </c>
      <c r="L1932" s="61">
        <v>58.6</v>
      </c>
      <c r="M1932" s="61">
        <v>42.7</v>
      </c>
      <c r="N1932" s="61">
        <v>57.6</v>
      </c>
      <c r="O1932" s="85">
        <v>57.2</v>
      </c>
      <c r="P1932" s="105"/>
      <c r="Q1932" s="87">
        <f t="shared" si="177"/>
        <v>-3.2201663891990259E-3</v>
      </c>
      <c r="R1932" s="87">
        <f t="shared" si="181"/>
        <v>-3.8445579547254465E-3</v>
      </c>
      <c r="S1932" s="87">
        <f t="shared" si="181"/>
        <v>1.6161967956998122E-2</v>
      </c>
      <c r="T1932" s="87">
        <f t="shared" si="180"/>
        <v>5.3191614776000266E-3</v>
      </c>
      <c r="U1932" s="87">
        <f t="shared" si="180"/>
        <v>7.0743094425371961E-3</v>
      </c>
      <c r="V1932" s="87">
        <f t="shared" si="180"/>
        <v>-1.3145729212502616E-2</v>
      </c>
      <c r="W1932" s="87">
        <f t="shared" ref="W1932:AD1969" si="182">+LN(H1932/H1931)</f>
        <v>-1.1049836186584935E-2</v>
      </c>
      <c r="X1932" s="87">
        <f t="shared" si="182"/>
        <v>3.7950709685515343E-3</v>
      </c>
      <c r="Y1932" s="87">
        <f t="shared" si="182"/>
        <v>0</v>
      </c>
      <c r="Z1932" s="87">
        <f t="shared" si="182"/>
        <v>0</v>
      </c>
      <c r="AA1932" s="87">
        <f t="shared" si="182"/>
        <v>-1.7050302510838342E-3</v>
      </c>
      <c r="AB1932" s="87">
        <f t="shared" si="179"/>
        <v>4.6948443042078847E-3</v>
      </c>
      <c r="AC1932" s="87">
        <f t="shared" si="179"/>
        <v>-1.2079525654601013E-2</v>
      </c>
      <c r="AD1932" s="87">
        <f t="shared" si="179"/>
        <v>-8.7032751283017008E-3</v>
      </c>
      <c r="AE1932" s="90">
        <f t="shared" si="178"/>
        <v>4.5441997654682804E-3</v>
      </c>
    </row>
    <row r="1933" spans="1:31" ht="15.5" x14ac:dyDescent="0.35">
      <c r="A1933" s="82">
        <v>42571</v>
      </c>
      <c r="B1933" s="83">
        <v>10793.1</v>
      </c>
      <c r="C1933" s="84">
        <v>5089.8999999999996</v>
      </c>
      <c r="D1933" s="61">
        <v>754.1</v>
      </c>
      <c r="E1933" s="61">
        <v>38.299999999999997</v>
      </c>
      <c r="F1933" s="61">
        <v>99.7</v>
      </c>
      <c r="G1933" s="61">
        <v>55.5</v>
      </c>
      <c r="H1933" s="61">
        <v>9</v>
      </c>
      <c r="I1933" s="61">
        <v>26.5</v>
      </c>
      <c r="J1933" s="61">
        <v>16.899999999999999</v>
      </c>
      <c r="K1933" s="61">
        <v>8.5</v>
      </c>
      <c r="L1933" s="61">
        <v>58.8</v>
      </c>
      <c r="M1933" s="61">
        <v>42.8</v>
      </c>
      <c r="N1933" s="61">
        <v>58.7</v>
      </c>
      <c r="O1933" s="85">
        <v>57.7</v>
      </c>
      <c r="P1933" s="105"/>
      <c r="Q1933" s="87">
        <f t="shared" si="177"/>
        <v>3.2109012534416587E-3</v>
      </c>
      <c r="R1933" s="87">
        <f t="shared" si="181"/>
        <v>1.0566642858608147E-2</v>
      </c>
      <c r="S1933" s="87">
        <f t="shared" si="181"/>
        <v>7.4537813489182671E-3</v>
      </c>
      <c r="T1933" s="87">
        <f t="shared" si="181"/>
        <v>1.5789801732635073E-2</v>
      </c>
      <c r="U1933" s="87">
        <f t="shared" si="181"/>
        <v>4.0201059166658521E-3</v>
      </c>
      <c r="V1933" s="87">
        <f t="shared" si="181"/>
        <v>4.7979681888135152E-2</v>
      </c>
      <c r="W1933" s="87">
        <f t="shared" si="182"/>
        <v>0</v>
      </c>
      <c r="X1933" s="87">
        <f t="shared" si="182"/>
        <v>3.7807228399061523E-3</v>
      </c>
      <c r="Y1933" s="87">
        <f t="shared" si="182"/>
        <v>-1.1764841579586483E-2</v>
      </c>
      <c r="Z1933" s="87">
        <f t="shared" si="182"/>
        <v>0</v>
      </c>
      <c r="AA1933" s="87">
        <f t="shared" si="182"/>
        <v>3.4071583216141346E-3</v>
      </c>
      <c r="AB1933" s="87">
        <f t="shared" si="179"/>
        <v>2.3391823531720194E-3</v>
      </c>
      <c r="AC1933" s="87">
        <f t="shared" si="179"/>
        <v>1.8917159132205305E-2</v>
      </c>
      <c r="AD1933" s="87">
        <f t="shared" si="179"/>
        <v>8.7032751283016713E-3</v>
      </c>
      <c r="AE1933" s="90">
        <f t="shared" si="178"/>
        <v>7.5569092453080825E-3</v>
      </c>
    </row>
    <row r="1934" spans="1:31" ht="15.5" x14ac:dyDescent="0.35">
      <c r="A1934" s="82">
        <v>42572</v>
      </c>
      <c r="B1934" s="83">
        <v>10758.6</v>
      </c>
      <c r="C1934" s="84">
        <v>5073.8999999999996</v>
      </c>
      <c r="D1934" s="61">
        <v>751.5</v>
      </c>
      <c r="E1934" s="61">
        <v>38.700000000000003</v>
      </c>
      <c r="F1934" s="61">
        <v>99.1</v>
      </c>
      <c r="G1934" s="61">
        <v>55.8</v>
      </c>
      <c r="H1934" s="61">
        <v>9</v>
      </c>
      <c r="I1934" s="61">
        <v>26.7</v>
      </c>
      <c r="J1934" s="61">
        <v>17.100000000000001</v>
      </c>
      <c r="K1934" s="61">
        <v>8.9</v>
      </c>
      <c r="L1934" s="61">
        <v>58.6</v>
      </c>
      <c r="M1934" s="61">
        <v>43</v>
      </c>
      <c r="N1934" s="61">
        <v>61.9</v>
      </c>
      <c r="O1934" s="85">
        <v>56.6</v>
      </c>
      <c r="P1934" s="105"/>
      <c r="Q1934" s="87">
        <f t="shared" ref="Q1934:Q1997" si="183">+LN(B1934/B1933)</f>
        <v>-3.2016063205741797E-3</v>
      </c>
      <c r="R1934" s="87">
        <f t="shared" si="181"/>
        <v>-3.1484313380476109E-3</v>
      </c>
      <c r="S1934" s="87">
        <f t="shared" si="181"/>
        <v>-3.4537760155721789E-3</v>
      </c>
      <c r="T1934" s="87">
        <f t="shared" si="181"/>
        <v>1.0389703849135868E-2</v>
      </c>
      <c r="U1934" s="87">
        <f t="shared" si="181"/>
        <v>-6.0362356318504522E-3</v>
      </c>
      <c r="V1934" s="87">
        <f t="shared" si="181"/>
        <v>5.390848634876373E-3</v>
      </c>
      <c r="W1934" s="87">
        <f t="shared" si="182"/>
        <v>0</v>
      </c>
      <c r="X1934" s="87">
        <f t="shared" si="182"/>
        <v>7.518832414027319E-3</v>
      </c>
      <c r="Y1934" s="87">
        <f t="shared" si="182"/>
        <v>1.1764841579586431E-2</v>
      </c>
      <c r="Z1934" s="87">
        <f t="shared" si="182"/>
        <v>4.5985113241823437E-2</v>
      </c>
      <c r="AA1934" s="87">
        <f t="shared" si="182"/>
        <v>-3.4071583216141975E-3</v>
      </c>
      <c r="AB1934" s="87">
        <f t="shared" si="179"/>
        <v>4.6620131058113714E-3</v>
      </c>
      <c r="AC1934" s="87">
        <f t="shared" si="179"/>
        <v>5.3080452856499483E-2</v>
      </c>
      <c r="AD1934" s="87">
        <f t="shared" si="179"/>
        <v>-1.9248188304916689E-2</v>
      </c>
      <c r="AE1934" s="90">
        <f t="shared" si="178"/>
        <v>-6.0204582678695774E-3</v>
      </c>
    </row>
    <row r="1935" spans="1:31" ht="15.5" x14ac:dyDescent="0.35">
      <c r="A1935" s="82">
        <v>42573</v>
      </c>
      <c r="B1935" s="83">
        <v>10805</v>
      </c>
      <c r="C1935" s="84">
        <v>5100.2</v>
      </c>
      <c r="D1935" s="61">
        <v>752.7</v>
      </c>
      <c r="E1935" s="61">
        <v>38.799999999999997</v>
      </c>
      <c r="F1935" s="61">
        <v>98.3</v>
      </c>
      <c r="G1935" s="61">
        <v>55.8</v>
      </c>
      <c r="H1935" s="61">
        <v>9</v>
      </c>
      <c r="I1935" s="61">
        <v>26.7</v>
      </c>
      <c r="J1935" s="61">
        <v>16.899999999999999</v>
      </c>
      <c r="K1935" s="61">
        <v>8.9</v>
      </c>
      <c r="L1935" s="61">
        <v>58.6</v>
      </c>
      <c r="M1935" s="61">
        <v>43</v>
      </c>
      <c r="N1935" s="61">
        <v>61.9</v>
      </c>
      <c r="O1935" s="85">
        <v>56.4</v>
      </c>
      <c r="P1935" s="105"/>
      <c r="Q1935" s="87">
        <f t="shared" si="183"/>
        <v>4.3035552146131091E-3</v>
      </c>
      <c r="R1935" s="87">
        <f t="shared" si="181"/>
        <v>5.1700019816708458E-3</v>
      </c>
      <c r="S1935" s="87">
        <f t="shared" si="181"/>
        <v>1.5955328474571567E-3</v>
      </c>
      <c r="T1935" s="87">
        <f t="shared" si="181"/>
        <v>2.5806465934914914E-3</v>
      </c>
      <c r="U1935" s="87">
        <f t="shared" si="181"/>
        <v>-8.1054141828214542E-3</v>
      </c>
      <c r="V1935" s="87">
        <f t="shared" si="181"/>
        <v>0</v>
      </c>
      <c r="W1935" s="87">
        <f t="shared" si="182"/>
        <v>0</v>
      </c>
      <c r="X1935" s="87">
        <f t="shared" si="182"/>
        <v>0</v>
      </c>
      <c r="Y1935" s="87">
        <f t="shared" si="182"/>
        <v>-1.1764841579586483E-2</v>
      </c>
      <c r="Z1935" s="87">
        <f t="shared" si="182"/>
        <v>0</v>
      </c>
      <c r="AA1935" s="87">
        <f t="shared" si="182"/>
        <v>0</v>
      </c>
      <c r="AB1935" s="87">
        <f t="shared" si="179"/>
        <v>0</v>
      </c>
      <c r="AC1935" s="87">
        <f t="shared" si="179"/>
        <v>0</v>
      </c>
      <c r="AD1935" s="87">
        <f t="shared" si="179"/>
        <v>-3.5398267051240623E-3</v>
      </c>
      <c r="AE1935" s="90">
        <f t="shared" ref="AE1935:AE1998" si="184">+SUMPRODUCT(Q1935:AD1935,$Q$8:$AD$8)</f>
        <v>-7.3109769204040003E-4</v>
      </c>
    </row>
    <row r="1936" spans="1:31" ht="15.5" x14ac:dyDescent="0.35">
      <c r="A1936" s="82">
        <v>42576</v>
      </c>
      <c r="B1936" s="83">
        <v>10752.4</v>
      </c>
      <c r="C1936" s="84">
        <v>5097.6000000000004</v>
      </c>
      <c r="D1936" s="61">
        <v>754.1</v>
      </c>
      <c r="E1936" s="61">
        <v>38.200000000000003</v>
      </c>
      <c r="F1936" s="61">
        <v>96.9</v>
      </c>
      <c r="G1936" s="61">
        <v>56.3</v>
      </c>
      <c r="H1936" s="61">
        <v>9</v>
      </c>
      <c r="I1936" s="61">
        <v>26.9</v>
      </c>
      <c r="J1936" s="61">
        <v>16.8</v>
      </c>
      <c r="K1936" s="61">
        <v>9.1</v>
      </c>
      <c r="L1936" s="61">
        <v>58</v>
      </c>
      <c r="M1936" s="61">
        <v>42.8</v>
      </c>
      <c r="N1936" s="61">
        <v>62.1</v>
      </c>
      <c r="O1936" s="85">
        <v>56.5</v>
      </c>
      <c r="P1936" s="105"/>
      <c r="Q1936" s="87">
        <f t="shared" si="183"/>
        <v>-4.8800044890946687E-3</v>
      </c>
      <c r="R1936" s="87">
        <f t="shared" si="181"/>
        <v>-5.0991391404724249E-4</v>
      </c>
      <c r="S1936" s="87">
        <f t="shared" si="181"/>
        <v>1.8582431681149908E-3</v>
      </c>
      <c r="T1936" s="87">
        <f t="shared" si="181"/>
        <v>-1.558473101669809E-2</v>
      </c>
      <c r="U1936" s="87">
        <f t="shared" si="181"/>
        <v>-1.4344508256400252E-2</v>
      </c>
      <c r="V1936" s="87">
        <f t="shared" si="181"/>
        <v>8.9206657583793623E-3</v>
      </c>
      <c r="W1936" s="87">
        <f t="shared" si="182"/>
        <v>0</v>
      </c>
      <c r="X1936" s="87">
        <f t="shared" si="182"/>
        <v>7.4627212015895943E-3</v>
      </c>
      <c r="Y1936" s="87">
        <f t="shared" si="182"/>
        <v>-5.9347355198144658E-3</v>
      </c>
      <c r="Z1936" s="87">
        <f t="shared" si="182"/>
        <v>2.2223136784710041E-2</v>
      </c>
      <c r="AA1936" s="87">
        <f t="shared" si="182"/>
        <v>-1.0291686036547636E-2</v>
      </c>
      <c r="AB1936" s="87">
        <f t="shared" si="179"/>
        <v>-4.662013105811413E-3</v>
      </c>
      <c r="AC1936" s="87">
        <f t="shared" si="179"/>
        <v>3.2258092488827899E-3</v>
      </c>
      <c r="AD1936" s="87">
        <f t="shared" si="179"/>
        <v>1.7714796483820209E-3</v>
      </c>
      <c r="AE1936" s="90">
        <f t="shared" si="184"/>
        <v>-3.4951516251631519E-3</v>
      </c>
    </row>
    <row r="1937" spans="1:31" ht="15.5" x14ac:dyDescent="0.35">
      <c r="A1937" s="82">
        <v>42577</v>
      </c>
      <c r="B1937" s="83">
        <v>10773</v>
      </c>
      <c r="C1937" s="84">
        <v>5110</v>
      </c>
      <c r="D1937" s="61">
        <v>752.8</v>
      </c>
      <c r="E1937" s="61">
        <v>37.9</v>
      </c>
      <c r="F1937" s="61">
        <v>96.4</v>
      </c>
      <c r="G1937" s="61">
        <v>56.5</v>
      </c>
      <c r="H1937" s="61">
        <v>9</v>
      </c>
      <c r="I1937" s="61">
        <v>26.9</v>
      </c>
      <c r="J1937" s="61">
        <v>16.899999999999999</v>
      </c>
      <c r="K1937" s="61">
        <v>9.5</v>
      </c>
      <c r="L1937" s="61">
        <v>58.1</v>
      </c>
      <c r="M1937" s="61">
        <v>43</v>
      </c>
      <c r="N1937" s="61">
        <v>61.8</v>
      </c>
      <c r="O1937" s="85">
        <v>56.3</v>
      </c>
      <c r="P1937" s="105"/>
      <c r="Q1937" s="87">
        <f t="shared" si="183"/>
        <v>1.9140184423008277E-3</v>
      </c>
      <c r="R1937" s="87">
        <f t="shared" si="181"/>
        <v>2.4295634820207281E-3</v>
      </c>
      <c r="S1937" s="87">
        <f t="shared" si="181"/>
        <v>-1.7253969374315245E-3</v>
      </c>
      <c r="T1937" s="87">
        <f t="shared" si="181"/>
        <v>-7.8844035241489828E-3</v>
      </c>
      <c r="U1937" s="87">
        <f t="shared" si="181"/>
        <v>-5.1733172802206403E-3</v>
      </c>
      <c r="V1937" s="87">
        <f t="shared" si="181"/>
        <v>3.5461030067507116E-3</v>
      </c>
      <c r="W1937" s="87">
        <f t="shared" si="182"/>
        <v>0</v>
      </c>
      <c r="X1937" s="87">
        <f t="shared" si="182"/>
        <v>0</v>
      </c>
      <c r="Y1937" s="87">
        <f t="shared" si="182"/>
        <v>5.9347355198145265E-3</v>
      </c>
      <c r="Z1937" s="87">
        <f t="shared" si="182"/>
        <v>4.3017385083690858E-2</v>
      </c>
      <c r="AA1937" s="87">
        <f t="shared" si="182"/>
        <v>1.722653311446156E-3</v>
      </c>
      <c r="AB1937" s="87">
        <f t="shared" si="179"/>
        <v>4.6620131058113714E-3</v>
      </c>
      <c r="AC1937" s="87">
        <f t="shared" si="179"/>
        <v>-4.8426244757880151E-3</v>
      </c>
      <c r="AD1937" s="87">
        <f t="shared" si="179"/>
        <v>-3.5461030067505889E-3</v>
      </c>
      <c r="AE1937" s="90">
        <f t="shared" si="184"/>
        <v>-1.6871520404837146E-3</v>
      </c>
    </row>
    <row r="1938" spans="1:31" ht="15.5" x14ac:dyDescent="0.35">
      <c r="A1938" s="82">
        <v>42578</v>
      </c>
      <c r="B1938" s="83">
        <v>10739.8</v>
      </c>
      <c r="C1938" s="84">
        <v>5139.8</v>
      </c>
      <c r="D1938" s="61">
        <v>755.9</v>
      </c>
      <c r="E1938" s="61">
        <v>38.4</v>
      </c>
      <c r="F1938" s="61">
        <v>102.8</v>
      </c>
      <c r="G1938" s="61">
        <v>56.1</v>
      </c>
      <c r="H1938" s="61">
        <v>8.9</v>
      </c>
      <c r="I1938" s="61">
        <v>28.6</v>
      </c>
      <c r="J1938" s="61">
        <v>16.899999999999999</v>
      </c>
      <c r="K1938" s="61">
        <v>9.1999999999999993</v>
      </c>
      <c r="L1938" s="61">
        <v>57.9</v>
      </c>
      <c r="M1938" s="61">
        <v>42.9</v>
      </c>
      <c r="N1938" s="61">
        <v>62</v>
      </c>
      <c r="O1938" s="85">
        <v>55.5</v>
      </c>
      <c r="P1938" s="105"/>
      <c r="Q1938" s="87">
        <f t="shared" si="183"/>
        <v>-3.0865369786572398E-3</v>
      </c>
      <c r="R1938" s="87">
        <f t="shared" si="181"/>
        <v>5.8147639885907307E-3</v>
      </c>
      <c r="S1938" s="87">
        <f t="shared" si="181"/>
        <v>4.1095040269612084E-3</v>
      </c>
      <c r="T1938" s="87">
        <f t="shared" si="181"/>
        <v>1.3106347505300583E-2</v>
      </c>
      <c r="U1938" s="87">
        <f t="shared" si="181"/>
        <v>6.4279151404564791E-2</v>
      </c>
      <c r="V1938" s="87">
        <f t="shared" si="181"/>
        <v>-7.1048256237445711E-3</v>
      </c>
      <c r="W1938" s="87">
        <f t="shared" si="182"/>
        <v>-1.1173300598125189E-2</v>
      </c>
      <c r="X1938" s="87">
        <f t="shared" si="182"/>
        <v>6.1280431218013569E-2</v>
      </c>
      <c r="Y1938" s="87">
        <f t="shared" si="182"/>
        <v>0</v>
      </c>
      <c r="Z1938" s="87">
        <f t="shared" si="182"/>
        <v>-3.208831455150063E-2</v>
      </c>
      <c r="AA1938" s="87">
        <f t="shared" si="182"/>
        <v>-3.4482792789160442E-3</v>
      </c>
      <c r="AB1938" s="87">
        <f t="shared" si="179"/>
        <v>-2.3282897595911845E-3</v>
      </c>
      <c r="AC1938" s="87">
        <f t="shared" si="179"/>
        <v>3.23102058144654E-3</v>
      </c>
      <c r="AD1938" s="87">
        <f t="shared" si="179"/>
        <v>-1.4311514393255809E-2</v>
      </c>
      <c r="AE1938" s="90">
        <f t="shared" si="184"/>
        <v>1.9586454839398717E-2</v>
      </c>
    </row>
    <row r="1939" spans="1:31" ht="15.5" x14ac:dyDescent="0.35">
      <c r="A1939" s="82">
        <v>42579</v>
      </c>
      <c r="B1939" s="83">
        <v>10744.2</v>
      </c>
      <c r="C1939" s="84">
        <v>5155</v>
      </c>
      <c r="D1939" s="61">
        <v>759.1</v>
      </c>
      <c r="E1939" s="61">
        <v>38.200000000000003</v>
      </c>
      <c r="F1939" s="61">
        <v>102.8</v>
      </c>
      <c r="G1939" s="61">
        <v>55.7</v>
      </c>
      <c r="H1939" s="61">
        <v>8.9</v>
      </c>
      <c r="I1939" s="61">
        <v>28.3</v>
      </c>
      <c r="J1939" s="61">
        <v>15.8</v>
      </c>
      <c r="K1939" s="61">
        <v>9.1</v>
      </c>
      <c r="L1939" s="61">
        <v>58.1</v>
      </c>
      <c r="M1939" s="61">
        <v>42.7</v>
      </c>
      <c r="N1939" s="61">
        <v>62.1</v>
      </c>
      <c r="O1939" s="85">
        <v>55</v>
      </c>
      <c r="P1939" s="105"/>
      <c r="Q1939" s="87">
        <f t="shared" si="183"/>
        <v>4.0960715523360623E-4</v>
      </c>
      <c r="R1939" s="87">
        <f t="shared" si="181"/>
        <v>2.9529492647194563E-3</v>
      </c>
      <c r="S1939" s="87">
        <f t="shared" si="181"/>
        <v>4.224428724591665E-3</v>
      </c>
      <c r="T1939" s="87">
        <f t="shared" si="181"/>
        <v>-5.2219439811516007E-3</v>
      </c>
      <c r="U1939" s="87">
        <f t="shared" si="181"/>
        <v>0</v>
      </c>
      <c r="V1939" s="87">
        <f t="shared" si="181"/>
        <v>-7.1556655954122476E-3</v>
      </c>
      <c r="W1939" s="87">
        <f t="shared" si="182"/>
        <v>0</v>
      </c>
      <c r="X1939" s="87">
        <f t="shared" si="182"/>
        <v>-1.0544913176614998E-2</v>
      </c>
      <c r="Y1939" s="87">
        <f t="shared" si="182"/>
        <v>-6.7303681896106554E-2</v>
      </c>
      <c r="Z1939" s="87">
        <f t="shared" si="182"/>
        <v>-1.0929070532190206E-2</v>
      </c>
      <c r="AA1939" s="87">
        <f t="shared" si="182"/>
        <v>3.4482792789159236E-3</v>
      </c>
      <c r="AB1939" s="87">
        <f t="shared" si="179"/>
        <v>-4.6729056993923702E-3</v>
      </c>
      <c r="AC1939" s="87">
        <f t="shared" si="179"/>
        <v>1.6116038943416128E-3</v>
      </c>
      <c r="AD1939" s="87">
        <f t="shared" si="179"/>
        <v>-9.0498355199179273E-3</v>
      </c>
      <c r="AE1939" s="90">
        <f t="shared" si="184"/>
        <v>1.0219124990564796E-3</v>
      </c>
    </row>
    <row r="1940" spans="1:31" ht="15.5" x14ac:dyDescent="0.35">
      <c r="A1940" s="82">
        <v>42580</v>
      </c>
      <c r="B1940" s="83">
        <v>10785.5</v>
      </c>
      <c r="C1940" s="84">
        <v>5162.1000000000004</v>
      </c>
      <c r="D1940" s="61">
        <v>790</v>
      </c>
      <c r="E1940" s="61">
        <v>38.1</v>
      </c>
      <c r="F1940" s="61">
        <v>103.7</v>
      </c>
      <c r="G1940" s="61">
        <v>56.1</v>
      </c>
      <c r="H1940" s="61">
        <v>9</v>
      </c>
      <c r="I1940" s="61">
        <v>28.5</v>
      </c>
      <c r="J1940" s="61">
        <v>15.2</v>
      </c>
      <c r="K1940" s="61">
        <v>9.3000000000000007</v>
      </c>
      <c r="L1940" s="61">
        <v>58.3</v>
      </c>
      <c r="M1940" s="61">
        <v>42.6</v>
      </c>
      <c r="N1940" s="61">
        <v>61.9</v>
      </c>
      <c r="O1940" s="85">
        <v>55.2</v>
      </c>
      <c r="P1940" s="105"/>
      <c r="Q1940" s="87">
        <f t="shared" si="183"/>
        <v>3.8365653640024802E-3</v>
      </c>
      <c r="R1940" s="87">
        <f t="shared" si="181"/>
        <v>1.3763559761613305E-3</v>
      </c>
      <c r="S1940" s="87">
        <f t="shared" si="181"/>
        <v>3.9899424438344724E-2</v>
      </c>
      <c r="T1940" s="87">
        <f t="shared" si="181"/>
        <v>-2.6212334798743041E-3</v>
      </c>
      <c r="U1940" s="87">
        <f t="shared" si="181"/>
        <v>8.7167622144168812E-3</v>
      </c>
      <c r="V1940" s="87">
        <f t="shared" si="181"/>
        <v>7.155665595412232E-3</v>
      </c>
      <c r="W1940" s="87">
        <f t="shared" si="182"/>
        <v>1.1173300598125255E-2</v>
      </c>
      <c r="X1940" s="87">
        <f t="shared" si="182"/>
        <v>7.042282625412951E-3</v>
      </c>
      <c r="Y1940" s="87">
        <f t="shared" si="182"/>
        <v>-3.8714512180690511E-2</v>
      </c>
      <c r="Z1940" s="87">
        <f t="shared" si="182"/>
        <v>2.1739986636406038E-2</v>
      </c>
      <c r="AA1940" s="87">
        <f t="shared" si="182"/>
        <v>3.4364294985810974E-3</v>
      </c>
      <c r="AB1940" s="87">
        <f t="shared" si="179"/>
        <v>-2.3446669592541345E-3</v>
      </c>
      <c r="AC1940" s="87">
        <f t="shared" si="179"/>
        <v>-3.2258092488826771E-3</v>
      </c>
      <c r="AD1940" s="87">
        <f t="shared" si="179"/>
        <v>3.6297680505787311E-3</v>
      </c>
      <c r="AE1940" s="90">
        <f t="shared" si="184"/>
        <v>1.5027342325622696E-2</v>
      </c>
    </row>
    <row r="1941" spans="1:31" ht="15.5" x14ac:dyDescent="0.35">
      <c r="A1941" s="82">
        <v>42583</v>
      </c>
      <c r="B1941" s="83">
        <v>10730.2</v>
      </c>
      <c r="C1941" s="84">
        <v>5184.2</v>
      </c>
      <c r="D1941" s="61">
        <v>785</v>
      </c>
      <c r="E1941" s="61">
        <v>38.1</v>
      </c>
      <c r="F1941" s="61">
        <v>104.4</v>
      </c>
      <c r="G1941" s="61">
        <v>56.1</v>
      </c>
      <c r="H1941" s="61">
        <v>8.9</v>
      </c>
      <c r="I1941" s="61">
        <v>28.4</v>
      </c>
      <c r="J1941" s="61">
        <v>15.2</v>
      </c>
      <c r="K1941" s="61">
        <v>9.6</v>
      </c>
      <c r="L1941" s="61">
        <v>58.5</v>
      </c>
      <c r="M1941" s="61">
        <v>42.3</v>
      </c>
      <c r="N1941" s="61">
        <v>61.9</v>
      </c>
      <c r="O1941" s="85">
        <v>55.3</v>
      </c>
      <c r="P1941" s="105"/>
      <c r="Q1941" s="87">
        <f t="shared" si="183"/>
        <v>-5.1404436547532201E-3</v>
      </c>
      <c r="R1941" s="87">
        <f t="shared" si="181"/>
        <v>4.2720651076039156E-3</v>
      </c>
      <c r="S1941" s="87">
        <f t="shared" si="181"/>
        <v>-6.34922767865878E-3</v>
      </c>
      <c r="T1941" s="87">
        <f t="shared" si="181"/>
        <v>0</v>
      </c>
      <c r="U1941" s="87">
        <f t="shared" si="181"/>
        <v>6.7275602130567594E-3</v>
      </c>
      <c r="V1941" s="87">
        <f t="shared" si="181"/>
        <v>0</v>
      </c>
      <c r="W1941" s="87">
        <f t="shared" si="182"/>
        <v>-1.1173300598125189E-2</v>
      </c>
      <c r="X1941" s="87">
        <f t="shared" si="182"/>
        <v>-3.5149421074444969E-3</v>
      </c>
      <c r="Y1941" s="87">
        <f t="shared" si="182"/>
        <v>0</v>
      </c>
      <c r="Z1941" s="87">
        <f t="shared" si="182"/>
        <v>3.174869831458027E-2</v>
      </c>
      <c r="AA1941" s="87">
        <f t="shared" si="182"/>
        <v>3.4246608813641747E-3</v>
      </c>
      <c r="AB1941" s="87">
        <f t="shared" si="179"/>
        <v>-7.0671672230925549E-3</v>
      </c>
      <c r="AC1941" s="87">
        <f t="shared" si="179"/>
        <v>0</v>
      </c>
      <c r="AD1941" s="87">
        <f t="shared" si="179"/>
        <v>1.8099552452393861E-3</v>
      </c>
      <c r="AE1941" s="90">
        <f t="shared" si="184"/>
        <v>1.5653859638413861E-3</v>
      </c>
    </row>
    <row r="1942" spans="1:31" ht="15.5" x14ac:dyDescent="0.35">
      <c r="A1942" s="82">
        <v>42584</v>
      </c>
      <c r="B1942" s="83">
        <v>10661.1</v>
      </c>
      <c r="C1942" s="84">
        <v>5137.7</v>
      </c>
      <c r="D1942" s="61">
        <v>794.5</v>
      </c>
      <c r="E1942" s="61">
        <v>38.299999999999997</v>
      </c>
      <c r="F1942" s="61">
        <v>104</v>
      </c>
      <c r="G1942" s="61">
        <v>56.3</v>
      </c>
      <c r="H1942" s="61">
        <v>8.9</v>
      </c>
      <c r="I1942" s="61">
        <v>27.5</v>
      </c>
      <c r="J1942" s="61">
        <v>15.3</v>
      </c>
      <c r="K1942" s="61">
        <v>9.3000000000000007</v>
      </c>
      <c r="L1942" s="61">
        <v>58.3</v>
      </c>
      <c r="M1942" s="61">
        <v>41.9</v>
      </c>
      <c r="N1942" s="61">
        <v>61.4</v>
      </c>
      <c r="O1942" s="85">
        <v>54.8</v>
      </c>
      <c r="P1942" s="105"/>
      <c r="Q1942" s="87">
        <f t="shared" si="183"/>
        <v>-6.4605928904188708E-3</v>
      </c>
      <c r="R1942" s="87">
        <f t="shared" si="181"/>
        <v>-9.0100300476772567E-3</v>
      </c>
      <c r="S1942" s="87">
        <f t="shared" si="181"/>
        <v>1.2029268194362345E-2</v>
      </c>
      <c r="T1942" s="87">
        <f t="shared" si="181"/>
        <v>5.2356140539449427E-3</v>
      </c>
      <c r="U1942" s="87">
        <f t="shared" si="181"/>
        <v>-3.8387763071657129E-3</v>
      </c>
      <c r="V1942" s="87">
        <f t="shared" si="181"/>
        <v>3.5587226169939328E-3</v>
      </c>
      <c r="W1942" s="87">
        <f t="shared" si="182"/>
        <v>0</v>
      </c>
      <c r="X1942" s="87">
        <f t="shared" si="182"/>
        <v>-3.2203140494634706E-2</v>
      </c>
      <c r="Y1942" s="87">
        <f t="shared" si="182"/>
        <v>6.5574005461592607E-3</v>
      </c>
      <c r="Z1942" s="87">
        <f t="shared" si="182"/>
        <v>-3.1748698314580187E-2</v>
      </c>
      <c r="AA1942" s="87">
        <f t="shared" si="182"/>
        <v>-3.4246608813642146E-3</v>
      </c>
      <c r="AB1942" s="87">
        <f t="shared" si="179"/>
        <v>-9.5012591241402516E-3</v>
      </c>
      <c r="AC1942" s="87">
        <f t="shared" si="179"/>
        <v>-8.1103445374536252E-3</v>
      </c>
      <c r="AD1942" s="87">
        <f t="shared" si="179"/>
        <v>-9.0827145743192506E-3</v>
      </c>
      <c r="AE1942" s="90">
        <f t="shared" si="184"/>
        <v>-1.3806460117176691E-3</v>
      </c>
    </row>
    <row r="1943" spans="1:31" ht="15.5" x14ac:dyDescent="0.35">
      <c r="A1943" s="82">
        <v>42585</v>
      </c>
      <c r="B1943" s="83">
        <v>10695.1</v>
      </c>
      <c r="C1943" s="84">
        <v>5159.7</v>
      </c>
      <c r="D1943" s="61">
        <v>793</v>
      </c>
      <c r="E1943" s="61">
        <v>38.299999999999997</v>
      </c>
      <c r="F1943" s="61">
        <v>104.8</v>
      </c>
      <c r="G1943" s="61">
        <v>56.5</v>
      </c>
      <c r="H1943" s="61">
        <v>8.9</v>
      </c>
      <c r="I1943" s="61">
        <v>27.5</v>
      </c>
      <c r="J1943" s="61">
        <v>15.7</v>
      </c>
      <c r="K1943" s="61">
        <v>8.5</v>
      </c>
      <c r="L1943" s="61">
        <v>57.2</v>
      </c>
      <c r="M1943" s="61">
        <v>42.3</v>
      </c>
      <c r="N1943" s="61">
        <v>61.2</v>
      </c>
      <c r="O1943" s="85">
        <v>54.3</v>
      </c>
      <c r="P1943" s="105"/>
      <c r="Q1943" s="87">
        <f t="shared" si="183"/>
        <v>3.1840897468220718E-3</v>
      </c>
      <c r="R1943" s="87">
        <f t="shared" si="181"/>
        <v>4.272929763408026E-3</v>
      </c>
      <c r="S1943" s="87">
        <f t="shared" si="181"/>
        <v>-1.8897643419226371E-3</v>
      </c>
      <c r="T1943" s="87">
        <f t="shared" si="181"/>
        <v>0</v>
      </c>
      <c r="U1943" s="87">
        <f t="shared" si="181"/>
        <v>7.6628727455690972E-3</v>
      </c>
      <c r="V1943" s="87">
        <f t="shared" si="181"/>
        <v>3.5461030067507116E-3</v>
      </c>
      <c r="W1943" s="87">
        <f t="shared" si="182"/>
        <v>0</v>
      </c>
      <c r="X1943" s="87">
        <f t="shared" si="182"/>
        <v>0</v>
      </c>
      <c r="Y1943" s="87">
        <f t="shared" si="182"/>
        <v>2.5807883955872503E-2</v>
      </c>
      <c r="Z1943" s="87">
        <f t="shared" si="182"/>
        <v>-8.9948236662939524E-2</v>
      </c>
      <c r="AA1943" s="87">
        <f t="shared" si="182"/>
        <v>-1.9048194970694363E-2</v>
      </c>
      <c r="AB1943" s="87">
        <f t="shared" si="179"/>
        <v>9.5012591241402152E-3</v>
      </c>
      <c r="AC1943" s="87">
        <f t="shared" si="179"/>
        <v>-3.2626456348162714E-3</v>
      </c>
      <c r="AD1943" s="87">
        <f t="shared" si="179"/>
        <v>-9.1659670140800571E-3</v>
      </c>
      <c r="AE1943" s="90">
        <f t="shared" si="184"/>
        <v>1.8045550645015656E-3</v>
      </c>
    </row>
    <row r="1944" spans="1:31" ht="15.5" x14ac:dyDescent="0.35">
      <c r="A1944" s="82">
        <v>42586</v>
      </c>
      <c r="B1944" s="83">
        <v>10707.1</v>
      </c>
      <c r="C1944" s="84">
        <v>5166.3</v>
      </c>
      <c r="D1944" s="61">
        <v>793.9</v>
      </c>
      <c r="E1944" s="61">
        <v>38.4</v>
      </c>
      <c r="F1944" s="61">
        <v>105.3</v>
      </c>
      <c r="G1944" s="61">
        <v>56.7</v>
      </c>
      <c r="H1944" s="61">
        <v>8.9</v>
      </c>
      <c r="I1944" s="61">
        <v>27.9</v>
      </c>
      <c r="J1944" s="61">
        <v>15.3</v>
      </c>
      <c r="K1944" s="61">
        <v>8.9</v>
      </c>
      <c r="L1944" s="61">
        <v>57.7</v>
      </c>
      <c r="M1944" s="61">
        <v>38.9</v>
      </c>
      <c r="N1944" s="61">
        <v>62.1</v>
      </c>
      <c r="O1944" s="85">
        <v>54.7</v>
      </c>
      <c r="P1944" s="105"/>
      <c r="Q1944" s="87">
        <f t="shared" si="183"/>
        <v>1.1213801625526792E-3</v>
      </c>
      <c r="R1944" s="87">
        <f t="shared" si="181"/>
        <v>1.2783267284072048E-3</v>
      </c>
      <c r="S1944" s="87">
        <f t="shared" si="181"/>
        <v>1.134287096219777E-3</v>
      </c>
      <c r="T1944" s="87">
        <f t="shared" si="181"/>
        <v>2.6075634070809911E-3</v>
      </c>
      <c r="U1944" s="87">
        <f t="shared" si="181"/>
        <v>4.7596472529881336E-3</v>
      </c>
      <c r="V1944" s="87">
        <f t="shared" si="181"/>
        <v>3.5335725813112656E-3</v>
      </c>
      <c r="W1944" s="87">
        <f t="shared" si="182"/>
        <v>0</v>
      </c>
      <c r="X1944" s="87">
        <f t="shared" si="182"/>
        <v>1.4440684154794209E-2</v>
      </c>
      <c r="Y1944" s="87">
        <f t="shared" si="182"/>
        <v>-2.5807883955872475E-2</v>
      </c>
      <c r="Z1944" s="87">
        <f t="shared" si="182"/>
        <v>4.5985113241823437E-2</v>
      </c>
      <c r="AA1944" s="87">
        <f t="shared" si="182"/>
        <v>8.7032751283016713E-3</v>
      </c>
      <c r="AB1944" s="87">
        <f t="shared" si="179"/>
        <v>-8.3792835427831683E-2</v>
      </c>
      <c r="AC1944" s="87">
        <f t="shared" si="179"/>
        <v>1.4598799421152631E-2</v>
      </c>
      <c r="AD1944" s="87">
        <f t="shared" si="179"/>
        <v>7.3394824880459696E-3</v>
      </c>
      <c r="AE1944" s="90">
        <f t="shared" si="184"/>
        <v>2.9683249683244055E-3</v>
      </c>
    </row>
    <row r="1945" spans="1:31" ht="15.5" x14ac:dyDescent="0.35">
      <c r="A1945" s="82">
        <v>42587</v>
      </c>
      <c r="B1945" s="83">
        <v>10782.9</v>
      </c>
      <c r="C1945" s="84">
        <v>5221.1000000000004</v>
      </c>
      <c r="D1945" s="61">
        <v>797.8</v>
      </c>
      <c r="E1945" s="61">
        <v>38.9</v>
      </c>
      <c r="F1945" s="61">
        <v>106.2</v>
      </c>
      <c r="G1945" s="61">
        <v>57.5</v>
      </c>
      <c r="H1945" s="61">
        <v>8.9</v>
      </c>
      <c r="I1945" s="61">
        <v>28.2</v>
      </c>
      <c r="J1945" s="61">
        <v>15.5</v>
      </c>
      <c r="K1945" s="61">
        <v>9.1999999999999993</v>
      </c>
      <c r="L1945" s="61">
        <v>60.7</v>
      </c>
      <c r="M1945" s="61">
        <v>40.200000000000003</v>
      </c>
      <c r="N1945" s="61">
        <v>62.5</v>
      </c>
      <c r="O1945" s="85">
        <v>55.2</v>
      </c>
      <c r="P1945" s="105"/>
      <c r="Q1945" s="87">
        <f t="shared" si="183"/>
        <v>7.054473183098469E-3</v>
      </c>
      <c r="R1945" s="87">
        <f t="shared" si="181"/>
        <v>1.0551342667049794E-2</v>
      </c>
      <c r="S1945" s="87">
        <f t="shared" si="181"/>
        <v>4.9004307402384494E-3</v>
      </c>
      <c r="T1945" s="87">
        <f t="shared" si="181"/>
        <v>1.2936791030719362E-2</v>
      </c>
      <c r="U1945" s="87">
        <f t="shared" si="181"/>
        <v>8.5106896679086105E-3</v>
      </c>
      <c r="V1945" s="87">
        <f t="shared" si="181"/>
        <v>1.4010737069598369E-2</v>
      </c>
      <c r="W1945" s="87">
        <f t="shared" si="182"/>
        <v>0</v>
      </c>
      <c r="X1945" s="87">
        <f t="shared" si="182"/>
        <v>1.069528911674795E-2</v>
      </c>
      <c r="Y1945" s="87">
        <f t="shared" si="182"/>
        <v>1.2987195526811112E-2</v>
      </c>
      <c r="Z1945" s="87">
        <f t="shared" si="182"/>
        <v>3.3152207316900335E-2</v>
      </c>
      <c r="AA1945" s="87">
        <f t="shared" si="182"/>
        <v>5.0686524551398708E-2</v>
      </c>
      <c r="AB1945" s="87">
        <f t="shared" si="179"/>
        <v>3.2872745000574979E-2</v>
      </c>
      <c r="AC1945" s="87">
        <f t="shared" si="179"/>
        <v>6.4205678029227616E-3</v>
      </c>
      <c r="AD1945" s="87">
        <f t="shared" si="179"/>
        <v>9.0992438551140888E-3</v>
      </c>
      <c r="AE1945" s="90">
        <f t="shared" si="184"/>
        <v>8.1369550531507802E-3</v>
      </c>
    </row>
    <row r="1946" spans="1:31" ht="15.5" x14ac:dyDescent="0.35">
      <c r="A1946" s="82">
        <v>42590</v>
      </c>
      <c r="B1946" s="83">
        <v>10788</v>
      </c>
      <c r="C1946" s="84">
        <v>5213.1000000000004</v>
      </c>
      <c r="D1946" s="61">
        <v>801.7</v>
      </c>
      <c r="E1946" s="61">
        <v>38.9</v>
      </c>
      <c r="F1946" s="61">
        <v>107.2</v>
      </c>
      <c r="G1946" s="61">
        <v>57.8</v>
      </c>
      <c r="H1946" s="61">
        <v>8.9</v>
      </c>
      <c r="I1946" s="61">
        <v>28</v>
      </c>
      <c r="J1946" s="61">
        <v>16.100000000000001</v>
      </c>
      <c r="K1946" s="61">
        <v>9.4</v>
      </c>
      <c r="L1946" s="61">
        <v>62</v>
      </c>
      <c r="M1946" s="61">
        <v>41.1</v>
      </c>
      <c r="N1946" s="61">
        <v>63.6</v>
      </c>
      <c r="O1946" s="85">
        <v>55.7</v>
      </c>
      <c r="P1946" s="105"/>
      <c r="Q1946" s="87">
        <f t="shared" si="183"/>
        <v>4.7285927754789228E-4</v>
      </c>
      <c r="R1946" s="87">
        <f t="shared" si="181"/>
        <v>-1.5334192496948358E-3</v>
      </c>
      <c r="S1946" s="87">
        <f t="shared" si="181"/>
        <v>4.8765335775999112E-3</v>
      </c>
      <c r="T1946" s="87">
        <f t="shared" si="181"/>
        <v>0</v>
      </c>
      <c r="U1946" s="87">
        <f t="shared" si="181"/>
        <v>9.3721398288632522E-3</v>
      </c>
      <c r="V1946" s="87">
        <f t="shared" si="181"/>
        <v>5.2038278750270442E-3</v>
      </c>
      <c r="W1946" s="87">
        <f t="shared" si="182"/>
        <v>0</v>
      </c>
      <c r="X1946" s="87">
        <f t="shared" si="182"/>
        <v>-7.1174677688639896E-3</v>
      </c>
      <c r="Y1946" s="87">
        <f t="shared" si="182"/>
        <v>3.7979248065216471E-2</v>
      </c>
      <c r="Z1946" s="87">
        <f t="shared" si="182"/>
        <v>2.1506205220963682E-2</v>
      </c>
      <c r="AA1946" s="87">
        <f t="shared" si="182"/>
        <v>2.1190686979638836E-2</v>
      </c>
      <c r="AB1946" s="87">
        <f t="shared" si="179"/>
        <v>2.2141125877213501E-2</v>
      </c>
      <c r="AC1946" s="87">
        <f t="shared" si="179"/>
        <v>1.7446913603720703E-2</v>
      </c>
      <c r="AD1946" s="87">
        <f t="shared" si="179"/>
        <v>9.0171936501886405E-3</v>
      </c>
      <c r="AE1946" s="90">
        <f t="shared" si="184"/>
        <v>4.7439186097703928E-3</v>
      </c>
    </row>
    <row r="1947" spans="1:31" ht="15.5" x14ac:dyDescent="0.35">
      <c r="A1947" s="82">
        <v>42591</v>
      </c>
      <c r="B1947" s="83">
        <v>10804.5</v>
      </c>
      <c r="C1947" s="84">
        <v>5225.5</v>
      </c>
      <c r="D1947" s="61">
        <v>804.1</v>
      </c>
      <c r="E1947" s="61">
        <v>39.1</v>
      </c>
      <c r="F1947" s="61">
        <v>108</v>
      </c>
      <c r="G1947" s="61">
        <v>58</v>
      </c>
      <c r="H1947" s="61">
        <v>8.9</v>
      </c>
      <c r="I1947" s="61">
        <v>28</v>
      </c>
      <c r="J1947" s="61">
        <v>16.3</v>
      </c>
      <c r="K1947" s="61">
        <v>9.1999999999999993</v>
      </c>
      <c r="L1947" s="61">
        <v>62.4</v>
      </c>
      <c r="M1947" s="61">
        <v>41.1</v>
      </c>
      <c r="N1947" s="61">
        <v>63.6</v>
      </c>
      <c r="O1947" s="85">
        <v>55.7</v>
      </c>
      <c r="P1947" s="105"/>
      <c r="Q1947" s="87">
        <f t="shared" si="183"/>
        <v>1.5283087379067359E-3</v>
      </c>
      <c r="R1947" s="87">
        <f t="shared" si="181"/>
        <v>2.3757986382399719E-3</v>
      </c>
      <c r="S1947" s="87">
        <f t="shared" si="181"/>
        <v>2.9891665051973147E-3</v>
      </c>
      <c r="T1947" s="87">
        <f t="shared" si="181"/>
        <v>5.1282163669195292E-3</v>
      </c>
      <c r="U1947" s="87">
        <f t="shared" si="181"/>
        <v>7.4349784875179905E-3</v>
      </c>
      <c r="V1947" s="87">
        <f t="shared" si="181"/>
        <v>3.4542348680876036E-3</v>
      </c>
      <c r="W1947" s="87">
        <f t="shared" si="182"/>
        <v>0</v>
      </c>
      <c r="X1947" s="87">
        <f t="shared" si="182"/>
        <v>0</v>
      </c>
      <c r="Y1947" s="87">
        <f t="shared" si="182"/>
        <v>1.2345835822299362E-2</v>
      </c>
      <c r="Z1947" s="87">
        <f t="shared" si="182"/>
        <v>-2.150620522096373E-2</v>
      </c>
      <c r="AA1947" s="87">
        <f t="shared" si="182"/>
        <v>6.4308903302903314E-3</v>
      </c>
      <c r="AB1947" s="87">
        <f t="shared" si="182"/>
        <v>0</v>
      </c>
      <c r="AC1947" s="87">
        <f t="shared" si="182"/>
        <v>0</v>
      </c>
      <c r="AD1947" s="87">
        <f t="shared" si="182"/>
        <v>0</v>
      </c>
      <c r="AE1947" s="90">
        <f t="shared" si="184"/>
        <v>3.7132131476974835E-3</v>
      </c>
    </row>
    <row r="1948" spans="1:31" ht="15.5" x14ac:dyDescent="0.35">
      <c r="A1948" s="82">
        <v>42592</v>
      </c>
      <c r="B1948" s="83">
        <v>10775</v>
      </c>
      <c r="C1948" s="84">
        <v>5204.6000000000004</v>
      </c>
      <c r="D1948" s="61">
        <v>806.5</v>
      </c>
      <c r="E1948" s="61">
        <v>39.299999999999997</v>
      </c>
      <c r="F1948" s="61">
        <v>107.8</v>
      </c>
      <c r="G1948" s="61">
        <v>57.8</v>
      </c>
      <c r="H1948" s="61">
        <v>8.9</v>
      </c>
      <c r="I1948" s="61">
        <v>27.7</v>
      </c>
      <c r="J1948" s="61">
        <v>16.5</v>
      </c>
      <c r="K1948" s="61">
        <v>9.1</v>
      </c>
      <c r="L1948" s="61">
        <v>62.1</v>
      </c>
      <c r="M1948" s="61">
        <v>40</v>
      </c>
      <c r="N1948" s="61">
        <v>63.6</v>
      </c>
      <c r="O1948" s="85">
        <v>55.1</v>
      </c>
      <c r="P1948" s="105"/>
      <c r="Q1948" s="87">
        <f t="shared" si="183"/>
        <v>-2.7340780255787752E-3</v>
      </c>
      <c r="R1948" s="87">
        <f t="shared" si="181"/>
        <v>-4.0076371220162613E-3</v>
      </c>
      <c r="S1948" s="87">
        <f t="shared" si="181"/>
        <v>2.9802580111601179E-3</v>
      </c>
      <c r="T1948" s="87">
        <f t="shared" si="181"/>
        <v>5.1020518838953309E-3</v>
      </c>
      <c r="U1948" s="87">
        <f t="shared" si="181"/>
        <v>-1.8535686493229438E-3</v>
      </c>
      <c r="V1948" s="87">
        <f t="shared" si="181"/>
        <v>-3.4542348680875576E-3</v>
      </c>
      <c r="W1948" s="87">
        <f t="shared" si="182"/>
        <v>0</v>
      </c>
      <c r="X1948" s="87">
        <f t="shared" si="182"/>
        <v>-1.0772096981911183E-2</v>
      </c>
      <c r="Y1948" s="87">
        <f t="shared" si="182"/>
        <v>1.2195273093818206E-2</v>
      </c>
      <c r="Z1948" s="87">
        <f t="shared" si="182"/>
        <v>-1.0929070532190206E-2</v>
      </c>
      <c r="AA1948" s="87">
        <f t="shared" si="182"/>
        <v>-4.8192864359488828E-3</v>
      </c>
      <c r="AB1948" s="87">
        <f t="shared" si="182"/>
        <v>-2.7128667388252699E-2</v>
      </c>
      <c r="AC1948" s="87">
        <f t="shared" si="182"/>
        <v>0</v>
      </c>
      <c r="AD1948" s="87">
        <f t="shared" si="182"/>
        <v>-1.0830430774369553E-2</v>
      </c>
      <c r="AE1948" s="90">
        <f t="shared" si="184"/>
        <v>-2.1751973012975492E-3</v>
      </c>
    </row>
    <row r="1949" spans="1:31" ht="15.5" x14ac:dyDescent="0.35">
      <c r="A1949" s="82">
        <v>42593</v>
      </c>
      <c r="B1949" s="83">
        <v>10836.2</v>
      </c>
      <c r="C1949" s="84">
        <v>5228.3999999999996</v>
      </c>
      <c r="D1949" s="61">
        <v>806</v>
      </c>
      <c r="E1949" s="61">
        <v>40.9</v>
      </c>
      <c r="F1949" s="61">
        <v>107.9</v>
      </c>
      <c r="G1949" s="61">
        <v>58</v>
      </c>
      <c r="H1949" s="61">
        <v>9</v>
      </c>
      <c r="I1949" s="61">
        <v>28.3</v>
      </c>
      <c r="J1949" s="61">
        <v>16.3</v>
      </c>
      <c r="K1949" s="61">
        <v>9.6</v>
      </c>
      <c r="L1949" s="61">
        <v>62.5</v>
      </c>
      <c r="M1949" s="61">
        <v>39.9</v>
      </c>
      <c r="N1949" s="61">
        <v>63.7</v>
      </c>
      <c r="O1949" s="85">
        <v>55.5</v>
      </c>
      <c r="P1949" s="105"/>
      <c r="Q1949" s="87">
        <f t="shared" si="183"/>
        <v>5.6637450579101831E-3</v>
      </c>
      <c r="R1949" s="87">
        <f t="shared" si="181"/>
        <v>4.5624539988545799E-3</v>
      </c>
      <c r="S1949" s="87">
        <f t="shared" si="181"/>
        <v>-6.2015505863526055E-4</v>
      </c>
      <c r="T1949" s="87">
        <f t="shared" si="181"/>
        <v>3.9905544173540648E-2</v>
      </c>
      <c r="U1949" s="87">
        <f t="shared" si="181"/>
        <v>9.272137891922675E-4</v>
      </c>
      <c r="V1949" s="87">
        <f t="shared" si="181"/>
        <v>3.4542348680876036E-3</v>
      </c>
      <c r="W1949" s="87">
        <f t="shared" si="182"/>
        <v>1.1173300598125255E-2</v>
      </c>
      <c r="X1949" s="87">
        <f t="shared" si="182"/>
        <v>2.142939145589921E-2</v>
      </c>
      <c r="Y1949" s="87">
        <f t="shared" si="182"/>
        <v>-1.2195273093818243E-2</v>
      </c>
      <c r="Z1949" s="87">
        <f t="shared" si="182"/>
        <v>5.3488684950986222E-2</v>
      </c>
      <c r="AA1949" s="87">
        <f t="shared" si="182"/>
        <v>6.4205678029227616E-3</v>
      </c>
      <c r="AB1949" s="87">
        <f t="shared" si="182"/>
        <v>-2.5031302181185884E-3</v>
      </c>
      <c r="AC1949" s="87">
        <f t="shared" si="182"/>
        <v>1.5710922320411461E-3</v>
      </c>
      <c r="AD1949" s="87">
        <f t="shared" si="182"/>
        <v>7.2333045935200607E-3</v>
      </c>
      <c r="AE1949" s="90">
        <f t="shared" si="184"/>
        <v>2.3303514847898563E-3</v>
      </c>
    </row>
    <row r="1950" spans="1:31" ht="15.5" x14ac:dyDescent="0.35">
      <c r="A1950" s="82">
        <v>42594</v>
      </c>
      <c r="B1950" s="83">
        <v>10822.4</v>
      </c>
      <c r="C1950" s="84">
        <v>5232.8999999999996</v>
      </c>
      <c r="D1950" s="61">
        <v>803.6</v>
      </c>
      <c r="E1950" s="61">
        <v>41.3</v>
      </c>
      <c r="F1950" s="61">
        <v>107.8</v>
      </c>
      <c r="G1950" s="61">
        <v>57.6</v>
      </c>
      <c r="H1950" s="61">
        <v>9</v>
      </c>
      <c r="I1950" s="61">
        <v>29</v>
      </c>
      <c r="J1950" s="61">
        <v>16.2</v>
      </c>
      <c r="K1950" s="61">
        <v>9.6999999999999993</v>
      </c>
      <c r="L1950" s="61">
        <v>62.9</v>
      </c>
      <c r="M1950" s="61">
        <v>39.5</v>
      </c>
      <c r="N1950" s="61">
        <v>64</v>
      </c>
      <c r="O1950" s="85">
        <v>56.1</v>
      </c>
      <c r="P1950" s="105"/>
      <c r="Q1950" s="87">
        <f t="shared" si="183"/>
        <v>-1.2743207656522545E-3</v>
      </c>
      <c r="R1950" s="87">
        <f t="shared" si="181"/>
        <v>8.6031378080205607E-4</v>
      </c>
      <c r="S1950" s="87">
        <f t="shared" si="181"/>
        <v>-2.9821095658488818E-3</v>
      </c>
      <c r="T1950" s="87">
        <f t="shared" si="181"/>
        <v>9.7324369182310543E-3</v>
      </c>
      <c r="U1950" s="87">
        <f t="shared" si="181"/>
        <v>-9.2721378919225015E-4</v>
      </c>
      <c r="V1950" s="87">
        <f t="shared" si="181"/>
        <v>-6.9204428445737952E-3</v>
      </c>
      <c r="W1950" s="87">
        <f t="shared" si="182"/>
        <v>0</v>
      </c>
      <c r="X1950" s="87">
        <f t="shared" si="182"/>
        <v>2.4434025337282041E-2</v>
      </c>
      <c r="Y1950" s="87">
        <f t="shared" si="182"/>
        <v>-6.1538655743783354E-3</v>
      </c>
      <c r="Z1950" s="87">
        <f t="shared" si="182"/>
        <v>1.0362787035546658E-2</v>
      </c>
      <c r="AA1950" s="87">
        <f t="shared" si="182"/>
        <v>6.3796069640389879E-3</v>
      </c>
      <c r="AB1950" s="87">
        <f t="shared" si="182"/>
        <v>-1.0075651988741587E-2</v>
      </c>
      <c r="AC1950" s="87">
        <f t="shared" si="182"/>
        <v>4.6985207815541143E-3</v>
      </c>
      <c r="AD1950" s="87">
        <f t="shared" si="182"/>
        <v>1.0752791776261915E-2</v>
      </c>
      <c r="AE1950" s="90">
        <f t="shared" si="184"/>
        <v>4.2667895430050645E-4</v>
      </c>
    </row>
    <row r="1951" spans="1:31" ht="15.5" x14ac:dyDescent="0.35">
      <c r="A1951" s="82">
        <v>42597</v>
      </c>
      <c r="B1951" s="83">
        <v>10892.2</v>
      </c>
      <c r="C1951" s="84">
        <v>5262</v>
      </c>
      <c r="D1951" s="61">
        <v>804</v>
      </c>
      <c r="E1951" s="61">
        <v>42.4</v>
      </c>
      <c r="F1951" s="61">
        <v>108.1</v>
      </c>
      <c r="G1951" s="61">
        <v>58</v>
      </c>
      <c r="H1951" s="61">
        <v>9</v>
      </c>
      <c r="I1951" s="61">
        <v>29.2</v>
      </c>
      <c r="J1951" s="61">
        <v>16.2</v>
      </c>
      <c r="K1951" s="61">
        <v>10.6</v>
      </c>
      <c r="L1951" s="61">
        <v>63.2</v>
      </c>
      <c r="M1951" s="61">
        <v>40</v>
      </c>
      <c r="N1951" s="61">
        <v>64.599999999999994</v>
      </c>
      <c r="O1951" s="85">
        <v>56.6</v>
      </c>
      <c r="P1951" s="105"/>
      <c r="Q1951" s="87">
        <f t="shared" si="183"/>
        <v>6.4288764614868861E-3</v>
      </c>
      <c r="R1951" s="87">
        <f t="shared" si="181"/>
        <v>5.5455649080393349E-3</v>
      </c>
      <c r="S1951" s="87">
        <f t="shared" si="181"/>
        <v>4.9763623818704862E-4</v>
      </c>
      <c r="T1951" s="87">
        <f t="shared" si="181"/>
        <v>2.628586227092506E-2</v>
      </c>
      <c r="U1951" s="87">
        <f t="shared" si="181"/>
        <v>2.7790661702658068E-3</v>
      </c>
      <c r="V1951" s="87">
        <f t="shared" si="181"/>
        <v>6.920442844573757E-3</v>
      </c>
      <c r="W1951" s="87">
        <f t="shared" si="182"/>
        <v>0</v>
      </c>
      <c r="X1951" s="87">
        <f t="shared" si="182"/>
        <v>6.8728792877620504E-3</v>
      </c>
      <c r="Y1951" s="87">
        <f t="shared" si="182"/>
        <v>0</v>
      </c>
      <c r="Z1951" s="87">
        <f t="shared" si="182"/>
        <v>8.8728115608684432E-2</v>
      </c>
      <c r="AA1951" s="87">
        <f t="shared" si="182"/>
        <v>4.7581374464170179E-3</v>
      </c>
      <c r="AB1951" s="87">
        <f t="shared" si="182"/>
        <v>1.2578782206860185E-2</v>
      </c>
      <c r="AC1951" s="87">
        <f t="shared" si="182"/>
        <v>9.3313274288842219E-3</v>
      </c>
      <c r="AD1951" s="87">
        <f t="shared" si="182"/>
        <v>8.8731726804867263E-3</v>
      </c>
      <c r="AE1951" s="90">
        <f t="shared" si="184"/>
        <v>3.6811266925533322E-3</v>
      </c>
    </row>
    <row r="1952" spans="1:31" ht="15.5" x14ac:dyDescent="0.35">
      <c r="A1952" s="82">
        <v>42598</v>
      </c>
      <c r="B1952" s="83">
        <v>10809.7</v>
      </c>
      <c r="C1952" s="84">
        <v>5227.1000000000004</v>
      </c>
      <c r="D1952" s="61">
        <v>797</v>
      </c>
      <c r="E1952" s="61">
        <v>42</v>
      </c>
      <c r="F1952" s="61">
        <v>109.2</v>
      </c>
      <c r="G1952" s="61">
        <v>57.3</v>
      </c>
      <c r="H1952" s="61">
        <v>9</v>
      </c>
      <c r="I1952" s="61">
        <v>28.9</v>
      </c>
      <c r="J1952" s="61">
        <v>16.5</v>
      </c>
      <c r="K1952" s="61">
        <v>11</v>
      </c>
      <c r="L1952" s="61">
        <v>62.8</v>
      </c>
      <c r="M1952" s="61">
        <v>40</v>
      </c>
      <c r="N1952" s="61">
        <v>64.900000000000006</v>
      </c>
      <c r="O1952" s="85">
        <v>56.4</v>
      </c>
      <c r="P1952" s="105"/>
      <c r="Q1952" s="87">
        <f t="shared" si="183"/>
        <v>-7.6030575589415561E-3</v>
      </c>
      <c r="R1952" s="87">
        <f t="shared" ref="R1952:Z1984" si="185">+LN(C1952/C1951)</f>
        <v>-6.6545516373753381E-3</v>
      </c>
      <c r="S1952" s="87">
        <f t="shared" si="185"/>
        <v>-8.7445903887513748E-3</v>
      </c>
      <c r="T1952" s="87">
        <f t="shared" si="185"/>
        <v>-9.47874395454377E-3</v>
      </c>
      <c r="U1952" s="87">
        <f t="shared" si="185"/>
        <v>1.0124338665642189E-2</v>
      </c>
      <c r="V1952" s="87">
        <f t="shared" si="185"/>
        <v>-1.2142386825725536E-2</v>
      </c>
      <c r="W1952" s="87">
        <f t="shared" si="182"/>
        <v>0</v>
      </c>
      <c r="X1952" s="87">
        <f t="shared" si="182"/>
        <v>-1.0327114155849628E-2</v>
      </c>
      <c r="Y1952" s="87">
        <f t="shared" si="182"/>
        <v>1.8349138668196617E-2</v>
      </c>
      <c r="Z1952" s="87">
        <f t="shared" si="182"/>
        <v>3.7041271680349076E-2</v>
      </c>
      <c r="AA1952" s="87">
        <f t="shared" si="182"/>
        <v>-6.3492276786588919E-3</v>
      </c>
      <c r="AB1952" s="87">
        <f t="shared" si="182"/>
        <v>0</v>
      </c>
      <c r="AC1952" s="87">
        <f t="shared" si="182"/>
        <v>4.6332129214884197E-3</v>
      </c>
      <c r="AD1952" s="87">
        <f t="shared" si="182"/>
        <v>-3.5398267051240623E-3</v>
      </c>
      <c r="AE1952" s="90">
        <f t="shared" si="184"/>
        <v>-2.0901132345889934E-3</v>
      </c>
    </row>
    <row r="1953" spans="1:31" ht="15.5" x14ac:dyDescent="0.35">
      <c r="A1953" s="82">
        <v>42599</v>
      </c>
      <c r="B1953" s="83">
        <v>10824.6</v>
      </c>
      <c r="C1953" s="84">
        <v>5228.7</v>
      </c>
      <c r="D1953" s="61">
        <v>796.3</v>
      </c>
      <c r="E1953" s="61">
        <v>42.4</v>
      </c>
      <c r="F1953" s="61">
        <v>108.3</v>
      </c>
      <c r="G1953" s="61">
        <v>57.2</v>
      </c>
      <c r="H1953" s="61">
        <v>8.9</v>
      </c>
      <c r="I1953" s="61">
        <v>28.3</v>
      </c>
      <c r="J1953" s="61">
        <v>16</v>
      </c>
      <c r="K1953" s="61">
        <v>10.7</v>
      </c>
      <c r="L1953" s="61">
        <v>62.6</v>
      </c>
      <c r="M1953" s="61">
        <v>40.1</v>
      </c>
      <c r="N1953" s="61">
        <v>64.5</v>
      </c>
      <c r="O1953" s="85">
        <v>56.5</v>
      </c>
      <c r="P1953" s="105"/>
      <c r="Q1953" s="87">
        <f t="shared" si="183"/>
        <v>1.3774425200604986E-3</v>
      </c>
      <c r="R1953" s="87">
        <f t="shared" si="185"/>
        <v>3.0605023288289546E-4</v>
      </c>
      <c r="S1953" s="87">
        <f t="shared" si="185"/>
        <v>-8.7867952681588643E-4</v>
      </c>
      <c r="T1953" s="87">
        <f t="shared" si="185"/>
        <v>9.4787439545437387E-3</v>
      </c>
      <c r="U1953" s="87">
        <f t="shared" si="185"/>
        <v>-8.2759093038598224E-3</v>
      </c>
      <c r="V1953" s="87">
        <f t="shared" si="185"/>
        <v>-1.7467253349415374E-3</v>
      </c>
      <c r="W1953" s="87">
        <f t="shared" si="182"/>
        <v>-1.1173300598125189E-2</v>
      </c>
      <c r="X1953" s="87">
        <f t="shared" si="182"/>
        <v>-2.0979790469194407E-2</v>
      </c>
      <c r="Y1953" s="87">
        <f t="shared" si="182"/>
        <v>-3.077165866675366E-2</v>
      </c>
      <c r="Z1953" s="87">
        <f t="shared" si="182"/>
        <v>-2.7651531330510123E-2</v>
      </c>
      <c r="AA1953" s="87">
        <f t="shared" si="182"/>
        <v>-3.1897953681000379E-3</v>
      </c>
      <c r="AB1953" s="87">
        <f t="shared" si="182"/>
        <v>2.4968801985871458E-3</v>
      </c>
      <c r="AC1953" s="87">
        <f t="shared" si="182"/>
        <v>-6.1823999083175391E-3</v>
      </c>
      <c r="AD1953" s="87">
        <f t="shared" si="182"/>
        <v>1.7714796483820209E-3</v>
      </c>
      <c r="AE1953" s="90">
        <f t="shared" si="184"/>
        <v>-2.3165922722739123E-3</v>
      </c>
    </row>
    <row r="1954" spans="1:31" ht="15.5" x14ac:dyDescent="0.35">
      <c r="A1954" s="82">
        <v>42600</v>
      </c>
      <c r="B1954" s="83">
        <v>10863</v>
      </c>
      <c r="C1954" s="84">
        <v>5240.1000000000004</v>
      </c>
      <c r="D1954" s="61">
        <v>801.6</v>
      </c>
      <c r="E1954" s="61">
        <v>42.6</v>
      </c>
      <c r="F1954" s="61">
        <v>109</v>
      </c>
      <c r="G1954" s="61">
        <v>57.3</v>
      </c>
      <c r="H1954" s="61">
        <v>8.9</v>
      </c>
      <c r="I1954" s="61">
        <v>28.6</v>
      </c>
      <c r="J1954" s="61">
        <v>16</v>
      </c>
      <c r="K1954" s="61">
        <v>10.199999999999999</v>
      </c>
      <c r="L1954" s="61">
        <v>63.1</v>
      </c>
      <c r="M1954" s="61">
        <v>40.200000000000003</v>
      </c>
      <c r="N1954" s="61">
        <v>64.7</v>
      </c>
      <c r="O1954" s="85">
        <v>56.9</v>
      </c>
      <c r="P1954" s="105"/>
      <c r="Q1954" s="87">
        <f t="shared" si="183"/>
        <v>3.5411977469386163E-3</v>
      </c>
      <c r="R1954" s="87">
        <f t="shared" si="185"/>
        <v>2.1779009067113891E-3</v>
      </c>
      <c r="S1954" s="87">
        <f t="shared" si="185"/>
        <v>6.6337310672013022E-3</v>
      </c>
      <c r="T1954" s="87">
        <f t="shared" si="185"/>
        <v>4.7058910374127138E-3</v>
      </c>
      <c r="U1954" s="87">
        <f t="shared" si="185"/>
        <v>6.4427282221987117E-3</v>
      </c>
      <c r="V1954" s="87">
        <f t="shared" si="185"/>
        <v>1.7467253349415786E-3</v>
      </c>
      <c r="W1954" s="87">
        <f t="shared" si="182"/>
        <v>0</v>
      </c>
      <c r="X1954" s="87">
        <f t="shared" si="182"/>
        <v>1.054491317661504E-2</v>
      </c>
      <c r="Y1954" s="87">
        <f t="shared" si="182"/>
        <v>0</v>
      </c>
      <c r="Z1954" s="87">
        <f t="shared" si="182"/>
        <v>-4.78560211776351E-2</v>
      </c>
      <c r="AA1954" s="87">
        <f t="shared" si="182"/>
        <v>7.9554914411146798E-3</v>
      </c>
      <c r="AB1954" s="87">
        <f t="shared" si="182"/>
        <v>2.4906613124518304E-3</v>
      </c>
      <c r="AC1954" s="87">
        <f t="shared" si="182"/>
        <v>3.0959777051282134E-3</v>
      </c>
      <c r="AD1954" s="87">
        <f t="shared" si="182"/>
        <v>7.0547029798900332E-3</v>
      </c>
      <c r="AE1954" s="90">
        <f t="shared" si="184"/>
        <v>5.2946559025449655E-3</v>
      </c>
    </row>
    <row r="1955" spans="1:31" ht="15.5" x14ac:dyDescent="0.35">
      <c r="A1955" s="82">
        <v>42601</v>
      </c>
      <c r="B1955" s="83">
        <v>10829.2</v>
      </c>
      <c r="C1955" s="84">
        <v>5238.3999999999996</v>
      </c>
      <c r="D1955" s="61">
        <v>796.9</v>
      </c>
      <c r="E1955" s="61">
        <v>42.6</v>
      </c>
      <c r="F1955" s="61">
        <v>108.4</v>
      </c>
      <c r="G1955" s="61">
        <v>57.2</v>
      </c>
      <c r="H1955" s="61">
        <v>8.9</v>
      </c>
      <c r="I1955" s="61">
        <v>29</v>
      </c>
      <c r="J1955" s="61">
        <v>15.9</v>
      </c>
      <c r="K1955" s="61">
        <v>10.199999999999999</v>
      </c>
      <c r="L1955" s="61">
        <v>62.9</v>
      </c>
      <c r="M1955" s="61">
        <v>40.1</v>
      </c>
      <c r="N1955" s="61">
        <v>64.5</v>
      </c>
      <c r="O1955" s="85">
        <v>57.3</v>
      </c>
      <c r="P1955" s="105"/>
      <c r="Q1955" s="87">
        <f t="shared" si="183"/>
        <v>-3.1163300498879849E-3</v>
      </c>
      <c r="R1955" s="87">
        <f t="shared" si="185"/>
        <v>-3.2447392564119692E-4</v>
      </c>
      <c r="S1955" s="87">
        <f t="shared" si="185"/>
        <v>-5.880529926897987E-3</v>
      </c>
      <c r="T1955" s="87">
        <f t="shared" si="185"/>
        <v>0</v>
      </c>
      <c r="U1955" s="87">
        <f t="shared" si="185"/>
        <v>-5.5197932235978098E-3</v>
      </c>
      <c r="V1955" s="87">
        <f t="shared" si="185"/>
        <v>-1.7467253349415374E-3</v>
      </c>
      <c r="W1955" s="87">
        <f t="shared" si="182"/>
        <v>0</v>
      </c>
      <c r="X1955" s="87">
        <f t="shared" si="182"/>
        <v>1.3889112160667093E-2</v>
      </c>
      <c r="Y1955" s="87">
        <f t="shared" si="182"/>
        <v>-6.2696130135953742E-3</v>
      </c>
      <c r="Z1955" s="87">
        <f t="shared" si="182"/>
        <v>0</v>
      </c>
      <c r="AA1955" s="87">
        <f t="shared" si="182"/>
        <v>-3.1746058407726538E-3</v>
      </c>
      <c r="AB1955" s="87">
        <f t="shared" si="182"/>
        <v>-2.4906613124519189E-3</v>
      </c>
      <c r="AC1955" s="87">
        <f t="shared" si="182"/>
        <v>-3.095977705128121E-3</v>
      </c>
      <c r="AD1955" s="87">
        <f t="shared" si="182"/>
        <v>7.0052825884085925E-3</v>
      </c>
      <c r="AE1955" s="90">
        <f t="shared" si="184"/>
        <v>-2.5457138668105428E-3</v>
      </c>
    </row>
    <row r="1956" spans="1:31" ht="15.5" x14ac:dyDescent="0.35">
      <c r="A1956" s="82">
        <v>42604</v>
      </c>
      <c r="B1956" s="83">
        <v>10815.9</v>
      </c>
      <c r="C1956" s="84">
        <v>5244.6</v>
      </c>
      <c r="D1956" s="61">
        <v>794.3</v>
      </c>
      <c r="E1956" s="61">
        <v>42.3</v>
      </c>
      <c r="F1956" s="61">
        <v>107.9</v>
      </c>
      <c r="G1956" s="61">
        <v>57.3</v>
      </c>
      <c r="H1956" s="61">
        <v>8.9</v>
      </c>
      <c r="I1956" s="61">
        <v>29</v>
      </c>
      <c r="J1956" s="61">
        <v>16</v>
      </c>
      <c r="K1956" s="61">
        <v>9.9</v>
      </c>
      <c r="L1956" s="61">
        <v>63.1</v>
      </c>
      <c r="M1956" s="61">
        <v>40.1</v>
      </c>
      <c r="N1956" s="61">
        <v>64.599999999999994</v>
      </c>
      <c r="O1956" s="85">
        <v>58.7</v>
      </c>
      <c r="P1956" s="105"/>
      <c r="Q1956" s="87">
        <f t="shared" si="183"/>
        <v>-1.2289157059883391E-3</v>
      </c>
      <c r="R1956" s="87">
        <f t="shared" si="185"/>
        <v>1.1828676376815618E-3</v>
      </c>
      <c r="S1956" s="87">
        <f t="shared" si="185"/>
        <v>-3.267976764616111E-3</v>
      </c>
      <c r="T1956" s="87">
        <f t="shared" si="185"/>
        <v>-7.0671672230925549E-3</v>
      </c>
      <c r="U1956" s="87">
        <f t="shared" si="185"/>
        <v>-4.6232167414568528E-3</v>
      </c>
      <c r="V1956" s="87">
        <f t="shared" si="185"/>
        <v>1.7467253349415786E-3</v>
      </c>
      <c r="W1956" s="87">
        <f t="shared" si="182"/>
        <v>0</v>
      </c>
      <c r="X1956" s="87">
        <f t="shared" si="182"/>
        <v>0</v>
      </c>
      <c r="Y1956" s="87">
        <f t="shared" si="182"/>
        <v>6.269613013595395E-3</v>
      </c>
      <c r="Z1956" s="87">
        <f t="shared" si="182"/>
        <v>-2.9852963149681045E-2</v>
      </c>
      <c r="AA1956" s="87">
        <f t="shared" si="182"/>
        <v>3.1746058407726395E-3</v>
      </c>
      <c r="AB1956" s="87">
        <f t="shared" si="182"/>
        <v>0</v>
      </c>
      <c r="AC1956" s="87">
        <f t="shared" si="182"/>
        <v>1.5491869868293187E-3</v>
      </c>
      <c r="AD1956" s="87">
        <f t="shared" si="182"/>
        <v>2.413910311335709E-2</v>
      </c>
      <c r="AE1956" s="90">
        <f t="shared" si="184"/>
        <v>1.009923853508392E-3</v>
      </c>
    </row>
    <row r="1957" spans="1:31" ht="15.5" x14ac:dyDescent="0.35">
      <c r="A1957" s="82">
        <v>42605</v>
      </c>
      <c r="B1957" s="83">
        <v>10847.5</v>
      </c>
      <c r="C1957" s="84">
        <v>5260.1</v>
      </c>
      <c r="D1957" s="61">
        <v>796</v>
      </c>
      <c r="E1957" s="61">
        <v>42.5</v>
      </c>
      <c r="F1957" s="61">
        <v>108.5</v>
      </c>
      <c r="G1957" s="61">
        <v>57.9</v>
      </c>
      <c r="H1957" s="61">
        <v>8.9</v>
      </c>
      <c r="I1957" s="61">
        <v>29.2</v>
      </c>
      <c r="J1957" s="61">
        <v>16.399999999999999</v>
      </c>
      <c r="K1957" s="61">
        <v>10.1</v>
      </c>
      <c r="L1957" s="61">
        <v>63.4</v>
      </c>
      <c r="M1957" s="61">
        <v>40.5</v>
      </c>
      <c r="N1957" s="61">
        <v>65.599999999999994</v>
      </c>
      <c r="O1957" s="85">
        <v>58.8</v>
      </c>
      <c r="P1957" s="105"/>
      <c r="Q1957" s="87">
        <f t="shared" si="183"/>
        <v>2.917364994631222E-3</v>
      </c>
      <c r="R1957" s="87">
        <f t="shared" si="185"/>
        <v>2.9510621433878844E-3</v>
      </c>
      <c r="S1957" s="87">
        <f t="shared" si="185"/>
        <v>2.1379622052967256E-3</v>
      </c>
      <c r="T1957" s="87">
        <f t="shared" si="185"/>
        <v>4.7169898781388667E-3</v>
      </c>
      <c r="U1957" s="87">
        <f t="shared" si="185"/>
        <v>5.5453007164251479E-3</v>
      </c>
      <c r="V1957" s="87">
        <f t="shared" si="185"/>
        <v>1.04167608582558E-2</v>
      </c>
      <c r="W1957" s="87">
        <f t="shared" si="182"/>
        <v>0</v>
      </c>
      <c r="X1957" s="87">
        <f t="shared" si="182"/>
        <v>6.8728792877620504E-3</v>
      </c>
      <c r="Y1957" s="87">
        <f t="shared" si="182"/>
        <v>2.4692612590371414E-2</v>
      </c>
      <c r="Z1957" s="87">
        <f t="shared" si="182"/>
        <v>2.0000666706669435E-2</v>
      </c>
      <c r="AA1957" s="87">
        <f t="shared" si="182"/>
        <v>4.7430918960126318E-3</v>
      </c>
      <c r="AB1957" s="87">
        <f t="shared" si="182"/>
        <v>9.9256397999699982E-3</v>
      </c>
      <c r="AC1957" s="87">
        <f t="shared" si="182"/>
        <v>1.5361285161487149E-2</v>
      </c>
      <c r="AD1957" s="87">
        <f t="shared" si="182"/>
        <v>1.7021280705303626E-3</v>
      </c>
      <c r="AE1957" s="90">
        <f t="shared" si="184"/>
        <v>3.303003524447741E-3</v>
      </c>
    </row>
    <row r="1958" spans="1:31" ht="15.5" x14ac:dyDescent="0.35">
      <c r="A1958" s="82">
        <v>42606</v>
      </c>
      <c r="B1958" s="83">
        <v>10791.2</v>
      </c>
      <c r="C1958" s="84">
        <v>5217.7</v>
      </c>
      <c r="D1958" s="61">
        <v>790.8</v>
      </c>
      <c r="E1958" s="61">
        <v>41.8</v>
      </c>
      <c r="F1958" s="61">
        <v>107.7</v>
      </c>
      <c r="G1958" s="61">
        <v>57.7</v>
      </c>
      <c r="H1958" s="61">
        <v>8.8000000000000007</v>
      </c>
      <c r="I1958" s="61">
        <v>29.3</v>
      </c>
      <c r="J1958" s="61">
        <v>16.600000000000001</v>
      </c>
      <c r="K1958" s="61">
        <v>9.8000000000000007</v>
      </c>
      <c r="L1958" s="61">
        <v>62.5</v>
      </c>
      <c r="M1958" s="61">
        <v>40.6</v>
      </c>
      <c r="N1958" s="61">
        <v>65.5</v>
      </c>
      <c r="O1958" s="85">
        <v>59.7</v>
      </c>
      <c r="P1958" s="105"/>
      <c r="Q1958" s="87">
        <f t="shared" si="183"/>
        <v>-5.2036515170357234E-3</v>
      </c>
      <c r="R1958" s="87">
        <f t="shared" si="185"/>
        <v>-8.0933462064634084E-3</v>
      </c>
      <c r="S1958" s="87">
        <f t="shared" si="185"/>
        <v>-6.5540945479212308E-3</v>
      </c>
      <c r="T1958" s="87">
        <f t="shared" si="185"/>
        <v>-1.6607736399660636E-2</v>
      </c>
      <c r="U1958" s="87">
        <f t="shared" si="185"/>
        <v>-7.4005888181712847E-3</v>
      </c>
      <c r="V1958" s="87">
        <f t="shared" si="185"/>
        <v>-3.4602110648956196E-3</v>
      </c>
      <c r="W1958" s="87">
        <f t="shared" si="182"/>
        <v>-1.1299555253933282E-2</v>
      </c>
      <c r="X1958" s="87">
        <f t="shared" si="182"/>
        <v>3.4188067487856823E-3</v>
      </c>
      <c r="Y1958" s="87">
        <f t="shared" si="182"/>
        <v>1.2121360532345041E-2</v>
      </c>
      <c r="Z1958" s="87">
        <f t="shared" si="182"/>
        <v>-3.0153038170687443E-2</v>
      </c>
      <c r="AA1958" s="87">
        <f t="shared" si="182"/>
        <v>-1.4297304700824449E-2</v>
      </c>
      <c r="AB1958" s="87">
        <f t="shared" si="182"/>
        <v>2.4660924951934683E-3</v>
      </c>
      <c r="AC1958" s="87">
        <f t="shared" si="182"/>
        <v>-1.5255533088370686E-3</v>
      </c>
      <c r="AD1958" s="87">
        <f t="shared" si="182"/>
        <v>1.5190165493975238E-2</v>
      </c>
      <c r="AE1958" s="90">
        <f t="shared" si="184"/>
        <v>-4.6145518789891919E-3</v>
      </c>
    </row>
    <row r="1959" spans="1:31" ht="15.5" x14ac:dyDescent="0.35">
      <c r="A1959" s="82">
        <v>42607</v>
      </c>
      <c r="B1959" s="83">
        <v>10784.4</v>
      </c>
      <c r="C1959" s="84">
        <v>5212.2</v>
      </c>
      <c r="D1959" s="61">
        <v>787.2</v>
      </c>
      <c r="E1959" s="61">
        <v>41.7</v>
      </c>
      <c r="F1959" s="61">
        <v>106.7</v>
      </c>
      <c r="G1959" s="61">
        <v>57.8</v>
      </c>
      <c r="H1959" s="61">
        <v>8.9</v>
      </c>
      <c r="I1959" s="61">
        <v>29.1</v>
      </c>
      <c r="J1959" s="61">
        <v>16.399999999999999</v>
      </c>
      <c r="K1959" s="61">
        <v>9.6999999999999993</v>
      </c>
      <c r="L1959" s="61">
        <v>62.3</v>
      </c>
      <c r="M1959" s="61">
        <v>40.799999999999997</v>
      </c>
      <c r="N1959" s="61">
        <v>65.5</v>
      </c>
      <c r="O1959" s="85">
        <v>59</v>
      </c>
      <c r="P1959" s="105"/>
      <c r="Q1959" s="87">
        <f t="shared" si="183"/>
        <v>-6.3034170314204185E-4</v>
      </c>
      <c r="R1959" s="87">
        <f t="shared" si="185"/>
        <v>-1.0546602574920383E-3</v>
      </c>
      <c r="S1959" s="87">
        <f t="shared" si="185"/>
        <v>-4.5627455584180609E-3</v>
      </c>
      <c r="T1959" s="87">
        <f t="shared" si="185"/>
        <v>-2.3952107259547105E-3</v>
      </c>
      <c r="U1959" s="87">
        <f t="shared" si="185"/>
        <v>-9.3284258546352059E-3</v>
      </c>
      <c r="V1959" s="87">
        <f t="shared" si="185"/>
        <v>1.7316021642778939E-3</v>
      </c>
      <c r="W1959" s="87">
        <f t="shared" si="182"/>
        <v>1.1299555253933247E-2</v>
      </c>
      <c r="X1959" s="87">
        <f t="shared" si="182"/>
        <v>-6.849341845574783E-3</v>
      </c>
      <c r="Y1959" s="87">
        <f t="shared" si="182"/>
        <v>-1.2121360532344963E-2</v>
      </c>
      <c r="Z1959" s="87">
        <f t="shared" si="182"/>
        <v>-1.0256500167189221E-2</v>
      </c>
      <c r="AA1959" s="87">
        <f t="shared" si="182"/>
        <v>-3.2051309489484468E-3</v>
      </c>
      <c r="AB1959" s="87">
        <f t="shared" si="182"/>
        <v>4.9140148024289414E-3</v>
      </c>
      <c r="AC1959" s="87">
        <f t="shared" si="182"/>
        <v>0</v>
      </c>
      <c r="AD1959" s="87">
        <f t="shared" si="182"/>
        <v>-1.1794576492837041E-2</v>
      </c>
      <c r="AE1959" s="90">
        <f t="shared" si="184"/>
        <v>-5.7529121178406199E-3</v>
      </c>
    </row>
    <row r="1960" spans="1:31" ht="15.5" x14ac:dyDescent="0.35">
      <c r="A1960" s="82">
        <v>42608</v>
      </c>
      <c r="B1960" s="83">
        <v>10749.3</v>
      </c>
      <c r="C1960" s="84">
        <v>5218.8999999999996</v>
      </c>
      <c r="D1960" s="61">
        <v>789.4</v>
      </c>
      <c r="E1960" s="61">
        <v>41.9</v>
      </c>
      <c r="F1960" s="61">
        <v>106.3</v>
      </c>
      <c r="G1960" s="61">
        <v>57.7</v>
      </c>
      <c r="H1960" s="61">
        <v>8.8000000000000007</v>
      </c>
      <c r="I1960" s="61">
        <v>28.9</v>
      </c>
      <c r="J1960" s="61">
        <v>16</v>
      </c>
      <c r="K1960" s="61">
        <v>9.9</v>
      </c>
      <c r="L1960" s="61">
        <v>62.2</v>
      </c>
      <c r="M1960" s="61">
        <v>41.5</v>
      </c>
      <c r="N1960" s="61">
        <v>65.099999999999994</v>
      </c>
      <c r="O1960" s="85">
        <v>58.3</v>
      </c>
      <c r="P1960" s="105"/>
      <c r="Q1960" s="87">
        <f t="shared" si="183"/>
        <v>-3.2600092957459077E-3</v>
      </c>
      <c r="R1960" s="87">
        <f t="shared" si="185"/>
        <v>1.2846202071475402E-3</v>
      </c>
      <c r="S1960" s="87">
        <f t="shared" si="185"/>
        <v>2.790817490702971E-3</v>
      </c>
      <c r="T1960" s="87">
        <f t="shared" si="185"/>
        <v>4.7846981233362531E-3</v>
      </c>
      <c r="U1960" s="87">
        <f t="shared" si="185"/>
        <v>-3.7558729598054954E-3</v>
      </c>
      <c r="V1960" s="87">
        <f t="shared" si="185"/>
        <v>-1.7316021642778238E-3</v>
      </c>
      <c r="W1960" s="87">
        <f t="shared" si="182"/>
        <v>-1.1299555253933282E-2</v>
      </c>
      <c r="X1960" s="87">
        <f t="shared" si="182"/>
        <v>-6.8965790590604405E-3</v>
      </c>
      <c r="Y1960" s="87">
        <f t="shared" si="182"/>
        <v>-2.4692612590371411E-2</v>
      </c>
      <c r="Z1960" s="87">
        <f t="shared" si="182"/>
        <v>2.0408871631207252E-2</v>
      </c>
      <c r="AA1960" s="87">
        <f t="shared" si="182"/>
        <v>-1.6064260482735768E-3</v>
      </c>
      <c r="AB1960" s="87">
        <f t="shared" si="182"/>
        <v>1.7011345826536756E-2</v>
      </c>
      <c r="AC1960" s="87">
        <f t="shared" si="182"/>
        <v>-6.1255934266827312E-3</v>
      </c>
      <c r="AD1960" s="87">
        <f t="shared" si="182"/>
        <v>-1.1935350549272791E-2</v>
      </c>
      <c r="AE1960" s="90">
        <f t="shared" si="184"/>
        <v>-1.3225564314326228E-3</v>
      </c>
    </row>
    <row r="1961" spans="1:31" ht="15.5" x14ac:dyDescent="0.35">
      <c r="A1961" s="82">
        <v>42611</v>
      </c>
      <c r="B1961" s="83">
        <v>10811.3</v>
      </c>
      <c r="C1961" s="84">
        <v>5232.3</v>
      </c>
      <c r="D1961" s="61">
        <v>790.3</v>
      </c>
      <c r="E1961" s="61">
        <v>42.1</v>
      </c>
      <c r="F1961" s="61">
        <v>106.3</v>
      </c>
      <c r="G1961" s="61">
        <v>58.1</v>
      </c>
      <c r="H1961" s="61">
        <v>8.8000000000000007</v>
      </c>
      <c r="I1961" s="61">
        <v>28.9</v>
      </c>
      <c r="J1961" s="61">
        <v>16</v>
      </c>
      <c r="K1961" s="61">
        <v>9.8000000000000007</v>
      </c>
      <c r="L1961" s="61">
        <v>62.6</v>
      </c>
      <c r="M1961" s="61">
        <v>42</v>
      </c>
      <c r="N1961" s="61">
        <v>65.7</v>
      </c>
      <c r="O1961" s="85">
        <v>58.5</v>
      </c>
      <c r="P1961" s="105"/>
      <c r="Q1961" s="87">
        <f t="shared" si="183"/>
        <v>5.7512472655619753E-3</v>
      </c>
      <c r="R1961" s="87">
        <f t="shared" si="185"/>
        <v>2.5643002416552174E-3</v>
      </c>
      <c r="S1961" s="87">
        <f t="shared" si="185"/>
        <v>1.1394569821829806E-3</v>
      </c>
      <c r="T1961" s="87">
        <f t="shared" si="185"/>
        <v>4.761913760243785E-3</v>
      </c>
      <c r="U1961" s="87">
        <f t="shared" si="185"/>
        <v>0</v>
      </c>
      <c r="V1961" s="87">
        <f t="shared" si="185"/>
        <v>6.9084903438116092E-3</v>
      </c>
      <c r="W1961" s="87">
        <f t="shared" si="182"/>
        <v>0</v>
      </c>
      <c r="X1961" s="87">
        <f t="shared" si="182"/>
        <v>0</v>
      </c>
      <c r="Y1961" s="87">
        <f t="shared" si="182"/>
        <v>0</v>
      </c>
      <c r="Z1961" s="87">
        <f t="shared" si="182"/>
        <v>-1.0152371464017962E-2</v>
      </c>
      <c r="AA1961" s="87">
        <f t="shared" si="182"/>
        <v>6.4102783609190188E-3</v>
      </c>
      <c r="AB1961" s="87">
        <f t="shared" si="182"/>
        <v>1.197619104671562E-2</v>
      </c>
      <c r="AC1961" s="87">
        <f t="shared" si="182"/>
        <v>9.1743762760414498E-3</v>
      </c>
      <c r="AD1961" s="87">
        <f t="shared" si="182"/>
        <v>3.4246608813641747E-3</v>
      </c>
      <c r="AE1961" s="90">
        <f t="shared" si="184"/>
        <v>1.5184990414268318E-3</v>
      </c>
    </row>
    <row r="1962" spans="1:31" ht="15.5" x14ac:dyDescent="0.35">
      <c r="A1962" s="82">
        <v>42612</v>
      </c>
      <c r="B1962" s="83">
        <v>10797.5</v>
      </c>
      <c r="C1962" s="84">
        <v>5223</v>
      </c>
      <c r="D1962" s="61">
        <v>789.5</v>
      </c>
      <c r="E1962" s="61">
        <v>42.3</v>
      </c>
      <c r="F1962" s="61">
        <v>105.5</v>
      </c>
      <c r="G1962" s="61">
        <v>57.6</v>
      </c>
      <c r="H1962" s="61">
        <v>8.8000000000000007</v>
      </c>
      <c r="I1962" s="61">
        <v>28.9</v>
      </c>
      <c r="J1962" s="61">
        <v>16</v>
      </c>
      <c r="K1962" s="61">
        <v>9.6</v>
      </c>
      <c r="L1962" s="61">
        <v>62.5</v>
      </c>
      <c r="M1962" s="61">
        <v>42.5</v>
      </c>
      <c r="N1962" s="61">
        <v>65.5</v>
      </c>
      <c r="O1962" s="85">
        <v>57.9</v>
      </c>
      <c r="P1962" s="105"/>
      <c r="Q1962" s="87">
        <f t="shared" si="183"/>
        <v>-1.2772575872879992E-3</v>
      </c>
      <c r="R1962" s="87">
        <f t="shared" si="185"/>
        <v>-1.7790025064338313E-3</v>
      </c>
      <c r="S1962" s="87">
        <f t="shared" si="185"/>
        <v>-1.0127865152328277E-3</v>
      </c>
      <c r="T1962" s="87">
        <f t="shared" si="185"/>
        <v>4.7393453638963469E-3</v>
      </c>
      <c r="U1962" s="87">
        <f t="shared" si="185"/>
        <v>-7.5543324317810436E-3</v>
      </c>
      <c r="V1962" s="87">
        <f t="shared" si="185"/>
        <v>-8.6430961560199689E-3</v>
      </c>
      <c r="W1962" s="87">
        <f t="shared" si="182"/>
        <v>0</v>
      </c>
      <c r="X1962" s="87">
        <f t="shared" si="182"/>
        <v>0</v>
      </c>
      <c r="Y1962" s="87">
        <f t="shared" si="182"/>
        <v>0</v>
      </c>
      <c r="Z1962" s="87">
        <f t="shared" si="182"/>
        <v>-2.0619287202735818E-2</v>
      </c>
      <c r="AA1962" s="87">
        <f t="shared" si="182"/>
        <v>-1.5987213636971041E-3</v>
      </c>
      <c r="AB1962" s="87">
        <f t="shared" si="182"/>
        <v>1.1834457647002798E-2</v>
      </c>
      <c r="AC1962" s="87">
        <f t="shared" si="182"/>
        <v>-3.0487828493585929E-3</v>
      </c>
      <c r="AD1962" s="87">
        <f t="shared" si="182"/>
        <v>-1.0309369658861325E-2</v>
      </c>
      <c r="AE1962" s="90">
        <f t="shared" si="184"/>
        <v>-4.2429246005923479E-3</v>
      </c>
    </row>
    <row r="1963" spans="1:31" ht="15.5" x14ac:dyDescent="0.35">
      <c r="A1963" s="82">
        <v>42613</v>
      </c>
      <c r="B1963" s="83">
        <v>10764.8</v>
      </c>
      <c r="C1963" s="84">
        <v>5213.2</v>
      </c>
      <c r="D1963" s="61">
        <v>787.2</v>
      </c>
      <c r="E1963" s="61">
        <v>42.5</v>
      </c>
      <c r="F1963" s="61">
        <v>105.6</v>
      </c>
      <c r="G1963" s="61">
        <v>57.3</v>
      </c>
      <c r="H1963" s="61">
        <v>8.9</v>
      </c>
      <c r="I1963" s="61">
        <v>29</v>
      </c>
      <c r="J1963" s="61">
        <v>17.600000000000001</v>
      </c>
      <c r="K1963" s="61">
        <v>9.4</v>
      </c>
      <c r="L1963" s="61">
        <v>62.4</v>
      </c>
      <c r="M1963" s="61">
        <v>42.8</v>
      </c>
      <c r="N1963" s="61">
        <v>65.2</v>
      </c>
      <c r="O1963" s="85">
        <v>57.2</v>
      </c>
      <c r="P1963" s="105"/>
      <c r="Q1963" s="87">
        <f t="shared" si="183"/>
        <v>-3.0330739363367372E-3</v>
      </c>
      <c r="R1963" s="87">
        <f t="shared" si="185"/>
        <v>-1.8780787797340838E-3</v>
      </c>
      <c r="S1963" s="87">
        <f t="shared" si="185"/>
        <v>-2.917487957653099E-3</v>
      </c>
      <c r="T1963" s="87">
        <f t="shared" si="185"/>
        <v>4.7169898781388667E-3</v>
      </c>
      <c r="U1963" s="87">
        <f t="shared" si="185"/>
        <v>9.4741835603981102E-4</v>
      </c>
      <c r="V1963" s="87">
        <f t="shared" si="185"/>
        <v>-5.2219439811517126E-3</v>
      </c>
      <c r="W1963" s="87">
        <f t="shared" si="182"/>
        <v>1.1299555253933247E-2</v>
      </c>
      <c r="X1963" s="87">
        <f t="shared" si="182"/>
        <v>3.4542348680876036E-3</v>
      </c>
      <c r="Y1963" s="87">
        <f t="shared" si="182"/>
        <v>9.5310179804324935E-2</v>
      </c>
      <c r="Z1963" s="87">
        <f t="shared" si="182"/>
        <v>-2.1053409197832267E-2</v>
      </c>
      <c r="AA1963" s="87">
        <f t="shared" si="182"/>
        <v>-1.6012813669738792E-3</v>
      </c>
      <c r="AB1963" s="87">
        <f t="shared" si="182"/>
        <v>7.0340266573799817E-3</v>
      </c>
      <c r="AC1963" s="87">
        <f t="shared" si="182"/>
        <v>-4.5906737085989512E-3</v>
      </c>
      <c r="AD1963" s="87">
        <f t="shared" si="182"/>
        <v>-1.2163486193197237E-2</v>
      </c>
      <c r="AE1963" s="90">
        <f t="shared" si="184"/>
        <v>-2.6246343473371589E-3</v>
      </c>
    </row>
    <row r="1964" spans="1:31" ht="15.5" x14ac:dyDescent="0.35">
      <c r="A1964" s="82">
        <v>42614</v>
      </c>
      <c r="B1964" s="83">
        <v>10771.9</v>
      </c>
      <c r="C1964" s="84">
        <v>5227.2</v>
      </c>
      <c r="D1964" s="61">
        <v>786.3</v>
      </c>
      <c r="E1964" s="61">
        <v>42.7</v>
      </c>
      <c r="F1964" s="61">
        <v>105.6</v>
      </c>
      <c r="G1964" s="61">
        <v>57</v>
      </c>
      <c r="H1964" s="61">
        <v>8.9</v>
      </c>
      <c r="I1964" s="61">
        <v>29</v>
      </c>
      <c r="J1964" s="61">
        <v>17.7</v>
      </c>
      <c r="K1964" s="61">
        <v>9.3000000000000007</v>
      </c>
      <c r="L1964" s="61">
        <v>62.4</v>
      </c>
      <c r="M1964" s="61">
        <v>42.6</v>
      </c>
      <c r="N1964" s="61">
        <v>64.5</v>
      </c>
      <c r="O1964" s="85">
        <v>57.5</v>
      </c>
      <c r="P1964" s="105"/>
      <c r="Q1964" s="87">
        <f t="shared" si="183"/>
        <v>6.5933966273520677E-4</v>
      </c>
      <c r="R1964" s="87">
        <f t="shared" si="185"/>
        <v>2.6818911902409611E-3</v>
      </c>
      <c r="S1964" s="87">
        <f t="shared" si="185"/>
        <v>-1.1439467405733896E-3</v>
      </c>
      <c r="T1964" s="87">
        <f t="shared" si="185"/>
        <v>4.6948443042078847E-3</v>
      </c>
      <c r="U1964" s="87">
        <f t="shared" si="185"/>
        <v>0</v>
      </c>
      <c r="V1964" s="87">
        <f t="shared" si="185"/>
        <v>-5.2493558861436782E-3</v>
      </c>
      <c r="W1964" s="87">
        <f t="shared" si="182"/>
        <v>0</v>
      </c>
      <c r="X1964" s="87">
        <f t="shared" si="182"/>
        <v>0</v>
      </c>
      <c r="Y1964" s="87">
        <f t="shared" si="182"/>
        <v>5.6657375356772999E-3</v>
      </c>
      <c r="Z1964" s="87">
        <f t="shared" si="182"/>
        <v>-1.0695289116747919E-2</v>
      </c>
      <c r="AA1964" s="87">
        <f t="shared" si="182"/>
        <v>0</v>
      </c>
      <c r="AB1964" s="87">
        <f t="shared" si="182"/>
        <v>-4.6838493124263143E-3</v>
      </c>
      <c r="AC1964" s="87">
        <f t="shared" si="182"/>
        <v>-1.0794245130880512E-2</v>
      </c>
      <c r="AD1964" s="87">
        <f t="shared" si="182"/>
        <v>5.2310494175525028E-3</v>
      </c>
      <c r="AE1964" s="90">
        <f t="shared" si="184"/>
        <v>1.1048109600118364E-3</v>
      </c>
    </row>
    <row r="1965" spans="1:31" ht="15.5" x14ac:dyDescent="0.35">
      <c r="A1965" s="82">
        <v>42615</v>
      </c>
      <c r="B1965" s="83">
        <v>10856.9</v>
      </c>
      <c r="C1965" s="84">
        <v>5249.9</v>
      </c>
      <c r="D1965" s="61">
        <v>793.3</v>
      </c>
      <c r="E1965" s="61">
        <v>43.1</v>
      </c>
      <c r="F1965" s="61">
        <v>106.8</v>
      </c>
      <c r="G1965" s="61">
        <v>57.4</v>
      </c>
      <c r="H1965" s="61">
        <v>8.9</v>
      </c>
      <c r="I1965" s="61">
        <v>29.1</v>
      </c>
      <c r="J1965" s="61">
        <v>17.600000000000001</v>
      </c>
      <c r="K1965" s="61">
        <v>9.4</v>
      </c>
      <c r="L1965" s="61">
        <v>62.6</v>
      </c>
      <c r="M1965" s="61">
        <v>43</v>
      </c>
      <c r="N1965" s="61">
        <v>64.900000000000006</v>
      </c>
      <c r="O1965" s="85">
        <v>58</v>
      </c>
      <c r="P1965" s="105"/>
      <c r="Q1965" s="87">
        <f t="shared" si="183"/>
        <v>7.859930980670591E-3</v>
      </c>
      <c r="R1965" s="87">
        <f t="shared" si="185"/>
        <v>4.3332669384077774E-3</v>
      </c>
      <c r="S1965" s="87">
        <f t="shared" si="185"/>
        <v>8.8630613104869176E-3</v>
      </c>
      <c r="T1965" s="87">
        <f t="shared" si="185"/>
        <v>9.3240768751232436E-3</v>
      </c>
      <c r="U1965" s="87">
        <f t="shared" si="185"/>
        <v>1.1299555253933466E-2</v>
      </c>
      <c r="V1965" s="87">
        <f t="shared" si="185"/>
        <v>6.9930354909706043E-3</v>
      </c>
      <c r="W1965" s="87">
        <f t="shared" si="182"/>
        <v>0</v>
      </c>
      <c r="X1965" s="87">
        <f t="shared" si="182"/>
        <v>3.4423441909729197E-3</v>
      </c>
      <c r="Y1965" s="87">
        <f t="shared" si="182"/>
        <v>-5.6657375356771959E-3</v>
      </c>
      <c r="Z1965" s="87">
        <f t="shared" si="182"/>
        <v>1.069528911674795E-2</v>
      </c>
      <c r="AA1965" s="87">
        <f t="shared" si="182"/>
        <v>3.2000027306708497E-3</v>
      </c>
      <c r="AB1965" s="87">
        <f t="shared" si="182"/>
        <v>9.345862418237599E-3</v>
      </c>
      <c r="AC1965" s="87">
        <f t="shared" si="182"/>
        <v>6.1823999083175599E-3</v>
      </c>
      <c r="AD1965" s="87">
        <f t="shared" si="182"/>
        <v>8.6580627431145311E-3</v>
      </c>
      <c r="AE1965" s="90">
        <f t="shared" si="184"/>
        <v>8.1770334726784123E-3</v>
      </c>
    </row>
    <row r="1966" spans="1:31" ht="15.5" x14ac:dyDescent="0.35">
      <c r="A1966" s="82">
        <v>42619</v>
      </c>
      <c r="B1966" s="83">
        <v>10890.8</v>
      </c>
      <c r="C1966" s="84">
        <v>5275.9</v>
      </c>
      <c r="D1966" s="61">
        <v>795.4</v>
      </c>
      <c r="E1966" s="61">
        <v>43.5</v>
      </c>
      <c r="F1966" s="61">
        <v>107.5</v>
      </c>
      <c r="G1966" s="61">
        <v>57.2</v>
      </c>
      <c r="H1966" s="61">
        <v>8.9</v>
      </c>
      <c r="I1966" s="61">
        <v>30.6</v>
      </c>
      <c r="J1966" s="61">
        <v>17.600000000000001</v>
      </c>
      <c r="K1966" s="61">
        <v>9.3000000000000007</v>
      </c>
      <c r="L1966" s="61">
        <v>62.8</v>
      </c>
      <c r="M1966" s="61">
        <v>42.6</v>
      </c>
      <c r="N1966" s="61">
        <v>64.900000000000006</v>
      </c>
      <c r="O1966" s="85">
        <v>57.2</v>
      </c>
      <c r="P1966" s="105"/>
      <c r="Q1966" s="87">
        <f t="shared" si="183"/>
        <v>3.1175735785319856E-3</v>
      </c>
      <c r="R1966" s="87">
        <f t="shared" si="185"/>
        <v>4.940252119523824E-3</v>
      </c>
      <c r="S1966" s="87">
        <f t="shared" si="185"/>
        <v>2.6436724656329802E-3</v>
      </c>
      <c r="T1966" s="87">
        <f t="shared" si="185"/>
        <v>9.2379409849363599E-3</v>
      </c>
      <c r="U1966" s="87">
        <f t="shared" si="185"/>
        <v>6.5329210416230953E-3</v>
      </c>
      <c r="V1966" s="87">
        <f t="shared" si="185"/>
        <v>-3.4904049397684908E-3</v>
      </c>
      <c r="W1966" s="87">
        <f t="shared" si="182"/>
        <v>0</v>
      </c>
      <c r="X1966" s="87">
        <f t="shared" si="182"/>
        <v>5.0261834780888297E-2</v>
      </c>
      <c r="Y1966" s="87">
        <f t="shared" si="182"/>
        <v>0</v>
      </c>
      <c r="Z1966" s="87">
        <f t="shared" si="182"/>
        <v>-1.0695289116747919E-2</v>
      </c>
      <c r="AA1966" s="87">
        <f t="shared" si="182"/>
        <v>3.1897953681000808E-3</v>
      </c>
      <c r="AB1966" s="87">
        <f t="shared" si="182"/>
        <v>-9.345862418237658E-3</v>
      </c>
      <c r="AC1966" s="87">
        <f t="shared" si="182"/>
        <v>0</v>
      </c>
      <c r="AD1966" s="87">
        <f t="shared" si="182"/>
        <v>-1.3889112160667037E-2</v>
      </c>
      <c r="AE1966" s="90">
        <f t="shared" si="184"/>
        <v>2.4346253250052681E-3</v>
      </c>
    </row>
    <row r="1967" spans="1:31" ht="15.5" x14ac:dyDescent="0.35">
      <c r="A1967" s="82">
        <v>42620</v>
      </c>
      <c r="B1967" s="83">
        <v>10890.2</v>
      </c>
      <c r="C1967" s="84">
        <v>5283.9</v>
      </c>
      <c r="D1967" s="61">
        <v>803.7</v>
      </c>
      <c r="E1967" s="61">
        <v>44.2</v>
      </c>
      <c r="F1967" s="61">
        <v>107.1</v>
      </c>
      <c r="G1967" s="61">
        <v>57.4</v>
      </c>
      <c r="H1967" s="61">
        <v>8.6</v>
      </c>
      <c r="I1967" s="61">
        <v>30.9</v>
      </c>
      <c r="J1967" s="61">
        <v>17.5</v>
      </c>
      <c r="K1967" s="61">
        <v>9.5</v>
      </c>
      <c r="L1967" s="61">
        <v>62.6</v>
      </c>
      <c r="M1967" s="61">
        <v>42.7</v>
      </c>
      <c r="N1967" s="61">
        <v>64.8</v>
      </c>
      <c r="O1967" s="85">
        <v>57</v>
      </c>
      <c r="P1967" s="105"/>
      <c r="Q1967" s="87">
        <f t="shared" si="183"/>
        <v>-5.5093889183216988E-5</v>
      </c>
      <c r="R1967" s="87">
        <f t="shared" si="185"/>
        <v>1.5151805016220756E-3</v>
      </c>
      <c r="S1967" s="87">
        <f t="shared" si="185"/>
        <v>1.0380932445082607E-2</v>
      </c>
      <c r="T1967" s="87">
        <f t="shared" si="185"/>
        <v>1.596385098901399E-2</v>
      </c>
      <c r="U1967" s="87">
        <f t="shared" si="185"/>
        <v>-3.7278701140144154E-3</v>
      </c>
      <c r="V1967" s="87">
        <f t="shared" si="185"/>
        <v>3.4904049397683459E-3</v>
      </c>
      <c r="W1967" s="87">
        <f t="shared" si="182"/>
        <v>-3.4289073478632193E-2</v>
      </c>
      <c r="X1967" s="87">
        <f t="shared" si="182"/>
        <v>9.7561749453646558E-3</v>
      </c>
      <c r="Y1967" s="87">
        <f t="shared" si="182"/>
        <v>-5.6980211146377786E-3</v>
      </c>
      <c r="Z1967" s="87">
        <f t="shared" si="182"/>
        <v>2.1277398447284879E-2</v>
      </c>
      <c r="AA1967" s="87">
        <f t="shared" si="182"/>
        <v>-3.1897953681000379E-3</v>
      </c>
      <c r="AB1967" s="87">
        <f t="shared" si="182"/>
        <v>2.3446669592540547E-3</v>
      </c>
      <c r="AC1967" s="87">
        <f t="shared" si="182"/>
        <v>-1.5420203518154484E-3</v>
      </c>
      <c r="AD1967" s="87">
        <f t="shared" si="182"/>
        <v>-3.5026305512021118E-3</v>
      </c>
      <c r="AE1967" s="90">
        <f t="shared" si="184"/>
        <v>2.0016580094027589E-3</v>
      </c>
    </row>
    <row r="1968" spans="1:31" ht="15.5" x14ac:dyDescent="0.35">
      <c r="A1968" s="82">
        <v>42621</v>
      </c>
      <c r="B1968" s="83">
        <v>10882.3</v>
      </c>
      <c r="C1968" s="84">
        <v>5259.5</v>
      </c>
      <c r="D1968" s="61">
        <v>801</v>
      </c>
      <c r="E1968" s="61">
        <v>44</v>
      </c>
      <c r="F1968" s="61">
        <v>105.2</v>
      </c>
      <c r="G1968" s="61">
        <v>57.2</v>
      </c>
      <c r="H1968" s="61">
        <v>8.1</v>
      </c>
      <c r="I1968" s="61">
        <v>30.8</v>
      </c>
      <c r="J1968" s="61">
        <v>17.2</v>
      </c>
      <c r="K1968" s="61">
        <v>9.8000000000000007</v>
      </c>
      <c r="L1968" s="61">
        <v>62.3</v>
      </c>
      <c r="M1968" s="61">
        <v>43</v>
      </c>
      <c r="N1968" s="61">
        <v>64.8</v>
      </c>
      <c r="O1968" s="85">
        <v>56.1</v>
      </c>
      <c r="P1968" s="105"/>
      <c r="Q1968" s="87">
        <f t="shared" si="183"/>
        <v>-7.2568610372658691E-4</v>
      </c>
      <c r="R1968" s="87">
        <f t="shared" si="185"/>
        <v>-4.6284962270307173E-3</v>
      </c>
      <c r="S1968" s="87">
        <f t="shared" si="185"/>
        <v>-3.3651181503135588E-3</v>
      </c>
      <c r="T1968" s="87">
        <f t="shared" si="185"/>
        <v>-4.5351551653913741E-3</v>
      </c>
      <c r="U1968" s="87">
        <f t="shared" si="185"/>
        <v>-1.7899677150093534E-2</v>
      </c>
      <c r="V1968" s="87">
        <f t="shared" si="185"/>
        <v>-3.4904049397684908E-3</v>
      </c>
      <c r="W1968" s="87">
        <f t="shared" si="182"/>
        <v>-5.9898141581068959E-2</v>
      </c>
      <c r="X1968" s="87">
        <f t="shared" si="182"/>
        <v>-3.2414939241709557E-3</v>
      </c>
      <c r="Y1968" s="87">
        <f t="shared" si="182"/>
        <v>-1.7291497110061109E-2</v>
      </c>
      <c r="Z1968" s="87">
        <f t="shared" si="182"/>
        <v>3.1090587070031182E-2</v>
      </c>
      <c r="AA1968" s="87">
        <f t="shared" si="182"/>
        <v>-4.8038523126455006E-3</v>
      </c>
      <c r="AB1968" s="87">
        <f t="shared" si="182"/>
        <v>7.0011954589835612E-3</v>
      </c>
      <c r="AC1968" s="87">
        <f t="shared" si="182"/>
        <v>0</v>
      </c>
      <c r="AD1968" s="87">
        <f t="shared" si="182"/>
        <v>-1.5915455305899457E-2</v>
      </c>
      <c r="AE1968" s="90">
        <f t="shared" si="184"/>
        <v>-9.4252814824174296E-3</v>
      </c>
    </row>
    <row r="1969" spans="1:31" ht="15.5" x14ac:dyDescent="0.35">
      <c r="A1969" s="82">
        <v>42622</v>
      </c>
      <c r="B1969" s="83">
        <v>10613.5</v>
      </c>
      <c r="C1969" s="84">
        <v>5125.8999999999996</v>
      </c>
      <c r="D1969" s="61">
        <v>788.1</v>
      </c>
      <c r="E1969" s="61">
        <v>42.8</v>
      </c>
      <c r="F1969" s="61">
        <v>103.1</v>
      </c>
      <c r="G1969" s="61">
        <v>56.2</v>
      </c>
      <c r="H1969" s="61">
        <v>8.1</v>
      </c>
      <c r="I1969" s="61">
        <v>30.3</v>
      </c>
      <c r="J1969" s="61">
        <v>16.8</v>
      </c>
      <c r="K1969" s="61">
        <v>9.6</v>
      </c>
      <c r="L1969" s="61">
        <v>62.3</v>
      </c>
      <c r="M1969" s="61">
        <v>43.5</v>
      </c>
      <c r="N1969" s="61">
        <v>63.5</v>
      </c>
      <c r="O1969" s="85">
        <v>55.3</v>
      </c>
      <c r="P1969" s="105"/>
      <c r="Q1969" s="87">
        <f t="shared" si="183"/>
        <v>-2.5010840443048781E-2</v>
      </c>
      <c r="R1969" s="87">
        <f t="shared" si="185"/>
        <v>-2.5729845834210605E-2</v>
      </c>
      <c r="S1969" s="87">
        <f t="shared" si="185"/>
        <v>-1.6235961708755322E-2</v>
      </c>
      <c r="T1969" s="87">
        <f t="shared" si="185"/>
        <v>-2.7651531330510123E-2</v>
      </c>
      <c r="U1969" s="87">
        <f t="shared" si="185"/>
        <v>-2.0163909280695332E-2</v>
      </c>
      <c r="V1969" s="87">
        <f t="shared" si="185"/>
        <v>-1.7637141486106844E-2</v>
      </c>
      <c r="W1969" s="87">
        <f t="shared" si="182"/>
        <v>0</v>
      </c>
      <c r="X1969" s="87">
        <f t="shared" si="182"/>
        <v>-1.6366977464205359E-2</v>
      </c>
      <c r="Y1969" s="87">
        <f t="shared" si="182"/>
        <v>-2.3530497410194046E-2</v>
      </c>
      <c r="Z1969" s="87">
        <f t="shared" si="182"/>
        <v>-2.0619287202735818E-2</v>
      </c>
      <c r="AA1969" s="87">
        <f t="shared" ref="AA1969:AD2006" si="186">+LN(L1969/L1968)</f>
        <v>0</v>
      </c>
      <c r="AB1969" s="87">
        <f t="shared" si="186"/>
        <v>1.1560822401076006E-2</v>
      </c>
      <c r="AC1969" s="87">
        <f t="shared" si="186"/>
        <v>-2.0265697459583024E-2</v>
      </c>
      <c r="AD1969" s="87">
        <f t="shared" si="186"/>
        <v>-1.4362904000361649E-2</v>
      </c>
      <c r="AE1969" s="90">
        <f t="shared" si="184"/>
        <v>-1.9977225470355291E-2</v>
      </c>
    </row>
    <row r="1970" spans="1:31" ht="15.5" x14ac:dyDescent="0.35">
      <c r="A1970" s="82">
        <v>42625</v>
      </c>
      <c r="B1970" s="83">
        <v>10741.2</v>
      </c>
      <c r="C1970" s="84">
        <v>5211.8999999999996</v>
      </c>
      <c r="D1970" s="61">
        <v>783.5</v>
      </c>
      <c r="E1970" s="61">
        <v>42.2</v>
      </c>
      <c r="F1970" s="61">
        <v>102.5</v>
      </c>
      <c r="G1970" s="61">
        <v>55.6</v>
      </c>
      <c r="H1970" s="61">
        <v>8</v>
      </c>
      <c r="I1970" s="61">
        <v>30</v>
      </c>
      <c r="J1970" s="61">
        <v>16.600000000000001</v>
      </c>
      <c r="K1970" s="61">
        <v>9.8000000000000007</v>
      </c>
      <c r="L1970" s="61">
        <v>61.9</v>
      </c>
      <c r="M1970" s="61">
        <v>43</v>
      </c>
      <c r="N1970" s="61">
        <v>62.8</v>
      </c>
      <c r="O1970" s="85">
        <v>55</v>
      </c>
      <c r="P1970" s="105"/>
      <c r="Q1970" s="87">
        <f t="shared" si="183"/>
        <v>1.1960038980394957E-2</v>
      </c>
      <c r="R1970" s="87">
        <f t="shared" si="185"/>
        <v>1.6638353222845324E-2</v>
      </c>
      <c r="S1970" s="87">
        <f t="shared" si="185"/>
        <v>-5.8539235635283278E-3</v>
      </c>
      <c r="T1970" s="87">
        <f t="shared" si="185"/>
        <v>-1.4117881545784819E-2</v>
      </c>
      <c r="U1970" s="87">
        <f t="shared" si="185"/>
        <v>-5.8365924444513141E-3</v>
      </c>
      <c r="V1970" s="87">
        <f t="shared" si="185"/>
        <v>-1.0733555643108777E-2</v>
      </c>
      <c r="W1970" s="87">
        <f t="shared" si="185"/>
        <v>-1.2422519998557096E-2</v>
      </c>
      <c r="X1970" s="87">
        <f t="shared" si="185"/>
        <v>-9.950330853168092E-3</v>
      </c>
      <c r="Y1970" s="87">
        <f t="shared" si="185"/>
        <v>-1.1976191046715649E-2</v>
      </c>
      <c r="Z1970" s="87">
        <f t="shared" si="185"/>
        <v>2.0619287202735825E-2</v>
      </c>
      <c r="AA1970" s="87">
        <f t="shared" si="186"/>
        <v>-6.4412461028569932E-3</v>
      </c>
      <c r="AB1970" s="87">
        <f t="shared" si="186"/>
        <v>-1.1560822401075971E-2</v>
      </c>
      <c r="AC1970" s="87">
        <f t="shared" si="186"/>
        <v>-1.1084832424493041E-2</v>
      </c>
      <c r="AD1970" s="87">
        <f t="shared" si="186"/>
        <v>-5.4397232958180979E-3</v>
      </c>
      <c r="AE1970" s="90">
        <f t="shared" si="184"/>
        <v>9.4340366474301898E-4</v>
      </c>
    </row>
    <row r="1971" spans="1:31" ht="15.5" x14ac:dyDescent="0.35">
      <c r="A1971" s="82">
        <v>42626</v>
      </c>
      <c r="B1971" s="83">
        <v>10534.9</v>
      </c>
      <c r="C1971" s="84">
        <v>5155.3</v>
      </c>
      <c r="D1971" s="61">
        <v>784.3</v>
      </c>
      <c r="E1971" s="61">
        <v>42.7</v>
      </c>
      <c r="F1971" s="61">
        <v>107.2</v>
      </c>
      <c r="G1971" s="61">
        <v>56.1</v>
      </c>
      <c r="H1971" s="61">
        <v>8.1</v>
      </c>
      <c r="I1971" s="61">
        <v>30.7</v>
      </c>
      <c r="J1971" s="61">
        <v>16</v>
      </c>
      <c r="K1971" s="61">
        <v>9.5</v>
      </c>
      <c r="L1971" s="61">
        <v>61.4</v>
      </c>
      <c r="M1971" s="61">
        <v>43.5</v>
      </c>
      <c r="N1971" s="61">
        <v>62.4</v>
      </c>
      <c r="O1971" s="85">
        <v>55.1</v>
      </c>
      <c r="P1971" s="105"/>
      <c r="Q1971" s="87">
        <f t="shared" si="183"/>
        <v>-1.9393259640615768E-2</v>
      </c>
      <c r="R1971" s="87">
        <f t="shared" si="185"/>
        <v>-1.0919160883935174E-2</v>
      </c>
      <c r="S1971" s="87">
        <f t="shared" si="185"/>
        <v>1.0205384225453176E-3</v>
      </c>
      <c r="T1971" s="87">
        <f t="shared" si="185"/>
        <v>1.1778699192612705E-2</v>
      </c>
      <c r="U1971" s="87">
        <f t="shared" si="185"/>
        <v>4.4833450058238786E-2</v>
      </c>
      <c r="V1971" s="87">
        <f t="shared" si="185"/>
        <v>8.9526112721138845E-3</v>
      </c>
      <c r="W1971" s="87">
        <f t="shared" si="185"/>
        <v>1.242251999855711E-2</v>
      </c>
      <c r="X1971" s="87">
        <f t="shared" si="185"/>
        <v>2.3065272930995969E-2</v>
      </c>
      <c r="Y1971" s="87">
        <f t="shared" si="185"/>
        <v>-3.6813973122716434E-2</v>
      </c>
      <c r="Z1971" s="87">
        <f t="shared" si="185"/>
        <v>-3.1090587070031119E-2</v>
      </c>
      <c r="AA1971" s="87">
        <f t="shared" si="186"/>
        <v>-8.1103445374536252E-3</v>
      </c>
      <c r="AB1971" s="87">
        <f t="shared" si="186"/>
        <v>1.1560822401076006E-2</v>
      </c>
      <c r="AC1971" s="87">
        <f t="shared" si="186"/>
        <v>-6.38979809877101E-3</v>
      </c>
      <c r="AD1971" s="87">
        <f t="shared" si="186"/>
        <v>1.8165309263980069E-3</v>
      </c>
      <c r="AE1971" s="90">
        <f t="shared" si="184"/>
        <v>1.0066199730596673E-2</v>
      </c>
    </row>
    <row r="1972" spans="1:31" ht="15.5" x14ac:dyDescent="0.35">
      <c r="A1972" s="82">
        <v>42627</v>
      </c>
      <c r="B1972" s="83">
        <v>10511.4</v>
      </c>
      <c r="C1972" s="84">
        <v>5173.8</v>
      </c>
      <c r="D1972" s="61">
        <v>787.5</v>
      </c>
      <c r="E1972" s="61">
        <v>42.9</v>
      </c>
      <c r="F1972" s="61">
        <v>108.6</v>
      </c>
      <c r="G1972" s="61">
        <v>56</v>
      </c>
      <c r="H1972" s="61">
        <v>7.9</v>
      </c>
      <c r="I1972" s="61">
        <v>30.7</v>
      </c>
      <c r="J1972" s="61">
        <v>16</v>
      </c>
      <c r="K1972" s="61">
        <v>9.5</v>
      </c>
      <c r="L1972" s="61">
        <v>61.3</v>
      </c>
      <c r="M1972" s="61">
        <v>43.5</v>
      </c>
      <c r="N1972" s="61">
        <v>63</v>
      </c>
      <c r="O1972" s="85">
        <v>54.9</v>
      </c>
      <c r="P1972" s="105"/>
      <c r="Q1972" s="87">
        <f t="shared" si="183"/>
        <v>-2.2331725544465345E-3</v>
      </c>
      <c r="R1972" s="87">
        <f t="shared" si="185"/>
        <v>3.5821165023054145E-3</v>
      </c>
      <c r="S1972" s="87">
        <f t="shared" si="185"/>
        <v>4.0717704811674719E-3</v>
      </c>
      <c r="T1972" s="87">
        <f t="shared" si="185"/>
        <v>4.6729056993924231E-3</v>
      </c>
      <c r="U1972" s="87">
        <f t="shared" si="185"/>
        <v>1.2975158863133459E-2</v>
      </c>
      <c r="V1972" s="87">
        <f t="shared" si="185"/>
        <v>-1.7841217935014426E-3</v>
      </c>
      <c r="W1972" s="87">
        <f t="shared" si="185"/>
        <v>-2.5001302205417155E-2</v>
      </c>
      <c r="X1972" s="87">
        <f t="shared" si="185"/>
        <v>0</v>
      </c>
      <c r="Y1972" s="87">
        <f t="shared" si="185"/>
        <v>0</v>
      </c>
      <c r="Z1972" s="87">
        <f t="shared" si="185"/>
        <v>0</v>
      </c>
      <c r="AA1972" s="87">
        <f t="shared" si="186"/>
        <v>-1.6299922109310643E-3</v>
      </c>
      <c r="AB1972" s="87">
        <f t="shared" si="186"/>
        <v>0</v>
      </c>
      <c r="AC1972" s="87">
        <f t="shared" si="186"/>
        <v>9.5694510161506725E-3</v>
      </c>
      <c r="AD1972" s="87">
        <f t="shared" si="186"/>
        <v>-3.6363676433838745E-3</v>
      </c>
      <c r="AE1972" s="90">
        <f t="shared" si="184"/>
        <v>5.5339120421340092E-3</v>
      </c>
    </row>
    <row r="1973" spans="1:31" ht="15.5" x14ac:dyDescent="0.35">
      <c r="A1973" s="82">
        <v>42628</v>
      </c>
      <c r="B1973" s="83">
        <v>10602.9</v>
      </c>
      <c r="C1973" s="84">
        <v>5249.7</v>
      </c>
      <c r="D1973" s="61">
        <v>788.7</v>
      </c>
      <c r="E1973" s="61">
        <v>43.2</v>
      </c>
      <c r="F1973" s="61">
        <v>113.5</v>
      </c>
      <c r="G1973" s="61">
        <v>56</v>
      </c>
      <c r="H1973" s="61">
        <v>7.9</v>
      </c>
      <c r="I1973" s="61">
        <v>31.7</v>
      </c>
      <c r="J1973" s="61">
        <v>16</v>
      </c>
      <c r="K1973" s="61">
        <v>9.6</v>
      </c>
      <c r="L1973" s="61">
        <v>61.1</v>
      </c>
      <c r="M1973" s="61">
        <v>43.5</v>
      </c>
      <c r="N1973" s="61">
        <v>63.2</v>
      </c>
      <c r="O1973" s="85">
        <v>54.8</v>
      </c>
      <c r="P1973" s="105"/>
      <c r="Q1973" s="87">
        <f t="shared" si="183"/>
        <v>8.6671661184617999E-3</v>
      </c>
      <c r="R1973" s="87">
        <f t="shared" si="185"/>
        <v>1.4563503909477518E-2</v>
      </c>
      <c r="S1973" s="87">
        <f t="shared" si="185"/>
        <v>1.5226497041570498E-3</v>
      </c>
      <c r="T1973" s="87">
        <f t="shared" si="185"/>
        <v>6.9686693160934355E-3</v>
      </c>
      <c r="U1973" s="87">
        <f t="shared" si="185"/>
        <v>4.4131429421622459E-2</v>
      </c>
      <c r="V1973" s="87">
        <f t="shared" si="185"/>
        <v>0</v>
      </c>
      <c r="W1973" s="87">
        <f t="shared" si="185"/>
        <v>0</v>
      </c>
      <c r="X1973" s="87">
        <f t="shared" si="185"/>
        <v>3.2054026290083477E-2</v>
      </c>
      <c r="Y1973" s="87">
        <f t="shared" si="185"/>
        <v>0</v>
      </c>
      <c r="Z1973" s="87">
        <f t="shared" si="185"/>
        <v>1.0471299867295437E-2</v>
      </c>
      <c r="AA1973" s="87">
        <f t="shared" si="186"/>
        <v>-3.2679767646159995E-3</v>
      </c>
      <c r="AB1973" s="87">
        <f t="shared" si="186"/>
        <v>0</v>
      </c>
      <c r="AC1973" s="87">
        <f t="shared" si="186"/>
        <v>3.1695747612790395E-3</v>
      </c>
      <c r="AD1973" s="87">
        <f t="shared" si="186"/>
        <v>-1.8231545615151365E-3</v>
      </c>
      <c r="AE1973" s="90">
        <f t="shared" si="184"/>
        <v>1.7208458178087825E-2</v>
      </c>
    </row>
    <row r="1974" spans="1:31" ht="15.5" x14ac:dyDescent="0.35">
      <c r="A1974" s="82">
        <v>42629</v>
      </c>
      <c r="B1974" s="83">
        <v>10532.3</v>
      </c>
      <c r="C1974" s="84">
        <v>5244.6</v>
      </c>
      <c r="D1974" s="61">
        <v>793.6</v>
      </c>
      <c r="E1974" s="61">
        <v>43.5</v>
      </c>
      <c r="F1974" s="61">
        <v>114</v>
      </c>
      <c r="G1974" s="61">
        <v>56.8</v>
      </c>
      <c r="H1974" s="61">
        <v>7.9</v>
      </c>
      <c r="I1974" s="61">
        <v>31.8</v>
      </c>
      <c r="J1974" s="61">
        <v>15.9</v>
      </c>
      <c r="K1974" s="61">
        <v>10</v>
      </c>
      <c r="L1974" s="61">
        <v>62.1</v>
      </c>
      <c r="M1974" s="61">
        <v>43.5</v>
      </c>
      <c r="N1974" s="61">
        <v>62.4</v>
      </c>
      <c r="O1974" s="85">
        <v>55.1</v>
      </c>
      <c r="P1974" s="105"/>
      <c r="Q1974" s="87">
        <f t="shared" si="183"/>
        <v>-6.6808227594659262E-3</v>
      </c>
      <c r="R1974" s="87">
        <f t="shared" si="185"/>
        <v>-9.7195628131395591E-4</v>
      </c>
      <c r="S1974" s="87">
        <f t="shared" si="185"/>
        <v>6.1935355667179001E-3</v>
      </c>
      <c r="T1974" s="87">
        <f t="shared" si="185"/>
        <v>6.920442844573757E-3</v>
      </c>
      <c r="U1974" s="87">
        <f t="shared" si="185"/>
        <v>4.3956114730381293E-3</v>
      </c>
      <c r="V1974" s="87">
        <f t="shared" si="185"/>
        <v>1.4184634991956381E-2</v>
      </c>
      <c r="W1974" s="87">
        <f t="shared" si="185"/>
        <v>0</v>
      </c>
      <c r="X1974" s="87">
        <f t="shared" si="185"/>
        <v>3.1496089028962013E-3</v>
      </c>
      <c r="Y1974" s="87">
        <f t="shared" si="185"/>
        <v>-6.2696130135953742E-3</v>
      </c>
      <c r="Z1974" s="87">
        <f t="shared" si="185"/>
        <v>4.08219945202552E-2</v>
      </c>
      <c r="AA1974" s="87">
        <f t="shared" si="186"/>
        <v>1.6234122761883348E-2</v>
      </c>
      <c r="AB1974" s="87">
        <f t="shared" si="186"/>
        <v>0</v>
      </c>
      <c r="AC1974" s="87">
        <f t="shared" si="186"/>
        <v>-1.2739025777429826E-2</v>
      </c>
      <c r="AD1974" s="87">
        <f t="shared" si="186"/>
        <v>5.4595222048989742E-3</v>
      </c>
      <c r="AE1974" s="90">
        <f t="shared" si="184"/>
        <v>3.4423756021482264E-3</v>
      </c>
    </row>
    <row r="1975" spans="1:31" ht="15.5" x14ac:dyDescent="0.35">
      <c r="A1975" s="82">
        <v>42632</v>
      </c>
      <c r="B1975" s="83">
        <v>10564.3</v>
      </c>
      <c r="C1975" s="84">
        <v>5235</v>
      </c>
      <c r="D1975" s="61">
        <v>793.6</v>
      </c>
      <c r="E1975" s="61">
        <v>43</v>
      </c>
      <c r="F1975" s="61">
        <v>113.3</v>
      </c>
      <c r="G1975" s="61">
        <v>56.9</v>
      </c>
      <c r="H1975" s="61">
        <v>7.9</v>
      </c>
      <c r="I1975" s="61">
        <v>32.1</v>
      </c>
      <c r="J1975" s="61">
        <v>15.8</v>
      </c>
      <c r="K1975" s="61">
        <v>10.1</v>
      </c>
      <c r="L1975" s="61">
        <v>61.3</v>
      </c>
      <c r="M1975" s="61">
        <v>43.8</v>
      </c>
      <c r="N1975" s="61">
        <v>63.1</v>
      </c>
      <c r="O1975" s="85">
        <v>54.9</v>
      </c>
      <c r="P1975" s="105"/>
      <c r="Q1975" s="87">
        <f t="shared" si="183"/>
        <v>3.0336665189351236E-3</v>
      </c>
      <c r="R1975" s="87">
        <f t="shared" si="185"/>
        <v>-1.8321315098600375E-3</v>
      </c>
      <c r="S1975" s="87">
        <f t="shared" si="185"/>
        <v>0</v>
      </c>
      <c r="T1975" s="87">
        <f t="shared" si="185"/>
        <v>-1.1560822401075971E-2</v>
      </c>
      <c r="U1975" s="87">
        <f t="shared" si="185"/>
        <v>-6.159280360534849E-3</v>
      </c>
      <c r="V1975" s="87">
        <f t="shared" si="185"/>
        <v>1.7590154051796245E-3</v>
      </c>
      <c r="W1975" s="87">
        <f t="shared" si="185"/>
        <v>0</v>
      </c>
      <c r="X1975" s="87">
        <f t="shared" si="185"/>
        <v>9.3897403498391374E-3</v>
      </c>
      <c r="Y1975" s="87">
        <f t="shared" si="185"/>
        <v>-6.309169193264721E-3</v>
      </c>
      <c r="Z1975" s="87">
        <f t="shared" si="185"/>
        <v>9.950330853168092E-3</v>
      </c>
      <c r="AA1975" s="87">
        <f t="shared" si="186"/>
        <v>-1.2966145997267423E-2</v>
      </c>
      <c r="AB1975" s="87">
        <f t="shared" si="186"/>
        <v>6.8728792877620504E-3</v>
      </c>
      <c r="AC1975" s="87">
        <f t="shared" si="186"/>
        <v>1.1155494171785452E-2</v>
      </c>
      <c r="AD1975" s="87">
        <f t="shared" si="186"/>
        <v>-3.6363676433838745E-3</v>
      </c>
      <c r="AE1975" s="90">
        <f t="shared" si="184"/>
        <v>-2.7523507872695831E-3</v>
      </c>
    </row>
    <row r="1976" spans="1:31" ht="15.5" x14ac:dyDescent="0.35">
      <c r="A1976" s="82">
        <v>42633</v>
      </c>
      <c r="B1976" s="83">
        <v>10560.3</v>
      </c>
      <c r="C1976" s="84">
        <v>5241.3999999999996</v>
      </c>
      <c r="D1976" s="61">
        <v>798.3</v>
      </c>
      <c r="E1976" s="61">
        <v>42.7</v>
      </c>
      <c r="F1976" s="61">
        <v>112.5</v>
      </c>
      <c r="G1976" s="61">
        <v>56.8</v>
      </c>
      <c r="H1976" s="61">
        <v>7.9</v>
      </c>
      <c r="I1976" s="61">
        <v>31.6</v>
      </c>
      <c r="J1976" s="61">
        <v>15.8</v>
      </c>
      <c r="K1976" s="61">
        <v>9.6999999999999993</v>
      </c>
      <c r="L1976" s="61">
        <v>61.7</v>
      </c>
      <c r="M1976" s="61">
        <v>43.8</v>
      </c>
      <c r="N1976" s="61">
        <v>62.5</v>
      </c>
      <c r="O1976" s="85">
        <v>54.8</v>
      </c>
      <c r="P1976" s="105"/>
      <c r="Q1976" s="87">
        <f t="shared" si="183"/>
        <v>-3.7870540013117219E-4</v>
      </c>
      <c r="R1976" s="87">
        <f t="shared" si="185"/>
        <v>1.2217938979322746E-3</v>
      </c>
      <c r="S1976" s="87">
        <f t="shared" si="185"/>
        <v>5.9049106810900951E-3</v>
      </c>
      <c r="T1976" s="87">
        <f t="shared" si="185"/>
        <v>-7.0011954589834771E-3</v>
      </c>
      <c r="U1976" s="87">
        <f t="shared" si="185"/>
        <v>-7.0859463894858352E-3</v>
      </c>
      <c r="V1976" s="87">
        <f t="shared" si="185"/>
        <v>-1.7590154051795588E-3</v>
      </c>
      <c r="W1976" s="87">
        <f t="shared" si="185"/>
        <v>0</v>
      </c>
      <c r="X1976" s="87">
        <f t="shared" si="185"/>
        <v>-1.5698909543103753E-2</v>
      </c>
      <c r="Y1976" s="87">
        <f t="shared" si="185"/>
        <v>0</v>
      </c>
      <c r="Z1976" s="87">
        <f t="shared" si="185"/>
        <v>-4.0409538337876666E-2</v>
      </c>
      <c r="AA1976" s="87">
        <f t="shared" si="186"/>
        <v>6.5040879691764825E-3</v>
      </c>
      <c r="AB1976" s="87">
        <f t="shared" si="186"/>
        <v>0</v>
      </c>
      <c r="AC1976" s="87">
        <f t="shared" si="186"/>
        <v>-9.5542128048117219E-3</v>
      </c>
      <c r="AD1976" s="87">
        <f t="shared" si="186"/>
        <v>-1.8231545615151365E-3</v>
      </c>
      <c r="AE1976" s="90">
        <f t="shared" si="184"/>
        <v>-1.5277103548272679E-4</v>
      </c>
    </row>
    <row r="1977" spans="1:31" ht="15.5" x14ac:dyDescent="0.35">
      <c r="A1977" s="82">
        <v>42634</v>
      </c>
      <c r="B1977" s="83">
        <v>10708.4</v>
      </c>
      <c r="C1977" s="84">
        <v>5295.2</v>
      </c>
      <c r="D1977" s="61">
        <v>796</v>
      </c>
      <c r="E1977" s="61">
        <v>42.9</v>
      </c>
      <c r="F1977" s="61">
        <v>112.4</v>
      </c>
      <c r="G1977" s="61">
        <v>57.1</v>
      </c>
      <c r="H1977" s="61">
        <v>7.5</v>
      </c>
      <c r="I1977" s="61">
        <v>31.5</v>
      </c>
      <c r="J1977" s="61">
        <v>15.9</v>
      </c>
      <c r="K1977" s="61">
        <v>9.8000000000000007</v>
      </c>
      <c r="L1977" s="61">
        <v>61.9</v>
      </c>
      <c r="M1977" s="61">
        <v>44</v>
      </c>
      <c r="N1977" s="61">
        <v>62.8</v>
      </c>
      <c r="O1977" s="85">
        <v>54.6</v>
      </c>
      <c r="P1977" s="105"/>
      <c r="Q1977" s="87">
        <f t="shared" si="183"/>
        <v>1.3926793243334686E-2</v>
      </c>
      <c r="R1977" s="87">
        <f t="shared" si="185"/>
        <v>1.0212111602143444E-2</v>
      </c>
      <c r="S1977" s="87">
        <f t="shared" si="185"/>
        <v>-2.8852808073701179E-3</v>
      </c>
      <c r="T1977" s="87">
        <f t="shared" si="185"/>
        <v>4.6729056993924231E-3</v>
      </c>
      <c r="U1977" s="87">
        <f t="shared" si="185"/>
        <v>-8.8928418488406168E-4</v>
      </c>
      <c r="V1977" s="87">
        <f t="shared" si="185"/>
        <v>5.2677909348590258E-3</v>
      </c>
      <c r="W1977" s="87">
        <f t="shared" si="185"/>
        <v>-5.1959738930711104E-2</v>
      </c>
      <c r="X1977" s="87">
        <f t="shared" si="185"/>
        <v>-3.1695747612790672E-3</v>
      </c>
      <c r="Y1977" s="87">
        <f t="shared" si="185"/>
        <v>6.3091691932647556E-3</v>
      </c>
      <c r="Z1977" s="87">
        <f t="shared" si="185"/>
        <v>1.0256500167189282E-2</v>
      </c>
      <c r="AA1977" s="87">
        <f t="shared" si="186"/>
        <v>3.2362487792083248E-3</v>
      </c>
      <c r="AB1977" s="87">
        <f t="shared" si="186"/>
        <v>4.5558165358608824E-3</v>
      </c>
      <c r="AC1977" s="87">
        <f t="shared" si="186"/>
        <v>4.7885167317970939E-3</v>
      </c>
      <c r="AD1977" s="87">
        <f t="shared" si="186"/>
        <v>-3.6563112031104319E-3</v>
      </c>
      <c r="AE1977" s="90">
        <f t="shared" si="184"/>
        <v>1.5176586777132079E-3</v>
      </c>
    </row>
    <row r="1978" spans="1:31" ht="15.5" x14ac:dyDescent="0.35">
      <c r="A1978" s="82">
        <v>42635</v>
      </c>
      <c r="B1978" s="83">
        <v>10793.7</v>
      </c>
      <c r="C1978" s="84">
        <v>5339.5</v>
      </c>
      <c r="D1978" s="61">
        <v>807.7</v>
      </c>
      <c r="E1978" s="61">
        <v>43.7</v>
      </c>
      <c r="F1978" s="61">
        <v>114</v>
      </c>
      <c r="G1978" s="61">
        <v>57.6</v>
      </c>
      <c r="H1978" s="61">
        <v>7.6</v>
      </c>
      <c r="I1978" s="61">
        <v>32.1</v>
      </c>
      <c r="J1978" s="61">
        <v>16.2</v>
      </c>
      <c r="K1978" s="61">
        <v>9.6999999999999993</v>
      </c>
      <c r="L1978" s="61">
        <v>62.8</v>
      </c>
      <c r="M1978" s="61">
        <v>44.4</v>
      </c>
      <c r="N1978" s="61">
        <v>63.6</v>
      </c>
      <c r="O1978" s="85">
        <v>55.2</v>
      </c>
      <c r="P1978" s="105"/>
      <c r="Q1978" s="87">
        <f t="shared" si="183"/>
        <v>7.9341503829291702E-3</v>
      </c>
      <c r="R1978" s="87">
        <f t="shared" si="185"/>
        <v>8.3312658068869314E-3</v>
      </c>
      <c r="S1978" s="87">
        <f t="shared" si="185"/>
        <v>1.459151660386775E-2</v>
      </c>
      <c r="T1978" s="87">
        <f t="shared" si="185"/>
        <v>1.8476276167573212E-2</v>
      </c>
      <c r="U1978" s="87">
        <f t="shared" si="185"/>
        <v>1.4134510934904716E-2</v>
      </c>
      <c r="V1978" s="87">
        <f t="shared" si="185"/>
        <v>8.7184510398810294E-3</v>
      </c>
      <c r="W1978" s="87">
        <f t="shared" si="185"/>
        <v>1.3245226750020505E-2</v>
      </c>
      <c r="X1978" s="87">
        <f t="shared" si="185"/>
        <v>1.8868484304382954E-2</v>
      </c>
      <c r="Y1978" s="87">
        <f t="shared" si="185"/>
        <v>1.8692133012152546E-2</v>
      </c>
      <c r="Z1978" s="87">
        <f t="shared" si="185"/>
        <v>-1.0256500167189221E-2</v>
      </c>
      <c r="AA1978" s="87">
        <f t="shared" si="186"/>
        <v>1.4434893783602484E-2</v>
      </c>
      <c r="AB1978" s="87">
        <f t="shared" si="186"/>
        <v>9.0498355199178562E-3</v>
      </c>
      <c r="AC1978" s="87">
        <f t="shared" si="186"/>
        <v>1.2658396871923465E-2</v>
      </c>
      <c r="AD1978" s="87">
        <f t="shared" si="186"/>
        <v>1.092907053219023E-2</v>
      </c>
      <c r="AE1978" s="90">
        <f t="shared" si="184"/>
        <v>1.2139176194471305E-2</v>
      </c>
    </row>
    <row r="1979" spans="1:31" ht="15.5" x14ac:dyDescent="0.35">
      <c r="A1979" s="82">
        <v>42636</v>
      </c>
      <c r="B1979" s="83">
        <v>10718</v>
      </c>
      <c r="C1979" s="84">
        <v>5305.8</v>
      </c>
      <c r="D1979" s="61">
        <v>812.7</v>
      </c>
      <c r="E1979" s="61">
        <v>42.5</v>
      </c>
      <c r="F1979" s="61">
        <v>111.6</v>
      </c>
      <c r="G1979" s="61">
        <v>57.4</v>
      </c>
      <c r="H1979" s="61">
        <v>7.5</v>
      </c>
      <c r="I1979" s="61">
        <v>32.200000000000003</v>
      </c>
      <c r="J1979" s="61">
        <v>15.9</v>
      </c>
      <c r="K1979" s="61">
        <v>9.6999999999999993</v>
      </c>
      <c r="L1979" s="61">
        <v>62.7</v>
      </c>
      <c r="M1979" s="61">
        <v>44.4</v>
      </c>
      <c r="N1979" s="61">
        <v>63.9</v>
      </c>
      <c r="O1979" s="85">
        <v>54.9</v>
      </c>
      <c r="P1979" s="105"/>
      <c r="Q1979" s="87">
        <f t="shared" si="183"/>
        <v>-7.0380595190992221E-3</v>
      </c>
      <c r="R1979" s="87">
        <f t="shared" si="185"/>
        <v>-6.3314538018553841E-3</v>
      </c>
      <c r="S1979" s="87">
        <f t="shared" si="185"/>
        <v>6.1713353109085264E-3</v>
      </c>
      <c r="T1979" s="87">
        <f t="shared" si="185"/>
        <v>-2.7844026171173344E-2</v>
      </c>
      <c r="U1979" s="87">
        <f t="shared" si="185"/>
        <v>-2.1277398447284965E-2</v>
      </c>
      <c r="V1979" s="87">
        <f t="shared" si="185"/>
        <v>-3.47826437632492E-3</v>
      </c>
      <c r="W1979" s="87">
        <f t="shared" si="185"/>
        <v>-1.3245226750020567E-2</v>
      </c>
      <c r="X1979" s="87">
        <f t="shared" si="185"/>
        <v>3.1104224143925518E-3</v>
      </c>
      <c r="Y1979" s="87">
        <f t="shared" si="185"/>
        <v>-1.8692133012152522E-2</v>
      </c>
      <c r="Z1979" s="87">
        <f t="shared" si="185"/>
        <v>0</v>
      </c>
      <c r="AA1979" s="87">
        <f t="shared" si="186"/>
        <v>-1.5936258352779249E-3</v>
      </c>
      <c r="AB1979" s="87">
        <f t="shared" si="186"/>
        <v>0</v>
      </c>
      <c r="AC1979" s="87">
        <f t="shared" si="186"/>
        <v>4.7058910374127138E-3</v>
      </c>
      <c r="AD1979" s="87">
        <f t="shared" si="186"/>
        <v>-5.449604767564703E-3</v>
      </c>
      <c r="AE1979" s="90">
        <f t="shared" si="184"/>
        <v>-6.8375232845217047E-3</v>
      </c>
    </row>
    <row r="1980" spans="1:31" ht="15.5" x14ac:dyDescent="0.35">
      <c r="A1980" s="82">
        <v>42639</v>
      </c>
      <c r="B1980" s="83">
        <v>10624.9</v>
      </c>
      <c r="C1980" s="84">
        <v>5257.5</v>
      </c>
      <c r="D1980" s="61">
        <v>800.5</v>
      </c>
      <c r="E1980" s="61">
        <v>41.9</v>
      </c>
      <c r="F1980" s="61">
        <v>111.6</v>
      </c>
      <c r="G1980" s="61">
        <v>56.8</v>
      </c>
      <c r="H1980" s="61">
        <v>7.6</v>
      </c>
      <c r="I1980" s="61">
        <v>31.7</v>
      </c>
      <c r="J1980" s="61">
        <v>15.8</v>
      </c>
      <c r="K1980" s="61">
        <v>9.6</v>
      </c>
      <c r="L1980" s="61">
        <v>61.9</v>
      </c>
      <c r="M1980" s="61">
        <v>43.2</v>
      </c>
      <c r="N1980" s="61">
        <v>63.1</v>
      </c>
      <c r="O1980" s="85">
        <v>54.1</v>
      </c>
      <c r="P1980" s="105"/>
      <c r="Q1980" s="87">
        <f t="shared" si="183"/>
        <v>-8.724268071174884E-3</v>
      </c>
      <c r="R1980" s="87">
        <f t="shared" si="185"/>
        <v>-9.1449332328895801E-3</v>
      </c>
      <c r="S1980" s="87">
        <f t="shared" si="185"/>
        <v>-1.5125505322389847E-2</v>
      </c>
      <c r="T1980" s="87">
        <f t="shared" si="185"/>
        <v>-1.4218249002279137E-2</v>
      </c>
      <c r="U1980" s="87">
        <f t="shared" si="185"/>
        <v>0</v>
      </c>
      <c r="V1980" s="87">
        <f t="shared" si="185"/>
        <v>-1.0507977598415093E-2</v>
      </c>
      <c r="W1980" s="87">
        <f t="shared" si="185"/>
        <v>1.3245226750020505E-2</v>
      </c>
      <c r="X1980" s="87">
        <f t="shared" si="185"/>
        <v>-1.5649771667127776E-2</v>
      </c>
      <c r="Y1980" s="87">
        <f t="shared" si="185"/>
        <v>-6.309169193264721E-3</v>
      </c>
      <c r="Z1980" s="87">
        <f t="shared" si="185"/>
        <v>-1.0362787035546547E-2</v>
      </c>
      <c r="AA1980" s="87">
        <f t="shared" si="186"/>
        <v>-1.2841267948324624E-2</v>
      </c>
      <c r="AB1980" s="87">
        <f t="shared" si="186"/>
        <v>-2.7398974188114388E-2</v>
      </c>
      <c r="AC1980" s="87">
        <f t="shared" si="186"/>
        <v>-1.2598591836321605E-2</v>
      </c>
      <c r="AD1980" s="87">
        <f t="shared" si="186"/>
        <v>-1.4679162663049089E-2</v>
      </c>
      <c r="AE1980" s="90">
        <f t="shared" si="184"/>
        <v>-8.9536149191379102E-3</v>
      </c>
    </row>
    <row r="1981" spans="1:31" ht="15.5" x14ac:dyDescent="0.35">
      <c r="A1981" s="82">
        <v>42640</v>
      </c>
      <c r="B1981" s="83">
        <v>10665.3</v>
      </c>
      <c r="C1981" s="84">
        <v>5305.7</v>
      </c>
      <c r="D1981" s="61">
        <v>801.8</v>
      </c>
      <c r="E1981" s="61">
        <v>42.3</v>
      </c>
      <c r="F1981" s="61">
        <v>112.3</v>
      </c>
      <c r="G1981" s="61">
        <v>56.7</v>
      </c>
      <c r="H1981" s="61">
        <v>7.7</v>
      </c>
      <c r="I1981" s="61">
        <v>31.6</v>
      </c>
      <c r="J1981" s="61">
        <v>15.8</v>
      </c>
      <c r="K1981" s="61">
        <v>9.5</v>
      </c>
      <c r="L1981" s="61">
        <v>61.8</v>
      </c>
      <c r="M1981" s="61">
        <v>42.8</v>
      </c>
      <c r="N1981" s="61">
        <v>63</v>
      </c>
      <c r="O1981" s="85">
        <v>53.9</v>
      </c>
      <c r="P1981" s="105"/>
      <c r="Q1981" s="87">
        <f t="shared" si="183"/>
        <v>3.7951779214241339E-3</v>
      </c>
      <c r="R1981" s="87">
        <f t="shared" si="185"/>
        <v>9.1260857560948889E-3</v>
      </c>
      <c r="S1981" s="87">
        <f t="shared" si="185"/>
        <v>1.6226677716371712E-3</v>
      </c>
      <c r="T1981" s="87">
        <f t="shared" si="185"/>
        <v>9.5012591241402152E-3</v>
      </c>
      <c r="U1981" s="87">
        <f t="shared" si="185"/>
        <v>6.2528117971868535E-3</v>
      </c>
      <c r="V1981" s="87">
        <f t="shared" si="185"/>
        <v>-1.7621149933992209E-3</v>
      </c>
      <c r="W1981" s="87">
        <f t="shared" si="185"/>
        <v>1.3072081567352921E-2</v>
      </c>
      <c r="X1981" s="87">
        <f t="shared" si="185"/>
        <v>-3.1595602903684815E-3</v>
      </c>
      <c r="Y1981" s="87">
        <f t="shared" si="185"/>
        <v>0</v>
      </c>
      <c r="Z1981" s="87">
        <f t="shared" si="185"/>
        <v>-1.0471299867295366E-2</v>
      </c>
      <c r="AA1981" s="87">
        <f t="shared" si="186"/>
        <v>-1.6168152269053946E-3</v>
      </c>
      <c r="AB1981" s="87">
        <f t="shared" si="186"/>
        <v>-9.302392662313674E-3</v>
      </c>
      <c r="AC1981" s="87">
        <f t="shared" si="186"/>
        <v>-1.5860431556348514E-3</v>
      </c>
      <c r="AD1981" s="87">
        <f t="shared" si="186"/>
        <v>-3.7037079374844144E-3</v>
      </c>
      <c r="AE1981" s="90">
        <f t="shared" si="184"/>
        <v>4.5483328354764931E-3</v>
      </c>
    </row>
    <row r="1982" spans="1:31" ht="15.5" x14ac:dyDescent="0.35">
      <c r="A1982" s="82">
        <v>42641</v>
      </c>
      <c r="B1982" s="83">
        <v>10753.5</v>
      </c>
      <c r="C1982" s="84">
        <v>5318.5</v>
      </c>
      <c r="D1982" s="61">
        <v>802.8</v>
      </c>
      <c r="E1982" s="61">
        <v>43.3</v>
      </c>
      <c r="F1982" s="61">
        <v>113.4</v>
      </c>
      <c r="G1982" s="61">
        <v>57.7</v>
      </c>
      <c r="H1982" s="61">
        <v>8</v>
      </c>
      <c r="I1982" s="61">
        <v>31.9</v>
      </c>
      <c r="J1982" s="61">
        <v>16</v>
      </c>
      <c r="K1982" s="61">
        <v>9.3000000000000007</v>
      </c>
      <c r="L1982" s="61">
        <v>62.5</v>
      </c>
      <c r="M1982" s="61">
        <v>43.5</v>
      </c>
      <c r="N1982" s="61">
        <v>64</v>
      </c>
      <c r="O1982" s="85">
        <v>52.8</v>
      </c>
      <c r="P1982" s="105"/>
      <c r="Q1982" s="87">
        <f t="shared" si="183"/>
        <v>8.2358020559918071E-3</v>
      </c>
      <c r="R1982" s="87">
        <f t="shared" si="185"/>
        <v>2.4095943587698E-3</v>
      </c>
      <c r="S1982" s="87">
        <f t="shared" si="185"/>
        <v>1.2464167137765021E-3</v>
      </c>
      <c r="T1982" s="87">
        <f t="shared" si="185"/>
        <v>2.3365548956211912E-2</v>
      </c>
      <c r="U1982" s="87">
        <f t="shared" si="185"/>
        <v>9.7475295492542632E-3</v>
      </c>
      <c r="V1982" s="87">
        <f t="shared" si="185"/>
        <v>1.74829627803476E-2</v>
      </c>
      <c r="W1982" s="87">
        <f t="shared" si="185"/>
        <v>3.8221212820197671E-2</v>
      </c>
      <c r="X1982" s="87">
        <f t="shared" si="185"/>
        <v>9.4488891979322889E-3</v>
      </c>
      <c r="Y1982" s="87">
        <f t="shared" si="185"/>
        <v>1.2578782206859965E-2</v>
      </c>
      <c r="Z1982" s="87">
        <f t="shared" si="185"/>
        <v>-2.1277398447284851E-2</v>
      </c>
      <c r="AA1982" s="87">
        <f t="shared" si="186"/>
        <v>1.1263192278710869E-2</v>
      </c>
      <c r="AB1982" s="87">
        <f t="shared" si="186"/>
        <v>1.6222835506887384E-2</v>
      </c>
      <c r="AC1982" s="87">
        <f t="shared" si="186"/>
        <v>1.5748356968139112E-2</v>
      </c>
      <c r="AD1982" s="87">
        <f t="shared" si="186"/>
        <v>-2.0619287202735703E-2</v>
      </c>
      <c r="AE1982" s="90">
        <f t="shared" si="184"/>
        <v>1.3681385257673694E-3</v>
      </c>
    </row>
    <row r="1983" spans="1:31" ht="15.5" x14ac:dyDescent="0.35">
      <c r="A1983" s="82">
        <v>42642</v>
      </c>
      <c r="B1983" s="83">
        <v>10643.5</v>
      </c>
      <c r="C1983" s="84">
        <v>5269.1</v>
      </c>
      <c r="D1983" s="61">
        <v>800.9</v>
      </c>
      <c r="E1983" s="61">
        <v>42.4</v>
      </c>
      <c r="F1983" s="61">
        <v>111.8</v>
      </c>
      <c r="G1983" s="61">
        <v>57.2</v>
      </c>
      <c r="H1983" s="61">
        <v>7.8</v>
      </c>
      <c r="I1983" s="61">
        <v>31.5</v>
      </c>
      <c r="J1983" s="61">
        <v>16.2</v>
      </c>
      <c r="K1983" s="61">
        <v>9.1999999999999993</v>
      </c>
      <c r="L1983" s="61">
        <v>61.6</v>
      </c>
      <c r="M1983" s="61">
        <v>43.3</v>
      </c>
      <c r="N1983" s="61">
        <v>64</v>
      </c>
      <c r="O1983" s="85">
        <v>52.1</v>
      </c>
      <c r="P1983" s="105"/>
      <c r="Q1983" s="87">
        <f t="shared" si="183"/>
        <v>-1.0281905788303958E-2</v>
      </c>
      <c r="R1983" s="87">
        <f t="shared" si="185"/>
        <v>-9.3317387291474187E-3</v>
      </c>
      <c r="S1983" s="87">
        <f t="shared" si="185"/>
        <v>-2.3695215925465096E-3</v>
      </c>
      <c r="T1983" s="87">
        <f t="shared" si="185"/>
        <v>-2.1004272770532011E-2</v>
      </c>
      <c r="U1983" s="87">
        <f t="shared" si="185"/>
        <v>-1.4209830572653024E-2</v>
      </c>
      <c r="V1983" s="87">
        <f t="shared" si="185"/>
        <v>-8.7032751283017008E-3</v>
      </c>
      <c r="W1983" s="87">
        <f t="shared" si="185"/>
        <v>-2.5317807984289897E-2</v>
      </c>
      <c r="X1983" s="87">
        <f t="shared" si="185"/>
        <v>-1.2618463959211462E-2</v>
      </c>
      <c r="Y1983" s="87">
        <f t="shared" si="185"/>
        <v>1.242251999855711E-2</v>
      </c>
      <c r="Z1983" s="87">
        <f t="shared" si="185"/>
        <v>-1.081091610421573E-2</v>
      </c>
      <c r="AA1983" s="87">
        <f t="shared" si="186"/>
        <v>-1.4504686202881688E-2</v>
      </c>
      <c r="AB1983" s="87">
        <f t="shared" si="186"/>
        <v>-4.6083030861943297E-3</v>
      </c>
      <c r="AC1983" s="87">
        <f t="shared" si="186"/>
        <v>0</v>
      </c>
      <c r="AD1983" s="87">
        <f t="shared" si="186"/>
        <v>-1.3346241952894487E-2</v>
      </c>
      <c r="AE1983" s="90">
        <f t="shared" si="184"/>
        <v>-9.1762420803795756E-3</v>
      </c>
    </row>
    <row r="1984" spans="1:31" ht="15.5" x14ac:dyDescent="0.35">
      <c r="A1984" s="82">
        <v>42643</v>
      </c>
      <c r="B1984" s="83">
        <v>10721.7</v>
      </c>
      <c r="C1984" s="84">
        <v>5312</v>
      </c>
      <c r="D1984" s="61">
        <v>801.5</v>
      </c>
      <c r="E1984" s="61">
        <v>42.7</v>
      </c>
      <c r="F1984" s="61">
        <v>111.8</v>
      </c>
      <c r="G1984" s="61">
        <v>57.3</v>
      </c>
      <c r="H1984" s="61">
        <v>7.8</v>
      </c>
      <c r="I1984" s="61">
        <v>31.7</v>
      </c>
      <c r="J1984" s="61">
        <v>16.100000000000001</v>
      </c>
      <c r="K1984" s="61">
        <v>9.1</v>
      </c>
      <c r="L1984" s="61">
        <v>61.9</v>
      </c>
      <c r="M1984" s="61">
        <v>43.8</v>
      </c>
      <c r="N1984" s="61">
        <v>64.599999999999994</v>
      </c>
      <c r="O1984" s="85">
        <v>52.3</v>
      </c>
      <c r="P1984" s="105"/>
      <c r="Q1984" s="87">
        <f t="shared" si="183"/>
        <v>7.3203479688021787E-3</v>
      </c>
      <c r="R1984" s="87">
        <f t="shared" si="185"/>
        <v>8.1088421936977642E-3</v>
      </c>
      <c r="S1984" s="87">
        <f t="shared" si="185"/>
        <v>7.4887671997114714E-4</v>
      </c>
      <c r="T1984" s="87">
        <f t="shared" si="185"/>
        <v>7.0505579966669832E-3</v>
      </c>
      <c r="U1984" s="87">
        <f t="shared" si="185"/>
        <v>0</v>
      </c>
      <c r="V1984" s="87">
        <f t="shared" si="185"/>
        <v>1.7467253349415786E-3</v>
      </c>
      <c r="W1984" s="87">
        <f t="shared" si="185"/>
        <v>0</v>
      </c>
      <c r="X1984" s="87">
        <f t="shared" ref="X1984:Z2006" si="187">+LN(I1984/I1983)</f>
        <v>6.3291350516475296E-3</v>
      </c>
      <c r="Y1984" s="87">
        <f t="shared" si="187"/>
        <v>-6.1919702479209951E-3</v>
      </c>
      <c r="Z1984" s="87">
        <f t="shared" si="187"/>
        <v>-1.0929070532190206E-2</v>
      </c>
      <c r="AA1984" s="87">
        <f t="shared" si="186"/>
        <v>4.8583091510763675E-3</v>
      </c>
      <c r="AB1984" s="87">
        <f t="shared" si="186"/>
        <v>1.1481182373956232E-2</v>
      </c>
      <c r="AC1984" s="87">
        <f t="shared" si="186"/>
        <v>9.3313274288842219E-3</v>
      </c>
      <c r="AD1984" s="87">
        <f t="shared" si="186"/>
        <v>3.8314223115558676E-3</v>
      </c>
      <c r="AE1984" s="90">
        <f t="shared" si="184"/>
        <v>3.115560356626767E-3</v>
      </c>
    </row>
    <row r="1985" spans="1:31" ht="15.5" x14ac:dyDescent="0.35">
      <c r="A1985" s="82">
        <v>42646</v>
      </c>
      <c r="B1985" s="83">
        <v>10690.8</v>
      </c>
      <c r="C1985" s="84">
        <v>5300.9</v>
      </c>
      <c r="D1985" s="61">
        <v>796.2</v>
      </c>
      <c r="E1985" s="61">
        <v>42.8</v>
      </c>
      <c r="F1985" s="61">
        <v>112.3</v>
      </c>
      <c r="G1985" s="61">
        <v>57.1</v>
      </c>
      <c r="H1985" s="61">
        <v>8</v>
      </c>
      <c r="I1985" s="61">
        <v>32.200000000000003</v>
      </c>
      <c r="J1985" s="61">
        <v>16.100000000000001</v>
      </c>
      <c r="K1985" s="61">
        <v>8.9</v>
      </c>
      <c r="L1985" s="61">
        <v>61.7</v>
      </c>
      <c r="M1985" s="61">
        <v>44</v>
      </c>
      <c r="N1985" s="61">
        <v>65.099999999999994</v>
      </c>
      <c r="O1985" s="85">
        <v>52.4</v>
      </c>
      <c r="P1985" s="105"/>
      <c r="Q1985" s="87">
        <f t="shared" si="183"/>
        <v>-2.8861666269365425E-3</v>
      </c>
      <c r="R1985" s="87">
        <f t="shared" ref="R1985:W2006" si="188">+LN(C1985/C1984)</f>
        <v>-2.0917947116121946E-3</v>
      </c>
      <c r="S1985" s="87">
        <f t="shared" si="188"/>
        <v>-6.6345614833908141E-3</v>
      </c>
      <c r="T1985" s="87">
        <f t="shared" si="188"/>
        <v>2.3391823531720194E-3</v>
      </c>
      <c r="U1985" s="87">
        <f t="shared" si="188"/>
        <v>4.4623010233986859E-3</v>
      </c>
      <c r="V1985" s="87">
        <f t="shared" si="188"/>
        <v>-3.4965070587293142E-3</v>
      </c>
      <c r="W1985" s="87">
        <f t="shared" si="188"/>
        <v>2.5317807984290001E-2</v>
      </c>
      <c r="X1985" s="87">
        <f t="shared" si="187"/>
        <v>1.5649771667127815E-2</v>
      </c>
      <c r="Y1985" s="87">
        <f t="shared" si="187"/>
        <v>0</v>
      </c>
      <c r="Z1985" s="87">
        <f t="shared" si="187"/>
        <v>-2.2223136784710124E-2</v>
      </c>
      <c r="AA1985" s="87">
        <f t="shared" si="186"/>
        <v>-3.2362487792081938E-3</v>
      </c>
      <c r="AB1985" s="87">
        <f t="shared" si="186"/>
        <v>4.5558165358608824E-3</v>
      </c>
      <c r="AC1985" s="87">
        <f t="shared" si="186"/>
        <v>7.7101384259674818E-3</v>
      </c>
      <c r="AD1985" s="87">
        <f t="shared" si="186"/>
        <v>1.9102202561192452E-3</v>
      </c>
      <c r="AE1985" s="90">
        <f t="shared" si="184"/>
        <v>-1.0612457802115132E-3</v>
      </c>
    </row>
    <row r="1986" spans="1:31" ht="15.5" x14ac:dyDescent="0.35">
      <c r="A1986" s="82">
        <v>42647</v>
      </c>
      <c r="B1986" s="83">
        <v>10629.2</v>
      </c>
      <c r="C1986" s="84">
        <v>5289.7</v>
      </c>
      <c r="D1986" s="61">
        <v>799.7</v>
      </c>
      <c r="E1986" s="61">
        <v>43</v>
      </c>
      <c r="F1986" s="61">
        <v>112.6</v>
      </c>
      <c r="G1986" s="61">
        <v>57</v>
      </c>
      <c r="H1986" s="61">
        <v>7.9</v>
      </c>
      <c r="I1986" s="61">
        <v>32.1</v>
      </c>
      <c r="J1986" s="61">
        <v>15.9</v>
      </c>
      <c r="K1986" s="61">
        <v>8.9</v>
      </c>
      <c r="L1986" s="61">
        <v>61.9</v>
      </c>
      <c r="M1986" s="61">
        <v>44.3</v>
      </c>
      <c r="N1986" s="61">
        <v>65.3</v>
      </c>
      <c r="O1986" s="85">
        <v>52.1</v>
      </c>
      <c r="P1986" s="105"/>
      <c r="Q1986" s="87">
        <f t="shared" si="183"/>
        <v>-5.7786277124702882E-3</v>
      </c>
      <c r="R1986" s="87">
        <f t="shared" si="188"/>
        <v>-2.1150839754765982E-3</v>
      </c>
      <c r="S1986" s="87">
        <f t="shared" si="188"/>
        <v>4.3862467716274528E-3</v>
      </c>
      <c r="T1986" s="87">
        <f t="shared" si="188"/>
        <v>4.6620131058113714E-3</v>
      </c>
      <c r="U1986" s="87">
        <f t="shared" si="188"/>
        <v>2.6678539611924477E-3</v>
      </c>
      <c r="V1986" s="87">
        <f t="shared" si="188"/>
        <v>-1.7528488274143605E-3</v>
      </c>
      <c r="W1986" s="87">
        <f t="shared" si="188"/>
        <v>-1.2578782206860073E-2</v>
      </c>
      <c r="X1986" s="87">
        <f t="shared" si="187"/>
        <v>-3.1104224143925024E-3</v>
      </c>
      <c r="Y1986" s="87">
        <f t="shared" si="187"/>
        <v>-1.2500162764231494E-2</v>
      </c>
      <c r="Z1986" s="87">
        <f t="shared" si="187"/>
        <v>0</v>
      </c>
      <c r="AA1986" s="87">
        <f t="shared" si="186"/>
        <v>3.2362487792083248E-3</v>
      </c>
      <c r="AB1986" s="87">
        <f t="shared" si="186"/>
        <v>6.7950431328288076E-3</v>
      </c>
      <c r="AC1986" s="87">
        <f t="shared" si="186"/>
        <v>3.0674870678618796E-3</v>
      </c>
      <c r="AD1986" s="87">
        <f t="shared" si="186"/>
        <v>-5.7416425676751707E-3</v>
      </c>
      <c r="AE1986" s="90">
        <f t="shared" si="184"/>
        <v>7.1510002635847181E-4</v>
      </c>
    </row>
    <row r="1987" spans="1:31" ht="15.5" x14ac:dyDescent="0.35">
      <c r="A1987" s="82">
        <v>42648</v>
      </c>
      <c r="B1987" s="83">
        <v>10683.9</v>
      </c>
      <c r="C1987" s="84">
        <v>5316</v>
      </c>
      <c r="D1987" s="61">
        <v>800.7</v>
      </c>
      <c r="E1987" s="61">
        <v>43.2</v>
      </c>
      <c r="F1987" s="61">
        <v>112.7</v>
      </c>
      <c r="G1987" s="61">
        <v>57.3</v>
      </c>
      <c r="H1987" s="61">
        <v>8</v>
      </c>
      <c r="I1987" s="61">
        <v>32.299999999999997</v>
      </c>
      <c r="J1987" s="61">
        <v>16</v>
      </c>
      <c r="K1987" s="61">
        <v>8.9</v>
      </c>
      <c r="L1987" s="61">
        <v>62.5</v>
      </c>
      <c r="M1987" s="61">
        <v>45</v>
      </c>
      <c r="N1987" s="61">
        <v>66.099999999999994</v>
      </c>
      <c r="O1987" s="85">
        <v>52.1</v>
      </c>
      <c r="P1987" s="105"/>
      <c r="Q1987" s="87">
        <f t="shared" si="183"/>
        <v>5.1330045935794599E-3</v>
      </c>
      <c r="R1987" s="87">
        <f t="shared" si="188"/>
        <v>4.9596073639548684E-3</v>
      </c>
      <c r="S1987" s="87">
        <f t="shared" si="188"/>
        <v>1.2496877407439631E-3</v>
      </c>
      <c r="T1987" s="87">
        <f t="shared" si="188"/>
        <v>4.6403795565023009E-3</v>
      </c>
      <c r="U1987" s="87">
        <f t="shared" si="188"/>
        <v>8.8770534014059183E-4</v>
      </c>
      <c r="V1987" s="87">
        <f t="shared" si="188"/>
        <v>5.249355886143745E-3</v>
      </c>
      <c r="W1987" s="87">
        <f t="shared" si="188"/>
        <v>1.2578782206859965E-2</v>
      </c>
      <c r="X1987" s="87">
        <f t="shared" si="187"/>
        <v>6.2112000926404553E-3</v>
      </c>
      <c r="Y1987" s="87">
        <f t="shared" si="187"/>
        <v>6.269613013595395E-3</v>
      </c>
      <c r="Z1987" s="87">
        <f t="shared" si="187"/>
        <v>0</v>
      </c>
      <c r="AA1987" s="87">
        <f t="shared" si="186"/>
        <v>9.6463770518053354E-3</v>
      </c>
      <c r="AB1987" s="87">
        <f t="shared" si="186"/>
        <v>1.567781271922979E-2</v>
      </c>
      <c r="AC1987" s="87">
        <f t="shared" si="186"/>
        <v>1.2176710575255285E-2</v>
      </c>
      <c r="AD1987" s="87">
        <f t="shared" si="186"/>
        <v>0</v>
      </c>
      <c r="AE1987" s="90">
        <f t="shared" si="184"/>
        <v>2.1063283765977098E-3</v>
      </c>
    </row>
    <row r="1988" spans="1:31" ht="15.5" x14ac:dyDescent="0.35">
      <c r="A1988" s="82">
        <v>42649</v>
      </c>
      <c r="B1988" s="83">
        <v>10675.7</v>
      </c>
      <c r="C1988" s="84">
        <v>5306.9</v>
      </c>
      <c r="D1988" s="61">
        <v>800.5</v>
      </c>
      <c r="E1988" s="61">
        <v>43.4</v>
      </c>
      <c r="F1988" s="61">
        <v>113.1</v>
      </c>
      <c r="G1988" s="61">
        <v>57.3</v>
      </c>
      <c r="H1988" s="61">
        <v>8</v>
      </c>
      <c r="I1988" s="61">
        <v>32.299999999999997</v>
      </c>
      <c r="J1988" s="61">
        <v>16.2</v>
      </c>
      <c r="K1988" s="61">
        <v>8.9</v>
      </c>
      <c r="L1988" s="61">
        <v>61.7</v>
      </c>
      <c r="M1988" s="61">
        <v>46.5</v>
      </c>
      <c r="N1988" s="61">
        <v>65.599999999999994</v>
      </c>
      <c r="O1988" s="85">
        <v>52</v>
      </c>
      <c r="P1988" s="105"/>
      <c r="Q1988" s="87">
        <f t="shared" si="183"/>
        <v>-7.6780467825620551E-4</v>
      </c>
      <c r="R1988" s="87">
        <f t="shared" si="188"/>
        <v>-1.7132802202709113E-3</v>
      </c>
      <c r="S1988" s="87">
        <f t="shared" si="188"/>
        <v>-2.4981264181884669E-4</v>
      </c>
      <c r="T1988" s="87">
        <f t="shared" si="188"/>
        <v>4.6189458562944583E-3</v>
      </c>
      <c r="U1988" s="87">
        <f t="shared" si="188"/>
        <v>3.5429620763441287E-3</v>
      </c>
      <c r="V1988" s="87">
        <f t="shared" si="188"/>
        <v>0</v>
      </c>
      <c r="W1988" s="87">
        <f t="shared" si="188"/>
        <v>0</v>
      </c>
      <c r="X1988" s="87">
        <f t="shared" si="187"/>
        <v>0</v>
      </c>
      <c r="Y1988" s="87">
        <f t="shared" si="187"/>
        <v>1.242251999855711E-2</v>
      </c>
      <c r="Z1988" s="87">
        <f t="shared" si="187"/>
        <v>0</v>
      </c>
      <c r="AA1988" s="87">
        <f t="shared" si="186"/>
        <v>-1.2882625831013605E-2</v>
      </c>
      <c r="AB1988" s="87">
        <f t="shared" si="186"/>
        <v>3.278982282299097E-2</v>
      </c>
      <c r="AC1988" s="87">
        <f t="shared" si="186"/>
        <v>-7.5930509075972071E-3</v>
      </c>
      <c r="AD1988" s="87">
        <f t="shared" si="186"/>
        <v>-1.9212301778939326E-3</v>
      </c>
      <c r="AE1988" s="90">
        <f t="shared" si="184"/>
        <v>1.9285919159263117E-4</v>
      </c>
    </row>
    <row r="1989" spans="1:31" ht="15.5" x14ac:dyDescent="0.35">
      <c r="A1989" s="82">
        <v>42650</v>
      </c>
      <c r="B1989" s="83">
        <v>10626.9</v>
      </c>
      <c r="C1989" s="84">
        <v>5292.4</v>
      </c>
      <c r="D1989" s="61">
        <v>796.8</v>
      </c>
      <c r="E1989" s="61">
        <v>43.1</v>
      </c>
      <c r="F1989" s="61">
        <v>113.5</v>
      </c>
      <c r="G1989" s="61">
        <v>57.4</v>
      </c>
      <c r="H1989" s="61">
        <v>8</v>
      </c>
      <c r="I1989" s="61">
        <v>32.6</v>
      </c>
      <c r="J1989" s="61">
        <v>16</v>
      </c>
      <c r="K1989" s="61">
        <v>9.3000000000000007</v>
      </c>
      <c r="L1989" s="61">
        <v>62</v>
      </c>
      <c r="M1989" s="61">
        <v>46.4</v>
      </c>
      <c r="N1989" s="61">
        <v>65</v>
      </c>
      <c r="O1989" s="85">
        <v>51.7</v>
      </c>
      <c r="P1989" s="105"/>
      <c r="Q1989" s="87">
        <f t="shared" si="183"/>
        <v>-4.5816083824436402E-3</v>
      </c>
      <c r="R1989" s="87">
        <f t="shared" si="188"/>
        <v>-2.7360314446091836E-3</v>
      </c>
      <c r="S1989" s="87">
        <f t="shared" si="188"/>
        <v>-4.6328261663809754E-3</v>
      </c>
      <c r="T1989" s="87">
        <f t="shared" si="188"/>
        <v>-6.9364439966569866E-3</v>
      </c>
      <c r="U1989" s="87">
        <f t="shared" si="188"/>
        <v>3.5304537993826588E-3</v>
      </c>
      <c r="V1989" s="87">
        <f t="shared" si="188"/>
        <v>1.7436796048268374E-3</v>
      </c>
      <c r="W1989" s="87">
        <f t="shared" si="188"/>
        <v>0</v>
      </c>
      <c r="X1989" s="87">
        <f t="shared" si="187"/>
        <v>9.2450581440512089E-3</v>
      </c>
      <c r="Y1989" s="87">
        <f t="shared" si="187"/>
        <v>-1.2422519998557096E-2</v>
      </c>
      <c r="Z1989" s="87">
        <f t="shared" si="187"/>
        <v>4.3963123421116204E-2</v>
      </c>
      <c r="AA1989" s="87">
        <f t="shared" si="186"/>
        <v>4.8504541337494799E-3</v>
      </c>
      <c r="AB1989" s="87">
        <f t="shared" si="186"/>
        <v>-2.1528533611010897E-3</v>
      </c>
      <c r="AC1989" s="87">
        <f t="shared" si="186"/>
        <v>-9.1884260544061423E-3</v>
      </c>
      <c r="AD1989" s="87">
        <f t="shared" si="186"/>
        <v>-5.7859370670438875E-3</v>
      </c>
      <c r="AE1989" s="90">
        <f t="shared" si="184"/>
        <v>-1.8702239131253421E-3</v>
      </c>
    </row>
    <row r="1990" spans="1:31" ht="15.5" x14ac:dyDescent="0.35">
      <c r="A1990" s="82">
        <v>42653</v>
      </c>
      <c r="B1990" s="83">
        <v>10682.7</v>
      </c>
      <c r="C1990" s="84">
        <v>5328.7</v>
      </c>
      <c r="D1990" s="61">
        <v>802.2</v>
      </c>
      <c r="E1990" s="61">
        <v>43.3</v>
      </c>
      <c r="F1990" s="61">
        <v>114.7</v>
      </c>
      <c r="G1990" s="61">
        <v>57.9</v>
      </c>
      <c r="H1990" s="61">
        <v>8</v>
      </c>
      <c r="I1990" s="61">
        <v>32.5</v>
      </c>
      <c r="J1990" s="61">
        <v>16</v>
      </c>
      <c r="K1990" s="61">
        <v>9</v>
      </c>
      <c r="L1990" s="61">
        <v>63.4</v>
      </c>
      <c r="M1990" s="61">
        <v>47.3</v>
      </c>
      <c r="N1990" s="61">
        <v>65.3</v>
      </c>
      <c r="O1990" s="85">
        <v>51.8</v>
      </c>
      <c r="P1990" s="105"/>
      <c r="Q1990" s="87">
        <f t="shared" si="183"/>
        <v>5.2370882171344545E-3</v>
      </c>
      <c r="R1990" s="87">
        <f t="shared" si="188"/>
        <v>6.8354768035727726E-3</v>
      </c>
      <c r="S1990" s="87">
        <f t="shared" si="188"/>
        <v>6.7542470655642109E-3</v>
      </c>
      <c r="T1990" s="87">
        <f t="shared" si="188"/>
        <v>4.6296378987419756E-3</v>
      </c>
      <c r="U1990" s="87">
        <f t="shared" si="188"/>
        <v>1.0517187213867678E-2</v>
      </c>
      <c r="V1990" s="87">
        <f t="shared" si="188"/>
        <v>8.6730812534288639E-3</v>
      </c>
      <c r="W1990" s="87">
        <f t="shared" si="188"/>
        <v>0</v>
      </c>
      <c r="X1990" s="87">
        <f t="shared" si="187"/>
        <v>-3.0721990369702518E-3</v>
      </c>
      <c r="Y1990" s="87">
        <f t="shared" si="187"/>
        <v>0</v>
      </c>
      <c r="Z1990" s="87">
        <f t="shared" si="187"/>
        <v>-3.2789822822990956E-2</v>
      </c>
      <c r="AA1990" s="87">
        <f t="shared" si="186"/>
        <v>2.2329476398088577E-2</v>
      </c>
      <c r="AB1990" s="87">
        <f t="shared" si="186"/>
        <v>1.9210836265677673E-2</v>
      </c>
      <c r="AC1990" s="87">
        <f t="shared" si="186"/>
        <v>4.6047663867481176E-3</v>
      </c>
      <c r="AD1990" s="87">
        <f t="shared" si="186"/>
        <v>1.9323677510538603E-3</v>
      </c>
      <c r="AE1990" s="90">
        <f t="shared" si="184"/>
        <v>7.268475631643399E-3</v>
      </c>
    </row>
    <row r="1991" spans="1:31" ht="15.5" x14ac:dyDescent="0.35">
      <c r="A1991" s="82">
        <v>42654</v>
      </c>
      <c r="B1991" s="83">
        <v>10548</v>
      </c>
      <c r="C1991" s="84">
        <v>5246.8</v>
      </c>
      <c r="D1991" s="61">
        <v>807.4</v>
      </c>
      <c r="E1991" s="61">
        <v>42.5</v>
      </c>
      <c r="F1991" s="61">
        <v>116.2</v>
      </c>
      <c r="G1991" s="61">
        <v>56.9</v>
      </c>
      <c r="H1991" s="61">
        <v>8.1</v>
      </c>
      <c r="I1991" s="61">
        <v>31.9</v>
      </c>
      <c r="J1991" s="61">
        <v>16</v>
      </c>
      <c r="K1991" s="61">
        <v>8.9</v>
      </c>
      <c r="L1991" s="61">
        <v>61.8</v>
      </c>
      <c r="M1991" s="61">
        <v>47</v>
      </c>
      <c r="N1991" s="61">
        <v>63.8</v>
      </c>
      <c r="O1991" s="85">
        <v>51.5</v>
      </c>
      <c r="P1991" s="105"/>
      <c r="Q1991" s="87">
        <f t="shared" si="183"/>
        <v>-1.2689342078965127E-2</v>
      </c>
      <c r="R1991" s="87">
        <f t="shared" si="188"/>
        <v>-1.5488939030837891E-2</v>
      </c>
      <c r="S1991" s="87">
        <f t="shared" si="188"/>
        <v>6.4612550828878216E-3</v>
      </c>
      <c r="T1991" s="87">
        <f t="shared" si="188"/>
        <v>-1.8648559078072977E-2</v>
      </c>
      <c r="U1991" s="87">
        <f t="shared" si="188"/>
        <v>1.2992820282485801E-2</v>
      </c>
      <c r="V1991" s="87">
        <f t="shared" si="188"/>
        <v>-1.7422043446664346E-2</v>
      </c>
      <c r="W1991" s="87">
        <f t="shared" si="188"/>
        <v>1.242251999855711E-2</v>
      </c>
      <c r="X1991" s="87">
        <f t="shared" si="187"/>
        <v>-1.8634079544892983E-2</v>
      </c>
      <c r="Y1991" s="87">
        <f t="shared" si="187"/>
        <v>0</v>
      </c>
      <c r="Z1991" s="87">
        <f t="shared" si="187"/>
        <v>-1.1173300598125189E-2</v>
      </c>
      <c r="AA1991" s="87">
        <f t="shared" si="186"/>
        <v>-2.5560496979535219E-2</v>
      </c>
      <c r="AB1991" s="87">
        <f t="shared" si="186"/>
        <v>-6.3626937878286573E-3</v>
      </c>
      <c r="AC1991" s="87">
        <f t="shared" si="186"/>
        <v>-2.3238845931641185E-2</v>
      </c>
      <c r="AD1991" s="87">
        <f t="shared" si="186"/>
        <v>-5.8083415957469022E-3</v>
      </c>
      <c r="AE1991" s="90">
        <f t="shared" si="184"/>
        <v>2.5799802701001256E-4</v>
      </c>
    </row>
    <row r="1992" spans="1:31" ht="15.5" x14ac:dyDescent="0.35">
      <c r="A1992" s="82">
        <v>42655</v>
      </c>
      <c r="B1992" s="83">
        <v>10560.3</v>
      </c>
      <c r="C1992" s="84">
        <v>5239</v>
      </c>
      <c r="D1992" s="61">
        <v>808.6</v>
      </c>
      <c r="E1992" s="61">
        <v>42.1</v>
      </c>
      <c r="F1992" s="61">
        <v>116.8</v>
      </c>
      <c r="G1992" s="61">
        <v>56.4</v>
      </c>
      <c r="H1992" s="61">
        <v>8</v>
      </c>
      <c r="I1992" s="61">
        <v>31.9</v>
      </c>
      <c r="J1992" s="61">
        <v>15.9</v>
      </c>
      <c r="K1992" s="61">
        <v>8.9</v>
      </c>
      <c r="L1992" s="61">
        <v>61.6</v>
      </c>
      <c r="M1992" s="61">
        <v>47.3</v>
      </c>
      <c r="N1992" s="61">
        <v>64.099999999999994</v>
      </c>
      <c r="O1992" s="85">
        <v>51.8</v>
      </c>
      <c r="P1992" s="105"/>
      <c r="Q1992" s="87">
        <f t="shared" si="183"/>
        <v>1.1654184744535555E-3</v>
      </c>
      <c r="R1992" s="87">
        <f t="shared" si="188"/>
        <v>-1.4877265327709961E-3</v>
      </c>
      <c r="S1992" s="87">
        <f t="shared" si="188"/>
        <v>1.4851487878302177E-3</v>
      </c>
      <c r="T1992" s="87">
        <f t="shared" si="188"/>
        <v>-9.4563352420354001E-3</v>
      </c>
      <c r="U1992" s="87">
        <f t="shared" si="188"/>
        <v>5.1502259763158611E-3</v>
      </c>
      <c r="V1992" s="87">
        <f t="shared" si="188"/>
        <v>-8.8261826282720716E-3</v>
      </c>
      <c r="W1992" s="87">
        <f t="shared" si="188"/>
        <v>-1.2422519998557096E-2</v>
      </c>
      <c r="X1992" s="87">
        <f t="shared" si="187"/>
        <v>0</v>
      </c>
      <c r="Y1992" s="87">
        <f t="shared" si="187"/>
        <v>-6.2696130135953742E-3</v>
      </c>
      <c r="Z1992" s="87">
        <f t="shared" si="187"/>
        <v>0</v>
      </c>
      <c r="AA1992" s="87">
        <f t="shared" si="186"/>
        <v>-3.2414939241709557E-3</v>
      </c>
      <c r="AB1992" s="87">
        <f t="shared" si="186"/>
        <v>6.3626937878286504E-3</v>
      </c>
      <c r="AC1992" s="87">
        <f t="shared" si="186"/>
        <v>4.691173575880018E-3</v>
      </c>
      <c r="AD1992" s="87">
        <f t="shared" si="186"/>
        <v>5.8083415957469551E-3</v>
      </c>
      <c r="AE1992" s="90">
        <f t="shared" si="184"/>
        <v>2.1674986012853691E-3</v>
      </c>
    </row>
    <row r="1993" spans="1:31" ht="15.5" x14ac:dyDescent="0.35">
      <c r="A1993" s="82">
        <v>42656</v>
      </c>
      <c r="B1993" s="83">
        <v>10522.9</v>
      </c>
      <c r="C1993" s="84">
        <v>5213.3</v>
      </c>
      <c r="D1993" s="61">
        <v>798.6</v>
      </c>
      <c r="E1993" s="61">
        <v>41.2</v>
      </c>
      <c r="F1993" s="61">
        <v>115.7</v>
      </c>
      <c r="G1993" s="61">
        <v>56.3</v>
      </c>
      <c r="H1993" s="61">
        <v>8</v>
      </c>
      <c r="I1993" s="61">
        <v>31.4</v>
      </c>
      <c r="J1993" s="61">
        <v>15.8</v>
      </c>
      <c r="K1993" s="61">
        <v>8.6</v>
      </c>
      <c r="L1993" s="61">
        <v>61.9</v>
      </c>
      <c r="M1993" s="61">
        <v>46</v>
      </c>
      <c r="N1993" s="61">
        <v>63.3</v>
      </c>
      <c r="O1993" s="85">
        <v>51.5</v>
      </c>
      <c r="P1993" s="105"/>
      <c r="Q1993" s="87">
        <f t="shared" si="183"/>
        <v>-3.5478522454154729E-3</v>
      </c>
      <c r="R1993" s="87">
        <f t="shared" si="188"/>
        <v>-4.9175878593606817E-3</v>
      </c>
      <c r="S1993" s="87">
        <f t="shared" si="188"/>
        <v>-1.2444162577549525E-2</v>
      </c>
      <c r="T1993" s="87">
        <f t="shared" si="188"/>
        <v>-2.1609484332854988E-2</v>
      </c>
      <c r="U1993" s="87">
        <f t="shared" si="188"/>
        <v>-9.462436194495747E-3</v>
      </c>
      <c r="V1993" s="87">
        <f t="shared" si="188"/>
        <v>-1.7746233583684897E-3</v>
      </c>
      <c r="W1993" s="87">
        <f t="shared" si="188"/>
        <v>0</v>
      </c>
      <c r="X1993" s="87">
        <f t="shared" si="187"/>
        <v>-1.5798116876591176E-2</v>
      </c>
      <c r="Y1993" s="87">
        <f t="shared" si="187"/>
        <v>-6.309169193264721E-3</v>
      </c>
      <c r="Z1993" s="87">
        <f t="shared" si="187"/>
        <v>-3.4289073478632193E-2</v>
      </c>
      <c r="AA1993" s="87">
        <f t="shared" si="186"/>
        <v>4.8583091510763675E-3</v>
      </c>
      <c r="AB1993" s="87">
        <f t="shared" si="186"/>
        <v>-2.7868899008792261E-2</v>
      </c>
      <c r="AC1993" s="87">
        <f t="shared" si="186"/>
        <v>-1.2559034776493797E-2</v>
      </c>
      <c r="AD1993" s="87">
        <f t="shared" si="186"/>
        <v>-5.8083415957469022E-3</v>
      </c>
      <c r="AE1993" s="90">
        <f t="shared" si="184"/>
        <v>-8.5289190360817273E-3</v>
      </c>
    </row>
    <row r="1994" spans="1:31" ht="15.5" x14ac:dyDescent="0.35">
      <c r="A1994" s="82">
        <v>42657</v>
      </c>
      <c r="B1994" s="83">
        <v>10521.3</v>
      </c>
      <c r="C1994" s="84">
        <v>5214.2</v>
      </c>
      <c r="D1994" s="61">
        <v>802.3</v>
      </c>
      <c r="E1994" s="61">
        <v>41.4</v>
      </c>
      <c r="F1994" s="61">
        <v>117.1</v>
      </c>
      <c r="G1994" s="61">
        <v>57.1</v>
      </c>
      <c r="H1994" s="61">
        <v>8.3000000000000007</v>
      </c>
      <c r="I1994" s="61">
        <v>31.3</v>
      </c>
      <c r="J1994" s="61">
        <v>16</v>
      </c>
      <c r="K1994" s="61">
        <v>8.6</v>
      </c>
      <c r="L1994" s="61">
        <v>62.1</v>
      </c>
      <c r="M1994" s="61">
        <v>46.7</v>
      </c>
      <c r="N1994" s="61">
        <v>64.400000000000006</v>
      </c>
      <c r="O1994" s="85">
        <v>51.6</v>
      </c>
      <c r="P1994" s="105"/>
      <c r="Q1994" s="87">
        <f t="shared" si="183"/>
        <v>-1.5206090068367126E-4</v>
      </c>
      <c r="R1994" s="87">
        <f t="shared" si="188"/>
        <v>1.72620475134986E-4</v>
      </c>
      <c r="S1994" s="87">
        <f t="shared" si="188"/>
        <v>4.6224081304893378E-3</v>
      </c>
      <c r="T1994" s="87">
        <f t="shared" si="188"/>
        <v>4.8426244757879908E-3</v>
      </c>
      <c r="U1994" s="87">
        <f t="shared" si="188"/>
        <v>1.2027636404040696E-2</v>
      </c>
      <c r="V1994" s="87">
        <f t="shared" si="188"/>
        <v>1.4109581516319993E-2</v>
      </c>
      <c r="W1994" s="87">
        <f t="shared" si="188"/>
        <v>3.6813973122716399E-2</v>
      </c>
      <c r="X1994" s="87">
        <f t="shared" si="187"/>
        <v>-3.1897953681000379E-3</v>
      </c>
      <c r="Y1994" s="87">
        <f t="shared" si="187"/>
        <v>1.2578782206859965E-2</v>
      </c>
      <c r="Z1994" s="87">
        <f t="shared" si="187"/>
        <v>0</v>
      </c>
      <c r="AA1994" s="87">
        <f t="shared" si="186"/>
        <v>3.2258092488827899E-3</v>
      </c>
      <c r="AB1994" s="87">
        <f t="shared" si="186"/>
        <v>1.510276818575665E-2</v>
      </c>
      <c r="AC1994" s="87">
        <f t="shared" si="186"/>
        <v>1.7228303960177566E-2</v>
      </c>
      <c r="AD1994" s="87">
        <f t="shared" si="186"/>
        <v>1.9398648178266761E-3</v>
      </c>
      <c r="AE1994" s="90">
        <f t="shared" si="184"/>
        <v>5.0799755095809699E-3</v>
      </c>
    </row>
    <row r="1995" spans="1:31" ht="15.5" x14ac:dyDescent="0.35">
      <c r="A1995" s="82">
        <v>42660</v>
      </c>
      <c r="B1995" s="83">
        <v>10492.9</v>
      </c>
      <c r="C1995" s="84">
        <v>5199.8</v>
      </c>
      <c r="D1995" s="61">
        <v>803.8</v>
      </c>
      <c r="E1995" s="61">
        <v>41.2</v>
      </c>
      <c r="F1995" s="61">
        <v>116.8</v>
      </c>
      <c r="G1995" s="61">
        <v>56.9</v>
      </c>
      <c r="H1995" s="61">
        <v>8.3000000000000007</v>
      </c>
      <c r="I1995" s="61">
        <v>30.9</v>
      </c>
      <c r="J1995" s="61">
        <v>15.7</v>
      </c>
      <c r="K1995" s="61">
        <v>8.5</v>
      </c>
      <c r="L1995" s="61">
        <v>60.8</v>
      </c>
      <c r="M1995" s="61">
        <v>46.6</v>
      </c>
      <c r="N1995" s="61">
        <v>64.2</v>
      </c>
      <c r="O1995" s="85">
        <v>51</v>
      </c>
      <c r="P1995" s="105"/>
      <c r="Q1995" s="87">
        <f t="shared" si="183"/>
        <v>-2.7029358519989988E-3</v>
      </c>
      <c r="R1995" s="87">
        <f t="shared" si="188"/>
        <v>-2.7655097326006071E-3</v>
      </c>
      <c r="S1995" s="87">
        <f t="shared" si="188"/>
        <v>1.8678792554903379E-3</v>
      </c>
      <c r="T1995" s="87">
        <f t="shared" si="188"/>
        <v>-4.8426244757879032E-3</v>
      </c>
      <c r="U1995" s="87">
        <f t="shared" si="188"/>
        <v>-2.5652002095449527E-3</v>
      </c>
      <c r="V1995" s="87">
        <f t="shared" si="188"/>
        <v>-3.5087755296793655E-3</v>
      </c>
      <c r="W1995" s="87">
        <f t="shared" si="188"/>
        <v>0</v>
      </c>
      <c r="X1995" s="87">
        <f t="shared" si="187"/>
        <v>-1.286191364240781E-2</v>
      </c>
      <c r="Y1995" s="87">
        <f t="shared" si="187"/>
        <v>-1.8928009885518911E-2</v>
      </c>
      <c r="Z1995" s="87">
        <f t="shared" si="187"/>
        <v>-1.1696039763191187E-2</v>
      </c>
      <c r="AA1995" s="87">
        <f t="shared" si="186"/>
        <v>-2.1156199967311853E-2</v>
      </c>
      <c r="AB1995" s="87">
        <f t="shared" si="186"/>
        <v>-2.1436235432514528E-3</v>
      </c>
      <c r="AC1995" s="87">
        <f t="shared" si="186"/>
        <v>-3.1104224143925024E-3</v>
      </c>
      <c r="AD1995" s="87">
        <f t="shared" si="186"/>
        <v>-1.1696039763191298E-2</v>
      </c>
      <c r="AE1995" s="90">
        <f t="shared" si="184"/>
        <v>-2.4372327128950478E-3</v>
      </c>
    </row>
    <row r="1996" spans="1:31" ht="15.5" x14ac:dyDescent="0.35">
      <c r="A1996" s="82">
        <v>42661</v>
      </c>
      <c r="B1996" s="83">
        <v>10567.8</v>
      </c>
      <c r="C1996" s="84">
        <v>5243.8</v>
      </c>
      <c r="D1996" s="61">
        <v>813.3</v>
      </c>
      <c r="E1996" s="61">
        <v>41.6</v>
      </c>
      <c r="F1996" s="61">
        <v>117.5</v>
      </c>
      <c r="G1996" s="61">
        <v>57.4</v>
      </c>
      <c r="H1996" s="61">
        <v>8.4</v>
      </c>
      <c r="I1996" s="61">
        <v>31</v>
      </c>
      <c r="J1996" s="61">
        <v>15.9</v>
      </c>
      <c r="K1996" s="61">
        <v>8.4</v>
      </c>
      <c r="L1996" s="61">
        <v>61.8</v>
      </c>
      <c r="M1996" s="61">
        <v>46.7</v>
      </c>
      <c r="N1996" s="61">
        <v>64.2</v>
      </c>
      <c r="O1996" s="85">
        <v>51.2</v>
      </c>
      <c r="P1996" s="105"/>
      <c r="Q1996" s="87">
        <f t="shared" si="183"/>
        <v>7.1128040167719184E-3</v>
      </c>
      <c r="R1996" s="87">
        <f t="shared" si="188"/>
        <v>8.4262630395696408E-3</v>
      </c>
      <c r="S1996" s="87">
        <f t="shared" si="188"/>
        <v>1.1749563157628765E-2</v>
      </c>
      <c r="T1996" s="87">
        <f t="shared" si="188"/>
        <v>9.6619109117368901E-3</v>
      </c>
      <c r="U1996" s="87">
        <f t="shared" si="188"/>
        <v>5.9752631900870205E-3</v>
      </c>
      <c r="V1996" s="87">
        <f t="shared" si="188"/>
        <v>8.7489621932355446E-3</v>
      </c>
      <c r="W1996" s="87">
        <f t="shared" si="188"/>
        <v>1.197619104671562E-2</v>
      </c>
      <c r="X1996" s="87">
        <f t="shared" si="187"/>
        <v>3.23102058144654E-3</v>
      </c>
      <c r="Y1996" s="87">
        <f t="shared" si="187"/>
        <v>1.2658396871923465E-2</v>
      </c>
      <c r="Z1996" s="87">
        <f t="shared" si="187"/>
        <v>-1.1834457647002796E-2</v>
      </c>
      <c r="AA1996" s="87">
        <f t="shared" si="186"/>
        <v>1.6313575491523787E-2</v>
      </c>
      <c r="AB1996" s="87">
        <f t="shared" si="186"/>
        <v>2.1436235432513691E-3</v>
      </c>
      <c r="AC1996" s="87">
        <f t="shared" si="186"/>
        <v>0</v>
      </c>
      <c r="AD1996" s="87">
        <f t="shared" si="186"/>
        <v>3.9138993211363148E-3</v>
      </c>
      <c r="AE1996" s="90">
        <f t="shared" si="184"/>
        <v>8.1499005989176775E-3</v>
      </c>
    </row>
    <row r="1997" spans="1:31" ht="15.5" x14ac:dyDescent="0.35">
      <c r="A1997" s="82">
        <v>42662</v>
      </c>
      <c r="B1997" s="83">
        <v>10600.9</v>
      </c>
      <c r="C1997" s="84">
        <v>5246.4</v>
      </c>
      <c r="D1997" s="61">
        <v>823.2</v>
      </c>
      <c r="E1997" s="61">
        <v>42.3</v>
      </c>
      <c r="F1997" s="61">
        <v>113.8</v>
      </c>
      <c r="G1997" s="61">
        <v>57.4</v>
      </c>
      <c r="H1997" s="61">
        <v>8.4</v>
      </c>
      <c r="I1997" s="61">
        <v>31.1</v>
      </c>
      <c r="J1997" s="61">
        <v>16</v>
      </c>
      <c r="K1997" s="61">
        <v>8.5</v>
      </c>
      <c r="L1997" s="61">
        <v>61.8</v>
      </c>
      <c r="M1997" s="61">
        <v>46.6</v>
      </c>
      <c r="N1997" s="61">
        <v>60.4</v>
      </c>
      <c r="O1997" s="85">
        <v>51.1</v>
      </c>
      <c r="P1997" s="105"/>
      <c r="Q1997" s="87">
        <f t="shared" si="183"/>
        <v>3.1272611899494482E-3</v>
      </c>
      <c r="R1997" s="87">
        <f t="shared" si="188"/>
        <v>4.9570075942080821E-4</v>
      </c>
      <c r="S1997" s="87">
        <f t="shared" si="188"/>
        <v>1.2099139347110504E-2</v>
      </c>
      <c r="T1997" s="87">
        <f t="shared" si="188"/>
        <v>1.6686918785014517E-2</v>
      </c>
      <c r="U1997" s="87">
        <f t="shared" si="188"/>
        <v>-3.1995811891983132E-2</v>
      </c>
      <c r="V1997" s="87">
        <f t="shared" si="188"/>
        <v>0</v>
      </c>
      <c r="W1997" s="87">
        <f t="shared" si="188"/>
        <v>0</v>
      </c>
      <c r="X1997" s="87">
        <f t="shared" si="187"/>
        <v>3.2206147000421572E-3</v>
      </c>
      <c r="Y1997" s="87">
        <f t="shared" si="187"/>
        <v>6.269613013595395E-3</v>
      </c>
      <c r="Z1997" s="87">
        <f t="shared" si="187"/>
        <v>1.1834457647002798E-2</v>
      </c>
      <c r="AA1997" s="87">
        <f t="shared" si="186"/>
        <v>0</v>
      </c>
      <c r="AB1997" s="87">
        <f t="shared" si="186"/>
        <v>-2.1436235432514528E-3</v>
      </c>
      <c r="AC1997" s="87">
        <f t="shared" si="186"/>
        <v>-6.1014105755146354E-2</v>
      </c>
      <c r="AD1997" s="87">
        <f t="shared" si="186"/>
        <v>-1.9550348358033506E-3</v>
      </c>
      <c r="AE1997" s="90">
        <f t="shared" si="184"/>
        <v>-5.6956971264730608E-3</v>
      </c>
    </row>
    <row r="1998" spans="1:31" ht="15.5" x14ac:dyDescent="0.35">
      <c r="A1998" s="82">
        <v>42663</v>
      </c>
      <c r="B1998" s="83">
        <v>10597.4</v>
      </c>
      <c r="C1998" s="84">
        <v>5241.8</v>
      </c>
      <c r="D1998" s="61">
        <v>820.6</v>
      </c>
      <c r="E1998" s="61">
        <v>42.1</v>
      </c>
      <c r="F1998" s="61">
        <v>116.3</v>
      </c>
      <c r="G1998" s="61">
        <v>56.7</v>
      </c>
      <c r="H1998" s="61">
        <v>8.4</v>
      </c>
      <c r="I1998" s="61">
        <v>31.6</v>
      </c>
      <c r="J1998" s="61">
        <v>16</v>
      </c>
      <c r="K1998" s="61">
        <v>8.6</v>
      </c>
      <c r="L1998" s="61">
        <v>61.7</v>
      </c>
      <c r="M1998" s="61">
        <v>46.2</v>
      </c>
      <c r="N1998" s="61">
        <v>59.6</v>
      </c>
      <c r="O1998" s="85">
        <v>51.7</v>
      </c>
      <c r="P1998" s="105"/>
      <c r="Q1998" s="87">
        <f t="shared" ref="Q1998:Q2006" si="189">+LN(B1998/B1997)</f>
        <v>-3.3021516176332205E-4</v>
      </c>
      <c r="R1998" s="87">
        <f t="shared" si="188"/>
        <v>-8.7717631146446015E-4</v>
      </c>
      <c r="S1998" s="87">
        <f t="shared" si="188"/>
        <v>-3.1634045117541359E-3</v>
      </c>
      <c r="T1998" s="87">
        <f t="shared" si="188"/>
        <v>-4.7393453638964475E-3</v>
      </c>
      <c r="U1998" s="87">
        <f t="shared" si="188"/>
        <v>2.1730537832388094E-2</v>
      </c>
      <c r="V1998" s="87">
        <f t="shared" si="188"/>
        <v>-1.2270092591814247E-2</v>
      </c>
      <c r="W1998" s="87">
        <f t="shared" si="188"/>
        <v>0</v>
      </c>
      <c r="X1998" s="87">
        <f t="shared" si="187"/>
        <v>1.594930140767804E-2</v>
      </c>
      <c r="Y1998" s="87">
        <f t="shared" si="187"/>
        <v>0</v>
      </c>
      <c r="Z1998" s="87">
        <f t="shared" si="187"/>
        <v>1.1696039763191236E-2</v>
      </c>
      <c r="AA1998" s="87">
        <f t="shared" si="186"/>
        <v>-1.6194335523028827E-3</v>
      </c>
      <c r="AB1998" s="87">
        <f t="shared" si="186"/>
        <v>-8.6207430439069754E-3</v>
      </c>
      <c r="AC1998" s="87">
        <f t="shared" si="186"/>
        <v>-1.3333530869465144E-2</v>
      </c>
      <c r="AD1998" s="87">
        <f t="shared" si="186"/>
        <v>1.1673284304724805E-2</v>
      </c>
      <c r="AE1998" s="90">
        <f t="shared" si="184"/>
        <v>6.443409573588875E-3</v>
      </c>
    </row>
    <row r="1999" spans="1:31" ht="15.5" x14ac:dyDescent="0.35">
      <c r="A1999" s="82">
        <v>42664</v>
      </c>
      <c r="B1999" s="83">
        <v>10571.9</v>
      </c>
      <c r="C1999" s="84">
        <v>5257.4</v>
      </c>
      <c r="D1999" s="61">
        <v>818.3</v>
      </c>
      <c r="E1999" s="61">
        <v>41.7</v>
      </c>
      <c r="F1999" s="61">
        <v>116.3</v>
      </c>
      <c r="G1999" s="61">
        <v>59.5</v>
      </c>
      <c r="H1999" s="61">
        <v>8.8000000000000007</v>
      </c>
      <c r="I1999" s="61">
        <v>31.2</v>
      </c>
      <c r="J1999" s="61">
        <v>16.100000000000001</v>
      </c>
      <c r="K1999" s="61">
        <v>8.6</v>
      </c>
      <c r="L1999" s="61">
        <v>61</v>
      </c>
      <c r="M1999" s="61">
        <v>45.9</v>
      </c>
      <c r="N1999" s="61">
        <v>59.5</v>
      </c>
      <c r="O1999" s="85">
        <v>51.3</v>
      </c>
      <c r="P1999" s="105"/>
      <c r="Q1999" s="87">
        <f t="shared" si="189"/>
        <v>-2.4091502632122255E-3</v>
      </c>
      <c r="R1999" s="87">
        <f t="shared" si="188"/>
        <v>2.9716571700640747E-3</v>
      </c>
      <c r="S1999" s="87">
        <f t="shared" si="188"/>
        <v>-2.8067624747497499E-3</v>
      </c>
      <c r="T1999" s="87">
        <f t="shared" si="188"/>
        <v>-9.5466118835798881E-3</v>
      </c>
      <c r="U1999" s="87">
        <f t="shared" si="188"/>
        <v>0</v>
      </c>
      <c r="V1999" s="87">
        <f t="shared" si="188"/>
        <v>4.8202101817877686E-2</v>
      </c>
      <c r="W1999" s="87">
        <f t="shared" si="188"/>
        <v>4.6520015634892907E-2</v>
      </c>
      <c r="X1999" s="87">
        <f t="shared" si="187"/>
        <v>-1.2739025777429826E-2</v>
      </c>
      <c r="Y1999" s="87">
        <f t="shared" si="187"/>
        <v>6.2305497506361628E-3</v>
      </c>
      <c r="Z1999" s="87">
        <f t="shared" si="187"/>
        <v>0</v>
      </c>
      <c r="AA1999" s="87">
        <f t="shared" si="186"/>
        <v>-1.1410066738030899E-2</v>
      </c>
      <c r="AB1999" s="87">
        <f t="shared" si="186"/>
        <v>-6.5146810211937538E-3</v>
      </c>
      <c r="AC1999" s="87">
        <f t="shared" si="186"/>
        <v>-1.6792615197200253E-3</v>
      </c>
      <c r="AD1999" s="87">
        <f t="shared" si="186"/>
        <v>-7.7670293376596589E-3</v>
      </c>
      <c r="AE1999" s="90">
        <f t="shared" ref="AE1999:AE2006" si="190">+SUMPRODUCT(Q1999:AD1999,$Q$8:$AD$8)</f>
        <v>-8.7503894812869E-4</v>
      </c>
    </row>
    <row r="2000" spans="1:31" ht="15.5" x14ac:dyDescent="0.35">
      <c r="A2000" s="82">
        <v>42667</v>
      </c>
      <c r="B2000" s="83">
        <v>10591.3</v>
      </c>
      <c r="C2000" s="84">
        <v>5309.8</v>
      </c>
      <c r="D2000" s="61">
        <v>829</v>
      </c>
      <c r="E2000" s="61">
        <v>42.4</v>
      </c>
      <c r="F2000" s="61">
        <v>117</v>
      </c>
      <c r="G2000" s="61">
        <v>59.9</v>
      </c>
      <c r="H2000" s="61">
        <v>8.8000000000000007</v>
      </c>
      <c r="I2000" s="61">
        <v>31.7</v>
      </c>
      <c r="J2000" s="61">
        <v>16.3</v>
      </c>
      <c r="K2000" s="61">
        <v>8.6</v>
      </c>
      <c r="L2000" s="61">
        <v>60.6</v>
      </c>
      <c r="M2000" s="61">
        <v>46.5</v>
      </c>
      <c r="N2000" s="61">
        <v>59.9</v>
      </c>
      <c r="O2000" s="85">
        <v>51.8</v>
      </c>
      <c r="P2000" s="105"/>
      <c r="Q2000" s="87">
        <f t="shared" si="189"/>
        <v>1.8333716483351556E-3</v>
      </c>
      <c r="R2000" s="87">
        <f t="shared" si="188"/>
        <v>9.9175617942380868E-3</v>
      </c>
      <c r="S2000" s="87">
        <f t="shared" si="188"/>
        <v>1.2991137601958988E-2</v>
      </c>
      <c r="T2000" s="87">
        <f t="shared" si="188"/>
        <v>1.664723343315621E-2</v>
      </c>
      <c r="U2000" s="87">
        <f t="shared" si="188"/>
        <v>6.0008752731373384E-3</v>
      </c>
      <c r="V2000" s="87">
        <f t="shared" si="188"/>
        <v>6.7001925698195654E-3</v>
      </c>
      <c r="W2000" s="87">
        <f t="shared" si="188"/>
        <v>0</v>
      </c>
      <c r="X2000" s="87">
        <f t="shared" si="187"/>
        <v>1.5898586067798204E-2</v>
      </c>
      <c r="Y2000" s="87">
        <f t="shared" si="187"/>
        <v>1.2345835822299362E-2</v>
      </c>
      <c r="Z2000" s="87">
        <f t="shared" si="187"/>
        <v>0</v>
      </c>
      <c r="AA2000" s="87">
        <f t="shared" si="186"/>
        <v>-6.578971098042511E-3</v>
      </c>
      <c r="AB2000" s="87">
        <f t="shared" si="186"/>
        <v>1.2987195526811112E-2</v>
      </c>
      <c r="AC2000" s="87">
        <f t="shared" si="186"/>
        <v>6.7001925698195654E-3</v>
      </c>
      <c r="AD2000" s="87">
        <f t="shared" si="186"/>
        <v>9.6993970887135784E-3</v>
      </c>
      <c r="AE2000" s="90">
        <f t="shared" si="190"/>
        <v>9.6709444805327081E-3</v>
      </c>
    </row>
    <row r="2001" spans="1:31" ht="15.5" x14ac:dyDescent="0.35">
      <c r="A2001" s="82">
        <v>42668</v>
      </c>
      <c r="B2001" s="83">
        <v>10550.2</v>
      </c>
      <c r="C2001" s="84">
        <v>5283.4</v>
      </c>
      <c r="D2001" s="61">
        <v>825.3</v>
      </c>
      <c r="E2001" s="61">
        <v>42.4</v>
      </c>
      <c r="F2001" s="61">
        <v>117.3</v>
      </c>
      <c r="G2001" s="61">
        <v>60.8</v>
      </c>
      <c r="H2001" s="61">
        <v>8.5</v>
      </c>
      <c r="I2001" s="61">
        <v>31</v>
      </c>
      <c r="J2001" s="61">
        <v>16.600000000000001</v>
      </c>
      <c r="K2001" s="61">
        <v>8.3000000000000007</v>
      </c>
      <c r="L2001" s="61">
        <v>59.6</v>
      </c>
      <c r="M2001" s="61">
        <v>46.1</v>
      </c>
      <c r="N2001" s="61">
        <v>59.4</v>
      </c>
      <c r="O2001" s="85">
        <v>50.7</v>
      </c>
      <c r="P2001" s="105"/>
      <c r="Q2001" s="87">
        <f t="shared" si="189"/>
        <v>-3.8880923091178079E-3</v>
      </c>
      <c r="R2001" s="87">
        <f t="shared" si="188"/>
        <v>-4.984339888984413E-3</v>
      </c>
      <c r="S2001" s="87">
        <f t="shared" si="188"/>
        <v>-4.4731985366565025E-3</v>
      </c>
      <c r="T2001" s="87">
        <f t="shared" si="188"/>
        <v>0</v>
      </c>
      <c r="U2001" s="87">
        <f t="shared" si="188"/>
        <v>2.5608208616736505E-3</v>
      </c>
      <c r="V2001" s="87">
        <f t="shared" si="188"/>
        <v>1.49132838507176E-2</v>
      </c>
      <c r="W2001" s="87">
        <f t="shared" si="188"/>
        <v>-3.4685557987890102E-2</v>
      </c>
      <c r="X2001" s="87">
        <f t="shared" si="187"/>
        <v>-2.2329476398088657E-2</v>
      </c>
      <c r="Y2001" s="87">
        <f t="shared" si="187"/>
        <v>1.8237587549781012E-2</v>
      </c>
      <c r="Z2001" s="87">
        <f t="shared" si="187"/>
        <v>-3.5506688456909644E-2</v>
      </c>
      <c r="AA2001" s="87">
        <f t="shared" si="186"/>
        <v>-1.6639319003964669E-2</v>
      </c>
      <c r="AB2001" s="87">
        <f t="shared" si="186"/>
        <v>-8.6393625907077408E-3</v>
      </c>
      <c r="AC2001" s="87">
        <f t="shared" si="186"/>
        <v>-8.3822787528043882E-3</v>
      </c>
      <c r="AD2001" s="87">
        <f t="shared" si="186"/>
        <v>-2.1464238668299739E-2</v>
      </c>
      <c r="AE2001" s="90">
        <f t="shared" si="190"/>
        <v>-4.680343612279955E-3</v>
      </c>
    </row>
    <row r="2002" spans="1:31" ht="15.5" x14ac:dyDescent="0.35">
      <c r="A2002" s="82">
        <v>42669</v>
      </c>
      <c r="B2002" s="83">
        <v>10528.2</v>
      </c>
      <c r="C2002" s="84">
        <v>5250.3</v>
      </c>
      <c r="D2002" s="61">
        <v>816.4</v>
      </c>
      <c r="E2002" s="61">
        <v>42</v>
      </c>
      <c r="F2002" s="61">
        <v>113.3</v>
      </c>
      <c r="G2002" s="61">
        <v>60.5</v>
      </c>
      <c r="H2002" s="61">
        <v>8.5</v>
      </c>
      <c r="I2002" s="61">
        <v>31</v>
      </c>
      <c r="J2002" s="61">
        <v>16.5</v>
      </c>
      <c r="K2002" s="61">
        <v>8.3000000000000007</v>
      </c>
      <c r="L2002" s="61">
        <v>60.6</v>
      </c>
      <c r="M2002" s="61">
        <v>46.1</v>
      </c>
      <c r="N2002" s="61">
        <v>59.3</v>
      </c>
      <c r="O2002" s="85">
        <v>50.9</v>
      </c>
      <c r="P2002" s="105"/>
      <c r="Q2002" s="87">
        <f t="shared" si="189"/>
        <v>-2.0874457253510729E-3</v>
      </c>
      <c r="R2002" s="87">
        <f t="shared" si="188"/>
        <v>-6.2846120440154061E-3</v>
      </c>
      <c r="S2002" s="87">
        <f t="shared" si="188"/>
        <v>-1.0842525662948828E-2</v>
      </c>
      <c r="T2002" s="87">
        <f t="shared" si="188"/>
        <v>-9.47874395454377E-3</v>
      </c>
      <c r="U2002" s="87">
        <f t="shared" si="188"/>
        <v>-3.4695587625469142E-2</v>
      </c>
      <c r="V2002" s="87">
        <f t="shared" si="188"/>
        <v>-4.9464239353254622E-3</v>
      </c>
      <c r="W2002" s="87">
        <f t="shared" si="188"/>
        <v>0</v>
      </c>
      <c r="X2002" s="87">
        <f t="shared" si="187"/>
        <v>0</v>
      </c>
      <c r="Y2002" s="87">
        <f t="shared" si="187"/>
        <v>-6.0423144559626982E-3</v>
      </c>
      <c r="Z2002" s="87">
        <f t="shared" si="187"/>
        <v>0</v>
      </c>
      <c r="AA2002" s="87">
        <f t="shared" si="186"/>
        <v>1.6639319003964724E-2</v>
      </c>
      <c r="AB2002" s="87">
        <f t="shared" si="186"/>
        <v>0</v>
      </c>
      <c r="AC2002" s="87">
        <f t="shared" si="186"/>
        <v>-1.6849203649195231E-3</v>
      </c>
      <c r="AD2002" s="87">
        <f t="shared" si="186"/>
        <v>3.9370129593395992E-3</v>
      </c>
      <c r="AE2002" s="90">
        <f t="shared" si="190"/>
        <v>-1.4500389723633164E-2</v>
      </c>
    </row>
    <row r="2003" spans="1:31" ht="15.5" x14ac:dyDescent="0.35">
      <c r="A2003" s="82">
        <v>42670</v>
      </c>
      <c r="B2003" s="83">
        <v>10503.1</v>
      </c>
      <c r="C2003" s="84">
        <v>5216</v>
      </c>
      <c r="D2003" s="61">
        <v>814.6</v>
      </c>
      <c r="E2003" s="61">
        <v>41.8</v>
      </c>
      <c r="F2003" s="61">
        <v>114.1</v>
      </c>
      <c r="G2003" s="61">
        <v>60.1</v>
      </c>
      <c r="H2003" s="61">
        <v>8.6999999999999993</v>
      </c>
      <c r="I2003" s="61">
        <v>30.7</v>
      </c>
      <c r="J2003" s="61">
        <v>16.399999999999999</v>
      </c>
      <c r="K2003" s="61">
        <v>8.3000000000000007</v>
      </c>
      <c r="L2003" s="61">
        <v>61</v>
      </c>
      <c r="M2003" s="61">
        <v>47</v>
      </c>
      <c r="N2003" s="61">
        <v>59.1</v>
      </c>
      <c r="O2003" s="85">
        <v>51.7</v>
      </c>
      <c r="P2003" s="105"/>
      <c r="Q2003" s="87">
        <f t="shared" si="189"/>
        <v>-2.3869196784820856E-3</v>
      </c>
      <c r="R2003" s="87">
        <f t="shared" si="188"/>
        <v>-6.5543932037326145E-3</v>
      </c>
      <c r="S2003" s="87">
        <f t="shared" si="188"/>
        <v>-2.20723572137748E-3</v>
      </c>
      <c r="T2003" s="87">
        <f t="shared" si="188"/>
        <v>-4.7732787526577709E-3</v>
      </c>
      <c r="U2003" s="87">
        <f t="shared" si="188"/>
        <v>7.036088834069241E-3</v>
      </c>
      <c r="V2003" s="87">
        <f t="shared" si="188"/>
        <v>-6.633523495633906E-3</v>
      </c>
      <c r="W2003" s="87">
        <f t="shared" si="188"/>
        <v>2.3256862164267183E-2</v>
      </c>
      <c r="X2003" s="87">
        <f t="shared" si="187"/>
        <v>-9.7245498919947444E-3</v>
      </c>
      <c r="Y2003" s="87">
        <f t="shared" si="187"/>
        <v>-6.0790460763822263E-3</v>
      </c>
      <c r="Z2003" s="87">
        <f t="shared" si="187"/>
        <v>0</v>
      </c>
      <c r="AA2003" s="87">
        <f t="shared" si="186"/>
        <v>6.5789710980425605E-3</v>
      </c>
      <c r="AB2003" s="87">
        <f t="shared" si="186"/>
        <v>1.933465170745563E-2</v>
      </c>
      <c r="AC2003" s="87">
        <f t="shared" si="186"/>
        <v>-3.3783815916271949E-3</v>
      </c>
      <c r="AD2003" s="87">
        <f t="shared" si="186"/>
        <v>1.5594857957906418E-2</v>
      </c>
      <c r="AE2003" s="90">
        <f t="shared" si="190"/>
        <v>1.296549904076693E-3</v>
      </c>
    </row>
    <row r="2004" spans="1:31" ht="15.5" x14ac:dyDescent="0.35">
      <c r="A2004" s="82">
        <v>42671</v>
      </c>
      <c r="B2004" s="83">
        <v>10476.6</v>
      </c>
      <c r="C2004" s="84">
        <v>5190.1000000000004</v>
      </c>
      <c r="D2004" s="61">
        <v>817</v>
      </c>
      <c r="E2004" s="61">
        <v>41.7</v>
      </c>
      <c r="F2004" s="61">
        <v>113.5</v>
      </c>
      <c r="G2004" s="61">
        <v>59.6</v>
      </c>
      <c r="H2004" s="61">
        <v>8.6</v>
      </c>
      <c r="I2004" s="61">
        <v>26.8</v>
      </c>
      <c r="J2004" s="61">
        <v>16.3</v>
      </c>
      <c r="K2004" s="61">
        <v>8.3000000000000007</v>
      </c>
      <c r="L2004" s="61">
        <v>58.5</v>
      </c>
      <c r="M2004" s="61">
        <v>46.7</v>
      </c>
      <c r="N2004" s="61">
        <v>59.3</v>
      </c>
      <c r="O2004" s="85">
        <v>51.8</v>
      </c>
      <c r="P2004" s="105"/>
      <c r="Q2004" s="87">
        <f t="shared" si="189"/>
        <v>-2.526252910525812E-3</v>
      </c>
      <c r="R2004" s="87">
        <f t="shared" si="188"/>
        <v>-4.9778598094405626E-3</v>
      </c>
      <c r="S2004" s="87">
        <f t="shared" si="188"/>
        <v>2.941899645690541E-3</v>
      </c>
      <c r="T2004" s="87">
        <f t="shared" si="188"/>
        <v>-2.3952107259547105E-3</v>
      </c>
      <c r="U2004" s="87">
        <f t="shared" si="188"/>
        <v>-5.2724199465725109E-3</v>
      </c>
      <c r="V2004" s="87">
        <f t="shared" si="188"/>
        <v>-8.3542674698578127E-3</v>
      </c>
      <c r="W2004" s="87">
        <f t="shared" si="188"/>
        <v>-1.1560822401075971E-2</v>
      </c>
      <c r="X2004" s="87">
        <f t="shared" si="187"/>
        <v>-0.1358607670763404</v>
      </c>
      <c r="Y2004" s="87">
        <f t="shared" si="187"/>
        <v>-6.1162270174359825E-3</v>
      </c>
      <c r="Z2004" s="87">
        <f t="shared" si="187"/>
        <v>0</v>
      </c>
      <c r="AA2004" s="87">
        <f t="shared" si="186"/>
        <v>-4.184710993550049E-2</v>
      </c>
      <c r="AB2004" s="87">
        <f t="shared" si="186"/>
        <v>-6.4034370352069126E-3</v>
      </c>
      <c r="AC2004" s="87">
        <f t="shared" si="186"/>
        <v>3.3783815916271906E-3</v>
      </c>
      <c r="AD2004" s="87">
        <f t="shared" si="186"/>
        <v>1.9323677510538603E-3</v>
      </c>
      <c r="AE2004" s="90">
        <f t="shared" si="190"/>
        <v>-1.903536921369014E-3</v>
      </c>
    </row>
    <row r="2005" spans="1:31" ht="15.5" x14ac:dyDescent="0.35">
      <c r="A2005" s="82">
        <v>42674</v>
      </c>
      <c r="B2005" s="83">
        <v>10481.9</v>
      </c>
      <c r="C2005" s="84">
        <v>5189.1000000000004</v>
      </c>
      <c r="D2005" s="61">
        <v>808</v>
      </c>
      <c r="E2005" s="61">
        <v>41.6</v>
      </c>
      <c r="F2005" s="61">
        <v>113.2</v>
      </c>
      <c r="G2005" s="61">
        <v>59.9</v>
      </c>
      <c r="H2005" s="61">
        <v>8.5</v>
      </c>
      <c r="I2005" s="61">
        <v>28.4</v>
      </c>
      <c r="J2005" s="61">
        <v>16.3</v>
      </c>
      <c r="K2005" s="61">
        <v>8.5</v>
      </c>
      <c r="L2005" s="61">
        <v>58.4</v>
      </c>
      <c r="M2005" s="61">
        <v>46.9</v>
      </c>
      <c r="N2005" s="61">
        <v>59.3</v>
      </c>
      <c r="O2005" s="85">
        <v>50</v>
      </c>
      <c r="P2005" s="105"/>
      <c r="Q2005" s="87">
        <f t="shared" si="189"/>
        <v>5.0576139637627758E-4</v>
      </c>
      <c r="R2005" s="87">
        <f t="shared" si="188"/>
        <v>-1.9269307906081813E-4</v>
      </c>
      <c r="S2005" s="87">
        <f t="shared" si="188"/>
        <v>-1.1077036338907494E-2</v>
      </c>
      <c r="T2005" s="87">
        <f t="shared" si="188"/>
        <v>-2.4009615375381503E-3</v>
      </c>
      <c r="U2005" s="87">
        <f t="shared" si="188"/>
        <v>-2.6466711523747601E-3</v>
      </c>
      <c r="V2005" s="87">
        <f t="shared" si="188"/>
        <v>5.0209310500994439E-3</v>
      </c>
      <c r="W2005" s="87">
        <f t="shared" si="188"/>
        <v>-1.1696039763191187E-2</v>
      </c>
      <c r="X2005" s="87">
        <f t="shared" si="187"/>
        <v>5.7987257650349316E-2</v>
      </c>
      <c r="Y2005" s="87">
        <f t="shared" si="187"/>
        <v>0</v>
      </c>
      <c r="Z2005" s="87">
        <f t="shared" si="187"/>
        <v>2.3810648693718392E-2</v>
      </c>
      <c r="AA2005" s="87">
        <f t="shared" si="186"/>
        <v>-1.7108644036294301E-3</v>
      </c>
      <c r="AB2005" s="87">
        <f t="shared" si="186"/>
        <v>4.2735107773818641E-3</v>
      </c>
      <c r="AC2005" s="87">
        <f t="shared" si="186"/>
        <v>0</v>
      </c>
      <c r="AD2005" s="87">
        <f t="shared" si="186"/>
        <v>-3.5367143837291247E-2</v>
      </c>
      <c r="AE2005" s="90">
        <f t="shared" si="190"/>
        <v>-8.3563212115604184E-3</v>
      </c>
    </row>
    <row r="2006" spans="1:31" ht="16" thickBot="1" x14ac:dyDescent="0.4">
      <c r="A2006" s="82">
        <v>42675</v>
      </c>
      <c r="B2006" s="83">
        <v>10414</v>
      </c>
      <c r="C2006" s="84">
        <v>5153.6000000000004</v>
      </c>
      <c r="D2006" s="61">
        <v>798.3</v>
      </c>
      <c r="E2006" s="61">
        <v>40.700000000000003</v>
      </c>
      <c r="F2006" s="61">
        <v>110.5</v>
      </c>
      <c r="G2006" s="61">
        <v>59.3</v>
      </c>
      <c r="H2006" s="61">
        <v>8.6999999999999993</v>
      </c>
      <c r="I2006" s="61">
        <v>27.5</v>
      </c>
      <c r="J2006" s="61">
        <v>16</v>
      </c>
      <c r="K2006" s="61">
        <v>8.4</v>
      </c>
      <c r="L2006" s="61">
        <v>58.5</v>
      </c>
      <c r="M2006" s="61">
        <v>46.2</v>
      </c>
      <c r="N2006" s="61">
        <v>58.4</v>
      </c>
      <c r="O2006" s="85">
        <v>49.1</v>
      </c>
      <c r="P2006" s="105"/>
      <c r="Q2006" s="87">
        <f t="shared" si="189"/>
        <v>-6.4989054296686151E-3</v>
      </c>
      <c r="R2006" s="87">
        <f t="shared" si="188"/>
        <v>-6.8647721410529982E-3</v>
      </c>
      <c r="S2006" s="87">
        <f t="shared" si="188"/>
        <v>-1.2077591869342257E-2</v>
      </c>
      <c r="T2006" s="87">
        <f t="shared" si="188"/>
        <v>-2.1872074818668215E-2</v>
      </c>
      <c r="U2006" s="87">
        <f t="shared" si="188"/>
        <v>-2.4140644811275112E-2</v>
      </c>
      <c r="V2006" s="87">
        <f t="shared" si="188"/>
        <v>-1.0067199117723968E-2</v>
      </c>
      <c r="W2006" s="87">
        <f t="shared" si="188"/>
        <v>2.3256862164267183E-2</v>
      </c>
      <c r="X2006" s="87">
        <f t="shared" si="187"/>
        <v>-3.2203140494634706E-2</v>
      </c>
      <c r="Y2006" s="87">
        <f t="shared" si="187"/>
        <v>-1.8576385572935419E-2</v>
      </c>
      <c r="Z2006" s="87">
        <f t="shared" si="187"/>
        <v>-1.1834457647002796E-2</v>
      </c>
      <c r="AA2006" s="87">
        <f t="shared" si="186"/>
        <v>1.7108644036293876E-3</v>
      </c>
      <c r="AB2006" s="87">
        <f t="shared" si="186"/>
        <v>-1.5037877364540446E-2</v>
      </c>
      <c r="AC2006" s="87">
        <f t="shared" si="186"/>
        <v>-1.529341616949835E-2</v>
      </c>
      <c r="AD2006" s="87">
        <f t="shared" si="186"/>
        <v>-1.816397062767118E-2</v>
      </c>
      <c r="AE2006" s="91">
        <f t="shared" si="190"/>
        <v>-1.4704142012697265E-2</v>
      </c>
    </row>
  </sheetData>
  <mergeCells count="2">
    <mergeCell ref="B10:O10"/>
    <mergeCell ref="Q10:AD10"/>
  </mergeCells>
  <conditionalFormatting sqref="Q8:AD8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MENU</vt:lpstr>
      <vt:lpstr>STOCK VALUATION</vt:lpstr>
      <vt:lpstr>BOND VALUATION</vt:lpstr>
      <vt:lpstr>BETA</vt:lpstr>
      <vt:lpstr>BETA APPL</vt:lpstr>
      <vt:lpstr>PORTFOLIO ALLOCATION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CHIKH Sabrina</dc:creator>
  <cp:lastModifiedBy>CHIKH Sabrina</cp:lastModifiedBy>
  <dcterms:created xsi:type="dcterms:W3CDTF">2020-12-11T07:36:07Z</dcterms:created>
  <dcterms:modified xsi:type="dcterms:W3CDTF">2026-09-18T14:12:22Z</dcterms:modified>
</cp:coreProperties>
</file>