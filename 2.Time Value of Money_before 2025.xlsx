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2.xml" ContentType="application/vnd.openxmlformats-officedocument.spreadsheetml.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kema-my.sharepoint.com/personal/sabrina_chikh_skema_edu/Documents/dossiers cours/Excel financial modeling 2025/Pour K2, ne pas modifier/"/>
    </mc:Choice>
  </mc:AlternateContent>
  <xr:revisionPtr revIDLastSave="461" documentId="13_ncr:1_{3D65C074-3853-4D8A-8896-F99F61A68CC7}" xr6:coauthVersionLast="47" xr6:coauthVersionMax="47" xr10:uidLastSave="{CBFCF7FA-BE75-49A5-AAA8-521C1159344B}"/>
  <bookViews>
    <workbookView xWindow="-110" yWindow="-110" windowWidth="19420" windowHeight="11500" xr2:uid="{00000000-000D-0000-FFFF-FFFF00000000}"/>
  </bookViews>
  <sheets>
    <sheet name="SUMMARY" sheetId="26" r:id="rId1"/>
    <sheet name="RATES" sheetId="1" r:id="rId2"/>
    <sheet name="SINGLE CF" sheetId="2" r:id="rId3"/>
    <sheet name="ANNUITY " sheetId="15" r:id="rId4"/>
    <sheet name="MODEL FOR ANNUITY " sheetId="4" r:id="rId5"/>
    <sheet name="PMT TIMING" sheetId="20" r:id="rId6"/>
    <sheet name="NPV" sheetId="17" r:id="rId7"/>
    <sheet name="NPV-IRR" sheetId="21" r:id="rId8"/>
    <sheet name="XNPV-XIRR" sheetId="24" r:id="rId9"/>
    <sheet name="CUMULATIVE FACTOR " sheetId="18" r:id="rId10"/>
    <sheet name="LOAN SCHEDULE" sheetId="25" r:id="rId11"/>
    <sheet name="LOAN SENSITIVITY ANALYSIS" sheetId="19" r:id="rId12"/>
    <sheet name="LEASE vs BUY " sheetId="28" r:id="rId13"/>
    <sheet name="LEASE Vs BUY with help" sheetId="10" r:id="rId14"/>
    <sheet name="TV" sheetId="29" r:id="rId15"/>
    <sheet name="TV scenario" sheetId="30" r:id="rId16"/>
    <sheet name="NPV-WACC" sheetId="31" r:id="rId17"/>
  </sheets>
  <externalReferences>
    <externalReference r:id="rId18"/>
  </externalReferences>
  <definedNames>
    <definedName name="CATEGORY">'[1]INDIRECT '!$B$1:$C$1</definedName>
    <definedName name="CATEGORY_SOUTH">#REF!</definedName>
    <definedName name="Effectif">'[1]DROP DOWN LIST'!#REF!</definedName>
    <definedName name="ENTREPRISE">'[1]DROP DOWN LIST'!$A$2:$A$25</definedName>
    <definedName name="Forme_juridique">'[1]DROP DOWN LIST'!#REF!</definedName>
    <definedName name="Marché">'[1]DROP DOWN LIST'!#REF!</definedName>
    <definedName name="MONTH_S">#REF!</definedName>
    <definedName name="MONTH_SOUTH">#REF!</definedName>
    <definedName name="MONTH2">'[1]INDIRECT '!$A$2:$A$13</definedName>
    <definedName name="Résultat_prévisionnel">'[1]DROP DOWN LIST'!#REF!</definedName>
    <definedName name="SALES_PRODUCT_1_S">#REF!</definedName>
    <definedName name="SALES_PRODUCT_2_S">#REF!</definedName>
    <definedName name="TYPE">'[1]DROP DOWN LIST'!$B$1:$C$1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" i="31" l="1"/>
  <c r="B10" i="30"/>
  <c r="C10" i="30" s="1"/>
  <c r="B7" i="29"/>
  <c r="C7" i="29" s="1"/>
  <c r="D7" i="29" s="1"/>
  <c r="E7" i="29" s="1"/>
  <c r="F7" i="29" s="1"/>
  <c r="G7" i="29" s="1"/>
  <c r="H7" i="29" s="1"/>
  <c r="C9" i="31" l="1"/>
  <c r="D9" i="31" s="1"/>
  <c r="E9" i="31" s="1"/>
  <c r="F9" i="31" s="1"/>
  <c r="G9" i="31" s="1"/>
  <c r="D10" i="30"/>
  <c r="E10" i="30" s="1"/>
  <c r="F10" i="30" s="1"/>
  <c r="G10" i="30" s="1"/>
  <c r="H10" i="30" s="1"/>
  <c r="D15" i="24" l="1"/>
  <c r="E15" i="24" l="1"/>
  <c r="F15" i="24" l="1"/>
  <c r="C10" i="25"/>
  <c r="F10" i="25"/>
  <c r="I10" i="25"/>
  <c r="L10" i="25"/>
  <c r="O10" i="25"/>
  <c r="G15" i="24" l="1"/>
  <c r="J24" i="17"/>
  <c r="D2" i="17" s="1"/>
  <c r="H15" i="24" l="1"/>
  <c r="I15" i="24" l="1"/>
  <c r="I9" i="4" l="1"/>
  <c r="I10" i="4" l="1"/>
  <c r="I12" i="4" s="1"/>
  <c r="J9" i="4"/>
  <c r="J10" i="4" l="1"/>
  <c r="J12" i="4" s="1"/>
  <c r="K9" i="4"/>
  <c r="K10" i="4" l="1"/>
  <c r="K12" i="4" s="1"/>
  <c r="L9" i="4"/>
  <c r="M9" i="4" s="1"/>
  <c r="N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  <author>Sabrina</author>
  </authors>
  <commentList>
    <comment ref="D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Forecast in Excel share price for years 1,2,3 &amp; 4 according to forecasted fluctuations. Acquisition value in year 0 is 200$</t>
        </r>
      </text>
    </comment>
    <comment ref="B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global rate over the period</t>
        </r>
      </text>
    </comment>
    <comment ref="C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Check</t>
        </r>
      </text>
    </comment>
    <comment ref="B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average rate over the period</t>
        </r>
      </text>
    </comment>
    <comment ref="C10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Check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  <author>Sabrina</author>
  </authors>
  <commentList>
    <comment ref="B1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present value of this single CF.</t>
        </r>
      </text>
    </comment>
    <comment ref="O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calculate the FV of the CF. </t>
        </r>
      </text>
    </comment>
    <comment ref="B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calculations, calculate the present value of this single CF.</t>
        </r>
      </text>
    </comment>
    <comment ref="O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Using calculation, find the FV of the CF.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B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discounted CF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the CF</t>
        </r>
      </text>
    </comment>
    <comment ref="B1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dicounted CF</t>
        </r>
      </text>
    </comment>
    <comment ref="C1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calculation, find th PV of the CF. </t>
        </r>
      </text>
    </comment>
    <comment ref="B1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calulate the PV of all the CF. </t>
        </r>
      </text>
    </comment>
    <comment ref="C17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calculate the FV of the CF</t>
        </r>
      </text>
    </comment>
    <comment ref="H17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C1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calculation, find the FV of the CF. </t>
        </r>
      </text>
    </comment>
    <comment ref="H18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B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calulate the FV of all the CF.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C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Type a formula that prepare this row with the duration
=IF(B5&gt;0;…) works as well</t>
        </r>
      </text>
    </comment>
    <comment ref="C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Type a formula that prepare this row with the payments </t>
        </r>
      </text>
    </comment>
    <comment ref="B1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C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the CF</t>
        </r>
      </text>
    </comment>
    <comment ref="B1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all the CF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B3" authorId="0" shapeId="0" xr:uid="{43B3FF49-BA8F-4C2B-8CA7-A1AED6387651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Annual Proportional Rate</t>
        </r>
      </text>
    </comment>
    <comment ref="C3" authorId="0" shapeId="0" xr:uid="{F20B7D63-2262-411D-A26F-41E9B24CB2A4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Effective Annual Rate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D2" authorId="0" shapeId="0" xr:uid="{CBE068F2-A0CD-4981-A0B6-B4A3DF1E7C99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You will make display the selected project</t>
        </r>
      </text>
    </comment>
    <comment ref="I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Calculate the nominal rate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F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NPV, calculate the NPV 
</t>
        </r>
      </text>
    </comment>
    <comment ref="F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IRR, calculate the IRR of the project. </t>
        </r>
      </text>
    </comment>
    <comment ref="F8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 xml:space="preserve">CHIKH Sabrina
According to the results, display an automatic decision for this investment project.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K9" authorId="0" shapeId="0" xr:uid="{71E8DAE1-99A3-49C0-987B-50FE431BD9DA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the NPV by using the 0,1,2,3,4,5 timeline</t>
        </r>
      </text>
    </comment>
    <comment ref="B12" authorId="0" shapeId="0" xr:uid="{C9284C1A-E76D-4347-8737-794D0240BA11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Generate a time line which starts to the today date with a step of one year</t>
        </r>
      </text>
    </comment>
    <comment ref="I18" authorId="0" shapeId="0" xr:uid="{0ABCD9F8-1534-4152-947E-97B958A21D29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Display an automatic decision "Invest" / "Do not invest"</t>
        </r>
      </text>
    </comment>
    <comment ref="I2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a formula, display if there is a conflict between the NPV and the IRR criteria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D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Cumulative factor = (1+previous cumulative rate)*(1+current rate)-1</t>
        </r>
      </text>
    </comment>
    <comment ref="E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Each CF has to be divided by (1+cumulative factor)</t>
        </r>
      </text>
    </comment>
    <comment ref="F13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 xml:space="preserve">CHIKH Sabrina
According to the results, display an automatic decision for this investment project.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Sabrina</author>
    <author>CHIKH Sabrina</author>
  </authors>
  <commentList>
    <comment ref="B6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Using VPM, calculate the payment (negative as it is reimbursment)</t>
        </r>
      </text>
    </comment>
    <comment ref="A15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CHIKH Sabrina
Display the payment values related to the rates [7%:10] for the period [10;20]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9" authorId="0" shapeId="0" xr:uid="{326D322C-8C61-4175-9749-67B7F1AFF408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12" authorId="0" shapeId="0" xr:uid="{9918F3A7-37F1-4FB9-AC0D-DABD5ABFD3B1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sharedStrings.xml><?xml version="1.0" encoding="utf-8"?>
<sst xmlns="http://schemas.openxmlformats.org/spreadsheetml/2006/main" count="308" uniqueCount="186">
  <si>
    <t>YEAR</t>
  </si>
  <si>
    <t>FLUCTUATION</t>
  </si>
  <si>
    <t>1</t>
  </si>
  <si>
    <t>2</t>
  </si>
  <si>
    <t>3</t>
  </si>
  <si>
    <t>4</t>
  </si>
  <si>
    <t>VALUE AT YEAR END</t>
  </si>
  <si>
    <t>GLOBAL EVOLUTION RATE</t>
  </si>
  <si>
    <t>AVERAGE EVOLUTION RATE</t>
  </si>
  <si>
    <t>PERIOD</t>
  </si>
  <si>
    <t>CASH FLOWS</t>
  </si>
  <si>
    <t>FV</t>
  </si>
  <si>
    <t>1/ TIME LINE</t>
  </si>
  <si>
    <t>2/ EXCEL FORMULA</t>
  </si>
  <si>
    <t>TOTAL</t>
  </si>
  <si>
    <t>PV FORMULA</t>
  </si>
  <si>
    <t>NPV</t>
  </si>
  <si>
    <t>PAYMENT</t>
  </si>
  <si>
    <t>PV EXCEL</t>
  </si>
  <si>
    <t>FV EXCEL</t>
  </si>
  <si>
    <t>BEGINNING BALANCE</t>
  </si>
  <si>
    <t>PRINCIPAL COMPONENT</t>
  </si>
  <si>
    <t>INTERETS COMPONENT</t>
  </si>
  <si>
    <t>1/ ANNUITY CALCULATION</t>
  </si>
  <si>
    <t>2/ TIME LINE</t>
  </si>
  <si>
    <t>Rate</t>
  </si>
  <si>
    <t>Period</t>
  </si>
  <si>
    <t>Payment</t>
  </si>
  <si>
    <t>0</t>
  </si>
  <si>
    <t xml:space="preserve">Residual cost </t>
  </si>
  <si>
    <t>Corporate tax rate</t>
  </si>
  <si>
    <t>RESIDUAL COST</t>
  </si>
  <si>
    <t>Discount rate</t>
  </si>
  <si>
    <t>DEPRECIATION</t>
  </si>
  <si>
    <t>TAX SHIELDS</t>
  </si>
  <si>
    <t>Duration</t>
  </si>
  <si>
    <t>Cash Flows</t>
  </si>
  <si>
    <t>Discount Rate / Period</t>
  </si>
  <si>
    <t>Number of Periods</t>
  </si>
  <si>
    <t>Present Value</t>
  </si>
  <si>
    <t>Inputs</t>
  </si>
  <si>
    <t>Payment using the PMT Function</t>
  </si>
  <si>
    <t>Num of Periods using the NPER Function</t>
  </si>
  <si>
    <t>RATES</t>
  </si>
  <si>
    <t>Future value</t>
  </si>
  <si>
    <t>Discount Rate</t>
  </si>
  <si>
    <t>Present value</t>
  </si>
  <si>
    <t>CASH FLOWS PV (EXCEL)</t>
  </si>
  <si>
    <t>CASH FLOWS FV (EXCEL)</t>
  </si>
  <si>
    <t xml:space="preserve"> </t>
  </si>
  <si>
    <t>CASH FLOWS PV (FORMULA)</t>
  </si>
  <si>
    <t>CASH FLOWS FV (FORMULA)</t>
  </si>
  <si>
    <t>Future Value</t>
  </si>
  <si>
    <t>CF0</t>
  </si>
  <si>
    <t>CF1</t>
  </si>
  <si>
    <t>CF2</t>
  </si>
  <si>
    <t>CF3</t>
  </si>
  <si>
    <t>CF4</t>
  </si>
  <si>
    <t>CF5</t>
  </si>
  <si>
    <t>Real Discount Rate</t>
  </si>
  <si>
    <t>Inflation rate</t>
  </si>
  <si>
    <t>1/ NOMINAL RATE CALCULATION</t>
  </si>
  <si>
    <t>3/ EXCEL FORMULA</t>
  </si>
  <si>
    <t>Interest rate</t>
  </si>
  <si>
    <t>Loan Present Value</t>
  </si>
  <si>
    <t>1/ AFTER TAX COST OF DEBT</t>
  </si>
  <si>
    <t>AFTER TAX COST OF DEBT</t>
  </si>
  <si>
    <t>3/BUY OPTION</t>
  </si>
  <si>
    <t>NET CF</t>
  </si>
  <si>
    <t xml:space="preserve">Link between the PV and FV </t>
  </si>
  <si>
    <t>DISCOUNTED CF</t>
  </si>
  <si>
    <t>CF</t>
  </si>
  <si>
    <t xml:space="preserve">NPV </t>
  </si>
  <si>
    <t>TIME</t>
  </si>
  <si>
    <t>PV</t>
  </si>
  <si>
    <t>Regular Deposit</t>
  </si>
  <si>
    <t xml:space="preserve">Cash flow </t>
  </si>
  <si>
    <t>IRR</t>
  </si>
  <si>
    <t>Investment</t>
  </si>
  <si>
    <t>Amount</t>
  </si>
  <si>
    <t>Type</t>
  </si>
  <si>
    <t>Year</t>
  </si>
  <si>
    <t>Present Value of each CF</t>
  </si>
  <si>
    <t>Discount Rate / Per using the RATE Function</t>
  </si>
  <si>
    <t>Decision</t>
  </si>
  <si>
    <t>PROJECT A</t>
  </si>
  <si>
    <t>PROJECT B</t>
  </si>
  <si>
    <t>INVESTMENT DECISION</t>
  </si>
  <si>
    <t>INTERESTS COMPONENT</t>
  </si>
  <si>
    <t>COST</t>
  </si>
  <si>
    <t>Conflict ?</t>
  </si>
  <si>
    <t>Cash flow</t>
  </si>
  <si>
    <t>interest rate:</t>
  </si>
  <si>
    <t>Residual Debt</t>
  </si>
  <si>
    <t>Principal</t>
  </si>
  <si>
    <t>Interest</t>
  </si>
  <si>
    <t>Monthly payment ($)</t>
  </si>
  <si>
    <t>Loan Amount ($)</t>
  </si>
  <si>
    <t>Interest rate (monthly)</t>
  </si>
  <si>
    <t>Interest rate (annual)</t>
  </si>
  <si>
    <t>Number of periods</t>
  </si>
  <si>
    <t>Rates</t>
  </si>
  <si>
    <t>Single cash flow</t>
  </si>
  <si>
    <t>Annuity</t>
  </si>
  <si>
    <t xml:space="preserve">Model for annuity </t>
  </si>
  <si>
    <t>Loan schedule</t>
  </si>
  <si>
    <t>Loan sensitivity analysis</t>
  </si>
  <si>
    <t>SUMMARY</t>
  </si>
  <si>
    <t>Cash flows</t>
  </si>
  <si>
    <t>Annuities</t>
  </si>
  <si>
    <t>NPV - IRR</t>
  </si>
  <si>
    <t xml:space="preserve">Loan </t>
  </si>
  <si>
    <t>AFTER TAX COST</t>
  </si>
  <si>
    <t xml:space="preserve">4/DECISION </t>
  </si>
  <si>
    <t>Try to solve this problem by yourself. If you really feel that you need help, click here:</t>
  </si>
  <si>
    <t>Help!!!</t>
  </si>
  <si>
    <t>A friend of yours desperately needs a mortgage loan. He has already talked to several banks, but he has not received information about the monthly payment he will have to pay/</t>
  </si>
  <si>
    <t xml:space="preserve">Help him to evaluate which bank offers the lowes monthly payment and create a debt schedule. </t>
  </si>
  <si>
    <t>Cumulative factor</t>
  </si>
  <si>
    <t>Discouted CF by using the cumulative factor</t>
  </si>
  <si>
    <t>Cumulative discount factor</t>
  </si>
  <si>
    <t>Variable rates</t>
  </si>
  <si>
    <t>Discounted CF by using the current rates</t>
  </si>
  <si>
    <t>Calculate the amount of the credit that has been paid in period 10</t>
  </si>
  <si>
    <t>PV TOTAL COST</t>
  </si>
  <si>
    <t>Financial decisions</t>
  </si>
  <si>
    <t>WRONG APPROACH</t>
  </si>
  <si>
    <t>CORRECT APPROACH</t>
  </si>
  <si>
    <t>2/ LEASE AND BUY OPTION</t>
  </si>
  <si>
    <t>XIRR</t>
  </si>
  <si>
    <t xml:space="preserve">Constant periods </t>
  </si>
  <si>
    <t xml:space="preserve">Variable periods </t>
  </si>
  <si>
    <t>XNPV</t>
  </si>
  <si>
    <t>PV FUNCTION</t>
  </si>
  <si>
    <t>FV FUNCTION</t>
  </si>
  <si>
    <t xml:space="preserve">You will prepare a dynamic timeline according to the value entered in the duration cell. </t>
  </si>
  <si>
    <t>You will complete all the requested calculation by using the corresponding functions.</t>
  </si>
  <si>
    <t>Time line with numbers</t>
  </si>
  <si>
    <t>Time line with dates</t>
  </si>
  <si>
    <t>Complete the NPV and IRR for each of these timelines.</t>
  </si>
  <si>
    <t>Display the investment decision and if there is a conflict between the NPV and the IRR criteria.</t>
  </si>
  <si>
    <t>In this exercise, you can notice that the discount rate is not constant. Compute the NPV by taking into account this fact.</t>
  </si>
  <si>
    <t>PV calculated from the FV</t>
  </si>
  <si>
    <t>PV calculated from the PMT</t>
  </si>
  <si>
    <t>APR</t>
  </si>
  <si>
    <t xml:space="preserve">EAR </t>
  </si>
  <si>
    <t>EAR calculated "manually"</t>
  </si>
  <si>
    <t xml:space="preserve">Monthly rate </t>
  </si>
  <si>
    <t>Annual rate</t>
  </si>
  <si>
    <t>Duration in years</t>
  </si>
  <si>
    <t>Duration in months</t>
  </si>
  <si>
    <t>Equivalent annual rate to the monthly rate</t>
  </si>
  <si>
    <t>2/SENSIVITY ANALYSIS</t>
  </si>
  <si>
    <t>PMT CALCULATION</t>
  </si>
  <si>
    <t xml:space="preserve">Lease vs Buy </t>
  </si>
  <si>
    <t>Lease vs Buy  with help</t>
  </si>
  <si>
    <t>Link the PV obained in scenario 1 with the one in scenario 2.</t>
  </si>
  <si>
    <t>XNPV - XIRR</t>
  </si>
  <si>
    <t>Payment timing</t>
  </si>
  <si>
    <r>
      <rPr>
        <u/>
        <sz val="11"/>
        <color rgb="FFFF0000"/>
        <rFont val="Calibri"/>
        <family val="2"/>
        <scheme val="minor"/>
      </rPr>
      <t>Scénario 3</t>
    </r>
    <r>
      <rPr>
        <sz val="11"/>
        <color rgb="FFFF0000"/>
        <rFont val="Calibri"/>
        <family val="2"/>
        <scheme val="minor"/>
      </rPr>
      <t>: Regular monthly deposits of 100€  for 20 years in an account with 20 000 €,  at the annual interest rate of 12%?</t>
    </r>
  </si>
  <si>
    <r>
      <rPr>
        <u/>
        <sz val="11"/>
        <color rgb="FFFF0000"/>
        <rFont val="Calibri"/>
        <family val="2"/>
        <scheme val="minor"/>
      </rPr>
      <t>Scénario 2</t>
    </r>
    <r>
      <rPr>
        <sz val="11"/>
        <color rgb="FFFF0000"/>
        <rFont val="Calibri"/>
        <family val="2"/>
        <scheme val="minor"/>
      </rPr>
      <t xml:space="preserve">: Regular  deposits of 100€ at the </t>
    </r>
    <r>
      <rPr>
        <b/>
        <sz val="11"/>
        <color rgb="FFFF0000"/>
        <rFont val="Calibri"/>
        <family val="2"/>
        <scheme val="minor"/>
      </rPr>
      <t>beginning</t>
    </r>
    <r>
      <rPr>
        <sz val="11"/>
        <color rgb="FFFF0000"/>
        <rFont val="Calibri"/>
        <family val="2"/>
        <scheme val="minor"/>
      </rPr>
      <t xml:space="preserve"> of each month for 20 years with annual interest rate of 12%?</t>
    </r>
  </si>
  <si>
    <r>
      <rPr>
        <u/>
        <sz val="11"/>
        <color rgb="FFFF0000"/>
        <rFont val="Calibri"/>
        <family val="2"/>
        <scheme val="minor"/>
      </rPr>
      <t>Scénario 1</t>
    </r>
    <r>
      <rPr>
        <sz val="11"/>
        <color rgb="FFFF0000"/>
        <rFont val="Calibri"/>
        <family val="2"/>
        <scheme val="minor"/>
      </rPr>
      <t>: Regular monthly deposits of 100€  for 20 years with annual interest rate of 12%?</t>
    </r>
  </si>
  <si>
    <t>Calculate the company value according to this set of cash flows.</t>
  </si>
  <si>
    <t xml:space="preserve">Growth rate g </t>
  </si>
  <si>
    <t>∞</t>
  </si>
  <si>
    <t>First Stage: Finite Horizon</t>
  </si>
  <si>
    <t>2nd stage: Infinite Horizon</t>
  </si>
  <si>
    <t>Time</t>
  </si>
  <si>
    <t>Cash flows in M€</t>
  </si>
  <si>
    <t>Terminal value</t>
  </si>
  <si>
    <t>Company value</t>
  </si>
  <si>
    <t xml:space="preserve">CF + TV </t>
  </si>
  <si>
    <t>TERMINAL VALUE</t>
  </si>
  <si>
    <t>Calculate the company value according to this set of cash flows according to the selected state of the world</t>
  </si>
  <si>
    <t>Growth rate of CF</t>
  </si>
  <si>
    <t>Optimistic case</t>
  </si>
  <si>
    <t>Realistic case</t>
  </si>
  <si>
    <t xml:space="preserve">Pessimistic case </t>
  </si>
  <si>
    <t>Terminal Value with scenario</t>
  </si>
  <si>
    <t>Taxe rate</t>
  </si>
  <si>
    <t>Debt amount</t>
  </si>
  <si>
    <t xml:space="preserve">Equity </t>
  </si>
  <si>
    <t>Cost of debt</t>
  </si>
  <si>
    <t xml:space="preserve">Cost of equity </t>
  </si>
  <si>
    <t>NPV with cost of capital</t>
  </si>
  <si>
    <t xml:space="preserve">Calculate the company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</si>
</sst>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[$$-409]* #,##0.00_ ;_-[$$-409]* \-#,##0.00\ ;_-[$$-409]* &quot;-&quot;??_ ;_-@_ "/>
    <numFmt numFmtId="166" formatCode="0.00_ ;[Red]\-0.00\ "/>
    <numFmt numFmtId="167" formatCode="&quot;$&quot;#,##0.00_);\(&quot;$&quot;#,##0.00\)"/>
    <numFmt numFmtId="168" formatCode="&quot;$&quot;#,##0_);\(&quot;$&quot;#,##0\)"/>
    <numFmt numFmtId="169" formatCode="0.0%"/>
    <numFmt numFmtId="170" formatCode="&quot;$&quot;#,##0_);[Red]\(&quot;$&quot;#,##0\)"/>
    <numFmt numFmtId="171" formatCode="_(&quot;$&quot;* #,##0.00_);_(&quot;$&quot;* \(#,##0.00\);_(&quot;$&quot;* &quot;-&quot;??_);_(@_)"/>
    <numFmt numFmtId="172" formatCode="_-[$$-409]* #,##0_ ;_-[$$-409]* \-#,##0\ ;_-[$$-409]* &quot;-&quot;??_ ;_-@_ "/>
    <numFmt numFmtId="173" formatCode="#,##0_ ;\-#,##0\ "/>
    <numFmt numFmtId="174" formatCode="[$$-409]#,##0.00;[Red][$$-409]#,##0.00"/>
    <numFmt numFmtId="175" formatCode="[$$-409]#,##0.00"/>
    <numFmt numFmtId="176" formatCode="_(* #,##0.00_);_(* \(#,##0.00\);_(* &quot;-&quot;??_);_(@_)"/>
    <numFmt numFmtId="177" formatCode="_(* #,##0.0_);_(* \(#,##0.0\);_(* &quot;-&quot;??_);_(@_)"/>
    <numFmt numFmtId="178" formatCode="_(* #,##0_);_(* \(#,##0\);_(* &quot;-&quot;??_);_(@_)"/>
  </numFmts>
  <fonts count="5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haroni"/>
      <charset val="177"/>
    </font>
    <font>
      <sz val="12"/>
      <color theme="1"/>
      <name val="Aharoni"/>
      <charset val="177"/>
    </font>
    <font>
      <sz val="16"/>
      <color theme="1"/>
      <name val="Aharoni"/>
      <charset val="177"/>
    </font>
    <font>
      <b/>
      <sz val="12"/>
      <color rgb="FFFF0000"/>
      <name val="Calibri"/>
      <family val="2"/>
      <scheme val="minor"/>
    </font>
    <font>
      <b/>
      <sz val="12"/>
      <color theme="1"/>
      <name val="Abadi"/>
      <family val="2"/>
    </font>
    <font>
      <sz val="12"/>
      <color theme="1"/>
      <name val="Abadi"/>
      <family val="2"/>
    </font>
    <font>
      <b/>
      <sz val="10"/>
      <name val="Abadi"/>
      <family val="2"/>
    </font>
    <font>
      <b/>
      <sz val="12"/>
      <color rgb="FFFF0000"/>
      <name val="Abadi"/>
      <family val="2"/>
    </font>
    <font>
      <sz val="10"/>
      <name val="Abadi"/>
      <family val="2"/>
    </font>
    <font>
      <b/>
      <sz val="10"/>
      <color rgb="FFFF0000"/>
      <name val="Abadi"/>
      <family val="2"/>
    </font>
    <font>
      <sz val="12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00206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i/>
      <sz val="9"/>
      <color rgb="FF00206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4" tint="-0.249977111117893"/>
      <name val="Arial"/>
      <family val="2"/>
    </font>
    <font>
      <b/>
      <u/>
      <sz val="9"/>
      <color rgb="FF002060"/>
      <name val="Arial"/>
      <family val="2"/>
    </font>
    <font>
      <sz val="9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9"/>
      <color theme="3"/>
      <name val="Arial"/>
      <family val="2"/>
    </font>
    <font>
      <b/>
      <sz val="12"/>
      <color rgb="FF00B050"/>
      <name val="Abadi Extra Light"/>
      <family val="2"/>
    </font>
    <font>
      <b/>
      <sz val="12"/>
      <color rgb="FFFF0000"/>
      <name val="Abadi Extra Light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u/>
      <sz val="11"/>
      <color rgb="FFFF0000"/>
      <name val="Calibri"/>
      <family val="2"/>
      <scheme val="minor"/>
    </font>
    <font>
      <sz val="36"/>
      <color theme="1"/>
      <name val="Aptos SemiBold"/>
      <family val="2"/>
    </font>
    <font>
      <i/>
      <sz val="11"/>
      <color theme="3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CEED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medium">
        <color indexed="64"/>
      </right>
      <top style="thin">
        <color indexed="16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171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300">
    <xf numFmtId="0" fontId="0" fillId="0" borderId="0" xfId="0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1" xfId="0" applyBorder="1" applyAlignment="1">
      <alignment horizontal="right"/>
    </xf>
    <xf numFmtId="166" fontId="0" fillId="0" borderId="0" xfId="0" applyNumberFormat="1"/>
    <xf numFmtId="0" fontId="11" fillId="0" borderId="0" xfId="0" applyFont="1"/>
    <xf numFmtId="165" fontId="11" fillId="0" borderId="0" xfId="0" applyNumberFormat="1" applyFont="1"/>
    <xf numFmtId="2" fontId="0" fillId="0" borderId="1" xfId="0" applyNumberFormat="1" applyBorder="1"/>
    <xf numFmtId="0" fontId="0" fillId="4" borderId="0" xfId="0" applyFill="1"/>
    <xf numFmtId="174" fontId="0" fillId="0" borderId="1" xfId="0" applyNumberFormat="1" applyBorder="1"/>
    <xf numFmtId="175" fontId="0" fillId="0" borderId="1" xfId="0" applyNumberFormat="1" applyBorder="1"/>
    <xf numFmtId="165" fontId="0" fillId="0" borderId="3" xfId="0" applyNumberFormat="1" applyBorder="1"/>
    <xf numFmtId="165" fontId="11" fillId="5" borderId="3" xfId="0" applyNumberFormat="1" applyFont="1" applyFill="1" applyBorder="1"/>
    <xf numFmtId="2" fontId="11" fillId="5" borderId="3" xfId="0" applyNumberFormat="1" applyFont="1" applyFill="1" applyBorder="1"/>
    <xf numFmtId="0" fontId="0" fillId="4" borderId="3" xfId="0" applyFill="1" applyBorder="1"/>
    <xf numFmtId="0" fontId="6" fillId="0" borderId="0" xfId="6"/>
    <xf numFmtId="0" fontId="6" fillId="0" borderId="0" xfId="6" applyAlignment="1">
      <alignment horizontal="center"/>
    </xf>
    <xf numFmtId="8" fontId="6" fillId="0" borderId="0" xfId="6" applyNumberFormat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4" xfId="0" applyFont="1" applyBorder="1"/>
    <xf numFmtId="0" fontId="16" fillId="0" borderId="7" xfId="0" applyFont="1" applyBorder="1"/>
    <xf numFmtId="0" fontId="16" fillId="0" borderId="9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0" fontId="17" fillId="3" borderId="5" xfId="0" applyNumberFormat="1" applyFont="1" applyFill="1" applyBorder="1"/>
    <xf numFmtId="0" fontId="17" fillId="6" borderId="6" xfId="0" applyFont="1" applyFill="1" applyBorder="1" applyAlignment="1">
      <alignment horizontal="center"/>
    </xf>
    <xf numFmtId="10" fontId="17" fillId="3" borderId="10" xfId="0" applyNumberFormat="1" applyFont="1" applyFill="1" applyBorder="1"/>
    <xf numFmtId="0" fontId="17" fillId="6" borderId="11" xfId="2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9" fontId="17" fillId="0" borderId="0" xfId="0" applyNumberFormat="1" applyFont="1" applyAlignment="1">
      <alignment horizontal="center"/>
    </xf>
    <xf numFmtId="9" fontId="17" fillId="0" borderId="8" xfId="0" applyNumberFormat="1" applyFont="1" applyBorder="1" applyAlignment="1">
      <alignment horizontal="center"/>
    </xf>
    <xf numFmtId="165" fontId="17" fillId="2" borderId="0" xfId="0" applyNumberFormat="1" applyFont="1" applyFill="1" applyAlignment="1">
      <alignment horizontal="center"/>
    </xf>
    <xf numFmtId="165" fontId="17" fillId="3" borderId="0" xfId="0" applyNumberFormat="1" applyFont="1" applyFill="1" applyAlignment="1">
      <alignment horizontal="center"/>
    </xf>
    <xf numFmtId="165" fontId="0" fillId="6" borderId="1" xfId="0" applyNumberFormat="1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44" fontId="19" fillId="0" borderId="0" xfId="1" applyFont="1"/>
    <xf numFmtId="0" fontId="21" fillId="0" borderId="0" xfId="0" applyFont="1"/>
    <xf numFmtId="167" fontId="20" fillId="0" borderId="0" xfId="1" applyNumberFormat="1" applyFont="1" applyBorder="1"/>
    <xf numFmtId="0" fontId="21" fillId="7" borderId="0" xfId="0" applyFont="1" applyFill="1"/>
    <xf numFmtId="37" fontId="20" fillId="7" borderId="0" xfId="1" applyNumberFormat="1" applyFont="1" applyFill="1" applyBorder="1"/>
    <xf numFmtId="37" fontId="19" fillId="7" borderId="0" xfId="1" applyNumberFormat="1" applyFont="1" applyFill="1" applyBorder="1" applyAlignment="1">
      <alignment horizontal="center"/>
    </xf>
    <xf numFmtId="0" fontId="19" fillId="6" borderId="0" xfId="0" applyFont="1" applyFill="1"/>
    <xf numFmtId="167" fontId="20" fillId="6" borderId="0" xfId="0" applyNumberFormat="1" applyFont="1" applyFill="1"/>
    <xf numFmtId="167" fontId="19" fillId="6" borderId="0" xfId="0" applyNumberFormat="1" applyFont="1" applyFill="1" applyAlignment="1">
      <alignment horizontal="center"/>
    </xf>
    <xf numFmtId="167" fontId="20" fillId="0" borderId="0" xfId="0" applyNumberFormat="1" applyFont="1" applyAlignment="1">
      <alignment horizontal="center"/>
    </xf>
    <xf numFmtId="167" fontId="20" fillId="0" borderId="0" xfId="0" applyNumberFormat="1" applyFont="1"/>
    <xf numFmtId="167" fontId="20" fillId="8" borderId="0" xfId="0" applyNumberFormat="1" applyFont="1" applyFill="1" applyAlignment="1">
      <alignment horizontal="center"/>
    </xf>
    <xf numFmtId="0" fontId="22" fillId="0" borderId="0" xfId="0" applyFont="1"/>
    <xf numFmtId="0" fontId="19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168" fontId="20" fillId="0" borderId="0" xfId="0" applyNumberFormat="1" applyFont="1"/>
    <xf numFmtId="0" fontId="19" fillId="0" borderId="13" xfId="0" applyFont="1" applyBorder="1"/>
    <xf numFmtId="0" fontId="24" fillId="0" borderId="4" xfId="0" applyFont="1" applyBorder="1"/>
    <xf numFmtId="167" fontId="20" fillId="0" borderId="6" xfId="1" applyNumberFormat="1" applyFont="1" applyBorder="1"/>
    <xf numFmtId="0" fontId="20" fillId="0" borderId="9" xfId="0" applyFont="1" applyBorder="1"/>
    <xf numFmtId="0" fontId="23" fillId="0" borderId="9" xfId="0" applyFont="1" applyBorder="1"/>
    <xf numFmtId="170" fontId="20" fillId="0" borderId="0" xfId="0" applyNumberFormat="1" applyFont="1"/>
    <xf numFmtId="0" fontId="14" fillId="9" borderId="13" xfId="6" applyFont="1" applyFill="1" applyBorder="1"/>
    <xf numFmtId="0" fontId="14" fillId="9" borderId="15" xfId="6" applyFont="1" applyFill="1" applyBorder="1"/>
    <xf numFmtId="166" fontId="0" fillId="0" borderId="3" xfId="0" applyNumberFormat="1" applyBorder="1"/>
    <xf numFmtId="0" fontId="0" fillId="0" borderId="3" xfId="0" applyBorder="1"/>
    <xf numFmtId="0" fontId="26" fillId="4" borderId="0" xfId="9" applyFont="1" applyFill="1"/>
    <xf numFmtId="14" fontId="26" fillId="4" borderId="0" xfId="9" applyNumberFormat="1" applyFont="1" applyFill="1"/>
    <xf numFmtId="0" fontId="26" fillId="9" borderId="0" xfId="9" applyFont="1" applyFill="1"/>
    <xf numFmtId="0" fontId="26" fillId="4" borderId="0" xfId="9" applyFont="1" applyFill="1" applyAlignment="1">
      <alignment horizontal="right"/>
    </xf>
    <xf numFmtId="1" fontId="4" fillId="4" borderId="0" xfId="9" applyNumberFormat="1" applyFill="1"/>
    <xf numFmtId="1" fontId="26" fillId="4" borderId="0" xfId="9" applyNumberFormat="1" applyFont="1" applyFill="1"/>
    <xf numFmtId="0" fontId="29" fillId="4" borderId="0" xfId="9" applyFont="1" applyFill="1" applyAlignment="1">
      <alignment horizontal="right"/>
    </xf>
    <xf numFmtId="0" fontId="26" fillId="4" borderId="0" xfId="9" applyFont="1" applyFill="1" applyAlignment="1">
      <alignment horizontal="left"/>
    </xf>
    <xf numFmtId="0" fontId="32" fillId="4" borderId="0" xfId="9" applyFont="1" applyFill="1"/>
    <xf numFmtId="0" fontId="34" fillId="4" borderId="0" xfId="9" applyFont="1" applyFill="1"/>
    <xf numFmtId="10" fontId="35" fillId="10" borderId="3" xfId="10" applyNumberFormat="1" applyFont="1" applyFill="1" applyBorder="1" applyAlignment="1">
      <alignment horizontal="center"/>
    </xf>
    <xf numFmtId="0" fontId="26" fillId="4" borderId="0" xfId="11" applyFont="1" applyFill="1"/>
    <xf numFmtId="14" fontId="26" fillId="4" borderId="0" xfId="11" applyNumberFormat="1" applyFont="1" applyFill="1"/>
    <xf numFmtId="0" fontId="26" fillId="4" borderId="0" xfId="11" applyFont="1" applyFill="1" applyAlignment="1">
      <alignment horizontal="center"/>
    </xf>
    <xf numFmtId="14" fontId="26" fillId="4" borderId="0" xfId="11" applyNumberFormat="1" applyFont="1" applyFill="1" applyAlignment="1">
      <alignment horizontal="center"/>
    </xf>
    <xf numFmtId="0" fontId="32" fillId="4" borderId="0" xfId="11" applyFont="1" applyFill="1"/>
    <xf numFmtId="0" fontId="33" fillId="4" borderId="0" xfId="11" applyFont="1" applyFill="1"/>
    <xf numFmtId="176" fontId="26" fillId="4" borderId="0" xfId="11" applyNumberFormat="1" applyFont="1" applyFill="1"/>
    <xf numFmtId="177" fontId="26" fillId="4" borderId="0" xfId="11" applyNumberFormat="1" applyFont="1" applyFill="1"/>
    <xf numFmtId="1" fontId="29" fillId="4" borderId="18" xfId="11" applyNumberFormat="1" applyFont="1" applyFill="1" applyBorder="1" applyAlignment="1">
      <alignment horizontal="right"/>
    </xf>
    <xf numFmtId="1" fontId="29" fillId="4" borderId="18" xfId="11" applyNumberFormat="1" applyFont="1" applyFill="1" applyBorder="1" applyAlignment="1">
      <alignment horizontal="left"/>
    </xf>
    <xf numFmtId="0" fontId="34" fillId="4" borderId="0" xfId="11" applyFont="1" applyFill="1"/>
    <xf numFmtId="0" fontId="36" fillId="4" borderId="0" xfId="11" applyFont="1" applyFill="1"/>
    <xf numFmtId="1" fontId="26" fillId="4" borderId="0" xfId="11" applyNumberFormat="1" applyFont="1" applyFill="1"/>
    <xf numFmtId="1" fontId="26" fillId="4" borderId="0" xfId="11" applyNumberFormat="1" applyFont="1" applyFill="1" applyAlignment="1">
      <alignment horizontal="right"/>
    </xf>
    <xf numFmtId="0" fontId="26" fillId="4" borderId="0" xfId="11" applyFont="1" applyFill="1" applyAlignment="1">
      <alignment horizontal="right"/>
    </xf>
    <xf numFmtId="0" fontId="26" fillId="4" borderId="0" xfId="11" applyFont="1" applyFill="1" applyAlignment="1">
      <alignment horizontal="left"/>
    </xf>
    <xf numFmtId="0" fontId="28" fillId="4" borderId="0" xfId="11" applyFont="1" applyFill="1"/>
    <xf numFmtId="0" fontId="34" fillId="4" borderId="0" xfId="11" applyFont="1" applyFill="1" applyAlignment="1">
      <alignment horizontal="left"/>
    </xf>
    <xf numFmtId="0" fontId="34" fillId="4" borderId="0" xfId="11" applyFont="1" applyFill="1" applyAlignment="1">
      <alignment horizontal="right"/>
    </xf>
    <xf numFmtId="178" fontId="37" fillId="4" borderId="0" xfId="12" applyNumberFormat="1" applyFont="1" applyFill="1"/>
    <xf numFmtId="10" fontId="37" fillId="4" borderId="0" xfId="13" applyNumberFormat="1" applyFont="1" applyFill="1"/>
    <xf numFmtId="0" fontId="38" fillId="0" borderId="0" xfId="14"/>
    <xf numFmtId="0" fontId="41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right"/>
    </xf>
    <xf numFmtId="0" fontId="40" fillId="4" borderId="6" xfId="14" applyFont="1" applyFill="1" applyBorder="1" applyAlignment="1">
      <alignment horizontal="right"/>
    </xf>
    <xf numFmtId="0" fontId="40" fillId="4" borderId="11" xfId="14" applyFont="1" applyFill="1" applyBorder="1" applyAlignment="1">
      <alignment horizontal="right"/>
    </xf>
    <xf numFmtId="0" fontId="40" fillId="4" borderId="8" xfId="14" applyFont="1" applyFill="1" applyBorder="1" applyAlignment="1">
      <alignment horizontal="right"/>
    </xf>
    <xf numFmtId="0" fontId="42" fillId="0" borderId="0" xfId="14" applyFont="1"/>
    <xf numFmtId="3" fontId="0" fillId="0" borderId="3" xfId="0" applyNumberFormat="1" applyBorder="1"/>
    <xf numFmtId="0" fontId="11" fillId="8" borderId="3" xfId="0" applyFont="1" applyFill="1" applyBorder="1"/>
    <xf numFmtId="9" fontId="11" fillId="8" borderId="3" xfId="2" applyFont="1" applyFill="1" applyBorder="1"/>
    <xf numFmtId="0" fontId="14" fillId="9" borderId="17" xfId="6" applyFont="1" applyFill="1" applyBorder="1"/>
    <xf numFmtId="0" fontId="14" fillId="9" borderId="15" xfId="6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38" fillId="0" borderId="0" xfId="14" applyAlignment="1">
      <alignment wrapText="1"/>
    </xf>
    <xf numFmtId="0" fontId="0" fillId="0" borderId="0" xfId="0" applyAlignment="1">
      <alignment wrapText="1"/>
    </xf>
    <xf numFmtId="0" fontId="43" fillId="0" borderId="0" xfId="0" applyFont="1"/>
    <xf numFmtId="0" fontId="38" fillId="4" borderId="11" xfId="14" applyFill="1" applyBorder="1" applyAlignment="1">
      <alignment horizontal="right"/>
    </xf>
    <xf numFmtId="8" fontId="26" fillId="4" borderId="0" xfId="11" applyNumberFormat="1" applyFont="1" applyFill="1"/>
    <xf numFmtId="9" fontId="0" fillId="12" borderId="3" xfId="0" applyNumberFormat="1" applyFill="1" applyBorder="1"/>
    <xf numFmtId="165" fontId="0" fillId="12" borderId="3" xfId="0" applyNumberFormat="1" applyFill="1" applyBorder="1"/>
    <xf numFmtId="2" fontId="0" fillId="12" borderId="3" xfId="0" applyNumberFormat="1" applyFill="1" applyBorder="1"/>
    <xf numFmtId="165" fontId="44" fillId="0" borderId="3" xfId="0" applyNumberFormat="1" applyFont="1" applyBorder="1"/>
    <xf numFmtId="2" fontId="44" fillId="0" borderId="3" xfId="0" applyNumberFormat="1" applyFont="1" applyBorder="1"/>
    <xf numFmtId="165" fontId="0" fillId="11" borderId="3" xfId="0" applyNumberFormat="1" applyFill="1" applyBorder="1"/>
    <xf numFmtId="10" fontId="0" fillId="4" borderId="3" xfId="0" applyNumberFormat="1" applyFill="1" applyBorder="1"/>
    <xf numFmtId="0" fontId="0" fillId="11" borderId="0" xfId="0" applyFill="1"/>
    <xf numFmtId="165" fontId="0" fillId="11" borderId="0" xfId="0" applyNumberFormat="1" applyFill="1"/>
    <xf numFmtId="10" fontId="0" fillId="11" borderId="0" xfId="0" applyNumberFormat="1" applyFill="1"/>
    <xf numFmtId="165" fontId="0" fillId="12" borderId="0" xfId="1" applyNumberFormat="1" applyFont="1" applyFill="1" applyBorder="1" applyAlignment="1">
      <alignment wrapText="1"/>
    </xf>
    <xf numFmtId="172" fontId="0" fillId="12" borderId="1" xfId="0" applyNumberFormat="1" applyFill="1" applyBorder="1"/>
    <xf numFmtId="166" fontId="0" fillId="11" borderId="0" xfId="0" applyNumberFormat="1" applyFill="1"/>
    <xf numFmtId="165" fontId="0" fillId="11" borderId="0" xfId="1" applyNumberFormat="1" applyFont="1" applyFill="1"/>
    <xf numFmtId="10" fontId="11" fillId="12" borderId="0" xfId="0" applyNumberFormat="1" applyFont="1" applyFill="1"/>
    <xf numFmtId="165" fontId="0" fillId="12" borderId="0" xfId="0" applyNumberFormat="1" applyFill="1"/>
    <xf numFmtId="165" fontId="11" fillId="13" borderId="21" xfId="0" applyNumberFormat="1" applyFont="1" applyFill="1" applyBorder="1"/>
    <xf numFmtId="165" fontId="0" fillId="12" borderId="20" xfId="0" applyNumberFormat="1" applyFill="1" applyBorder="1"/>
    <xf numFmtId="165" fontId="0" fillId="12" borderId="10" xfId="0" applyNumberFormat="1" applyFill="1" applyBorder="1"/>
    <xf numFmtId="165" fontId="11" fillId="13" borderId="22" xfId="0" applyNumberFormat="1" applyFont="1" applyFill="1" applyBorder="1"/>
    <xf numFmtId="165" fontId="0" fillId="12" borderId="17" xfId="0" applyNumberFormat="1" applyFill="1" applyBorder="1"/>
    <xf numFmtId="0" fontId="0" fillId="0" borderId="10" xfId="0" applyBorder="1"/>
    <xf numFmtId="166" fontId="0" fillId="0" borderId="17" xfId="0" applyNumberFormat="1" applyBorder="1"/>
    <xf numFmtId="0" fontId="0" fillId="0" borderId="17" xfId="0" applyBorder="1"/>
    <xf numFmtId="166" fontId="0" fillId="0" borderId="19" xfId="0" applyNumberFormat="1" applyBorder="1"/>
    <xf numFmtId="166" fontId="45" fillId="9" borderId="0" xfId="0" applyNumberFormat="1" applyFont="1" applyFill="1"/>
    <xf numFmtId="0" fontId="45" fillId="0" borderId="0" xfId="0" applyFont="1"/>
    <xf numFmtId="0" fontId="46" fillId="9" borderId="13" xfId="0" applyFont="1" applyFill="1" applyBorder="1"/>
    <xf numFmtId="0" fontId="47" fillId="9" borderId="15" xfId="0" applyFont="1" applyFill="1" applyBorder="1"/>
    <xf numFmtId="0" fontId="48" fillId="0" borderId="0" xfId="6" applyFont="1"/>
    <xf numFmtId="0" fontId="13" fillId="0" borderId="13" xfId="6" applyFont="1" applyBorder="1"/>
    <xf numFmtId="9" fontId="13" fillId="0" borderId="15" xfId="6" applyNumberFormat="1" applyFont="1" applyBorder="1"/>
    <xf numFmtId="0" fontId="0" fillId="14" borderId="0" xfId="0" applyFill="1"/>
    <xf numFmtId="165" fontId="0" fillId="14" borderId="0" xfId="0" applyNumberFormat="1" applyFill="1"/>
    <xf numFmtId="9" fontId="0" fillId="14" borderId="0" xfId="0" applyNumberFormat="1" applyFill="1"/>
    <xf numFmtId="10" fontId="0" fillId="14" borderId="0" xfId="0" applyNumberFormat="1" applyFill="1"/>
    <xf numFmtId="165" fontId="0" fillId="12" borderId="1" xfId="0" applyNumberFormat="1" applyFill="1" applyBorder="1"/>
    <xf numFmtId="165" fontId="11" fillId="12" borderId="1" xfId="0" applyNumberFormat="1" applyFont="1" applyFill="1" applyBorder="1"/>
    <xf numFmtId="165" fontId="11" fillId="12" borderId="0" xfId="0" applyNumberFormat="1" applyFont="1" applyFill="1"/>
    <xf numFmtId="10" fontId="0" fillId="12" borderId="0" xfId="0" applyNumberFormat="1" applyFill="1"/>
    <xf numFmtId="167" fontId="20" fillId="12" borderId="2" xfId="0" applyNumberFormat="1" applyFont="1" applyFill="1" applyBorder="1"/>
    <xf numFmtId="167" fontId="19" fillId="12" borderId="2" xfId="0" applyNumberFormat="1" applyFont="1" applyFill="1" applyBorder="1"/>
    <xf numFmtId="167" fontId="20" fillId="12" borderId="14" xfId="0" applyNumberFormat="1" applyFont="1" applyFill="1" applyBorder="1"/>
    <xf numFmtId="167" fontId="20" fillId="12" borderId="12" xfId="0" applyNumberFormat="1" applyFont="1" applyFill="1" applyBorder="1"/>
    <xf numFmtId="169" fontId="20" fillId="12" borderId="12" xfId="2" applyNumberFormat="1" applyFont="1" applyFill="1" applyBorder="1"/>
    <xf numFmtId="1" fontId="20" fillId="12" borderId="12" xfId="0" applyNumberFormat="1" applyFont="1" applyFill="1" applyBorder="1"/>
    <xf numFmtId="0" fontId="20" fillId="11" borderId="23" xfId="0" applyFont="1" applyFill="1" applyBorder="1"/>
    <xf numFmtId="0" fontId="20" fillId="11" borderId="24" xfId="0" applyFont="1" applyFill="1" applyBorder="1"/>
    <xf numFmtId="0" fontId="20" fillId="11" borderId="22" xfId="0" applyFont="1" applyFill="1" applyBorder="1"/>
    <xf numFmtId="9" fontId="0" fillId="11" borderId="0" xfId="0" applyNumberFormat="1" applyFill="1"/>
    <xf numFmtId="165" fontId="0" fillId="11" borderId="1" xfId="0" applyNumberFormat="1" applyFill="1" applyBorder="1"/>
    <xf numFmtId="0" fontId="0" fillId="15" borderId="0" xfId="0" applyFill="1"/>
    <xf numFmtId="165" fontId="0" fillId="15" borderId="0" xfId="0" applyNumberFormat="1" applyFill="1"/>
    <xf numFmtId="9" fontId="0" fillId="15" borderId="0" xfId="0" applyNumberFormat="1" applyFill="1"/>
    <xf numFmtId="165" fontId="0" fillId="15" borderId="1" xfId="0" applyNumberFormat="1" applyFill="1" applyBorder="1"/>
    <xf numFmtId="169" fontId="0" fillId="11" borderId="3" xfId="0" applyNumberFormat="1" applyFill="1" applyBorder="1"/>
    <xf numFmtId="0" fontId="31" fillId="4" borderId="0" xfId="9" applyFont="1" applyFill="1" applyAlignment="1">
      <alignment horizontal="left"/>
    </xf>
    <xf numFmtId="0" fontId="30" fillId="4" borderId="0" xfId="9" applyFont="1" applyFill="1" applyAlignment="1">
      <alignment horizontal="right"/>
    </xf>
    <xf numFmtId="0" fontId="29" fillId="10" borderId="13" xfId="9" applyFont="1" applyFill="1" applyBorder="1" applyAlignment="1">
      <alignment horizontal="left"/>
    </xf>
    <xf numFmtId="0" fontId="29" fillId="10" borderId="17" xfId="9" applyFont="1" applyFill="1" applyBorder="1" applyAlignment="1">
      <alignment horizontal="right"/>
    </xf>
    <xf numFmtId="1" fontId="13" fillId="10" borderId="17" xfId="9" applyNumberFormat="1" applyFont="1" applyFill="1" applyBorder="1"/>
    <xf numFmtId="1" fontId="29" fillId="10" borderId="17" xfId="9" applyNumberFormat="1" applyFont="1" applyFill="1" applyBorder="1"/>
    <xf numFmtId="1" fontId="29" fillId="10" borderId="15" xfId="9" applyNumberFormat="1" applyFont="1" applyFill="1" applyBorder="1"/>
    <xf numFmtId="0" fontId="26" fillId="4" borderId="13" xfId="9" applyFont="1" applyFill="1" applyBorder="1" applyAlignment="1">
      <alignment horizontal="right"/>
    </xf>
    <xf numFmtId="1" fontId="27" fillId="16" borderId="15" xfId="2" applyNumberFormat="1" applyFont="1" applyFill="1" applyBorder="1"/>
    <xf numFmtId="10" fontId="27" fillId="16" borderId="15" xfId="10" applyNumberFormat="1" applyFont="1" applyFill="1" applyBorder="1"/>
    <xf numFmtId="10" fontId="27" fillId="4" borderId="0" xfId="10" applyNumberFormat="1" applyFont="1" applyFill="1" applyBorder="1"/>
    <xf numFmtId="0" fontId="31" fillId="16" borderId="4" xfId="9" applyFont="1" applyFill="1" applyBorder="1" applyAlignment="1">
      <alignment horizontal="left"/>
    </xf>
    <xf numFmtId="0" fontId="31" fillId="16" borderId="5" xfId="9" applyFont="1" applyFill="1" applyBorder="1" applyAlignment="1">
      <alignment horizontal="left"/>
    </xf>
    <xf numFmtId="0" fontId="30" fillId="16" borderId="5" xfId="9" applyFont="1" applyFill="1" applyBorder="1" applyAlignment="1">
      <alignment horizontal="right"/>
    </xf>
    <xf numFmtId="0" fontId="30" fillId="16" borderId="6" xfId="9" applyFont="1" applyFill="1" applyBorder="1" applyAlignment="1">
      <alignment horizontal="right"/>
    </xf>
    <xf numFmtId="0" fontId="29" fillId="16" borderId="10" xfId="9" applyFont="1" applyFill="1" applyBorder="1" applyAlignment="1">
      <alignment horizontal="right"/>
    </xf>
    <xf numFmtId="1" fontId="4" fillId="16" borderId="10" xfId="9" applyNumberFormat="1" applyFill="1" applyBorder="1"/>
    <xf numFmtId="1" fontId="26" fillId="16" borderId="10" xfId="9" applyNumberFormat="1" applyFont="1" applyFill="1" applyBorder="1"/>
    <xf numFmtId="1" fontId="26" fillId="16" borderId="11" xfId="9" applyNumberFormat="1" applyFont="1" applyFill="1" applyBorder="1"/>
    <xf numFmtId="0" fontId="31" fillId="16" borderId="9" xfId="9" applyFont="1" applyFill="1" applyBorder="1"/>
    <xf numFmtId="0" fontId="31" fillId="17" borderId="4" xfId="9" applyFont="1" applyFill="1" applyBorder="1"/>
    <xf numFmtId="0" fontId="26" fillId="17" borderId="5" xfId="9" applyFont="1" applyFill="1" applyBorder="1"/>
    <xf numFmtId="14" fontId="49" fillId="17" borderId="5" xfId="9" applyNumberFormat="1" applyFont="1" applyFill="1" applyBorder="1"/>
    <xf numFmtId="14" fontId="49" fillId="17" borderId="6" xfId="9" applyNumberFormat="1" applyFont="1" applyFill="1" applyBorder="1"/>
    <xf numFmtId="0" fontId="26" fillId="4" borderId="11" xfId="9" applyFont="1" applyFill="1" applyBorder="1"/>
    <xf numFmtId="0" fontId="26" fillId="17" borderId="10" xfId="9" applyFont="1" applyFill="1" applyBorder="1"/>
    <xf numFmtId="0" fontId="28" fillId="17" borderId="10" xfId="9" applyFont="1" applyFill="1" applyBorder="1"/>
    <xf numFmtId="0" fontId="26" fillId="17" borderId="11" xfId="9" applyFont="1" applyFill="1" applyBorder="1"/>
    <xf numFmtId="0" fontId="31" fillId="17" borderId="9" xfId="9" applyFont="1" applyFill="1" applyBorder="1"/>
    <xf numFmtId="0" fontId="26" fillId="4" borderId="4" xfId="9" applyFont="1" applyFill="1" applyBorder="1" applyAlignment="1">
      <alignment horizontal="right"/>
    </xf>
    <xf numFmtId="1" fontId="27" fillId="17" borderId="6" xfId="2" applyNumberFormat="1" applyFont="1" applyFill="1" applyBorder="1"/>
    <xf numFmtId="0" fontId="31" fillId="18" borderId="4" xfId="9" applyFont="1" applyFill="1" applyBorder="1"/>
    <xf numFmtId="0" fontId="26" fillId="18" borderId="5" xfId="9" applyFont="1" applyFill="1" applyBorder="1"/>
    <xf numFmtId="14" fontId="49" fillId="18" borderId="5" xfId="9" applyNumberFormat="1" applyFont="1" applyFill="1" applyBorder="1"/>
    <xf numFmtId="14" fontId="49" fillId="18" borderId="6" xfId="9" applyNumberFormat="1" applyFont="1" applyFill="1" applyBorder="1"/>
    <xf numFmtId="0" fontId="31" fillId="18" borderId="9" xfId="9" applyFont="1" applyFill="1" applyBorder="1"/>
    <xf numFmtId="0" fontId="26" fillId="18" borderId="10" xfId="9" applyFont="1" applyFill="1" applyBorder="1"/>
    <xf numFmtId="0" fontId="26" fillId="18" borderId="11" xfId="9" applyFont="1" applyFill="1" applyBorder="1"/>
    <xf numFmtId="1" fontId="27" fillId="18" borderId="6" xfId="2" applyNumberFormat="1" applyFont="1" applyFill="1" applyBorder="1"/>
    <xf numFmtId="10" fontId="27" fillId="17" borderId="15" xfId="10" applyNumberFormat="1" applyFont="1" applyFill="1" applyBorder="1"/>
    <xf numFmtId="10" fontId="27" fillId="18" borderId="15" xfId="10" applyNumberFormat="1" applyFont="1" applyFill="1" applyBorder="1"/>
    <xf numFmtId="0" fontId="26" fillId="10" borderId="0" xfId="9" applyFont="1" applyFill="1"/>
    <xf numFmtId="0" fontId="13" fillId="19" borderId="0" xfId="6" applyFont="1" applyFill="1"/>
    <xf numFmtId="8" fontId="13" fillId="19" borderId="0" xfId="6" applyNumberFormat="1" applyFont="1" applyFill="1"/>
    <xf numFmtId="9" fontId="13" fillId="19" borderId="0" xfId="6" applyNumberFormat="1" applyFont="1" applyFill="1"/>
    <xf numFmtId="0" fontId="11" fillId="0" borderId="16" xfId="0" applyFont="1" applyBorder="1" applyAlignment="1">
      <alignment wrapText="1"/>
    </xf>
    <xf numFmtId="0" fontId="50" fillId="0" borderId="21" xfId="0" applyFont="1" applyBorder="1"/>
    <xf numFmtId="2" fontId="51" fillId="0" borderId="21" xfId="0" applyNumberFormat="1" applyFont="1" applyBorder="1"/>
    <xf numFmtId="177" fontId="29" fillId="19" borderId="21" xfId="12" applyNumberFormat="1" applyFont="1" applyFill="1" applyBorder="1" applyAlignment="1">
      <alignment horizontal="right"/>
    </xf>
    <xf numFmtId="0" fontId="52" fillId="4" borderId="4" xfId="11" applyFont="1" applyFill="1" applyBorder="1"/>
    <xf numFmtId="0" fontId="26" fillId="4" borderId="5" xfId="11" applyFont="1" applyFill="1" applyBorder="1"/>
    <xf numFmtId="0" fontId="26" fillId="4" borderId="6" xfId="11" applyFont="1" applyFill="1" applyBorder="1"/>
    <xf numFmtId="0" fontId="52" fillId="4" borderId="9" xfId="11" applyFont="1" applyFill="1" applyBorder="1"/>
    <xf numFmtId="0" fontId="26" fillId="4" borderId="10" xfId="11" applyFont="1" applyFill="1" applyBorder="1"/>
    <xf numFmtId="0" fontId="26" fillId="4" borderId="11" xfId="11" applyFont="1" applyFill="1" applyBorder="1"/>
    <xf numFmtId="0" fontId="52" fillId="4" borderId="13" xfId="11" applyFont="1" applyFill="1" applyBorder="1"/>
    <xf numFmtId="0" fontId="26" fillId="4" borderId="17" xfId="11" applyFont="1" applyFill="1" applyBorder="1"/>
    <xf numFmtId="0" fontId="26" fillId="4" borderId="15" xfId="11" applyFont="1" applyFill="1" applyBorder="1"/>
    <xf numFmtId="0" fontId="18" fillId="0" borderId="13" xfId="0" applyFont="1" applyBorder="1"/>
    <xf numFmtId="0" fontId="0" fillId="0" borderId="15" xfId="0" applyBorder="1"/>
    <xf numFmtId="0" fontId="32" fillId="4" borderId="10" xfId="9" applyFont="1" applyFill="1" applyBorder="1"/>
    <xf numFmtId="0" fontId="53" fillId="4" borderId="4" xfId="9" applyFont="1" applyFill="1" applyBorder="1"/>
    <xf numFmtId="0" fontId="54" fillId="4" borderId="5" xfId="9" applyFont="1" applyFill="1" applyBorder="1"/>
    <xf numFmtId="0" fontId="54" fillId="4" borderId="6" xfId="9" applyFont="1" applyFill="1" applyBorder="1"/>
    <xf numFmtId="0" fontId="54" fillId="4" borderId="0" xfId="9" applyFont="1" applyFill="1"/>
    <xf numFmtId="0" fontId="53" fillId="4" borderId="9" xfId="9" applyFont="1" applyFill="1" applyBorder="1"/>
    <xf numFmtId="0" fontId="22" fillId="0" borderId="4" xfId="0" applyFont="1" applyBorder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0" borderId="9" xfId="0" applyFont="1" applyBorder="1"/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6" fontId="6" fillId="0" borderId="0" xfId="6" applyNumberFormat="1"/>
    <xf numFmtId="0" fontId="13" fillId="0" borderId="0" xfId="6" applyFont="1"/>
    <xf numFmtId="9" fontId="6" fillId="0" borderId="0" xfId="6" applyNumberFormat="1"/>
    <xf numFmtId="0" fontId="13" fillId="16" borderId="0" xfId="6" applyFont="1" applyFill="1"/>
    <xf numFmtId="10" fontId="6" fillId="0" borderId="0" xfId="6" applyNumberFormat="1"/>
    <xf numFmtId="0" fontId="38" fillId="4" borderId="8" xfId="14" applyFill="1" applyBorder="1" applyAlignment="1">
      <alignment horizontal="right"/>
    </xf>
    <xf numFmtId="0" fontId="38" fillId="4" borderId="6" xfId="14" applyFill="1" applyBorder="1" applyAlignment="1">
      <alignment horizontal="right"/>
    </xf>
    <xf numFmtId="0" fontId="2" fillId="6" borderId="3" xfId="6" applyFont="1" applyFill="1" applyBorder="1"/>
    <xf numFmtId="9" fontId="2" fillId="6" borderId="3" xfId="6" applyNumberFormat="1" applyFont="1" applyFill="1" applyBorder="1"/>
    <xf numFmtId="0" fontId="2" fillId="20" borderId="3" xfId="6" applyFont="1" applyFill="1" applyBorder="1"/>
    <xf numFmtId="10" fontId="2" fillId="20" borderId="3" xfId="6" applyNumberFormat="1" applyFont="1" applyFill="1" applyBorder="1"/>
    <xf numFmtId="10" fontId="2" fillId="20" borderId="3" xfId="2" applyNumberFormat="1" applyFont="1" applyFill="1" applyBorder="1"/>
    <xf numFmtId="10" fontId="6" fillId="20" borderId="3" xfId="2" applyNumberFormat="1" applyFont="1" applyFill="1" applyBorder="1"/>
    <xf numFmtId="0" fontId="1" fillId="20" borderId="3" xfId="6" applyFont="1" applyFill="1" applyBorder="1"/>
    <xf numFmtId="0" fontId="6" fillId="6" borderId="3" xfId="6" applyFill="1" applyBorder="1"/>
    <xf numFmtId="0" fontId="2" fillId="12" borderId="3" xfId="6" applyFont="1" applyFill="1" applyBorder="1"/>
    <xf numFmtId="0" fontId="6" fillId="12" borderId="3" xfId="6" applyFill="1" applyBorder="1"/>
    <xf numFmtId="0" fontId="13" fillId="12" borderId="3" xfId="6" applyFont="1" applyFill="1" applyBorder="1"/>
    <xf numFmtId="6" fontId="6" fillId="12" borderId="3" xfId="6" applyNumberFormat="1" applyFill="1" applyBorder="1"/>
    <xf numFmtId="6" fontId="6" fillId="16" borderId="3" xfId="6" applyNumberFormat="1" applyFill="1" applyBorder="1"/>
    <xf numFmtId="0" fontId="0" fillId="12" borderId="3" xfId="0" applyFill="1" applyBorder="1"/>
    <xf numFmtId="0" fontId="56" fillId="0" borderId="0" xfId="0" applyFont="1" applyAlignment="1">
      <alignment horizontal="right"/>
    </xf>
    <xf numFmtId="0" fontId="10" fillId="22" borderId="23" xfId="0" applyFont="1" applyFill="1" applyBorder="1"/>
    <xf numFmtId="0" fontId="0" fillId="0" borderId="13" xfId="0" applyBorder="1"/>
    <xf numFmtId="14" fontId="57" fillId="0" borderId="21" xfId="0" applyNumberFormat="1" applyFont="1" applyBorder="1"/>
    <xf numFmtId="0" fontId="0" fillId="0" borderId="25" xfId="0" applyBorder="1"/>
    <xf numFmtId="173" fontId="0" fillId="12" borderId="11" xfId="0" applyNumberFormat="1" applyFill="1" applyBorder="1"/>
    <xf numFmtId="0" fontId="11" fillId="10" borderId="26" xfId="0" applyFont="1" applyFill="1" applyBorder="1"/>
    <xf numFmtId="165" fontId="0" fillId="10" borderId="23" xfId="0" applyNumberFormat="1" applyFill="1" applyBorder="1"/>
    <xf numFmtId="0" fontId="0" fillId="0" borderId="27" xfId="0" applyBorder="1"/>
    <xf numFmtId="165" fontId="0" fillId="13" borderId="13" xfId="0" applyNumberFormat="1" applyFill="1" applyBorder="1"/>
    <xf numFmtId="165" fontId="0" fillId="13" borderId="21" xfId="0" applyNumberFormat="1" applyFill="1" applyBorder="1"/>
    <xf numFmtId="0" fontId="11" fillId="0" borderId="13" xfId="0" applyFont="1" applyBorder="1"/>
    <xf numFmtId="165" fontId="11" fillId="23" borderId="21" xfId="0" applyNumberFormat="1" applyFont="1" applyFill="1" applyBorder="1"/>
    <xf numFmtId="0" fontId="41" fillId="4" borderId="4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horizontal="center" vertical="center"/>
    </xf>
    <xf numFmtId="0" fontId="41" fillId="4" borderId="9" xfId="0" applyFont="1" applyFill="1" applyBorder="1" applyAlignment="1">
      <alignment horizontal="center" vertical="center"/>
    </xf>
    <xf numFmtId="0" fontId="41" fillId="9" borderId="13" xfId="0" applyFont="1" applyFill="1" applyBorder="1" applyAlignment="1">
      <alignment horizontal="center"/>
    </xf>
    <xf numFmtId="0" fontId="41" fillId="9" borderId="15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18" fillId="9" borderId="9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0" fillId="21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5">
    <cellStyle name="Currency" xfId="1" builtinId="4"/>
    <cellStyle name="Currency 2" xfId="4" xr:uid="{00000000-0005-0000-0000-000000000000}"/>
    <cellStyle name="Hyperlink" xfId="14" builtinId="8"/>
    <cellStyle name="Milliers 2" xfId="7" xr:uid="{00000000-0005-0000-0000-000002000000}"/>
    <cellStyle name="Milliers 3" xfId="12" xr:uid="{00000000-0005-0000-0000-000003000000}"/>
    <cellStyle name="Normal" xfId="0" builtinId="0"/>
    <cellStyle name="Normal 2" xfId="3" xr:uid="{00000000-0005-0000-0000-000006000000}"/>
    <cellStyle name="Normal 3" xfId="6" xr:uid="{00000000-0005-0000-0000-000007000000}"/>
    <cellStyle name="Normal 4" xfId="8" xr:uid="{00000000-0005-0000-0000-000008000000}"/>
    <cellStyle name="Normal 5" xfId="9" xr:uid="{00000000-0005-0000-0000-000009000000}"/>
    <cellStyle name="Normal 6" xfId="11" xr:uid="{00000000-0005-0000-0000-00000A000000}"/>
    <cellStyle name="Per cent" xfId="2" builtinId="5"/>
    <cellStyle name="Percent 2" xfId="5" xr:uid="{00000000-0005-0000-0000-00000B000000}"/>
    <cellStyle name="Pourcentage 2" xfId="10" xr:uid="{00000000-0005-0000-0000-00000D000000}"/>
    <cellStyle name="Pourcentage 3" xfId="13" xr:uid="{00000000-0005-0000-0000-00000E000000}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</dxfs>
  <tableStyles count="0" defaultTableStyle="TableStyleMedium2" defaultPivotStyle="PivotStyleLight16"/>
  <colors>
    <mruColors>
      <color rgb="FFCCFFCC"/>
      <color rgb="FFFFFF66"/>
      <color rgb="FFFFCCCC"/>
      <color rgb="FFCCFFFF"/>
      <color rgb="FFFF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234950</xdr:colOff>
      <xdr:row>5</xdr:row>
      <xdr:rowOff>111125</xdr:rowOff>
    </xdr:from>
    <xdr:to>
      <xdr:col>8</xdr:col>
      <xdr:colOff>517826</xdr:colOff>
      <xdr:row>11</xdr:row>
      <xdr:rowOff>28639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0" y="1311275"/>
          <a:ext cx="5870876" cy="1263714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11</xdr:row>
      <xdr:rowOff>117475</xdr:rowOff>
    </xdr:from>
    <xdr:to>
      <xdr:col>8</xdr:col>
      <xdr:colOff>549577</xdr:colOff>
      <xdr:row>17</xdr:row>
      <xdr:rowOff>111185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2225" y="2663825"/>
          <a:ext cx="5880402" cy="1206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11</xdr:row>
      <xdr:rowOff>135051</xdr:rowOff>
    </xdr:from>
    <xdr:to>
      <xdr:col>5</xdr:col>
      <xdr:colOff>628650</xdr:colOff>
      <xdr:row>16</xdr:row>
      <xdr:rowOff>168336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300401"/>
          <a:ext cx="4857750" cy="100801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11</xdr:row>
      <xdr:rowOff>96225</xdr:rowOff>
    </xdr:from>
    <xdr:to>
      <xdr:col>14</xdr:col>
      <xdr:colOff>775000</xdr:colOff>
      <xdr:row>15</xdr:row>
      <xdr:rowOff>111174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3300" y="2261575"/>
          <a:ext cx="4819950" cy="792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2</xdr:row>
      <xdr:rowOff>0</xdr:rowOff>
    </xdr:from>
    <xdr:to>
      <xdr:col>7</xdr:col>
      <xdr:colOff>311448</xdr:colOff>
      <xdr:row>19</xdr:row>
      <xdr:rowOff>70026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393700"/>
          <a:ext cx="5797848" cy="3416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127000</xdr:rowOff>
    </xdr:from>
    <xdr:to>
      <xdr:col>13</xdr:col>
      <xdr:colOff>63798</xdr:colOff>
      <xdr:row>17</xdr:row>
      <xdr:rowOff>184326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127000"/>
          <a:ext cx="5797848" cy="34164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Sabrina/Desktop/SKEMA%20COURSES/CFM/2014-2015/COURS%20EXCEL/Exercices%20Excel%20V5.xlsx" TargetMode="External"/><Relationship Id="rId1" Type="http://schemas.openxmlformats.org/officeDocument/2006/relationships/externalLinkPath" Target="/Users/Sabrina/Desktop/SKEMA%20COURSES/CFM/2014-2015/COURS%20EXCEL/Exercices%20Excel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RECT "/>
      <sheetName val="DROP DOWN LIST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2:G6" totalsRowShown="0" headerRowDxfId="19" dataDxfId="18" totalsRowDxfId="17">
  <autoFilter ref="B2:G6" xr:uid="{00000000-0009-0000-0100-000001000000}"/>
  <tableColumns count="6">
    <tableColumn id="1" xr3:uid="{00000000-0010-0000-0000-000001000000}" name="YEAR" dataDxfId="16" totalsRowDxfId="15"/>
    <tableColumn id="6" xr3:uid="{00000000-0010-0000-0000-000006000000}" name="0" dataDxfId="14" totalsRowDxfId="13"/>
    <tableColumn id="2" xr3:uid="{00000000-0010-0000-0000-000002000000}" name="1" dataDxfId="12" totalsRowDxfId="11"/>
    <tableColumn id="3" xr3:uid="{00000000-0010-0000-0000-000003000000}" name="2" dataDxfId="10" totalsRowDxfId="9"/>
    <tableColumn id="4" xr3:uid="{00000000-0010-0000-0000-000004000000}" name="3" dataDxfId="8" totalsRowDxfId="7"/>
    <tableColumn id="5" xr3:uid="{00000000-0010-0000-0000-000005000000}" name="4" dataDxfId="6" totalsRow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7" displayName="Tableau7" ref="A2:C8" totalsRowShown="0" headerRowDxfId="4" dataDxfId="3">
  <autoFilter ref="A2:C8" xr:uid="{00000000-0009-0000-0100-000002000000}"/>
  <tableColumns count="3">
    <tableColumn id="1" xr3:uid="{00000000-0010-0000-0100-000001000000}" name="Year" dataDxfId="2"/>
    <tableColumn id="2" xr3:uid="{00000000-0010-0000-0100-000002000000}" name="Type" dataDxfId="1"/>
    <tableColumn id="3" xr3:uid="{00000000-0010-0000-0100-000003000000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tabColor theme="1"/>
  </sheetPr>
  <dimension ref="A1:B18"/>
  <sheetViews>
    <sheetView tabSelected="1" workbookViewId="0">
      <selection sqref="A1:B1"/>
    </sheetView>
  </sheetViews>
  <sheetFormatPr defaultColWidth="10.58203125" defaultRowHeight="21"/>
  <cols>
    <col min="1" max="1" width="22.08203125" style="107" customWidth="1"/>
    <col min="2" max="2" width="54.58203125" style="108" customWidth="1"/>
    <col min="3" max="16384" width="10.58203125" style="13"/>
  </cols>
  <sheetData>
    <row r="1" spans="1:2" ht="18.649999999999999" customHeight="1" thickBot="1">
      <c r="A1" s="289" t="s">
        <v>107</v>
      </c>
      <c r="B1" s="290"/>
    </row>
    <row r="2" spans="1:2" ht="21.5" thickBot="1"/>
    <row r="3" spans="1:2" ht="18.5">
      <c r="A3" s="286" t="s">
        <v>108</v>
      </c>
      <c r="B3" s="109" t="s">
        <v>101</v>
      </c>
    </row>
    <row r="4" spans="1:2" ht="19" thickBot="1">
      <c r="A4" s="288"/>
      <c r="B4" s="110" t="s">
        <v>102</v>
      </c>
    </row>
    <row r="5" spans="1:2" ht="18.5">
      <c r="A5" s="287" t="s">
        <v>109</v>
      </c>
      <c r="B5" s="111" t="s">
        <v>103</v>
      </c>
    </row>
    <row r="6" spans="1:2" ht="19" customHeight="1">
      <c r="A6" s="287"/>
      <c r="B6" s="111" t="s">
        <v>104</v>
      </c>
    </row>
    <row r="7" spans="1:2" ht="18.5" customHeight="1" thickBot="1">
      <c r="A7" s="288"/>
      <c r="B7" s="122" t="s">
        <v>158</v>
      </c>
    </row>
    <row r="8" spans="1:2" ht="18.5" customHeight="1">
      <c r="A8" s="287" t="s">
        <v>110</v>
      </c>
      <c r="B8" s="257" t="s">
        <v>16</v>
      </c>
    </row>
    <row r="9" spans="1:2" ht="18.5" customHeight="1">
      <c r="A9" s="287"/>
      <c r="B9" s="257" t="s">
        <v>110</v>
      </c>
    </row>
    <row r="10" spans="1:2" ht="19" customHeight="1">
      <c r="A10" s="287"/>
      <c r="B10" s="257" t="s">
        <v>157</v>
      </c>
    </row>
    <row r="11" spans="1:2" ht="18.5" customHeight="1" thickBot="1">
      <c r="A11" s="288"/>
      <c r="B11" s="110" t="s">
        <v>120</v>
      </c>
    </row>
    <row r="12" spans="1:2" ht="19" customHeight="1">
      <c r="A12" s="286" t="s">
        <v>111</v>
      </c>
      <c r="B12" s="109" t="s">
        <v>105</v>
      </c>
    </row>
    <row r="13" spans="1:2" ht="18.5" customHeight="1" thickBot="1">
      <c r="A13" s="287"/>
      <c r="B13" s="111" t="s">
        <v>106</v>
      </c>
    </row>
    <row r="14" spans="1:2" ht="16" customHeight="1">
      <c r="A14" s="286" t="s">
        <v>125</v>
      </c>
      <c r="B14" s="258" t="s">
        <v>154</v>
      </c>
    </row>
    <row r="15" spans="1:2" ht="15.5" customHeight="1">
      <c r="A15" s="287"/>
      <c r="B15" s="257" t="s">
        <v>155</v>
      </c>
    </row>
    <row r="16" spans="1:2" ht="16" customHeight="1">
      <c r="A16" s="287"/>
      <c r="B16" s="257" t="s">
        <v>172</v>
      </c>
    </row>
    <row r="17" spans="1:2" ht="16" customHeight="1">
      <c r="A17" s="287"/>
      <c r="B17" s="257" t="s">
        <v>178</v>
      </c>
    </row>
    <row r="18" spans="1:2" ht="16" thickBot="1">
      <c r="A18" s="288"/>
      <c r="B18" s="122" t="s">
        <v>184</v>
      </c>
    </row>
  </sheetData>
  <mergeCells count="6">
    <mergeCell ref="A14:A18"/>
    <mergeCell ref="A1:B1"/>
    <mergeCell ref="A3:A4"/>
    <mergeCell ref="A5:A7"/>
    <mergeCell ref="A8:A11"/>
    <mergeCell ref="A12:A13"/>
  </mergeCells>
  <hyperlinks>
    <hyperlink ref="B3" location="RATES!A1" display="Rates" xr:uid="{447EF6B9-4CB3-45F4-AC22-CE608BB3EEFF}"/>
    <hyperlink ref="B4" location="'SINGLE CF'!A1" display="Single cash flow" xr:uid="{F5FA67F8-B078-4279-9820-ED00E1896FF2}"/>
    <hyperlink ref="B5" location="'ANNUITY '!A1" display="Annuity" xr:uid="{F5647743-B341-47FC-8B01-5CAF0CB8C384}"/>
    <hyperlink ref="B7" location="'PMT TIMING'!A1" display="Payment timing" xr:uid="{7D0E058D-0351-4D10-B346-33B1153CEF4B}"/>
    <hyperlink ref="B8" location="NPV!A1" display="NPV" xr:uid="{10C60F3E-9DBA-4FD0-83B5-E4532074A6B9}"/>
    <hyperlink ref="B10" location="'XNPV-XIRR'!A1" display="XNPV - XIRR" xr:uid="{5A15D8E5-919C-4BF5-8763-56D703BA4064}"/>
    <hyperlink ref="B11" location="'CUMULATIVE FACTOR '!A1" display="Cumulative discount factor" xr:uid="{DF3B2A8D-AC33-4C5B-929C-2279C9F97F74}"/>
    <hyperlink ref="B12" location="'LOAN SCHEDULE'!A1" display="Loan schedule" xr:uid="{62F148AE-9F5C-42DF-B6B1-2A83E97D2B05}"/>
    <hyperlink ref="B13" location="'LOAN SENSITIVITY ANALYSIS'!A1" display="Loan sensitivity analysis" xr:uid="{846AB162-E16C-42FD-91B4-F9E2813BF11F}"/>
    <hyperlink ref="B15" location="'LEASE Vs BUY with help'!A1" display="Lease vs Buy  with help" xr:uid="{F1DFE18F-FAE0-41B8-8E80-3B7CC4AB9469}"/>
    <hyperlink ref="B14" location="'LEASE vs BUY '!A1" display="Lease vs Buy " xr:uid="{25DCB0C8-0B3B-4695-A53D-13EF0E6935F0}"/>
    <hyperlink ref="B6" location="'MODEL FOR ANNUITY '!A1" display="Model for annuity " xr:uid="{732A1200-93D0-4B58-A8BB-849655E394F1}"/>
    <hyperlink ref="B9" location="'NPV-IRR'!A1" display="NPV - IRR" xr:uid="{D3E4AF8A-45CF-4E97-A77A-769C215E291A}"/>
    <hyperlink ref="B16" location="TV!A1" display="TV" xr:uid="{B34E99E6-AC06-4156-94E9-5528F56E1C86}"/>
    <hyperlink ref="B17" location="'TV scenario'!A1" display="Terminal Value with scenario" xr:uid="{033E4423-A7F1-4FA4-9769-E24E05A90601}"/>
    <hyperlink ref="B18" location="'NPV-WACC'!A1" display="NPV with cost of capital" xr:uid="{F4A1DC43-8CA5-4117-AC13-4FE20F04CB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G18"/>
  <sheetViews>
    <sheetView showGridLines="0" workbookViewId="0">
      <selection activeCell="A16" sqref="A16"/>
    </sheetView>
  </sheetViews>
  <sheetFormatPr defaultColWidth="10.58203125" defaultRowHeight="15.5"/>
  <cols>
    <col min="1" max="1" width="27.83203125" style="24" customWidth="1"/>
    <col min="2" max="2" width="21.08203125" style="24" bestFit="1" customWidth="1"/>
    <col min="3" max="3" width="14.5" style="25" customWidth="1"/>
    <col min="4" max="7" width="15.58203125" style="25" customWidth="1"/>
    <col min="8" max="16384" width="10.58203125" style="24"/>
  </cols>
  <sheetData>
    <row r="1" spans="1:7" ht="16" thickBot="1">
      <c r="A1" s="23" t="s">
        <v>43</v>
      </c>
    </row>
    <row r="2" spans="1:7" ht="20.5">
      <c r="B2" s="27" t="s">
        <v>0</v>
      </c>
      <c r="C2" s="36" t="s">
        <v>28</v>
      </c>
      <c r="D2" s="36" t="s">
        <v>2</v>
      </c>
      <c r="E2" s="36" t="s">
        <v>3</v>
      </c>
      <c r="F2" s="36" t="s">
        <v>4</v>
      </c>
      <c r="G2" s="37" t="s">
        <v>5</v>
      </c>
    </row>
    <row r="3" spans="1:7" ht="20.5">
      <c r="B3" s="28" t="s">
        <v>1</v>
      </c>
      <c r="C3" s="38"/>
      <c r="D3" s="39">
        <v>0.1</v>
      </c>
      <c r="E3" s="39">
        <v>0.2</v>
      </c>
      <c r="F3" s="39">
        <v>-0.3</v>
      </c>
      <c r="G3" s="40">
        <v>0.05</v>
      </c>
    </row>
    <row r="4" spans="1:7" ht="20.5">
      <c r="B4" s="28" t="s">
        <v>6</v>
      </c>
      <c r="C4" s="41">
        <v>200</v>
      </c>
      <c r="D4" s="42"/>
      <c r="E4" s="42"/>
      <c r="F4" s="42"/>
      <c r="G4" s="42"/>
    </row>
    <row r="5" spans="1:7" ht="16" thickBot="1">
      <c r="B5" s="29"/>
      <c r="C5" s="30"/>
      <c r="D5" s="30"/>
      <c r="E5" s="30"/>
      <c r="F5" s="30"/>
      <c r="G5" s="31"/>
    </row>
    <row r="8" spans="1:7" ht="16" thickBot="1"/>
    <row r="9" spans="1:7" ht="20.5">
      <c r="A9" s="27" t="s">
        <v>7</v>
      </c>
      <c r="B9" s="32"/>
      <c r="C9" s="33"/>
      <c r="D9" s="26"/>
    </row>
    <row r="10" spans="1:7" ht="21" thickBot="1">
      <c r="A10" s="29" t="s">
        <v>8</v>
      </c>
      <c r="B10" s="34"/>
      <c r="C10" s="35"/>
    </row>
    <row r="14" spans="1:7">
      <c r="D14" s="24"/>
      <c r="E14" s="24"/>
      <c r="F14" s="24"/>
      <c r="G14" s="24"/>
    </row>
    <row r="15" spans="1:7">
      <c r="D15" s="24"/>
      <c r="E15" s="24"/>
      <c r="F15" s="24"/>
      <c r="G15" s="24"/>
    </row>
    <row r="16" spans="1:7">
      <c r="A16" s="106" t="s">
        <v>107</v>
      </c>
      <c r="D16" s="24"/>
      <c r="E16" s="24"/>
      <c r="F16" s="24"/>
      <c r="G16" s="24"/>
    </row>
    <row r="17" spans="4:7">
      <c r="D17" s="24"/>
      <c r="E17" s="24"/>
      <c r="F17" s="24"/>
      <c r="G17" s="24"/>
    </row>
    <row r="18" spans="4:7">
      <c r="D18" s="24"/>
      <c r="E18" s="24"/>
      <c r="F18" s="24"/>
      <c r="G18" s="24"/>
    </row>
  </sheetData>
  <hyperlinks>
    <hyperlink ref="A16" location="SUMMARY!A1" display="SUMMARY" xr:uid="{00000000-0004-0000-0100-000000000000}"/>
  </hyperlink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O30"/>
  <sheetViews>
    <sheetView showGridLines="0" workbookViewId="0">
      <selection activeCell="B8" sqref="B8:G8"/>
    </sheetView>
  </sheetViews>
  <sheetFormatPr defaultColWidth="10.6640625" defaultRowHeight="15.5"/>
  <cols>
    <col min="1" max="1" width="14.08203125" bestFit="1" customWidth="1"/>
    <col min="3" max="6" width="10.5" customWidth="1"/>
    <col min="7" max="7" width="10.5" style="4" customWidth="1"/>
    <col min="8" max="8" width="2.75" customWidth="1"/>
    <col min="9" max="9" width="12.08203125" bestFit="1" customWidth="1"/>
    <col min="10" max="14" width="8.08203125" customWidth="1"/>
    <col min="15" max="15" width="10.58203125" bestFit="1" customWidth="1"/>
  </cols>
  <sheetData>
    <row r="1" spans="1:15">
      <c r="A1" s="10" t="s">
        <v>40</v>
      </c>
      <c r="I1" s="10" t="s">
        <v>40</v>
      </c>
    </row>
    <row r="2" spans="1:15">
      <c r="A2" s="175" t="s">
        <v>44</v>
      </c>
      <c r="B2" s="176">
        <v>1000</v>
      </c>
      <c r="I2" s="175" t="s">
        <v>46</v>
      </c>
      <c r="J2" s="176">
        <v>747.26</v>
      </c>
    </row>
    <row r="3" spans="1:15">
      <c r="A3" s="175" t="s">
        <v>45</v>
      </c>
      <c r="B3" s="177">
        <v>0.06</v>
      </c>
      <c r="I3" s="175" t="s">
        <v>45</v>
      </c>
      <c r="J3" s="177">
        <v>0.06</v>
      </c>
    </row>
    <row r="4" spans="1:15">
      <c r="A4" s="175" t="s">
        <v>35</v>
      </c>
      <c r="B4" s="175">
        <v>5</v>
      </c>
      <c r="I4" s="175" t="s">
        <v>35</v>
      </c>
      <c r="J4" s="175">
        <v>5</v>
      </c>
    </row>
    <row r="6" spans="1:15">
      <c r="O6" s="4"/>
    </row>
    <row r="7" spans="1:15">
      <c r="O7" s="4"/>
    </row>
    <row r="8" spans="1:15">
      <c r="A8" s="5" t="s">
        <v>9</v>
      </c>
      <c r="B8" s="5">
        <v>0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I8" s="5" t="s">
        <v>9</v>
      </c>
      <c r="J8" s="5">
        <v>0</v>
      </c>
      <c r="K8" s="5">
        <v>1</v>
      </c>
      <c r="L8" s="5">
        <v>2</v>
      </c>
      <c r="M8" s="5">
        <v>3</v>
      </c>
      <c r="N8" s="5">
        <v>4</v>
      </c>
      <c r="O8" s="5">
        <v>5</v>
      </c>
    </row>
    <row r="9" spans="1:15">
      <c r="A9" s="5" t="s">
        <v>10</v>
      </c>
      <c r="B9" s="6"/>
      <c r="C9" s="6"/>
      <c r="D9" s="6"/>
      <c r="E9" s="6"/>
      <c r="F9" s="6"/>
      <c r="G9" s="178"/>
      <c r="I9" s="5" t="s">
        <v>10</v>
      </c>
      <c r="J9" s="178"/>
      <c r="K9" s="6"/>
      <c r="L9" s="6"/>
      <c r="M9" s="6"/>
      <c r="N9" s="6"/>
      <c r="O9" s="6"/>
    </row>
    <row r="10" spans="1:15">
      <c r="A10" s="5" t="s">
        <v>15</v>
      </c>
      <c r="B10" s="160"/>
      <c r="C10" s="6"/>
      <c r="D10" s="6"/>
      <c r="E10" s="6"/>
      <c r="F10" s="6"/>
      <c r="G10" s="12"/>
      <c r="I10" s="5" t="s">
        <v>11</v>
      </c>
      <c r="J10" s="15"/>
      <c r="K10" s="6"/>
      <c r="L10" s="6"/>
      <c r="M10" s="6"/>
      <c r="N10" s="6"/>
      <c r="O10" s="160"/>
    </row>
    <row r="11" spans="1:15">
      <c r="A11" s="5" t="s">
        <v>18</v>
      </c>
      <c r="B11" s="160"/>
      <c r="C11" s="6"/>
      <c r="D11" s="6"/>
      <c r="E11" s="6"/>
      <c r="F11" s="6"/>
      <c r="G11" s="12"/>
      <c r="I11" s="5" t="s">
        <v>19</v>
      </c>
      <c r="J11" s="14"/>
      <c r="K11" s="6"/>
      <c r="L11" s="6"/>
      <c r="M11" s="6"/>
      <c r="N11" s="6"/>
      <c r="O11" s="160"/>
    </row>
    <row r="12" spans="1:15">
      <c r="B12" s="7"/>
      <c r="C12" s="7"/>
      <c r="D12" s="7"/>
      <c r="E12" s="7"/>
      <c r="F12" s="7"/>
      <c r="G12" s="7"/>
      <c r="J12" s="7"/>
      <c r="K12" s="7"/>
      <c r="L12" s="7"/>
      <c r="M12" s="7"/>
      <c r="N12" s="7"/>
      <c r="O12" s="7"/>
    </row>
    <row r="13" spans="1:15">
      <c r="B13" s="7"/>
      <c r="C13" s="7"/>
      <c r="D13" s="7"/>
      <c r="E13" s="7"/>
      <c r="F13" s="7"/>
      <c r="G13" s="7"/>
      <c r="J13" s="7"/>
      <c r="K13" s="7"/>
      <c r="L13" s="7"/>
      <c r="M13" s="7"/>
      <c r="N13" s="7"/>
      <c r="O13" s="7"/>
    </row>
    <row r="14" spans="1:15">
      <c r="O14" s="4"/>
    </row>
    <row r="15" spans="1:15">
      <c r="O15" s="4"/>
    </row>
    <row r="16" spans="1:15">
      <c r="A16" s="3"/>
      <c r="I16" s="3"/>
      <c r="O16" s="4"/>
    </row>
    <row r="17" spans="1:15">
      <c r="O17" s="4"/>
    </row>
    <row r="18" spans="1:15">
      <c r="O18" s="4"/>
    </row>
    <row r="19" spans="1:15">
      <c r="A19" s="106" t="s">
        <v>107</v>
      </c>
      <c r="O19" s="4"/>
    </row>
    <row r="20" spans="1:15">
      <c r="O20" s="4"/>
    </row>
    <row r="21" spans="1:15">
      <c r="O21" s="4"/>
    </row>
    <row r="22" spans="1:15">
      <c r="O22" s="4"/>
    </row>
    <row r="23" spans="1:15">
      <c r="G23"/>
      <c r="O23" s="4"/>
    </row>
    <row r="24" spans="1:15">
      <c r="G24"/>
      <c r="O24" s="4"/>
    </row>
    <row r="25" spans="1:15">
      <c r="G25"/>
      <c r="O25" s="4"/>
    </row>
    <row r="26" spans="1:15">
      <c r="G26"/>
      <c r="O26" s="4"/>
    </row>
    <row r="27" spans="1:15">
      <c r="G27"/>
      <c r="O27" s="4"/>
    </row>
    <row r="28" spans="1:15">
      <c r="G28"/>
      <c r="O28" s="4"/>
    </row>
    <row r="29" spans="1:15">
      <c r="G29"/>
      <c r="O29" s="4"/>
    </row>
    <row r="30" spans="1:15">
      <c r="G30"/>
      <c r="O30" s="4"/>
    </row>
  </sheetData>
  <hyperlinks>
    <hyperlink ref="A19" location="SUMMARY!A1" display="SUMMARY" xr:uid="{00000000-0004-0000-02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0"/>
  <dimension ref="A1:M29"/>
  <sheetViews>
    <sheetView showGridLines="0" workbookViewId="0">
      <selection activeCell="E1" sqref="E1"/>
    </sheetView>
  </sheetViews>
  <sheetFormatPr defaultColWidth="10.6640625" defaultRowHeight="15.5"/>
  <cols>
    <col min="1" max="1" width="24.33203125" bestFit="1" customWidth="1"/>
    <col min="7" max="7" width="10.83203125" style="4"/>
    <col min="8" max="8" width="10.08203125" customWidth="1"/>
  </cols>
  <sheetData>
    <row r="1" spans="1:13">
      <c r="A1" s="10" t="s">
        <v>40</v>
      </c>
      <c r="E1" s="106" t="s">
        <v>107</v>
      </c>
    </row>
    <row r="2" spans="1:13">
      <c r="A2" s="131" t="s">
        <v>27</v>
      </c>
      <c r="B2" s="132">
        <v>80</v>
      </c>
    </row>
    <row r="3" spans="1:13">
      <c r="A3" s="131" t="s">
        <v>45</v>
      </c>
      <c r="B3" s="173">
        <v>0.06</v>
      </c>
    </row>
    <row r="4" spans="1:13">
      <c r="A4" s="131" t="s">
        <v>35</v>
      </c>
      <c r="B4" s="131">
        <v>5</v>
      </c>
    </row>
    <row r="5" spans="1:13">
      <c r="B5" s="1"/>
      <c r="M5" s="4"/>
    </row>
    <row r="6" spans="1:13">
      <c r="M6" s="4"/>
    </row>
    <row r="7" spans="1:13">
      <c r="A7" t="s">
        <v>12</v>
      </c>
      <c r="M7" s="4"/>
    </row>
    <row r="8" spans="1:13">
      <c r="A8" s="5" t="s">
        <v>9</v>
      </c>
      <c r="B8" s="5">
        <v>0</v>
      </c>
      <c r="C8" s="5">
        <v>1</v>
      </c>
      <c r="D8" s="5">
        <v>2</v>
      </c>
      <c r="E8" s="5">
        <v>3</v>
      </c>
      <c r="F8" s="5">
        <v>4</v>
      </c>
      <c r="G8" s="5">
        <v>5</v>
      </c>
    </row>
    <row r="9" spans="1:13">
      <c r="A9" s="5" t="s">
        <v>10</v>
      </c>
      <c r="B9" s="5"/>
      <c r="C9" s="174"/>
      <c r="D9" s="174"/>
      <c r="E9" s="174"/>
      <c r="F9" s="174"/>
      <c r="G9" s="174"/>
    </row>
    <row r="10" spans="1:13">
      <c r="A10" s="5" t="s">
        <v>47</v>
      </c>
      <c r="B10" s="161"/>
      <c r="C10" s="43"/>
      <c r="D10" s="43"/>
      <c r="E10" s="43"/>
      <c r="F10" s="43"/>
      <c r="G10" s="43"/>
    </row>
    <row r="11" spans="1:13">
      <c r="A11" s="5" t="s">
        <v>50</v>
      </c>
      <c r="B11" s="161"/>
      <c r="C11" s="43"/>
      <c r="D11" s="43"/>
      <c r="E11" s="43"/>
      <c r="F11" s="43"/>
      <c r="G11" s="43"/>
    </row>
    <row r="12" spans="1:13">
      <c r="B12" s="7"/>
      <c r="C12" s="7"/>
      <c r="D12" s="7"/>
      <c r="E12" s="7"/>
      <c r="F12" s="7"/>
      <c r="G12" s="7"/>
    </row>
    <row r="13" spans="1:13">
      <c r="A13" t="s">
        <v>133</v>
      </c>
      <c r="B13" s="161"/>
      <c r="C13" s="7"/>
      <c r="D13" s="7"/>
      <c r="E13" s="7"/>
      <c r="F13" s="7"/>
      <c r="G13" s="7"/>
    </row>
    <row r="14" spans="1:13">
      <c r="M14" s="4"/>
    </row>
    <row r="15" spans="1:13">
      <c r="A15" s="5" t="s">
        <v>9</v>
      </c>
      <c r="B15" s="5">
        <v>0</v>
      </c>
      <c r="C15" s="5">
        <v>1</v>
      </c>
      <c r="D15" s="5">
        <v>2</v>
      </c>
      <c r="E15" s="5">
        <v>3</v>
      </c>
      <c r="F15" s="5">
        <v>4</v>
      </c>
      <c r="G15" s="5">
        <v>5</v>
      </c>
      <c r="H15" s="8" t="s">
        <v>14</v>
      </c>
      <c r="M15" s="4"/>
    </row>
    <row r="16" spans="1:13">
      <c r="A16" s="5" t="s">
        <v>10</v>
      </c>
      <c r="B16" s="6"/>
      <c r="C16" s="174"/>
      <c r="D16" s="174"/>
      <c r="E16" s="174"/>
      <c r="F16" s="174"/>
      <c r="G16" s="174"/>
      <c r="H16" s="6"/>
      <c r="M16" s="4"/>
    </row>
    <row r="17" spans="1:13">
      <c r="A17" s="5" t="s">
        <v>48</v>
      </c>
      <c r="B17" s="6" t="s">
        <v>49</v>
      </c>
      <c r="C17" s="43"/>
      <c r="D17" s="43"/>
      <c r="E17" s="43"/>
      <c r="F17" s="43"/>
      <c r="G17" s="43"/>
      <c r="H17" s="161"/>
      <c r="M17" s="4"/>
    </row>
    <row r="18" spans="1:13">
      <c r="A18" s="5" t="s">
        <v>51</v>
      </c>
      <c r="B18" s="6" t="s">
        <v>49</v>
      </c>
      <c r="C18" s="43"/>
      <c r="D18" s="43"/>
      <c r="E18" s="43"/>
      <c r="F18" s="43"/>
      <c r="G18" s="43"/>
      <c r="H18" s="161"/>
      <c r="M18" s="4"/>
    </row>
    <row r="19" spans="1:13">
      <c r="B19" s="7"/>
      <c r="C19" s="7"/>
      <c r="D19" s="7"/>
      <c r="E19" s="7"/>
      <c r="F19" s="7"/>
      <c r="G19" s="7"/>
      <c r="M19" s="4"/>
    </row>
    <row r="20" spans="1:13">
      <c r="A20" t="s">
        <v>134</v>
      </c>
      <c r="B20" s="161"/>
      <c r="M20" s="4"/>
    </row>
    <row r="21" spans="1:13">
      <c r="M21" s="4"/>
    </row>
    <row r="22" spans="1:13">
      <c r="G22"/>
      <c r="M22" s="4"/>
    </row>
    <row r="23" spans="1:13">
      <c r="G23"/>
      <c r="M23" s="4"/>
    </row>
    <row r="24" spans="1:13">
      <c r="G24"/>
      <c r="M24" s="4"/>
    </row>
    <row r="25" spans="1:13">
      <c r="G25"/>
      <c r="M25" s="4"/>
    </row>
    <row r="26" spans="1:13">
      <c r="G26"/>
      <c r="M26" s="4"/>
    </row>
    <row r="27" spans="1:13">
      <c r="G27"/>
      <c r="M27" s="4"/>
    </row>
    <row r="28" spans="1:13">
      <c r="G28"/>
      <c r="M28" s="4"/>
    </row>
    <row r="29" spans="1:13">
      <c r="G29"/>
      <c r="M29" s="4"/>
    </row>
  </sheetData>
  <hyperlinks>
    <hyperlink ref="E1" location="SUMMARY!A1" display="SUMMARY" xr:uid="{00000000-0004-0000-0400-000000000000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N28"/>
  <sheetViews>
    <sheetView showGridLines="0" zoomScaleNormal="100" workbookViewId="0"/>
  </sheetViews>
  <sheetFormatPr defaultColWidth="10.58203125" defaultRowHeight="16.5"/>
  <cols>
    <col min="1" max="1" width="37" style="46" bestFit="1" customWidth="1"/>
    <col min="2" max="2" width="20.58203125" style="46" customWidth="1"/>
    <col min="3" max="7" width="11.9140625" style="47" bestFit="1" customWidth="1"/>
    <col min="8" max="8" width="15.5" style="47" customWidth="1"/>
    <col min="9" max="9" width="12" style="47" bestFit="1" customWidth="1"/>
    <col min="10" max="11" width="10.83203125" style="47"/>
    <col min="12" max="16384" width="10.58203125" style="46"/>
  </cols>
  <sheetData>
    <row r="1" spans="1:14">
      <c r="A1" s="106" t="s">
        <v>107</v>
      </c>
      <c r="B1" s="246" t="s">
        <v>135</v>
      </c>
      <c r="C1" s="247"/>
      <c r="D1" s="247"/>
      <c r="E1" s="247"/>
      <c r="F1" s="247"/>
      <c r="G1" s="247"/>
      <c r="H1" s="248"/>
    </row>
    <row r="2" spans="1:14" ht="17" thickBot="1">
      <c r="B2" s="249" t="s">
        <v>136</v>
      </c>
      <c r="C2" s="250"/>
      <c r="D2" s="250"/>
      <c r="E2" s="250"/>
      <c r="F2" s="250"/>
      <c r="G2" s="250"/>
      <c r="H2" s="251"/>
    </row>
    <row r="3" spans="1:14" ht="17" thickBot="1">
      <c r="A3" s="48" t="s">
        <v>40</v>
      </c>
      <c r="B3" s="60"/>
    </row>
    <row r="4" spans="1:14">
      <c r="A4" s="46" t="s">
        <v>27</v>
      </c>
      <c r="B4" s="170">
        <v>1000</v>
      </c>
    </row>
    <row r="5" spans="1:14">
      <c r="A5" s="46" t="s">
        <v>25</v>
      </c>
      <c r="B5" s="171">
        <v>0.03</v>
      </c>
    </row>
    <row r="6" spans="1:14" ht="17" thickBot="1">
      <c r="A6" s="46" t="s">
        <v>35</v>
      </c>
      <c r="B6" s="172">
        <v>4</v>
      </c>
    </row>
    <row r="8" spans="1:14">
      <c r="A8" s="49"/>
      <c r="B8" s="50"/>
    </row>
    <row r="9" spans="1:14">
      <c r="A9" s="51" t="s">
        <v>26</v>
      </c>
      <c r="B9" s="52">
        <v>0</v>
      </c>
      <c r="C9" s="53"/>
      <c r="D9" s="53"/>
      <c r="E9" s="53"/>
      <c r="F9" s="53"/>
      <c r="G9" s="53"/>
      <c r="H9" s="53"/>
      <c r="I9" s="53" t="str">
        <f>+IF(OR(H9=$B$6,H9=""),"",H9+1)</f>
        <v/>
      </c>
      <c r="J9" s="53" t="str">
        <f t="shared" ref="J9" si="0">+IF(OR(I9=$B$6,I9=""),"",I9+1)</f>
        <v/>
      </c>
      <c r="K9" s="53" t="str">
        <f t="shared" ref="K9:M9" si="1">+IF(J9&gt;=$B$6,"",J9+1)</f>
        <v/>
      </c>
      <c r="L9" s="53" t="str">
        <f t="shared" si="1"/>
        <v/>
      </c>
      <c r="M9" s="53" t="str">
        <f t="shared" si="1"/>
        <v/>
      </c>
      <c r="N9" s="53" t="str">
        <f>+IF(M9&gt;=$B$6,"",M9+1)</f>
        <v/>
      </c>
    </row>
    <row r="10" spans="1:14">
      <c r="A10" s="54" t="s">
        <v>36</v>
      </c>
      <c r="B10" s="55"/>
      <c r="C10" s="56"/>
      <c r="D10" s="56"/>
      <c r="E10" s="56"/>
      <c r="F10" s="56"/>
      <c r="G10" s="56"/>
      <c r="H10" s="56"/>
      <c r="I10" s="56" t="str">
        <f t="shared" ref="I10:K10" si="2">+IF(I9&lt;&gt;"",$B$4,"")</f>
        <v/>
      </c>
      <c r="J10" s="56" t="str">
        <f t="shared" si="2"/>
        <v/>
      </c>
      <c r="K10" s="56" t="str">
        <f t="shared" si="2"/>
        <v/>
      </c>
    </row>
    <row r="11" spans="1:14">
      <c r="B11" s="58"/>
      <c r="C11" s="57"/>
      <c r="D11" s="57"/>
      <c r="E11" s="57"/>
      <c r="F11" s="57"/>
      <c r="G11" s="57"/>
      <c r="H11" s="57"/>
      <c r="I11" s="57"/>
      <c r="J11" s="57"/>
      <c r="K11" s="57"/>
    </row>
    <row r="12" spans="1:14">
      <c r="A12" s="45" t="s">
        <v>82</v>
      </c>
      <c r="B12" s="164"/>
      <c r="C12" s="59"/>
      <c r="D12" s="59"/>
      <c r="E12" s="59"/>
      <c r="F12" s="59"/>
      <c r="G12" s="59"/>
      <c r="H12" s="59"/>
      <c r="I12" s="59" t="str">
        <f t="shared" ref="I12:K12" si="3">IFERROR(-PV($B$5,I9,,I10),"")</f>
        <v/>
      </c>
      <c r="J12" s="59" t="str">
        <f t="shared" si="3"/>
        <v/>
      </c>
      <c r="K12" s="59" t="str">
        <f t="shared" si="3"/>
        <v/>
      </c>
    </row>
    <row r="13" spans="1:14" ht="3" customHeight="1">
      <c r="C13" s="57"/>
      <c r="D13" s="57"/>
      <c r="E13" s="57"/>
      <c r="F13" s="57"/>
      <c r="G13" s="57"/>
    </row>
    <row r="14" spans="1:14" s="45" customFormat="1">
      <c r="A14" s="60" t="s">
        <v>39</v>
      </c>
      <c r="B14" s="165"/>
      <c r="C14" s="61"/>
      <c r="D14" s="62"/>
      <c r="E14" s="62"/>
      <c r="F14" s="62"/>
      <c r="G14" s="62"/>
      <c r="H14" s="61"/>
      <c r="I14" s="61"/>
      <c r="J14" s="61"/>
      <c r="K14" s="61"/>
    </row>
    <row r="15" spans="1:14">
      <c r="B15" s="63"/>
    </row>
    <row r="16" spans="1:14" ht="4.5" customHeight="1">
      <c r="C16" s="57"/>
      <c r="D16" s="57"/>
      <c r="E16" s="57"/>
      <c r="F16" s="57"/>
      <c r="G16" s="57"/>
    </row>
    <row r="17" spans="1:7">
      <c r="A17" s="60" t="s">
        <v>52</v>
      </c>
      <c r="B17" s="164"/>
      <c r="D17" s="57"/>
      <c r="E17" s="57"/>
      <c r="F17" s="57"/>
      <c r="G17" s="57"/>
    </row>
    <row r="18" spans="1:7" ht="17" thickBot="1">
      <c r="B18" s="58"/>
      <c r="D18" s="57"/>
      <c r="E18" s="57"/>
      <c r="F18" s="57"/>
      <c r="G18" s="57"/>
    </row>
    <row r="19" spans="1:7" ht="17" thickBot="1">
      <c r="A19" s="64" t="s">
        <v>69</v>
      </c>
      <c r="B19" s="166"/>
      <c r="D19" s="57"/>
      <c r="E19" s="57"/>
      <c r="F19" s="57"/>
      <c r="G19" s="57"/>
    </row>
    <row r="20" spans="1:7" ht="17" thickBot="1">
      <c r="B20" s="58"/>
      <c r="D20" s="57"/>
      <c r="E20" s="57"/>
      <c r="F20" s="57"/>
      <c r="G20" s="57"/>
    </row>
    <row r="21" spans="1:7">
      <c r="A21" s="65" t="s">
        <v>27</v>
      </c>
      <c r="B21" s="66"/>
    </row>
    <row r="22" spans="1:7" ht="17" thickBot="1">
      <c r="A22" s="67" t="s">
        <v>41</v>
      </c>
      <c r="B22" s="167"/>
    </row>
    <row r="23" spans="1:7" ht="17" thickBot="1"/>
    <row r="24" spans="1:7">
      <c r="A24" s="65" t="s">
        <v>37</v>
      </c>
      <c r="B24" s="66"/>
    </row>
    <row r="25" spans="1:7" ht="17" thickBot="1">
      <c r="A25" s="68" t="s">
        <v>83</v>
      </c>
      <c r="B25" s="168"/>
    </row>
    <row r="26" spans="1:7" ht="17" thickBot="1">
      <c r="B26" s="69"/>
    </row>
    <row r="27" spans="1:7">
      <c r="A27" s="65" t="s">
        <v>38</v>
      </c>
      <c r="B27" s="66"/>
    </row>
    <row r="28" spans="1:7" ht="17" thickBot="1">
      <c r="A28" s="67" t="s">
        <v>42</v>
      </c>
      <c r="B28" s="169"/>
    </row>
  </sheetData>
  <conditionalFormatting sqref="C9:N9">
    <cfRule type="cellIs" priority="1" operator="notEqual">
      <formula>""" """</formula>
    </cfRule>
  </conditionalFormatting>
  <hyperlinks>
    <hyperlink ref="A1" location="SUMMARY!A1" display="SUMMARY" xr:uid="{00000000-0004-0000-0500-000000000000}"/>
  </hyperlink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G25"/>
  <sheetViews>
    <sheetView showGridLines="0" zoomScale="110" zoomScaleNormal="110" workbookViewId="0">
      <selection activeCell="A2" sqref="A2:XFD2"/>
    </sheetView>
  </sheetViews>
  <sheetFormatPr defaultColWidth="10.58203125" defaultRowHeight="14.5"/>
  <cols>
    <col min="1" max="1" width="33.6640625" style="20" customWidth="1"/>
    <col min="2" max="2" width="13.08203125" style="20" bestFit="1" customWidth="1"/>
    <col min="3" max="16384" width="10.58203125" style="20"/>
  </cols>
  <sheetData>
    <row r="1" spans="1:7" ht="15.5">
      <c r="A1" s="153" t="s">
        <v>161</v>
      </c>
      <c r="G1" s="106" t="s">
        <v>107</v>
      </c>
    </row>
    <row r="3" spans="1:7">
      <c r="B3" s="253" t="s">
        <v>144</v>
      </c>
      <c r="C3" s="253" t="s">
        <v>145</v>
      </c>
      <c r="D3" s="253" t="s">
        <v>146</v>
      </c>
    </row>
    <row r="4" spans="1:7">
      <c r="A4" s="259" t="s">
        <v>148</v>
      </c>
      <c r="B4" s="260"/>
      <c r="C4" s="260"/>
      <c r="D4" s="260"/>
    </row>
    <row r="5" spans="1:7">
      <c r="A5" s="261" t="s">
        <v>147</v>
      </c>
      <c r="B5" s="262"/>
      <c r="C5" s="263"/>
      <c r="D5" s="264"/>
      <c r="E5" s="256"/>
    </row>
    <row r="6" spans="1:7">
      <c r="A6" s="265" t="s">
        <v>151</v>
      </c>
      <c r="B6" s="263"/>
      <c r="C6" s="263"/>
      <c r="E6" s="256"/>
    </row>
    <row r="7" spans="1:7">
      <c r="A7" s="266" t="s">
        <v>149</v>
      </c>
      <c r="B7" s="266"/>
      <c r="C7" s="266"/>
    </row>
    <row r="8" spans="1:7">
      <c r="A8" s="267" t="s">
        <v>150</v>
      </c>
      <c r="B8" s="268"/>
      <c r="C8" s="268"/>
    </row>
    <row r="9" spans="1:7">
      <c r="A9" s="266" t="s">
        <v>75</v>
      </c>
      <c r="B9" s="266"/>
      <c r="C9" s="266"/>
      <c r="G9" s="254"/>
    </row>
    <row r="11" spans="1:7">
      <c r="A11" s="269" t="s">
        <v>11</v>
      </c>
      <c r="B11" s="270"/>
      <c r="C11" s="270"/>
    </row>
    <row r="12" spans="1:7">
      <c r="A12" s="269" t="s">
        <v>142</v>
      </c>
      <c r="B12" s="270"/>
      <c r="C12" s="270"/>
    </row>
    <row r="13" spans="1:7">
      <c r="A13" s="269" t="s">
        <v>143</v>
      </c>
      <c r="B13" s="270"/>
      <c r="C13" s="270"/>
    </row>
    <row r="15" spans="1:7">
      <c r="A15" s="153" t="s">
        <v>160</v>
      </c>
    </row>
    <row r="17" spans="1:3">
      <c r="A17" s="269" t="s">
        <v>11</v>
      </c>
      <c r="B17" s="270"/>
      <c r="C17" s="270"/>
    </row>
    <row r="18" spans="1:3">
      <c r="A18" s="269" t="s">
        <v>74</v>
      </c>
      <c r="B18" s="270"/>
      <c r="C18" s="270"/>
    </row>
    <row r="19" spans="1:3">
      <c r="B19" s="252"/>
      <c r="C19" s="252"/>
    </row>
    <row r="20" spans="1:3">
      <c r="A20" s="255" t="s">
        <v>156</v>
      </c>
      <c r="B20" s="271"/>
      <c r="C20" s="271"/>
    </row>
    <row r="22" spans="1:3">
      <c r="A22" s="153" t="s">
        <v>159</v>
      </c>
    </row>
    <row r="23" spans="1:3" ht="10.5" customHeight="1"/>
    <row r="24" spans="1:3">
      <c r="A24" s="269" t="s">
        <v>11</v>
      </c>
      <c r="B24" s="270"/>
      <c r="C24" s="270"/>
    </row>
    <row r="25" spans="1:3">
      <c r="A25" s="269" t="s">
        <v>74</v>
      </c>
      <c r="B25" s="270"/>
      <c r="C25" s="270"/>
    </row>
  </sheetData>
  <hyperlinks>
    <hyperlink ref="G1" location="SUMMARY!A1" display="SUMMARY" xr:uid="{EB47F475-A051-4F10-986F-7C94B5937E52}"/>
  </hyperlink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4"/>
  <dimension ref="A1:O119"/>
  <sheetViews>
    <sheetView showGridLines="0" workbookViewId="0">
      <selection activeCell="L1" sqref="L1"/>
    </sheetView>
  </sheetViews>
  <sheetFormatPr defaultColWidth="10.6640625" defaultRowHeight="15.5"/>
  <cols>
    <col min="1" max="1" width="14.08203125" bestFit="1" customWidth="1"/>
    <col min="3" max="3" width="7.5" bestFit="1" customWidth="1"/>
    <col min="4" max="6" width="7.25" bestFit="1" customWidth="1"/>
    <col min="7" max="7" width="7.25" style="4" bestFit="1" customWidth="1"/>
    <col min="8" max="8" width="3" customWidth="1"/>
    <col min="9" max="9" width="28.08203125" bestFit="1" customWidth="1"/>
    <col min="10" max="10" width="9.08203125" bestFit="1" customWidth="1"/>
    <col min="11" max="13" width="7.25" bestFit="1" customWidth="1"/>
    <col min="14" max="14" width="8.25" bestFit="1" customWidth="1"/>
    <col min="15" max="15" width="7.25" bestFit="1" customWidth="1"/>
  </cols>
  <sheetData>
    <row r="1" spans="1:15">
      <c r="D1" s="291" t="s">
        <v>87</v>
      </c>
      <c r="E1" s="292"/>
      <c r="F1" s="293"/>
      <c r="L1" s="106" t="s">
        <v>107</v>
      </c>
    </row>
    <row r="2" spans="1:15" ht="16" thickBot="1">
      <c r="A2" s="10" t="s">
        <v>85</v>
      </c>
      <c r="D2" s="294" t="str">
        <f>+IF(B20&gt;J24,A2,I2)</f>
        <v>PROJECT B</v>
      </c>
      <c r="E2" s="295"/>
      <c r="F2" s="296"/>
      <c r="I2" s="10" t="s">
        <v>86</v>
      </c>
    </row>
    <row r="3" spans="1:15">
      <c r="A3" s="156" t="s">
        <v>53</v>
      </c>
      <c r="B3" s="157">
        <v>-100</v>
      </c>
      <c r="I3" s="156" t="s">
        <v>53</v>
      </c>
      <c r="J3" s="157">
        <v>-107.3</v>
      </c>
    </row>
    <row r="4" spans="1:15">
      <c r="A4" s="156" t="s">
        <v>54</v>
      </c>
      <c r="B4" s="157">
        <v>21</v>
      </c>
      <c r="I4" s="156" t="s">
        <v>54</v>
      </c>
      <c r="J4" s="157">
        <v>48.31</v>
      </c>
    </row>
    <row r="5" spans="1:15">
      <c r="A5" s="156" t="s">
        <v>55</v>
      </c>
      <c r="B5" s="157">
        <v>34</v>
      </c>
      <c r="I5" s="156" t="s">
        <v>55</v>
      </c>
      <c r="J5" s="157">
        <v>58.53</v>
      </c>
    </row>
    <row r="6" spans="1:15">
      <c r="A6" s="156" t="s">
        <v>56</v>
      </c>
      <c r="B6" s="157">
        <v>40</v>
      </c>
      <c r="I6" s="156" t="s">
        <v>56</v>
      </c>
      <c r="J6" s="157">
        <v>82.8</v>
      </c>
    </row>
    <row r="7" spans="1:15">
      <c r="A7" s="156" t="s">
        <v>57</v>
      </c>
      <c r="B7" s="157">
        <v>33</v>
      </c>
      <c r="I7" s="156" t="s">
        <v>57</v>
      </c>
      <c r="J7" s="157">
        <v>106.31</v>
      </c>
    </row>
    <row r="8" spans="1:15">
      <c r="A8" s="156" t="s">
        <v>58</v>
      </c>
      <c r="B8" s="157">
        <v>17</v>
      </c>
      <c r="I8" s="156" t="s">
        <v>58</v>
      </c>
      <c r="J8" s="157">
        <v>62.18</v>
      </c>
    </row>
    <row r="9" spans="1:15">
      <c r="A9" s="156" t="s">
        <v>45</v>
      </c>
      <c r="B9" s="158">
        <v>0.08</v>
      </c>
      <c r="I9" s="156" t="s">
        <v>59</v>
      </c>
      <c r="J9" s="159">
        <v>7.5999999999999998E-2</v>
      </c>
    </row>
    <row r="10" spans="1:15">
      <c r="A10" s="156" t="s">
        <v>35</v>
      </c>
      <c r="B10" s="156">
        <v>5</v>
      </c>
      <c r="I10" s="156" t="s">
        <v>60</v>
      </c>
      <c r="J10" s="159">
        <v>3.6999999999999998E-2</v>
      </c>
    </row>
    <row r="11" spans="1:15">
      <c r="B11" s="1"/>
      <c r="I11" s="156" t="s">
        <v>35</v>
      </c>
      <c r="J11" s="156">
        <v>5</v>
      </c>
      <c r="K11" s="1"/>
      <c r="O11" s="4"/>
    </row>
    <row r="12" spans="1:15">
      <c r="O12" s="4"/>
    </row>
    <row r="13" spans="1:15">
      <c r="A13" t="s">
        <v>12</v>
      </c>
      <c r="I13" t="s">
        <v>61</v>
      </c>
    </row>
    <row r="14" spans="1:15">
      <c r="A14" s="5" t="s">
        <v>9</v>
      </c>
      <c r="B14" s="5">
        <v>0</v>
      </c>
      <c r="C14" s="5">
        <v>1</v>
      </c>
      <c r="D14" s="5">
        <v>2</v>
      </c>
      <c r="E14" s="5">
        <v>3</v>
      </c>
      <c r="F14" s="5">
        <v>4</v>
      </c>
      <c r="G14" s="5">
        <v>5</v>
      </c>
      <c r="I14" s="163"/>
    </row>
    <row r="15" spans="1:15">
      <c r="A15" s="5" t="s">
        <v>10</v>
      </c>
      <c r="B15" s="157"/>
      <c r="C15" s="157"/>
      <c r="D15" s="157"/>
      <c r="E15" s="157"/>
      <c r="F15" s="157"/>
      <c r="G15" s="157"/>
    </row>
    <row r="16" spans="1:15">
      <c r="A16" s="5" t="s">
        <v>70</v>
      </c>
      <c r="B16" s="160"/>
      <c r="C16" s="160"/>
      <c r="D16" s="160"/>
      <c r="E16" s="160"/>
      <c r="F16" s="160"/>
      <c r="G16" s="160"/>
    </row>
    <row r="17" spans="1:15">
      <c r="A17" s="5" t="s">
        <v>16</v>
      </c>
      <c r="B17" s="161"/>
      <c r="C17" s="7"/>
      <c r="D17" s="7"/>
      <c r="E17" s="7"/>
      <c r="F17" s="7"/>
      <c r="G17" s="7"/>
      <c r="I17" t="s">
        <v>24</v>
      </c>
      <c r="O17" s="4"/>
    </row>
    <row r="18" spans="1:15">
      <c r="I18" s="5" t="s">
        <v>9</v>
      </c>
      <c r="J18" s="5">
        <v>0</v>
      </c>
      <c r="K18" s="5">
        <v>1</v>
      </c>
      <c r="L18" s="5">
        <v>2</v>
      </c>
      <c r="M18" s="5">
        <v>3</v>
      </c>
      <c r="N18" s="5">
        <v>4</v>
      </c>
      <c r="O18" s="5">
        <v>5</v>
      </c>
    </row>
    <row r="19" spans="1:15">
      <c r="A19" t="s">
        <v>13</v>
      </c>
      <c r="B19" s="7"/>
      <c r="C19" s="7"/>
      <c r="D19" s="7"/>
      <c r="E19" s="7"/>
      <c r="F19" s="7"/>
      <c r="G19" s="7"/>
      <c r="I19" s="5" t="s">
        <v>10</v>
      </c>
      <c r="J19" s="157"/>
      <c r="K19" s="157"/>
      <c r="L19" s="157"/>
      <c r="M19" s="157"/>
      <c r="N19" s="157"/>
      <c r="O19" s="157"/>
    </row>
    <row r="20" spans="1:15">
      <c r="A20" t="s">
        <v>16</v>
      </c>
      <c r="B20" s="162"/>
      <c r="C20" s="7"/>
      <c r="D20" s="7"/>
      <c r="E20" s="7"/>
      <c r="F20" s="7"/>
      <c r="G20" s="7"/>
      <c r="I20" s="5" t="s">
        <v>70</v>
      </c>
      <c r="J20" s="160"/>
      <c r="K20" s="160"/>
      <c r="L20" s="160"/>
      <c r="M20" s="160"/>
      <c r="N20" s="160"/>
      <c r="O20" s="160"/>
    </row>
    <row r="21" spans="1:15">
      <c r="D21" s="7"/>
      <c r="E21" s="7"/>
      <c r="F21" s="7"/>
      <c r="G21" s="7"/>
      <c r="I21" s="5" t="s">
        <v>16</v>
      </c>
      <c r="J21" s="161"/>
      <c r="K21" s="7"/>
      <c r="L21" s="7"/>
      <c r="M21" s="7"/>
      <c r="N21" s="7"/>
      <c r="O21" s="7"/>
    </row>
    <row r="23" spans="1:15">
      <c r="I23" t="s">
        <v>62</v>
      </c>
      <c r="J23" s="7"/>
      <c r="K23" s="7"/>
      <c r="L23" s="7"/>
      <c r="M23" s="7"/>
      <c r="N23" s="7"/>
      <c r="O23" s="7"/>
    </row>
    <row r="24" spans="1:15">
      <c r="I24" t="s">
        <v>16</v>
      </c>
      <c r="J24" s="161">
        <f>+NPV(I14,K19:O19)+J19</f>
        <v>0</v>
      </c>
      <c r="K24" s="7"/>
      <c r="L24" s="7"/>
      <c r="M24" s="7"/>
      <c r="N24" s="7"/>
      <c r="O24" s="7"/>
    </row>
    <row r="25" spans="1:15">
      <c r="A25" s="3"/>
      <c r="L25" s="7"/>
      <c r="M25" s="7"/>
      <c r="N25" s="7"/>
      <c r="O25" s="7"/>
    </row>
    <row r="26" spans="1:15">
      <c r="O26" s="4"/>
    </row>
    <row r="27" spans="1:15">
      <c r="O27" s="4"/>
    </row>
    <row r="28" spans="1:15">
      <c r="O28" s="4"/>
    </row>
    <row r="29" spans="1:15">
      <c r="I29" s="3"/>
      <c r="O29" s="4"/>
    </row>
    <row r="30" spans="1:15">
      <c r="O30" s="4"/>
    </row>
    <row r="31" spans="1:15">
      <c r="O31" s="4"/>
    </row>
    <row r="32" spans="1:15">
      <c r="G32"/>
      <c r="O32" s="4"/>
    </row>
    <row r="33" spans="7:15">
      <c r="G33"/>
      <c r="O33" s="4"/>
    </row>
    <row r="34" spans="7:15">
      <c r="G34"/>
      <c r="O34" s="4"/>
    </row>
    <row r="35" spans="7:15">
      <c r="G35"/>
      <c r="O35" s="4"/>
    </row>
    <row r="36" spans="7:15">
      <c r="G36"/>
    </row>
    <row r="37" spans="7:15">
      <c r="G37"/>
    </row>
    <row r="38" spans="7:15">
      <c r="G38"/>
    </row>
    <row r="39" spans="7:15">
      <c r="G39"/>
    </row>
    <row r="44" spans="7:15">
      <c r="O44" s="4"/>
    </row>
    <row r="45" spans="7:15">
      <c r="O45" s="4"/>
    </row>
    <row r="46" spans="7:15">
      <c r="O46" s="4"/>
    </row>
    <row r="47" spans="7:15">
      <c r="O47" s="4"/>
    </row>
    <row r="48" spans="7:15">
      <c r="O48" s="4"/>
    </row>
    <row r="49" spans="15:15">
      <c r="O49" s="4"/>
    </row>
    <row r="50" spans="15:15">
      <c r="O50" s="4"/>
    </row>
    <row r="51" spans="15:15">
      <c r="O51" s="4"/>
    </row>
    <row r="52" spans="15:15">
      <c r="O52" s="4"/>
    </row>
    <row r="53" spans="15:15">
      <c r="O53" s="4"/>
    </row>
    <row r="54" spans="15:15">
      <c r="O54" s="4"/>
    </row>
    <row r="55" spans="15:15">
      <c r="O55" s="4"/>
    </row>
    <row r="56" spans="15:15">
      <c r="O56" s="4"/>
    </row>
    <row r="57" spans="15:15">
      <c r="O57" s="4"/>
    </row>
    <row r="58" spans="15:15">
      <c r="O58" s="4"/>
    </row>
    <row r="59" spans="15:15">
      <c r="O59" s="4"/>
    </row>
    <row r="60" spans="15:15">
      <c r="O60" s="4"/>
    </row>
    <row r="61" spans="15:15">
      <c r="O61" s="4"/>
    </row>
    <row r="62" spans="15:15">
      <c r="O62" s="4"/>
    </row>
    <row r="63" spans="15:15">
      <c r="O63" s="4"/>
    </row>
    <row r="64" spans="15:15">
      <c r="O64" s="4"/>
    </row>
    <row r="65" spans="15:15">
      <c r="O65" s="4"/>
    </row>
    <row r="66" spans="15:15">
      <c r="O66" s="4"/>
    </row>
    <row r="67" spans="15:15">
      <c r="O67" s="4"/>
    </row>
    <row r="68" spans="15:15">
      <c r="O68" s="4"/>
    </row>
    <row r="69" spans="15:15">
      <c r="O69" s="4"/>
    </row>
    <row r="70" spans="15:15">
      <c r="O70" s="4"/>
    </row>
    <row r="71" spans="15:15">
      <c r="O71" s="4"/>
    </row>
    <row r="72" spans="15:15">
      <c r="O72" s="4"/>
    </row>
    <row r="73" spans="15:15">
      <c r="O73" s="4"/>
    </row>
    <row r="74" spans="15:15">
      <c r="O74" s="4"/>
    </row>
    <row r="75" spans="15:15">
      <c r="O75" s="4"/>
    </row>
    <row r="76" spans="15:15">
      <c r="O76" s="4"/>
    </row>
    <row r="77" spans="15:15">
      <c r="O77" s="4"/>
    </row>
    <row r="78" spans="15:15">
      <c r="O78" s="4"/>
    </row>
    <row r="79" spans="15:15">
      <c r="O79" s="4"/>
    </row>
    <row r="80" spans="15:15">
      <c r="O80" s="4"/>
    </row>
    <row r="81" spans="15:15">
      <c r="O81" s="4"/>
    </row>
    <row r="82" spans="15:15">
      <c r="O82" s="4"/>
    </row>
    <row r="83" spans="15:15">
      <c r="O83" s="4"/>
    </row>
    <row r="84" spans="15:15">
      <c r="O84" s="4"/>
    </row>
    <row r="85" spans="15:15">
      <c r="O85" s="4"/>
    </row>
    <row r="86" spans="15:15">
      <c r="O86" s="4"/>
    </row>
    <row r="87" spans="15:15">
      <c r="O87" s="4"/>
    </row>
    <row r="88" spans="15:15">
      <c r="O88" s="4"/>
    </row>
    <row r="89" spans="15:15">
      <c r="O89" s="4"/>
    </row>
    <row r="90" spans="15:15">
      <c r="O90" s="4"/>
    </row>
    <row r="91" spans="15:15">
      <c r="O91" s="4"/>
    </row>
    <row r="92" spans="15:15">
      <c r="O92" s="4"/>
    </row>
    <row r="93" spans="15:15">
      <c r="O93" s="4"/>
    </row>
    <row r="94" spans="15:15">
      <c r="O94" s="4"/>
    </row>
    <row r="95" spans="15:15">
      <c r="O95" s="4"/>
    </row>
    <row r="96" spans="15:15">
      <c r="O96" s="4"/>
    </row>
    <row r="97" spans="15:15">
      <c r="O97" s="4"/>
    </row>
    <row r="98" spans="15:15">
      <c r="O98" s="4"/>
    </row>
    <row r="99" spans="15:15">
      <c r="O99" s="4"/>
    </row>
    <row r="100" spans="15:15">
      <c r="O100" s="4"/>
    </row>
    <row r="101" spans="15:15">
      <c r="O101" s="4"/>
    </row>
    <row r="102" spans="15:15">
      <c r="O102" s="4"/>
    </row>
    <row r="103" spans="15:15">
      <c r="O103" s="4"/>
    </row>
    <row r="104" spans="15:15">
      <c r="O104" s="4"/>
    </row>
    <row r="105" spans="15:15">
      <c r="O105" s="4"/>
    </row>
    <row r="106" spans="15:15">
      <c r="O106" s="4"/>
    </row>
    <row r="107" spans="15:15">
      <c r="O107" s="4"/>
    </row>
    <row r="108" spans="15:15">
      <c r="O108" s="4"/>
    </row>
    <row r="109" spans="15:15">
      <c r="O109" s="4"/>
    </row>
    <row r="110" spans="15:15">
      <c r="O110" s="4"/>
    </row>
    <row r="111" spans="15:15">
      <c r="O111" s="4"/>
    </row>
    <row r="112" spans="15:15">
      <c r="O112" s="4"/>
    </row>
    <row r="113" spans="15:15">
      <c r="O113" s="4"/>
    </row>
    <row r="114" spans="15:15">
      <c r="O114" s="4"/>
    </row>
    <row r="115" spans="15:15">
      <c r="O115" s="4"/>
    </row>
    <row r="116" spans="15:15">
      <c r="O116" s="4"/>
    </row>
    <row r="117" spans="15:15">
      <c r="O117" s="4"/>
    </row>
    <row r="118" spans="15:15">
      <c r="O118" s="4"/>
    </row>
    <row r="119" spans="15:15">
      <c r="O119" s="4"/>
    </row>
  </sheetData>
  <mergeCells count="2">
    <mergeCell ref="D1:F1"/>
    <mergeCell ref="D2:F2"/>
  </mergeCells>
  <hyperlinks>
    <hyperlink ref="L1" location="SUMMARY!A1" display="SUMMARY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1"/>
  <dimension ref="A1:F10"/>
  <sheetViews>
    <sheetView showGridLines="0" workbookViewId="0">
      <selection activeCell="E13" sqref="E13"/>
    </sheetView>
  </sheetViews>
  <sheetFormatPr defaultColWidth="10.58203125" defaultRowHeight="14.5"/>
  <cols>
    <col min="1" max="1" width="8.58203125" style="21" bestFit="1" customWidth="1"/>
    <col min="2" max="2" width="10.25" style="21" bestFit="1" customWidth="1"/>
    <col min="3" max="3" width="11.58203125" style="21" bestFit="1" customWidth="1"/>
    <col min="4" max="4" width="10.58203125" style="20"/>
    <col min="5" max="5" width="15.83203125" style="20" bestFit="1" customWidth="1"/>
    <col min="6" max="6" width="9.33203125" style="20" bestFit="1" customWidth="1"/>
    <col min="7" max="16384" width="10.58203125" style="20"/>
  </cols>
  <sheetData>
    <row r="1" spans="1:6" ht="15" thickBot="1"/>
    <row r="2" spans="1:6" ht="15" thickBot="1">
      <c r="A2" s="21" t="s">
        <v>81</v>
      </c>
      <c r="B2" s="22" t="s">
        <v>80</v>
      </c>
      <c r="C2" s="21" t="s">
        <v>79</v>
      </c>
      <c r="E2" s="154" t="s">
        <v>32</v>
      </c>
      <c r="F2" s="155">
        <v>0.1</v>
      </c>
    </row>
    <row r="3" spans="1:6">
      <c r="A3" s="21">
        <v>1</v>
      </c>
      <c r="B3" s="21" t="s">
        <v>78</v>
      </c>
      <c r="C3" s="21">
        <v>-5000</v>
      </c>
    </row>
    <row r="4" spans="1:6">
      <c r="A4" s="21">
        <v>2</v>
      </c>
      <c r="B4" s="21" t="s">
        <v>76</v>
      </c>
      <c r="C4" s="21">
        <v>1500</v>
      </c>
      <c r="E4" s="222" t="s">
        <v>16</v>
      </c>
      <c r="F4" s="223"/>
    </row>
    <row r="5" spans="1:6">
      <c r="A5" s="21">
        <v>3</v>
      </c>
      <c r="B5" s="21" t="s">
        <v>76</v>
      </c>
      <c r="C5" s="21">
        <v>2000</v>
      </c>
    </row>
    <row r="6" spans="1:6">
      <c r="A6" s="21">
        <v>4</v>
      </c>
      <c r="B6" s="21" t="s">
        <v>76</v>
      </c>
      <c r="C6" s="21">
        <v>-1000</v>
      </c>
      <c r="E6" s="222" t="s">
        <v>77</v>
      </c>
      <c r="F6" s="224"/>
    </row>
    <row r="7" spans="1:6" ht="15" thickBot="1">
      <c r="A7" s="21">
        <v>5</v>
      </c>
      <c r="B7" s="21" t="s">
        <v>76</v>
      </c>
      <c r="C7" s="21">
        <v>1500</v>
      </c>
    </row>
    <row r="8" spans="1:6" ht="15" thickBot="1">
      <c r="A8" s="21">
        <v>6</v>
      </c>
      <c r="B8" s="21" t="s">
        <v>76</v>
      </c>
      <c r="C8" s="21">
        <v>3000</v>
      </c>
      <c r="E8" s="70" t="s">
        <v>84</v>
      </c>
      <c r="F8" s="71"/>
    </row>
    <row r="10" spans="1:6" ht="15.5">
      <c r="A10" s="106" t="s">
        <v>107</v>
      </c>
    </row>
  </sheetData>
  <hyperlinks>
    <hyperlink ref="A10" location="SUMMARY!A1" display="SUMMARY" xr:uid="{00000000-0004-0000-0700-000000000000}"/>
  </hyperlink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B1:L21"/>
  <sheetViews>
    <sheetView zoomScale="107" workbookViewId="0">
      <selection activeCell="E12" sqref="E12"/>
    </sheetView>
  </sheetViews>
  <sheetFormatPr defaultColWidth="8.33203125" defaultRowHeight="11.5"/>
  <cols>
    <col min="1" max="1" width="1.83203125" style="74" customWidth="1"/>
    <col min="2" max="2" width="14.5" style="74" bestFit="1" customWidth="1"/>
    <col min="3" max="3" width="9" style="75" bestFit="1" customWidth="1"/>
    <col min="4" max="9" width="12.1640625" style="74" customWidth="1"/>
    <col min="10" max="10" width="3.5" style="74" customWidth="1"/>
    <col min="11" max="11" width="13.75" style="74" bestFit="1" customWidth="1"/>
    <col min="12" max="12" width="12.08203125" style="74" customWidth="1"/>
    <col min="13" max="13" width="9" style="74" bestFit="1" customWidth="1"/>
    <col min="14" max="16384" width="8.33203125" style="74"/>
  </cols>
  <sheetData>
    <row r="1" spans="2:12" ht="12" customHeight="1" thickBot="1">
      <c r="C1" s="244"/>
      <c r="D1" s="244"/>
      <c r="E1" s="244"/>
      <c r="F1" s="244"/>
      <c r="G1" s="244"/>
      <c r="H1" s="244"/>
      <c r="I1" s="244"/>
    </row>
    <row r="2" spans="2:12" ht="12" customHeight="1">
      <c r="B2" s="241" t="s">
        <v>139</v>
      </c>
      <c r="C2" s="242"/>
      <c r="D2" s="242"/>
      <c r="E2" s="242"/>
      <c r="F2" s="242"/>
      <c r="G2" s="242"/>
      <c r="H2" s="242"/>
      <c r="I2" s="243"/>
    </row>
    <row r="3" spans="2:12" ht="12" customHeight="1" thickBot="1">
      <c r="B3" s="245" t="s">
        <v>140</v>
      </c>
      <c r="C3" s="240"/>
      <c r="D3" s="240"/>
      <c r="E3" s="240"/>
      <c r="F3" s="240"/>
      <c r="G3" s="240"/>
      <c r="H3" s="240"/>
      <c r="I3" s="204"/>
    </row>
    <row r="4" spans="2:12" ht="12" customHeight="1">
      <c r="B4" s="82"/>
      <c r="C4" s="82"/>
      <c r="D4" s="82"/>
      <c r="E4" s="82"/>
      <c r="F4" s="82"/>
      <c r="G4" s="82"/>
      <c r="H4" s="82"/>
    </row>
    <row r="5" spans="2:12" ht="12" customHeight="1">
      <c r="B5" s="83" t="s">
        <v>92</v>
      </c>
      <c r="C5" s="84">
        <v>8.2100000000000006E-2</v>
      </c>
      <c r="D5" s="82"/>
      <c r="E5" s="82"/>
      <c r="F5" s="82"/>
      <c r="G5" s="82"/>
      <c r="H5" s="82"/>
      <c r="I5" s="82"/>
    </row>
    <row r="6" spans="2:12" ht="12" customHeight="1" thickBot="1">
      <c r="B6" s="83"/>
      <c r="C6" s="83"/>
      <c r="D6" s="82"/>
      <c r="E6" s="82"/>
      <c r="F6" s="82"/>
      <c r="G6" s="82"/>
      <c r="H6" s="82"/>
      <c r="I6" s="82"/>
    </row>
    <row r="7" spans="2:12" ht="15" thickBot="1">
      <c r="B7" s="182" t="s">
        <v>91</v>
      </c>
      <c r="C7" s="183"/>
      <c r="D7" s="184">
        <v>-1000</v>
      </c>
      <c r="E7" s="184">
        <v>300</v>
      </c>
      <c r="F7" s="185">
        <v>290</v>
      </c>
      <c r="G7" s="185">
        <v>200</v>
      </c>
      <c r="H7" s="185">
        <v>130</v>
      </c>
      <c r="I7" s="186">
        <v>164</v>
      </c>
    </row>
    <row r="8" spans="2:12" ht="12" thickBot="1">
      <c r="B8" s="180"/>
      <c r="C8" s="180"/>
      <c r="D8" s="181"/>
      <c r="E8" s="181"/>
      <c r="F8" s="181"/>
      <c r="G8" s="181"/>
      <c r="H8" s="181"/>
      <c r="I8" s="181"/>
    </row>
    <row r="9" spans="2:12" ht="12" thickBot="1">
      <c r="B9" s="191" t="s">
        <v>137</v>
      </c>
      <c r="C9" s="192"/>
      <c r="D9" s="193">
        <v>0</v>
      </c>
      <c r="E9" s="193">
        <v>1</v>
      </c>
      <c r="F9" s="193">
        <v>2</v>
      </c>
      <c r="G9" s="193">
        <v>3</v>
      </c>
      <c r="H9" s="193">
        <v>4</v>
      </c>
      <c r="I9" s="194">
        <v>5</v>
      </c>
      <c r="K9" s="187" t="s">
        <v>16</v>
      </c>
      <c r="L9" s="188"/>
    </row>
    <row r="10" spans="2:12" ht="15" thickBot="1">
      <c r="B10" s="199" t="s">
        <v>130</v>
      </c>
      <c r="C10" s="195"/>
      <c r="D10" s="196"/>
      <c r="E10" s="196"/>
      <c r="F10" s="197"/>
      <c r="G10" s="197"/>
      <c r="H10" s="197"/>
      <c r="I10" s="198"/>
      <c r="K10" s="187" t="s">
        <v>77</v>
      </c>
      <c r="L10" s="189"/>
    </row>
    <row r="11" spans="2:12" ht="15" thickBot="1">
      <c r="B11" s="81"/>
      <c r="C11" s="80"/>
      <c r="D11" s="78"/>
      <c r="E11" s="78"/>
      <c r="F11" s="79"/>
      <c r="G11" s="79"/>
      <c r="H11" s="79"/>
      <c r="I11" s="79"/>
      <c r="K11" s="77"/>
      <c r="L11" s="190"/>
    </row>
    <row r="12" spans="2:12" ht="12" thickBot="1">
      <c r="B12" s="200" t="s">
        <v>138</v>
      </c>
      <c r="C12" s="201"/>
      <c r="D12" s="202"/>
      <c r="E12" s="202"/>
      <c r="F12" s="202"/>
      <c r="G12" s="202"/>
      <c r="H12" s="202"/>
      <c r="I12" s="203"/>
      <c r="K12" s="209" t="s">
        <v>132</v>
      </c>
      <c r="L12" s="210"/>
    </row>
    <row r="13" spans="2:12" ht="12" thickBot="1">
      <c r="B13" s="208" t="s">
        <v>130</v>
      </c>
      <c r="C13" s="205"/>
      <c r="D13" s="206"/>
      <c r="E13" s="205"/>
      <c r="F13" s="205"/>
      <c r="G13" s="205"/>
      <c r="H13" s="205"/>
      <c r="I13" s="207"/>
      <c r="K13" s="187" t="s">
        <v>129</v>
      </c>
      <c r="L13" s="219"/>
    </row>
    <row r="14" spans="2:12" ht="12" thickBot="1">
      <c r="C14" s="74"/>
    </row>
    <row r="15" spans="2:12" ht="12" thickBot="1">
      <c r="B15" s="211" t="s">
        <v>138</v>
      </c>
      <c r="C15" s="212"/>
      <c r="D15" s="213">
        <f ca="1">TODAY()</f>
        <v>46286</v>
      </c>
      <c r="E15" s="213">
        <f ca="1">EDATE(D15,10)</f>
        <v>46589</v>
      </c>
      <c r="F15" s="213">
        <f ca="1">EDATE(E15,15)</f>
        <v>47047</v>
      </c>
      <c r="G15" s="213">
        <f ca="1">EDATE(F15,7)</f>
        <v>47259</v>
      </c>
      <c r="H15" s="213">
        <f ca="1">EDATE(G15,16)</f>
        <v>47747</v>
      </c>
      <c r="I15" s="214">
        <f t="shared" ref="I15" ca="1" si="0">EDATE(H15,12)</f>
        <v>48112</v>
      </c>
      <c r="K15" s="209" t="s">
        <v>132</v>
      </c>
      <c r="L15" s="218"/>
    </row>
    <row r="16" spans="2:12" ht="12" thickBot="1">
      <c r="B16" s="215" t="s">
        <v>131</v>
      </c>
      <c r="C16" s="216"/>
      <c r="D16" s="216"/>
      <c r="E16" s="216"/>
      <c r="F16" s="216"/>
      <c r="G16" s="216"/>
      <c r="H16" s="216"/>
      <c r="I16" s="217"/>
      <c r="K16" s="187" t="s">
        <v>129</v>
      </c>
      <c r="L16" s="220"/>
    </row>
    <row r="17" spans="2:9">
      <c r="C17" s="74"/>
      <c r="F17" s="77"/>
    </row>
    <row r="18" spans="2:9" ht="15.5">
      <c r="B18" s="106" t="s">
        <v>107</v>
      </c>
      <c r="C18" s="74"/>
      <c r="H18" s="76" t="s">
        <v>84</v>
      </c>
      <c r="I18" s="221"/>
    </row>
    <row r="19" spans="2:9">
      <c r="C19" s="74"/>
    </row>
    <row r="20" spans="2:9">
      <c r="C20" s="74"/>
      <c r="H20" s="76" t="s">
        <v>90</v>
      </c>
      <c r="I20" s="221"/>
    </row>
    <row r="21" spans="2:9">
      <c r="C21" s="74"/>
    </row>
  </sheetData>
  <hyperlinks>
    <hyperlink ref="B18" location="SUMMARY!A1" display="SUMMARY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5"/>
  <dimension ref="A1:G16"/>
  <sheetViews>
    <sheetView showGridLines="0" workbookViewId="0">
      <selection activeCell="F17" sqref="F17"/>
    </sheetView>
  </sheetViews>
  <sheetFormatPr defaultColWidth="10.6640625" defaultRowHeight="15.5"/>
  <cols>
    <col min="3" max="3" width="23.9140625" bestFit="1" customWidth="1"/>
    <col min="5" max="5" width="19.9140625" customWidth="1"/>
    <col min="6" max="6" width="21.25" customWidth="1"/>
  </cols>
  <sheetData>
    <row r="1" spans="1:7" ht="16" thickBot="1">
      <c r="A1" s="238" t="s">
        <v>141</v>
      </c>
      <c r="B1" s="147"/>
      <c r="C1" s="147"/>
      <c r="D1" s="147"/>
      <c r="E1" s="147"/>
      <c r="F1" s="147"/>
      <c r="G1" s="239"/>
    </row>
    <row r="2" spans="1:7" ht="16" thickBot="1"/>
    <row r="3" spans="1:7" ht="16" thickBot="1">
      <c r="E3" s="226" t="s">
        <v>127</v>
      </c>
      <c r="F3" s="227" t="s">
        <v>126</v>
      </c>
    </row>
    <row r="4" spans="1:7" s="120" customFormat="1" ht="31">
      <c r="A4" s="118" t="s">
        <v>73</v>
      </c>
      <c r="B4" s="118" t="s">
        <v>71</v>
      </c>
      <c r="C4" s="118" t="s">
        <v>121</v>
      </c>
      <c r="D4" s="118" t="s">
        <v>118</v>
      </c>
      <c r="E4" s="225" t="s">
        <v>119</v>
      </c>
      <c r="F4" s="225" t="s">
        <v>122</v>
      </c>
    </row>
    <row r="5" spans="1:7">
      <c r="A5" s="19">
        <v>0</v>
      </c>
      <c r="B5" s="129">
        <v>-100</v>
      </c>
      <c r="C5" s="130"/>
      <c r="D5" s="19"/>
      <c r="E5" s="125"/>
      <c r="F5" s="127"/>
    </row>
    <row r="6" spans="1:7">
      <c r="A6" s="19">
        <v>1</v>
      </c>
      <c r="B6" s="129">
        <v>21</v>
      </c>
      <c r="C6" s="179">
        <v>0.08</v>
      </c>
      <c r="D6" s="124"/>
      <c r="E6" s="126"/>
      <c r="F6" s="128"/>
    </row>
    <row r="7" spans="1:7">
      <c r="A7" s="19">
        <v>2</v>
      </c>
      <c r="B7" s="129">
        <v>34</v>
      </c>
      <c r="C7" s="179">
        <v>7.5999999999999998E-2</v>
      </c>
      <c r="D7" s="124"/>
      <c r="E7" s="126"/>
      <c r="F7" s="128"/>
    </row>
    <row r="8" spans="1:7">
      <c r="A8" s="19">
        <v>3</v>
      </c>
      <c r="B8" s="129">
        <v>40</v>
      </c>
      <c r="C8" s="179">
        <v>7.2999999999999995E-2</v>
      </c>
      <c r="D8" s="124"/>
      <c r="E8" s="126"/>
      <c r="F8" s="128"/>
    </row>
    <row r="9" spans="1:7">
      <c r="A9" s="19">
        <v>4</v>
      </c>
      <c r="B9" s="129">
        <v>33</v>
      </c>
      <c r="C9" s="179">
        <v>6.6000000000000003E-2</v>
      </c>
      <c r="D9" s="124"/>
      <c r="E9" s="126"/>
      <c r="F9" s="128"/>
    </row>
    <row r="10" spans="1:7">
      <c r="A10" s="19">
        <v>5</v>
      </c>
      <c r="B10" s="129">
        <v>17</v>
      </c>
      <c r="C10" s="179">
        <v>7.0000000000000007E-2</v>
      </c>
      <c r="D10" s="124"/>
      <c r="E10" s="126"/>
      <c r="F10" s="128"/>
    </row>
    <row r="11" spans="1:7">
      <c r="B11" s="7"/>
      <c r="C11" s="17" t="s">
        <v>72</v>
      </c>
      <c r="D11" s="17"/>
      <c r="E11" s="18"/>
      <c r="F11" s="18"/>
    </row>
    <row r="12" spans="1:7" ht="16" thickBot="1"/>
    <row r="13" spans="1:7" ht="16" thickBot="1">
      <c r="C13" s="70" t="s">
        <v>84</v>
      </c>
      <c r="D13" s="116"/>
      <c r="E13" s="117"/>
      <c r="F13" s="117"/>
    </row>
    <row r="15" spans="1:7">
      <c r="A15" s="119" t="s">
        <v>107</v>
      </c>
    </row>
    <row r="16" spans="1:7" ht="23.5">
      <c r="A16" s="121"/>
    </row>
  </sheetData>
  <hyperlinks>
    <hyperlink ref="A15" location="SUMMARY!A1" display="SUMMARY" xr:uid="{00000000-0004-0000-0900-000000000000}"/>
  </hyperlink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/>
  <dimension ref="A1:P160"/>
  <sheetViews>
    <sheetView topLeftCell="A5" workbookViewId="0">
      <selection activeCell="F31" sqref="F31"/>
    </sheetView>
  </sheetViews>
  <sheetFormatPr defaultColWidth="8.33203125" defaultRowHeight="11.5"/>
  <cols>
    <col min="1" max="1" width="1.83203125" style="85" customWidth="1"/>
    <col min="2" max="2" width="18.5" style="85" customWidth="1"/>
    <col min="3" max="3" width="8.33203125" style="85"/>
    <col min="4" max="4" width="9" style="86" bestFit="1" customWidth="1"/>
    <col min="5" max="5" width="16.75" style="85" bestFit="1" customWidth="1"/>
    <col min="6" max="6" width="10.75" style="85" customWidth="1"/>
    <col min="7" max="7" width="13.25" style="85" customWidth="1"/>
    <col min="8" max="8" width="16.75" style="85" bestFit="1" customWidth="1"/>
    <col min="9" max="9" width="9.58203125" style="85" bestFit="1" customWidth="1"/>
    <col min="10" max="10" width="9.58203125" style="85" customWidth="1"/>
    <col min="11" max="11" width="16.75" style="85" bestFit="1" customWidth="1"/>
    <col min="12" max="12" width="8.5" style="85" bestFit="1" customWidth="1"/>
    <col min="13" max="13" width="9" style="85" bestFit="1" customWidth="1"/>
    <col min="14" max="14" width="16.75" style="85" bestFit="1" customWidth="1"/>
    <col min="15" max="15" width="9" style="85" bestFit="1" customWidth="1"/>
    <col min="16" max="16384" width="8.33203125" style="85"/>
  </cols>
  <sheetData>
    <row r="1" spans="1:16" ht="16" thickBot="1">
      <c r="A1" s="89"/>
      <c r="B1" s="90"/>
      <c r="C1" s="89"/>
      <c r="D1" s="89"/>
      <c r="E1" s="106" t="s">
        <v>107</v>
      </c>
      <c r="F1" s="89"/>
      <c r="G1" s="89"/>
    </row>
    <row r="2" spans="1:16">
      <c r="B2" s="229" t="s">
        <v>116</v>
      </c>
      <c r="C2" s="230"/>
      <c r="D2" s="230"/>
      <c r="E2" s="230"/>
      <c r="F2" s="230"/>
      <c r="G2" s="230"/>
      <c r="H2" s="230"/>
      <c r="I2" s="230"/>
      <c r="J2" s="230"/>
      <c r="K2" s="230"/>
      <c r="L2" s="231"/>
    </row>
    <row r="3" spans="1:16" ht="12" thickBot="1">
      <c r="B3" s="232" t="s">
        <v>117</v>
      </c>
      <c r="C3" s="233"/>
      <c r="D3" s="233"/>
      <c r="E3" s="233"/>
      <c r="F3" s="233"/>
      <c r="G3" s="233"/>
      <c r="H3" s="233"/>
      <c r="I3" s="233"/>
      <c r="J3" s="233"/>
      <c r="K3" s="233"/>
      <c r="L3" s="234"/>
    </row>
    <row r="4" spans="1:16">
      <c r="D4" s="85"/>
    </row>
    <row r="5" spans="1:16">
      <c r="D5" s="85"/>
    </row>
    <row r="6" spans="1:16">
      <c r="D6" s="85"/>
    </row>
    <row r="7" spans="1:16">
      <c r="D7" s="85"/>
    </row>
    <row r="8" spans="1:16">
      <c r="B8" s="85" t="s">
        <v>100</v>
      </c>
      <c r="C8" s="104">
        <v>120</v>
      </c>
      <c r="D8" s="85"/>
      <c r="E8" s="85" t="s">
        <v>100</v>
      </c>
      <c r="F8" s="104">
        <v>132</v>
      </c>
      <c r="H8" s="85" t="s">
        <v>100</v>
      </c>
      <c r="I8" s="104">
        <v>108</v>
      </c>
      <c r="K8" s="85" t="s">
        <v>100</v>
      </c>
      <c r="L8" s="104">
        <v>96</v>
      </c>
      <c r="N8" s="85" t="s">
        <v>100</v>
      </c>
      <c r="O8" s="104">
        <v>120</v>
      </c>
    </row>
    <row r="9" spans="1:16">
      <c r="B9" s="85" t="s">
        <v>99</v>
      </c>
      <c r="C9" s="105">
        <v>0.03</v>
      </c>
      <c r="D9" s="85"/>
      <c r="E9" s="85" t="s">
        <v>99</v>
      </c>
      <c r="F9" s="105">
        <v>3.2500000000000001E-2</v>
      </c>
      <c r="H9" s="85" t="s">
        <v>99</v>
      </c>
      <c r="I9" s="105">
        <v>2.9499999999999998E-2</v>
      </c>
      <c r="K9" s="85" t="s">
        <v>99</v>
      </c>
      <c r="L9" s="105">
        <v>3.5000000000000003E-2</v>
      </c>
      <c r="N9" s="85" t="s">
        <v>99</v>
      </c>
      <c r="O9" s="105">
        <v>0.04</v>
      </c>
    </row>
    <row r="10" spans="1:16">
      <c r="B10" s="85" t="s">
        <v>98</v>
      </c>
      <c r="C10" s="105">
        <f>C9/12</f>
        <v>2.5000000000000001E-3</v>
      </c>
      <c r="D10" s="85"/>
      <c r="E10" s="85" t="s">
        <v>98</v>
      </c>
      <c r="F10" s="105">
        <f>F9/12</f>
        <v>2.7083333333333334E-3</v>
      </c>
      <c r="H10" s="85" t="s">
        <v>98</v>
      </c>
      <c r="I10" s="105">
        <f>I9/12</f>
        <v>2.4583333333333332E-3</v>
      </c>
      <c r="K10" s="85" t="s">
        <v>98</v>
      </c>
      <c r="L10" s="105">
        <f>L9/12</f>
        <v>2.9166666666666668E-3</v>
      </c>
      <c r="N10" s="85" t="s">
        <v>98</v>
      </c>
      <c r="O10" s="105">
        <f>O9/12</f>
        <v>3.3333333333333335E-3</v>
      </c>
    </row>
    <row r="11" spans="1:16">
      <c r="B11" s="85" t="s">
        <v>97</v>
      </c>
      <c r="C11" s="104">
        <v>300000</v>
      </c>
      <c r="D11" s="85"/>
      <c r="E11" s="85" t="s">
        <v>97</v>
      </c>
      <c r="F11" s="104">
        <v>280000</v>
      </c>
      <c r="H11" s="85" t="s">
        <v>97</v>
      </c>
      <c r="I11" s="104">
        <v>290000</v>
      </c>
      <c r="K11" s="85" t="s">
        <v>97</v>
      </c>
      <c r="L11" s="104">
        <v>295000</v>
      </c>
      <c r="N11" s="85" t="s">
        <v>97</v>
      </c>
      <c r="O11" s="104">
        <v>300000</v>
      </c>
    </row>
    <row r="12" spans="1:16" ht="12" thickBot="1">
      <c r="B12" s="102"/>
      <c r="C12" s="103"/>
      <c r="D12" s="103"/>
      <c r="E12" s="102"/>
      <c r="F12" s="103"/>
      <c r="H12" s="102"/>
      <c r="I12" s="103"/>
      <c r="K12" s="102"/>
      <c r="L12" s="103"/>
      <c r="N12" s="102"/>
      <c r="O12" s="103"/>
    </row>
    <row r="13" spans="1:16" ht="12" thickBot="1">
      <c r="B13" s="102" t="s">
        <v>96</v>
      </c>
      <c r="C13" s="228"/>
      <c r="D13" s="99"/>
      <c r="E13" s="102" t="s">
        <v>96</v>
      </c>
      <c r="F13" s="228"/>
      <c r="H13" s="102" t="s">
        <v>96</v>
      </c>
      <c r="I13" s="228"/>
      <c r="K13" s="102" t="s">
        <v>96</v>
      </c>
      <c r="L13" s="228"/>
      <c r="N13" s="102" t="s">
        <v>96</v>
      </c>
      <c r="O13" s="228"/>
      <c r="P13" s="101"/>
    </row>
    <row r="14" spans="1:16">
      <c r="B14" s="100"/>
      <c r="C14" s="99"/>
      <c r="D14" s="98"/>
      <c r="E14" s="98"/>
    </row>
    <row r="15" spans="1:16">
      <c r="B15" s="100"/>
      <c r="C15" s="99"/>
      <c r="D15" s="98"/>
      <c r="E15" s="98"/>
    </row>
    <row r="16" spans="1:16" ht="12" thickBot="1">
      <c r="D16" s="97"/>
      <c r="E16" s="97"/>
    </row>
    <row r="17" spans="2:13" ht="12" thickBot="1">
      <c r="B17" s="96"/>
      <c r="D17" s="85"/>
      <c r="I17" s="235" t="s">
        <v>123</v>
      </c>
      <c r="J17" s="236"/>
      <c r="K17" s="236"/>
      <c r="L17" s="236"/>
      <c r="M17" s="237"/>
    </row>
    <row r="18" spans="2:13">
      <c r="B18" s="95"/>
      <c r="C18" s="94" t="s">
        <v>26</v>
      </c>
      <c r="D18" s="93" t="s">
        <v>27</v>
      </c>
      <c r="E18" s="93" t="s">
        <v>95</v>
      </c>
      <c r="F18" s="93" t="s">
        <v>94</v>
      </c>
      <c r="G18" s="93" t="s">
        <v>93</v>
      </c>
      <c r="I18" s="123"/>
    </row>
    <row r="19" spans="2:13">
      <c r="D19" s="92"/>
      <c r="E19" s="91"/>
      <c r="F19" s="91"/>
      <c r="G19" s="91"/>
    </row>
    <row r="20" spans="2:13">
      <c r="D20" s="92"/>
      <c r="E20" s="91"/>
      <c r="F20" s="91"/>
      <c r="G20" s="91"/>
      <c r="I20" s="123"/>
    </row>
    <row r="21" spans="2:13">
      <c r="D21" s="92"/>
      <c r="E21" s="91"/>
      <c r="F21" s="91"/>
      <c r="G21" s="91"/>
    </row>
    <row r="22" spans="2:13">
      <c r="D22" s="92"/>
      <c r="E22" s="91"/>
      <c r="F22" s="91"/>
      <c r="G22" s="91"/>
    </row>
    <row r="23" spans="2:13">
      <c r="D23" s="92"/>
      <c r="E23" s="91"/>
      <c r="F23" s="91"/>
      <c r="G23" s="91"/>
    </row>
    <row r="24" spans="2:13">
      <c r="D24" s="92"/>
      <c r="E24" s="91"/>
      <c r="F24" s="91"/>
      <c r="G24" s="91"/>
    </row>
    <row r="25" spans="2:13">
      <c r="D25" s="92"/>
      <c r="E25" s="91"/>
      <c r="F25" s="91"/>
      <c r="G25" s="91"/>
    </row>
    <row r="26" spans="2:13">
      <c r="D26" s="92"/>
      <c r="E26" s="91"/>
      <c r="F26" s="91"/>
      <c r="G26" s="91"/>
    </row>
    <row r="27" spans="2:13">
      <c r="D27" s="92"/>
      <c r="E27" s="91"/>
      <c r="F27" s="91"/>
      <c r="G27" s="91"/>
    </row>
    <row r="28" spans="2:13">
      <c r="D28" s="92"/>
      <c r="E28" s="91"/>
      <c r="F28" s="91"/>
      <c r="G28" s="91"/>
    </row>
    <row r="29" spans="2:13">
      <c r="D29" s="92"/>
      <c r="E29" s="91"/>
      <c r="F29" s="91"/>
      <c r="G29" s="91"/>
    </row>
    <row r="30" spans="2:13">
      <c r="D30" s="92"/>
      <c r="E30" s="91"/>
      <c r="F30" s="91"/>
      <c r="G30" s="91"/>
    </row>
    <row r="31" spans="2:13">
      <c r="D31" s="92"/>
      <c r="E31" s="91"/>
      <c r="F31" s="91"/>
      <c r="G31" s="91"/>
    </row>
    <row r="32" spans="2:13">
      <c r="D32" s="92"/>
      <c r="E32" s="91"/>
      <c r="F32" s="91"/>
      <c r="G32" s="91"/>
    </row>
    <row r="33" spans="4:7">
      <c r="D33" s="92"/>
      <c r="E33" s="91"/>
      <c r="F33" s="91"/>
      <c r="G33" s="91"/>
    </row>
    <row r="34" spans="4:7">
      <c r="D34" s="92"/>
      <c r="E34" s="91"/>
      <c r="F34" s="91"/>
      <c r="G34" s="91"/>
    </row>
    <row r="35" spans="4:7">
      <c r="D35" s="92"/>
      <c r="E35" s="91"/>
      <c r="F35" s="91"/>
      <c r="G35" s="91"/>
    </row>
    <row r="36" spans="4:7">
      <c r="D36" s="92"/>
      <c r="E36" s="91"/>
      <c r="F36" s="91"/>
      <c r="G36" s="91"/>
    </row>
    <row r="37" spans="4:7">
      <c r="D37" s="92"/>
      <c r="E37" s="91"/>
      <c r="F37" s="91"/>
      <c r="G37" s="91"/>
    </row>
    <row r="38" spans="4:7">
      <c r="D38" s="92"/>
      <c r="E38" s="91"/>
      <c r="F38" s="91"/>
      <c r="G38" s="91"/>
    </row>
    <row r="39" spans="4:7">
      <c r="D39" s="92"/>
      <c r="E39" s="91"/>
      <c r="F39" s="91"/>
      <c r="G39" s="91"/>
    </row>
    <row r="40" spans="4:7">
      <c r="D40" s="92"/>
      <c r="E40" s="91"/>
      <c r="F40" s="91"/>
      <c r="G40" s="91"/>
    </row>
    <row r="41" spans="4:7">
      <c r="D41" s="92"/>
      <c r="E41" s="91"/>
      <c r="F41" s="91"/>
      <c r="G41" s="91"/>
    </row>
    <row r="42" spans="4:7">
      <c r="D42" s="92"/>
      <c r="E42" s="91"/>
      <c r="F42" s="91"/>
      <c r="G42" s="91"/>
    </row>
    <row r="43" spans="4:7">
      <c r="D43" s="92"/>
      <c r="E43" s="91"/>
      <c r="F43" s="91"/>
      <c r="G43" s="91"/>
    </row>
    <row r="44" spans="4:7">
      <c r="D44" s="92"/>
      <c r="E44" s="91"/>
      <c r="F44" s="91"/>
      <c r="G44" s="91"/>
    </row>
    <row r="45" spans="4:7">
      <c r="D45" s="92"/>
      <c r="E45" s="91"/>
      <c r="F45" s="91"/>
      <c r="G45" s="91"/>
    </row>
    <row r="46" spans="4:7">
      <c r="D46" s="92"/>
      <c r="E46" s="91"/>
      <c r="F46" s="91"/>
      <c r="G46" s="91"/>
    </row>
    <row r="47" spans="4:7">
      <c r="D47" s="92"/>
      <c r="E47" s="91"/>
      <c r="F47" s="91"/>
      <c r="G47" s="91"/>
    </row>
    <row r="48" spans="4:7">
      <c r="D48" s="92"/>
      <c r="E48" s="91"/>
      <c r="F48" s="91"/>
      <c r="G48" s="91"/>
    </row>
    <row r="49" spans="4:7">
      <c r="D49" s="92"/>
      <c r="E49" s="91"/>
      <c r="F49" s="91"/>
      <c r="G49" s="91"/>
    </row>
    <row r="50" spans="4:7">
      <c r="D50" s="92"/>
      <c r="E50" s="91"/>
      <c r="F50" s="91"/>
      <c r="G50" s="91"/>
    </row>
    <row r="51" spans="4:7">
      <c r="D51" s="92"/>
      <c r="E51" s="91"/>
      <c r="F51" s="91"/>
      <c r="G51" s="91"/>
    </row>
    <row r="52" spans="4:7">
      <c r="D52" s="92"/>
      <c r="E52" s="91"/>
      <c r="F52" s="91"/>
      <c r="G52" s="91"/>
    </row>
    <row r="53" spans="4:7">
      <c r="D53" s="92"/>
      <c r="E53" s="91"/>
      <c r="F53" s="91"/>
      <c r="G53" s="91"/>
    </row>
    <row r="54" spans="4:7">
      <c r="D54" s="92"/>
      <c r="E54" s="91"/>
      <c r="F54" s="91"/>
      <c r="G54" s="91"/>
    </row>
    <row r="55" spans="4:7">
      <c r="D55" s="92"/>
      <c r="E55" s="91"/>
      <c r="F55" s="91"/>
      <c r="G55" s="91"/>
    </row>
    <row r="56" spans="4:7">
      <c r="D56" s="92"/>
      <c r="E56" s="91"/>
      <c r="F56" s="91"/>
      <c r="G56" s="91"/>
    </row>
    <row r="57" spans="4:7">
      <c r="D57" s="92"/>
      <c r="E57" s="91"/>
      <c r="F57" s="91"/>
      <c r="G57" s="91"/>
    </row>
    <row r="58" spans="4:7">
      <c r="D58" s="92"/>
      <c r="E58" s="91"/>
      <c r="F58" s="91"/>
      <c r="G58" s="91"/>
    </row>
    <row r="59" spans="4:7">
      <c r="D59" s="92"/>
      <c r="E59" s="91"/>
      <c r="F59" s="91"/>
      <c r="G59" s="91"/>
    </row>
    <row r="60" spans="4:7">
      <c r="D60" s="92"/>
      <c r="E60" s="91"/>
      <c r="F60" s="91"/>
      <c r="G60" s="91"/>
    </row>
    <row r="61" spans="4:7">
      <c r="D61" s="92"/>
      <c r="E61" s="91"/>
      <c r="F61" s="91"/>
      <c r="G61" s="91"/>
    </row>
    <row r="62" spans="4:7">
      <c r="D62" s="92"/>
      <c r="E62" s="91"/>
      <c r="F62" s="91"/>
      <c r="G62" s="91"/>
    </row>
    <row r="63" spans="4:7">
      <c r="D63" s="92"/>
      <c r="E63" s="91"/>
      <c r="F63" s="91"/>
      <c r="G63" s="91"/>
    </row>
    <row r="64" spans="4:7">
      <c r="D64" s="92"/>
      <c r="E64" s="91"/>
      <c r="F64" s="91"/>
      <c r="G64" s="91"/>
    </row>
    <row r="65" spans="4:7">
      <c r="D65" s="92"/>
      <c r="E65" s="91"/>
      <c r="F65" s="91"/>
      <c r="G65" s="91"/>
    </row>
    <row r="66" spans="4:7">
      <c r="D66" s="92"/>
      <c r="E66" s="91"/>
      <c r="F66" s="91"/>
      <c r="G66" s="91"/>
    </row>
    <row r="67" spans="4:7">
      <c r="D67" s="92"/>
      <c r="E67" s="91"/>
      <c r="F67" s="91"/>
      <c r="G67" s="91"/>
    </row>
    <row r="68" spans="4:7">
      <c r="D68" s="92"/>
      <c r="E68" s="91"/>
      <c r="F68" s="91"/>
      <c r="G68" s="91"/>
    </row>
    <row r="69" spans="4:7">
      <c r="D69" s="92"/>
      <c r="E69" s="91"/>
      <c r="F69" s="91"/>
      <c r="G69" s="91"/>
    </row>
    <row r="70" spans="4:7">
      <c r="D70" s="92"/>
      <c r="E70" s="91"/>
      <c r="F70" s="91"/>
      <c r="G70" s="91"/>
    </row>
    <row r="71" spans="4:7">
      <c r="D71" s="92"/>
      <c r="E71" s="91"/>
      <c r="F71" s="91"/>
      <c r="G71" s="91"/>
    </row>
    <row r="72" spans="4:7">
      <c r="D72" s="92"/>
      <c r="E72" s="91"/>
      <c r="F72" s="91"/>
      <c r="G72" s="91"/>
    </row>
    <row r="73" spans="4:7">
      <c r="D73" s="92"/>
      <c r="E73" s="91"/>
      <c r="F73" s="91"/>
      <c r="G73" s="91"/>
    </row>
    <row r="74" spans="4:7">
      <c r="D74" s="92"/>
      <c r="E74" s="91"/>
      <c r="F74" s="91"/>
      <c r="G74" s="91"/>
    </row>
    <row r="75" spans="4:7">
      <c r="D75" s="92"/>
      <c r="E75" s="91"/>
      <c r="F75" s="91"/>
      <c r="G75" s="91"/>
    </row>
    <row r="76" spans="4:7">
      <c r="D76" s="92"/>
      <c r="E76" s="91"/>
      <c r="F76" s="91"/>
      <c r="G76" s="91"/>
    </row>
    <row r="77" spans="4:7">
      <c r="D77" s="92"/>
      <c r="E77" s="91"/>
      <c r="F77" s="91"/>
      <c r="G77" s="91"/>
    </row>
    <row r="78" spans="4:7">
      <c r="D78" s="92"/>
      <c r="E78" s="91"/>
      <c r="F78" s="91"/>
      <c r="G78" s="91"/>
    </row>
    <row r="79" spans="4:7">
      <c r="D79" s="92"/>
      <c r="E79" s="91"/>
      <c r="F79" s="91"/>
      <c r="G79" s="91"/>
    </row>
    <row r="80" spans="4:7">
      <c r="D80" s="92"/>
      <c r="E80" s="91"/>
      <c r="F80" s="91"/>
      <c r="G80" s="91"/>
    </row>
    <row r="81" spans="4:7">
      <c r="D81" s="92"/>
      <c r="E81" s="91"/>
      <c r="F81" s="91"/>
      <c r="G81" s="91"/>
    </row>
    <row r="82" spans="4:7">
      <c r="D82" s="92"/>
      <c r="E82" s="91"/>
      <c r="F82" s="91"/>
      <c r="G82" s="91"/>
    </row>
    <row r="83" spans="4:7">
      <c r="D83" s="92"/>
      <c r="E83" s="91"/>
      <c r="F83" s="91"/>
      <c r="G83" s="91"/>
    </row>
    <row r="84" spans="4:7">
      <c r="D84" s="92"/>
      <c r="E84" s="91"/>
      <c r="F84" s="91"/>
      <c r="G84" s="91"/>
    </row>
    <row r="85" spans="4:7">
      <c r="D85" s="92"/>
      <c r="E85" s="91"/>
      <c r="F85" s="91"/>
      <c r="G85" s="91"/>
    </row>
    <row r="86" spans="4:7">
      <c r="D86" s="92"/>
      <c r="E86" s="91"/>
      <c r="F86" s="91"/>
      <c r="G86" s="91"/>
    </row>
    <row r="87" spans="4:7">
      <c r="D87" s="92"/>
      <c r="E87" s="91"/>
      <c r="F87" s="91"/>
      <c r="G87" s="91"/>
    </row>
    <row r="88" spans="4:7">
      <c r="D88" s="92"/>
      <c r="E88" s="91"/>
      <c r="F88" s="91"/>
      <c r="G88" s="91"/>
    </row>
    <row r="89" spans="4:7">
      <c r="D89" s="92"/>
      <c r="E89" s="91"/>
      <c r="F89" s="91"/>
      <c r="G89" s="91"/>
    </row>
    <row r="90" spans="4:7">
      <c r="D90" s="92"/>
      <c r="E90" s="91"/>
      <c r="F90" s="91"/>
      <c r="G90" s="91"/>
    </row>
    <row r="91" spans="4:7">
      <c r="D91" s="92"/>
      <c r="E91" s="91"/>
      <c r="F91" s="91"/>
      <c r="G91" s="91"/>
    </row>
    <row r="92" spans="4:7">
      <c r="D92" s="92"/>
      <c r="E92" s="91"/>
      <c r="F92" s="91"/>
      <c r="G92" s="91"/>
    </row>
    <row r="93" spans="4:7">
      <c r="D93" s="92"/>
      <c r="E93" s="91"/>
      <c r="F93" s="91"/>
      <c r="G93" s="91"/>
    </row>
    <row r="94" spans="4:7">
      <c r="D94" s="92"/>
      <c r="E94" s="91"/>
      <c r="F94" s="91"/>
      <c r="G94" s="91"/>
    </row>
    <row r="95" spans="4:7">
      <c r="D95" s="92"/>
      <c r="E95" s="91"/>
      <c r="F95" s="91"/>
      <c r="G95" s="91"/>
    </row>
    <row r="96" spans="4:7">
      <c r="D96" s="92"/>
      <c r="E96" s="91"/>
      <c r="F96" s="91"/>
      <c r="G96" s="91"/>
    </row>
    <row r="97" spans="4:7">
      <c r="D97" s="92"/>
      <c r="E97" s="91"/>
      <c r="F97" s="91"/>
      <c r="G97" s="91"/>
    </row>
    <row r="98" spans="4:7">
      <c r="D98" s="92"/>
      <c r="E98" s="91"/>
      <c r="F98" s="91"/>
      <c r="G98" s="91"/>
    </row>
    <row r="99" spans="4:7">
      <c r="D99" s="92"/>
      <c r="E99" s="91"/>
      <c r="F99" s="91"/>
      <c r="G99" s="91"/>
    </row>
    <row r="100" spans="4:7">
      <c r="D100" s="92"/>
      <c r="E100" s="91"/>
      <c r="F100" s="91"/>
      <c r="G100" s="91"/>
    </row>
    <row r="101" spans="4:7">
      <c r="D101" s="92"/>
      <c r="E101" s="91"/>
      <c r="F101" s="91"/>
      <c r="G101" s="91"/>
    </row>
    <row r="102" spans="4:7">
      <c r="D102" s="92"/>
      <c r="E102" s="91"/>
      <c r="F102" s="91"/>
      <c r="G102" s="91"/>
    </row>
    <row r="103" spans="4:7">
      <c r="D103" s="92"/>
      <c r="E103" s="91"/>
      <c r="F103" s="91"/>
      <c r="G103" s="91"/>
    </row>
    <row r="104" spans="4:7">
      <c r="D104" s="92"/>
      <c r="E104" s="91"/>
      <c r="F104" s="91"/>
      <c r="G104" s="91"/>
    </row>
    <row r="105" spans="4:7">
      <c r="D105" s="92"/>
      <c r="E105" s="91"/>
      <c r="F105" s="91"/>
      <c r="G105" s="91"/>
    </row>
    <row r="106" spans="4:7">
      <c r="D106" s="92"/>
      <c r="E106" s="91"/>
      <c r="F106" s="91"/>
      <c r="G106" s="91"/>
    </row>
    <row r="107" spans="4:7">
      <c r="D107" s="92"/>
      <c r="E107" s="91"/>
      <c r="F107" s="91"/>
      <c r="G107" s="91"/>
    </row>
    <row r="108" spans="4:7">
      <c r="D108" s="92"/>
      <c r="E108" s="91"/>
      <c r="F108" s="91"/>
      <c r="G108" s="91"/>
    </row>
    <row r="109" spans="4:7">
      <c r="D109" s="92"/>
      <c r="E109" s="91"/>
      <c r="F109" s="91"/>
      <c r="G109" s="91"/>
    </row>
    <row r="110" spans="4:7">
      <c r="D110" s="92"/>
      <c r="E110" s="91"/>
      <c r="F110" s="91"/>
      <c r="G110" s="91"/>
    </row>
    <row r="111" spans="4:7">
      <c r="D111" s="92"/>
      <c r="E111" s="91"/>
      <c r="F111" s="91"/>
      <c r="G111" s="91"/>
    </row>
    <row r="112" spans="4:7">
      <c r="D112" s="92"/>
      <c r="E112" s="91"/>
      <c r="F112" s="91"/>
      <c r="G112" s="91"/>
    </row>
    <row r="113" spans="4:7">
      <c r="D113" s="92"/>
      <c r="E113" s="91"/>
      <c r="F113" s="91"/>
      <c r="G113" s="91"/>
    </row>
    <row r="114" spans="4:7">
      <c r="D114" s="92"/>
      <c r="E114" s="91"/>
      <c r="F114" s="91"/>
      <c r="G114" s="91"/>
    </row>
    <row r="115" spans="4:7">
      <c r="D115" s="92"/>
      <c r="E115" s="91"/>
      <c r="F115" s="91"/>
      <c r="G115" s="91"/>
    </row>
    <row r="116" spans="4:7">
      <c r="D116" s="92"/>
      <c r="E116" s="91"/>
      <c r="F116" s="91"/>
      <c r="G116" s="91"/>
    </row>
    <row r="117" spans="4:7">
      <c r="D117" s="92"/>
      <c r="E117" s="91"/>
      <c r="F117" s="91"/>
      <c r="G117" s="91"/>
    </row>
    <row r="118" spans="4:7">
      <c r="D118" s="92"/>
      <c r="E118" s="91"/>
      <c r="F118" s="91"/>
      <c r="G118" s="91"/>
    </row>
    <row r="119" spans="4:7">
      <c r="D119" s="92"/>
      <c r="E119" s="91"/>
      <c r="F119" s="91"/>
      <c r="G119" s="91"/>
    </row>
    <row r="120" spans="4:7">
      <c r="D120" s="92"/>
      <c r="E120" s="91"/>
      <c r="F120" s="91"/>
      <c r="G120" s="91"/>
    </row>
    <row r="121" spans="4:7">
      <c r="D121" s="92"/>
      <c r="E121" s="91"/>
      <c r="F121" s="91"/>
      <c r="G121" s="91"/>
    </row>
    <row r="122" spans="4:7">
      <c r="D122" s="92"/>
      <c r="E122" s="91"/>
      <c r="F122" s="91"/>
      <c r="G122" s="91"/>
    </row>
    <row r="123" spans="4:7">
      <c r="D123" s="92"/>
      <c r="E123" s="91"/>
      <c r="F123" s="91"/>
      <c r="G123" s="91"/>
    </row>
    <row r="124" spans="4:7">
      <c r="D124" s="92"/>
      <c r="E124" s="91"/>
      <c r="F124" s="91"/>
      <c r="G124" s="91"/>
    </row>
    <row r="125" spans="4:7">
      <c r="D125" s="92"/>
      <c r="E125" s="91"/>
      <c r="F125" s="91"/>
      <c r="G125" s="91"/>
    </row>
    <row r="126" spans="4:7">
      <c r="D126" s="92"/>
      <c r="E126" s="91"/>
      <c r="F126" s="91"/>
      <c r="G126" s="91"/>
    </row>
    <row r="127" spans="4:7">
      <c r="D127" s="92"/>
      <c r="E127" s="91"/>
      <c r="F127" s="91"/>
      <c r="G127" s="91"/>
    </row>
    <row r="128" spans="4:7">
      <c r="D128" s="92"/>
      <c r="E128" s="91"/>
      <c r="F128" s="91"/>
      <c r="G128" s="91"/>
    </row>
    <row r="129" spans="4:7">
      <c r="D129" s="92"/>
      <c r="E129" s="91"/>
      <c r="F129" s="91"/>
      <c r="G129" s="91"/>
    </row>
    <row r="130" spans="4:7">
      <c r="D130" s="92"/>
      <c r="E130" s="91"/>
      <c r="F130" s="91"/>
      <c r="G130" s="91"/>
    </row>
    <row r="131" spans="4:7">
      <c r="D131" s="92"/>
      <c r="E131" s="91"/>
      <c r="F131" s="91"/>
      <c r="G131" s="91"/>
    </row>
    <row r="132" spans="4:7">
      <c r="D132" s="92"/>
      <c r="E132" s="91"/>
      <c r="F132" s="91"/>
      <c r="G132" s="91"/>
    </row>
    <row r="133" spans="4:7">
      <c r="D133" s="92"/>
      <c r="E133" s="91"/>
      <c r="F133" s="91"/>
      <c r="G133" s="91"/>
    </row>
    <row r="134" spans="4:7">
      <c r="D134" s="92"/>
      <c r="E134" s="91"/>
      <c r="F134" s="91"/>
      <c r="G134" s="91"/>
    </row>
    <row r="135" spans="4:7">
      <c r="D135" s="92"/>
      <c r="E135" s="91"/>
      <c r="F135" s="91"/>
      <c r="G135" s="91"/>
    </row>
    <row r="136" spans="4:7">
      <c r="D136" s="92"/>
      <c r="E136" s="91"/>
      <c r="F136" s="91"/>
      <c r="G136" s="91"/>
    </row>
    <row r="137" spans="4:7">
      <c r="D137" s="92"/>
      <c r="E137" s="91"/>
      <c r="F137" s="91"/>
      <c r="G137" s="91"/>
    </row>
    <row r="138" spans="4:7">
      <c r="D138" s="92"/>
      <c r="E138" s="91"/>
      <c r="F138" s="91"/>
      <c r="G138" s="91"/>
    </row>
    <row r="139" spans="4:7">
      <c r="D139" s="92"/>
      <c r="E139" s="91"/>
      <c r="F139" s="91"/>
      <c r="G139" s="91"/>
    </row>
    <row r="140" spans="4:7">
      <c r="D140" s="92"/>
      <c r="E140" s="91"/>
      <c r="F140" s="91"/>
      <c r="G140" s="91"/>
    </row>
    <row r="141" spans="4:7">
      <c r="D141" s="92"/>
      <c r="E141" s="91"/>
      <c r="F141" s="91"/>
      <c r="G141" s="91"/>
    </row>
    <row r="142" spans="4:7">
      <c r="D142" s="92"/>
      <c r="E142" s="91"/>
      <c r="F142" s="91"/>
      <c r="G142" s="91"/>
    </row>
    <row r="143" spans="4:7">
      <c r="D143" s="92"/>
      <c r="E143" s="91"/>
      <c r="F143" s="91"/>
      <c r="G143" s="91"/>
    </row>
    <row r="144" spans="4:7">
      <c r="D144" s="92"/>
      <c r="E144" s="91"/>
      <c r="F144" s="91"/>
      <c r="G144" s="91"/>
    </row>
    <row r="145" spans="2:7">
      <c r="D145" s="92"/>
      <c r="E145" s="91"/>
      <c r="F145" s="91"/>
      <c r="G145" s="91"/>
    </row>
    <row r="146" spans="2:7">
      <c r="D146" s="92"/>
      <c r="E146" s="91"/>
      <c r="F146" s="91"/>
      <c r="G146" s="91"/>
    </row>
    <row r="147" spans="2:7">
      <c r="D147" s="92"/>
      <c r="E147" s="91"/>
      <c r="F147" s="91"/>
      <c r="G147" s="91"/>
    </row>
    <row r="148" spans="2:7">
      <c r="D148" s="92"/>
      <c r="E148" s="91"/>
      <c r="F148" s="91"/>
      <c r="G148" s="91"/>
    </row>
    <row r="149" spans="2:7">
      <c r="D149" s="92"/>
      <c r="E149" s="91"/>
      <c r="F149" s="91"/>
      <c r="G149" s="91"/>
    </row>
    <row r="150" spans="2:7">
      <c r="D150" s="92"/>
      <c r="E150" s="91"/>
      <c r="F150" s="91"/>
      <c r="G150" s="91"/>
    </row>
    <row r="151" spans="2:7">
      <c r="D151" s="85"/>
    </row>
    <row r="152" spans="2:7">
      <c r="D152" s="85"/>
    </row>
    <row r="153" spans="2:7">
      <c r="D153" s="85"/>
    </row>
    <row r="154" spans="2:7">
      <c r="D154" s="85"/>
    </row>
    <row r="155" spans="2:7">
      <c r="D155" s="85"/>
    </row>
    <row r="156" spans="2:7">
      <c r="D156" s="85"/>
    </row>
    <row r="157" spans="2:7">
      <c r="D157" s="85"/>
    </row>
    <row r="158" spans="2:7" s="89" customFormat="1" ht="15.5">
      <c r="B158" s="90"/>
    </row>
    <row r="159" spans="2:7">
      <c r="D159" s="85"/>
    </row>
    <row r="160" spans="2:7">
      <c r="C160" s="87"/>
      <c r="E160" s="88"/>
      <c r="F160" s="87"/>
    </row>
  </sheetData>
  <hyperlinks>
    <hyperlink ref="E1" location="SUMMARY!A1" display="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7"/>
  <dimension ref="A1:AE19"/>
  <sheetViews>
    <sheetView showGridLines="0" workbookViewId="0">
      <selection activeCell="E1" sqref="E1"/>
    </sheetView>
  </sheetViews>
  <sheetFormatPr defaultColWidth="10.6640625" defaultRowHeight="15.5"/>
  <cols>
    <col min="1" max="1" width="26.9140625" customWidth="1"/>
    <col min="2" max="2" width="11.6640625" bestFit="1" customWidth="1"/>
    <col min="3" max="4" width="9.1640625" bestFit="1" customWidth="1"/>
    <col min="5" max="5" width="9.6640625" bestFit="1" customWidth="1"/>
    <col min="6" max="27" width="9.1640625" bestFit="1" customWidth="1"/>
    <col min="28" max="31" width="8.1640625" bestFit="1" customWidth="1"/>
  </cols>
  <sheetData>
    <row r="1" spans="1:31">
      <c r="A1" s="131" t="s">
        <v>46</v>
      </c>
      <c r="B1" s="132">
        <v>300000</v>
      </c>
      <c r="E1" s="106" t="s">
        <v>107</v>
      </c>
      <c r="G1" s="4"/>
    </row>
    <row r="2" spans="1:31">
      <c r="A2" s="131" t="s">
        <v>63</v>
      </c>
      <c r="B2" s="133">
        <v>0.08</v>
      </c>
      <c r="C2" s="1"/>
      <c r="G2" s="4"/>
    </row>
    <row r="3" spans="1:31">
      <c r="A3" s="131" t="s">
        <v>35</v>
      </c>
      <c r="B3" s="131">
        <v>30</v>
      </c>
      <c r="G3" s="4"/>
    </row>
    <row r="4" spans="1:31">
      <c r="B4" s="1"/>
      <c r="G4" s="4"/>
    </row>
    <row r="5" spans="1:31">
      <c r="A5" s="44" t="s">
        <v>23</v>
      </c>
      <c r="B5" s="1"/>
      <c r="G5" s="4"/>
    </row>
    <row r="6" spans="1:31">
      <c r="A6" t="s">
        <v>153</v>
      </c>
      <c r="B6" s="134"/>
      <c r="G6" s="4"/>
    </row>
    <row r="7" spans="1:31">
      <c r="G7" s="4"/>
    </row>
    <row r="8" spans="1:31">
      <c r="G8" s="4"/>
    </row>
    <row r="9" spans="1:31">
      <c r="A9" s="5" t="s">
        <v>9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</row>
    <row r="10" spans="1:31">
      <c r="A10" s="5" t="s">
        <v>20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</row>
    <row r="11" spans="1:31">
      <c r="A11" s="5" t="s">
        <v>17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</row>
    <row r="12" spans="1:31">
      <c r="A12" s="5" t="s">
        <v>88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</row>
    <row r="13" spans="1:31">
      <c r="A13" s="5" t="s">
        <v>21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</row>
    <row r="15" spans="1:31">
      <c r="A15" s="44" t="s">
        <v>152</v>
      </c>
      <c r="B15" s="125"/>
      <c r="C15" s="114">
        <v>10</v>
      </c>
      <c r="D15" s="114">
        <v>11</v>
      </c>
      <c r="E15" s="114">
        <v>12</v>
      </c>
      <c r="F15" s="114">
        <v>13</v>
      </c>
      <c r="G15" s="114">
        <v>14</v>
      </c>
      <c r="H15" s="114">
        <v>15</v>
      </c>
      <c r="I15" s="114">
        <v>16</v>
      </c>
      <c r="J15" s="114">
        <v>17</v>
      </c>
      <c r="K15" s="114">
        <v>18</v>
      </c>
      <c r="L15" s="114">
        <v>19</v>
      </c>
      <c r="M15" s="114">
        <v>20</v>
      </c>
    </row>
    <row r="16" spans="1:31">
      <c r="B16" s="115">
        <v>7.0000000000000007E-2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</row>
    <row r="17" spans="2:13">
      <c r="B17" s="115">
        <v>0.08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</row>
    <row r="18" spans="2:13">
      <c r="B18" s="115">
        <v>0.09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</row>
    <row r="19" spans="2:13">
      <c r="B19" s="115">
        <v>0.1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</row>
  </sheetData>
  <scenarios current="0">
    <scenario name="H1" locked="1" count="1" user="CHIKH Sabrina" comment="Créé par CHIKH Sabrina le 16/09/2018">
      <inputCells r="B2" val="" numFmtId="10"/>
    </scenario>
  </scenarios>
  <hyperlinks>
    <hyperlink ref="E1" location="SUMMARY!A1" display="SUMMARY" xr:uid="{00000000-0004-0000-0B00-000000000000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3"/>
  <dimension ref="A1:M1"/>
  <sheetViews>
    <sheetView workbookViewId="0">
      <selection activeCell="M1" sqref="M1"/>
    </sheetView>
  </sheetViews>
  <sheetFormatPr defaultColWidth="10.6640625" defaultRowHeight="15.5"/>
  <sheetData>
    <row r="1" spans="1:13">
      <c r="A1" s="150" t="s">
        <v>114</v>
      </c>
      <c r="H1" s="112" t="s">
        <v>115</v>
      </c>
      <c r="M1" s="106" t="s">
        <v>107</v>
      </c>
    </row>
  </sheetData>
  <hyperlinks>
    <hyperlink ref="M1" location="SUMMARY!A1" display="SUMMARY" xr:uid="{00000000-0004-0000-0D00-000000000000}"/>
    <hyperlink ref="H1" location="'LEASE Vs BUY 2 with help'!A1" display="Help!!!" xr:uid="{00000000-0004-0000-0D00-000001000000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9"/>
  <dimension ref="A1:J30"/>
  <sheetViews>
    <sheetView showGridLines="0" workbookViewId="0">
      <selection activeCell="D1" sqref="D1"/>
    </sheetView>
  </sheetViews>
  <sheetFormatPr defaultColWidth="10.6640625" defaultRowHeight="15.5"/>
  <cols>
    <col min="1" max="1" width="29.83203125" bestFit="1" customWidth="1"/>
    <col min="2" max="2" width="15.08203125" bestFit="1" customWidth="1"/>
    <col min="3" max="3" width="12" bestFit="1" customWidth="1"/>
    <col min="4" max="4" width="11.58203125" bestFit="1" customWidth="1"/>
    <col min="5" max="7" width="12.58203125" bestFit="1" customWidth="1"/>
  </cols>
  <sheetData>
    <row r="1" spans="1:6">
      <c r="A1" s="10" t="s">
        <v>40</v>
      </c>
      <c r="D1" s="106" t="s">
        <v>107</v>
      </c>
    </row>
    <row r="2" spans="1:6">
      <c r="A2" s="131" t="s">
        <v>26</v>
      </c>
      <c r="B2" s="131">
        <v>5</v>
      </c>
    </row>
    <row r="3" spans="1:6">
      <c r="A3" s="136" t="s">
        <v>32</v>
      </c>
      <c r="B3" s="133">
        <v>0.06</v>
      </c>
      <c r="C3" s="9"/>
      <c r="D3" s="9"/>
      <c r="E3" s="2"/>
      <c r="F3" s="9"/>
    </row>
    <row r="4" spans="1:6">
      <c r="A4" s="136" t="s">
        <v>27</v>
      </c>
      <c r="B4" s="137">
        <v>4100</v>
      </c>
      <c r="C4" s="9"/>
      <c r="D4" s="9"/>
      <c r="E4" s="9"/>
      <c r="F4" s="9"/>
    </row>
    <row r="5" spans="1:6">
      <c r="A5" s="136" t="s">
        <v>29</v>
      </c>
      <c r="B5" s="137">
        <v>12600</v>
      </c>
      <c r="C5" s="9"/>
      <c r="D5" s="9"/>
      <c r="E5" s="9"/>
      <c r="F5" s="9"/>
    </row>
    <row r="6" spans="1:6">
      <c r="A6" s="136" t="s">
        <v>30</v>
      </c>
      <c r="B6" s="133">
        <v>0.4</v>
      </c>
      <c r="C6" s="9"/>
      <c r="D6" s="9"/>
      <c r="E6" s="9"/>
      <c r="F6" s="9"/>
    </row>
    <row r="7" spans="1:6">
      <c r="A7" s="136" t="s">
        <v>64</v>
      </c>
      <c r="B7" s="137">
        <v>45700</v>
      </c>
      <c r="C7" s="9"/>
      <c r="D7" s="9"/>
      <c r="E7" s="9"/>
      <c r="F7" s="9"/>
    </row>
    <row r="8" spans="1:6">
      <c r="A8" s="9"/>
      <c r="B8" s="2"/>
      <c r="C8" s="9"/>
      <c r="D8" s="9"/>
      <c r="E8" s="9"/>
      <c r="F8" s="9"/>
    </row>
    <row r="9" spans="1:6">
      <c r="A9" s="149" t="s">
        <v>65</v>
      </c>
      <c r="B9" s="9"/>
      <c r="C9" s="9"/>
      <c r="D9" s="9"/>
      <c r="E9" s="9"/>
      <c r="F9" s="9"/>
    </row>
    <row r="10" spans="1:6">
      <c r="A10" s="9" t="s">
        <v>66</v>
      </c>
      <c r="B10" s="138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49" t="s">
        <v>128</v>
      </c>
      <c r="B12" s="9"/>
      <c r="C12" s="9"/>
      <c r="D12" s="9"/>
      <c r="E12" s="9"/>
      <c r="F12" s="9"/>
    </row>
    <row r="13" spans="1:6">
      <c r="A13" s="72" t="s">
        <v>9</v>
      </c>
      <c r="B13" s="73">
        <v>0</v>
      </c>
      <c r="C13" s="73">
        <v>1</v>
      </c>
      <c r="D13" s="73">
        <v>2</v>
      </c>
      <c r="E13" s="73">
        <v>3</v>
      </c>
      <c r="F13" s="73">
        <v>4</v>
      </c>
    </row>
    <row r="14" spans="1:6">
      <c r="A14" s="72" t="s">
        <v>89</v>
      </c>
      <c r="B14" s="129"/>
      <c r="C14" s="129"/>
      <c r="D14" s="129"/>
      <c r="E14" s="129"/>
      <c r="F14" s="129"/>
    </row>
    <row r="15" spans="1:6">
      <c r="A15" s="72" t="s">
        <v>31</v>
      </c>
      <c r="B15" s="16"/>
      <c r="C15" s="16"/>
      <c r="D15" s="16"/>
      <c r="E15" s="16"/>
      <c r="F15" s="129"/>
    </row>
    <row r="16" spans="1:6" ht="16" thickBot="1">
      <c r="A16" s="72" t="s">
        <v>112</v>
      </c>
      <c r="B16" s="141"/>
      <c r="C16" s="125"/>
      <c r="D16" s="125"/>
      <c r="E16" s="125"/>
      <c r="F16" s="125"/>
    </row>
    <row r="17" spans="1:10" ht="16" thickBot="1">
      <c r="A17" s="9" t="s">
        <v>124</v>
      </c>
      <c r="B17" s="140"/>
      <c r="C17" s="7"/>
      <c r="D17" s="7"/>
      <c r="E17" s="7"/>
      <c r="F17" s="7"/>
    </row>
    <row r="18" spans="1:10">
      <c r="A18" s="9"/>
      <c r="B18" s="9"/>
      <c r="C18" s="9"/>
      <c r="D18" s="9"/>
      <c r="E18" s="9"/>
      <c r="F18" s="9"/>
    </row>
    <row r="19" spans="1:10">
      <c r="A19" s="149" t="s">
        <v>67</v>
      </c>
      <c r="B19" s="9"/>
      <c r="C19" s="9"/>
      <c r="D19" s="9"/>
      <c r="E19" s="9"/>
      <c r="F19" s="9"/>
    </row>
    <row r="20" spans="1:10" ht="16" thickBot="1">
      <c r="A20" s="148" t="s">
        <v>9</v>
      </c>
      <c r="B20" s="73">
        <v>0</v>
      </c>
      <c r="C20" s="73">
        <v>1</v>
      </c>
      <c r="D20" s="73">
        <v>2</v>
      </c>
      <c r="E20" s="73">
        <v>3</v>
      </c>
      <c r="F20" s="73">
        <v>4</v>
      </c>
    </row>
    <row r="21" spans="1:10">
      <c r="A21" t="s">
        <v>20</v>
      </c>
      <c r="B21" s="132"/>
      <c r="C21" s="139"/>
      <c r="D21" s="139"/>
      <c r="E21" s="139"/>
      <c r="F21" s="139"/>
      <c r="G21" s="7"/>
    </row>
    <row r="22" spans="1:10">
      <c r="A22" t="s">
        <v>17</v>
      </c>
      <c r="B22" s="139"/>
      <c r="C22" s="139"/>
      <c r="D22" s="139"/>
      <c r="E22" s="139"/>
      <c r="F22" s="139"/>
      <c r="G22" s="7"/>
    </row>
    <row r="23" spans="1:10">
      <c r="A23" t="s">
        <v>22</v>
      </c>
      <c r="B23" s="139"/>
      <c r="C23" s="139"/>
      <c r="D23" s="139"/>
      <c r="E23" s="139"/>
      <c r="F23" s="139"/>
      <c r="G23" s="7"/>
    </row>
    <row r="24" spans="1:10" ht="16" thickBot="1">
      <c r="A24" s="145" t="s">
        <v>21</v>
      </c>
      <c r="B24" s="142"/>
      <c r="C24" s="142"/>
      <c r="D24" s="142"/>
      <c r="E24" s="142"/>
      <c r="F24" s="142"/>
      <c r="G24" s="7"/>
    </row>
    <row r="25" spans="1:10" ht="16" thickBot="1">
      <c r="A25" s="146" t="s">
        <v>33</v>
      </c>
      <c r="B25" s="142"/>
      <c r="C25" s="142"/>
      <c r="D25" s="142"/>
      <c r="E25" s="142"/>
      <c r="F25" s="142"/>
      <c r="G25" s="7"/>
    </row>
    <row r="26" spans="1:10" ht="16" thickBot="1">
      <c r="A26" s="147" t="s">
        <v>34</v>
      </c>
      <c r="B26" s="144"/>
      <c r="C26" s="144"/>
      <c r="D26" s="144"/>
      <c r="E26" s="144"/>
      <c r="F26" s="144"/>
      <c r="G26" s="11"/>
      <c r="I26" s="7"/>
      <c r="J26" s="7"/>
    </row>
    <row r="27" spans="1:10" ht="16" thickBot="1">
      <c r="A27" s="146" t="s">
        <v>68</v>
      </c>
      <c r="B27" s="142"/>
      <c r="C27" s="142"/>
      <c r="D27" s="142"/>
      <c r="E27" s="142"/>
      <c r="F27" s="142"/>
      <c r="G27" s="7"/>
    </row>
    <row r="28" spans="1:10" ht="16" thickBot="1">
      <c r="A28" s="9" t="s">
        <v>124</v>
      </c>
      <c r="B28" s="143"/>
      <c r="C28" s="7"/>
      <c r="D28" s="7"/>
      <c r="E28" s="7"/>
      <c r="F28" s="7"/>
    </row>
    <row r="29" spans="1:10" ht="16" thickBot="1">
      <c r="A29" s="9"/>
      <c r="B29" s="9"/>
      <c r="C29" s="9"/>
      <c r="D29" s="9"/>
      <c r="E29" s="9"/>
      <c r="F29" s="9"/>
    </row>
    <row r="30" spans="1:10" ht="16" thickBot="1">
      <c r="A30" s="151" t="s">
        <v>113</v>
      </c>
      <c r="B30" s="152"/>
      <c r="C30" s="152"/>
    </row>
  </sheetData>
  <hyperlinks>
    <hyperlink ref="D1" location="SUMMARY!A1" display="SUMMARY" xr:uid="{00000000-0004-0000-0E00-000000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BF82-E322-4CA8-A2A9-7323D26E2A3A}">
  <dimension ref="A1:H23"/>
  <sheetViews>
    <sheetView showGridLines="0" workbookViewId="0">
      <selection activeCell="H3" sqref="H3"/>
    </sheetView>
  </sheetViews>
  <sheetFormatPr defaultColWidth="10.6640625" defaultRowHeight="15.5"/>
  <cols>
    <col min="1" max="1" width="32" bestFit="1" customWidth="1"/>
    <col min="8" max="8" width="28.1640625" customWidth="1"/>
  </cols>
  <sheetData>
    <row r="1" spans="1:8" s="10" customFormat="1">
      <c r="A1" s="10" t="s">
        <v>40</v>
      </c>
      <c r="D1" s="44" t="s">
        <v>162</v>
      </c>
    </row>
    <row r="2" spans="1:8">
      <c r="A2" s="272" t="s">
        <v>32</v>
      </c>
      <c r="B2" s="124">
        <v>0.12</v>
      </c>
    </row>
    <row r="3" spans="1:8">
      <c r="A3" s="272" t="s">
        <v>163</v>
      </c>
      <c r="B3" s="124">
        <v>0.05</v>
      </c>
      <c r="H3" s="106" t="s">
        <v>107</v>
      </c>
    </row>
    <row r="5" spans="1:8" ht="31.5" customHeight="1" thickBot="1">
      <c r="H5" s="273" t="s">
        <v>164</v>
      </c>
    </row>
    <row r="6" spans="1:8" ht="16" thickBot="1">
      <c r="B6" s="297" t="s">
        <v>165</v>
      </c>
      <c r="C6" s="298"/>
      <c r="D6" s="298"/>
      <c r="E6" s="298"/>
      <c r="F6" s="298"/>
      <c r="G6" s="299"/>
      <c r="H6" s="274" t="s">
        <v>166</v>
      </c>
    </row>
    <row r="7" spans="1:8" ht="16" thickBot="1">
      <c r="A7" s="275" t="s">
        <v>167</v>
      </c>
      <c r="B7" s="276">
        <f ca="1">+TODAY()</f>
        <v>46286</v>
      </c>
      <c r="C7" s="276">
        <f ca="1">EDATE(B7,12)</f>
        <v>46651</v>
      </c>
      <c r="D7" s="276">
        <f t="shared" ref="D7:H7" ca="1" si="0">EDATE(C7,12)</f>
        <v>47017</v>
      </c>
      <c r="E7" s="276">
        <f t="shared" ca="1" si="0"/>
        <v>47382</v>
      </c>
      <c r="F7" s="276">
        <f t="shared" ca="1" si="0"/>
        <v>47747</v>
      </c>
      <c r="G7" s="276">
        <f t="shared" ca="1" si="0"/>
        <v>48112</v>
      </c>
      <c r="H7" s="276">
        <f t="shared" ca="1" si="0"/>
        <v>48478</v>
      </c>
    </row>
    <row r="8" spans="1:8" ht="16" thickBot="1">
      <c r="A8" s="277" t="s">
        <v>168</v>
      </c>
      <c r="B8" s="278"/>
      <c r="C8" s="278">
        <v>60</v>
      </c>
      <c r="D8" s="278">
        <v>65</v>
      </c>
      <c r="E8" s="278">
        <v>70</v>
      </c>
      <c r="F8" s="278">
        <v>76</v>
      </c>
      <c r="G8" s="278">
        <v>87</v>
      </c>
      <c r="H8" s="278">
        <v>90</v>
      </c>
    </row>
    <row r="9" spans="1:8" ht="16" thickBot="1">
      <c r="A9" s="279" t="s">
        <v>169</v>
      </c>
      <c r="B9" s="3"/>
      <c r="C9" s="3"/>
      <c r="D9" s="3"/>
      <c r="E9" s="3"/>
      <c r="F9" s="3"/>
      <c r="G9" s="280"/>
    </row>
    <row r="10" spans="1:8" ht="16" thickBot="1">
      <c r="A10" s="281" t="s">
        <v>171</v>
      </c>
      <c r="B10" s="282"/>
      <c r="C10" s="282"/>
      <c r="D10" s="282"/>
      <c r="E10" s="282"/>
      <c r="F10" s="282"/>
      <c r="G10" s="283"/>
    </row>
    <row r="11" spans="1:8" ht="16" thickBot="1">
      <c r="C11" s="3"/>
      <c r="D11" s="3"/>
      <c r="E11" s="3"/>
      <c r="F11" s="3"/>
      <c r="G11" s="3"/>
    </row>
    <row r="12" spans="1:8" ht="16" thickBot="1">
      <c r="A12" s="284" t="s">
        <v>170</v>
      </c>
      <c r="B12" s="285"/>
    </row>
    <row r="18" spans="1:2">
      <c r="B18" s="1"/>
    </row>
    <row r="20" spans="1:2">
      <c r="B20" s="3"/>
    </row>
    <row r="23" spans="1:2">
      <c r="A23" s="1"/>
    </row>
  </sheetData>
  <mergeCells count="1">
    <mergeCell ref="B6:G6"/>
  </mergeCells>
  <hyperlinks>
    <hyperlink ref="H3" location="SUMMARY!A1" display="SUMMARY" xr:uid="{9B4C742B-B329-4DC7-8102-26222058B05E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F0E8-586F-4B40-A467-A42EEF3AFFE0}">
  <dimension ref="A1:H26"/>
  <sheetViews>
    <sheetView showGridLines="0" workbookViewId="0">
      <selection activeCell="A18" sqref="A18"/>
    </sheetView>
  </sheetViews>
  <sheetFormatPr defaultColWidth="10.6640625" defaultRowHeight="15.5"/>
  <cols>
    <col min="1" max="1" width="32" bestFit="1" customWidth="1"/>
    <col min="2" max="2" width="13.75" customWidth="1"/>
    <col min="8" max="8" width="28.1640625" customWidth="1"/>
  </cols>
  <sheetData>
    <row r="1" spans="1:8" s="10" customFormat="1">
      <c r="A1" s="10" t="s">
        <v>40</v>
      </c>
      <c r="D1" s="44" t="s">
        <v>173</v>
      </c>
    </row>
    <row r="2" spans="1:8">
      <c r="A2" s="124" t="s">
        <v>32</v>
      </c>
      <c r="B2" s="124">
        <v>0.12</v>
      </c>
    </row>
    <row r="3" spans="1:8">
      <c r="A3" s="124" t="s">
        <v>174</v>
      </c>
      <c r="B3" s="124" t="s">
        <v>175</v>
      </c>
      <c r="C3" s="124">
        <v>7.0000000000000007E-2</v>
      </c>
      <c r="H3" s="106" t="s">
        <v>107</v>
      </c>
    </row>
    <row r="4" spans="1:8">
      <c r="B4" s="124" t="s">
        <v>176</v>
      </c>
      <c r="C4" s="124">
        <v>0.05</v>
      </c>
    </row>
    <row r="5" spans="1:8">
      <c r="B5" s="124" t="s">
        <v>177</v>
      </c>
      <c r="C5" s="124">
        <v>0.03</v>
      </c>
    </row>
    <row r="8" spans="1:8" ht="31.5" customHeight="1" thickBot="1">
      <c r="H8" s="273" t="s">
        <v>164</v>
      </c>
    </row>
    <row r="9" spans="1:8" ht="16" thickBot="1">
      <c r="B9" s="297" t="s">
        <v>165</v>
      </c>
      <c r="C9" s="298"/>
      <c r="D9" s="298"/>
      <c r="E9" s="298"/>
      <c r="F9" s="298"/>
      <c r="G9" s="299"/>
      <c r="H9" s="274" t="s">
        <v>166</v>
      </c>
    </row>
    <row r="10" spans="1:8" ht="16" thickBot="1">
      <c r="A10" s="275" t="s">
        <v>167</v>
      </c>
      <c r="B10" s="276">
        <f ca="1">+TODAY()</f>
        <v>46286</v>
      </c>
      <c r="C10" s="276">
        <f ca="1">EDATE(B10,12)</f>
        <v>46651</v>
      </c>
      <c r="D10" s="276">
        <f t="shared" ref="D10:H10" ca="1" si="0">EDATE(C10,12)</f>
        <v>47017</v>
      </c>
      <c r="E10" s="276">
        <f t="shared" ca="1" si="0"/>
        <v>47382</v>
      </c>
      <c r="F10" s="276">
        <f t="shared" ca="1" si="0"/>
        <v>47747</v>
      </c>
      <c r="G10" s="276">
        <f t="shared" ca="1" si="0"/>
        <v>48112</v>
      </c>
      <c r="H10" s="276">
        <f t="shared" ca="1" si="0"/>
        <v>48478</v>
      </c>
    </row>
    <row r="11" spans="1:8" ht="16" thickBot="1">
      <c r="A11" s="277" t="s">
        <v>168</v>
      </c>
      <c r="B11" s="278"/>
      <c r="C11" s="278">
        <v>60</v>
      </c>
      <c r="D11" s="278">
        <v>65</v>
      </c>
      <c r="E11" s="278">
        <v>70</v>
      </c>
      <c r="F11" s="278">
        <v>76</v>
      </c>
      <c r="G11" s="278">
        <v>87</v>
      </c>
      <c r="H11" s="278">
        <v>90</v>
      </c>
    </row>
    <row r="12" spans="1:8" ht="16" thickBot="1">
      <c r="A12" s="279" t="s">
        <v>169</v>
      </c>
      <c r="B12" s="3"/>
      <c r="C12" s="3"/>
      <c r="D12" s="3"/>
      <c r="E12" s="3"/>
      <c r="F12" s="3"/>
      <c r="G12" s="280"/>
    </row>
    <row r="13" spans="1:8" ht="16" thickBot="1">
      <c r="A13" s="281" t="s">
        <v>171</v>
      </c>
      <c r="B13" s="282"/>
      <c r="C13" s="282"/>
      <c r="D13" s="282"/>
      <c r="E13" s="282"/>
      <c r="F13" s="282"/>
      <c r="G13" s="283"/>
    </row>
    <row r="14" spans="1:8" ht="16" thickBot="1">
      <c r="C14" s="3"/>
      <c r="D14" s="3"/>
      <c r="E14" s="3"/>
      <c r="F14" s="3"/>
      <c r="G14" s="3"/>
    </row>
    <row r="15" spans="1:8" ht="16" thickBot="1">
      <c r="A15" s="284" t="s">
        <v>170</v>
      </c>
      <c r="B15" s="285"/>
    </row>
    <row r="21" spans="1:2">
      <c r="B21" s="1"/>
    </row>
    <row r="23" spans="1:2">
      <c r="B23" s="3"/>
    </row>
    <row r="26" spans="1:2">
      <c r="A26" s="1"/>
    </row>
  </sheetData>
  <mergeCells count="1">
    <mergeCell ref="B9:G9"/>
  </mergeCells>
  <hyperlinks>
    <hyperlink ref="H3" location="SUMMARY!A1" display="SUMMARY" xr:uid="{6F3759DF-5784-4E52-8848-3D3A852F6049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A5A6-8A35-4384-8886-7EC343A8C6A1}">
  <dimension ref="A1:G23"/>
  <sheetViews>
    <sheetView showGridLines="0" workbookViewId="0">
      <selection activeCell="E3" sqref="E3"/>
    </sheetView>
  </sheetViews>
  <sheetFormatPr defaultColWidth="10.6640625" defaultRowHeight="15.5"/>
  <cols>
    <col min="1" max="1" width="32" bestFit="1" customWidth="1"/>
    <col min="2" max="2" width="13.75" customWidth="1"/>
  </cols>
  <sheetData>
    <row r="1" spans="1:7" s="10" customFormat="1">
      <c r="A1" s="10" t="s">
        <v>40</v>
      </c>
      <c r="D1" s="44" t="s">
        <v>185</v>
      </c>
    </row>
    <row r="2" spans="1:7">
      <c r="A2" s="272" t="s">
        <v>179</v>
      </c>
      <c r="B2" s="124">
        <v>0.3</v>
      </c>
    </row>
    <row r="3" spans="1:7">
      <c r="A3" s="272" t="s">
        <v>180</v>
      </c>
      <c r="B3" s="272">
        <v>300</v>
      </c>
      <c r="E3" s="106" t="s">
        <v>107</v>
      </c>
    </row>
    <row r="4" spans="1:7">
      <c r="A4" s="272" t="s">
        <v>181</v>
      </c>
      <c r="B4" s="272">
        <v>200</v>
      </c>
    </row>
    <row r="5" spans="1:7">
      <c r="A5" s="272" t="s">
        <v>182</v>
      </c>
      <c r="B5" s="124">
        <v>0.04</v>
      </c>
    </row>
    <row r="6" spans="1:7">
      <c r="A6" s="272" t="s">
        <v>183</v>
      </c>
      <c r="B6" s="124">
        <v>7.0000000000000007E-2</v>
      </c>
    </row>
    <row r="7" spans="1:7" ht="31.5" customHeight="1" thickBot="1"/>
    <row r="8" spans="1:7" ht="16" thickBot="1">
      <c r="B8" s="297" t="s">
        <v>165</v>
      </c>
      <c r="C8" s="298"/>
      <c r="D8" s="298"/>
      <c r="E8" s="298"/>
      <c r="F8" s="298"/>
      <c r="G8" s="299"/>
    </row>
    <row r="9" spans="1:7" ht="16" thickBot="1">
      <c r="A9" s="275" t="s">
        <v>167</v>
      </c>
      <c r="B9" s="276">
        <f ca="1">+TODAY()</f>
        <v>46286</v>
      </c>
      <c r="C9" s="276">
        <f ca="1">EDATE(B9,12)</f>
        <v>46651</v>
      </c>
      <c r="D9" s="276">
        <f t="shared" ref="D9:G9" ca="1" si="0">EDATE(C9,12)</f>
        <v>47017</v>
      </c>
      <c r="E9" s="276">
        <f t="shared" ca="1" si="0"/>
        <v>47382</v>
      </c>
      <c r="F9" s="276">
        <f t="shared" ca="1" si="0"/>
        <v>47747</v>
      </c>
      <c r="G9" s="276">
        <f t="shared" ca="1" si="0"/>
        <v>48112</v>
      </c>
    </row>
    <row r="10" spans="1:7" ht="16" thickBot="1">
      <c r="A10" s="277" t="s">
        <v>168</v>
      </c>
      <c r="B10" s="278">
        <v>-500</v>
      </c>
      <c r="C10" s="278">
        <v>80</v>
      </c>
      <c r="D10" s="278">
        <v>105</v>
      </c>
      <c r="E10" s="278">
        <v>130</v>
      </c>
      <c r="F10" s="278">
        <v>120</v>
      </c>
      <c r="G10" s="278">
        <v>145</v>
      </c>
    </row>
    <row r="11" spans="1:7" ht="16" thickBot="1">
      <c r="C11" s="3"/>
      <c r="D11" s="3"/>
      <c r="E11" s="3"/>
      <c r="F11" s="3"/>
      <c r="G11" s="3"/>
    </row>
    <row r="12" spans="1:7" ht="16" thickBot="1">
      <c r="A12" s="284" t="s">
        <v>16</v>
      </c>
      <c r="B12" s="285"/>
    </row>
    <row r="18" spans="1:2">
      <c r="B18" s="1"/>
    </row>
    <row r="20" spans="1:2">
      <c r="B20" s="3"/>
    </row>
    <row r="23" spans="1:2">
      <c r="A23" s="1"/>
    </row>
  </sheetData>
  <mergeCells count="1">
    <mergeCell ref="B8:G8"/>
  </mergeCells>
  <hyperlinks>
    <hyperlink ref="E3" location="SUMMARY!A1" display="SUMMARY" xr:uid="{20A5C6C0-2F72-443A-B745-CE8EF190B6B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RATES</vt:lpstr>
      <vt:lpstr>SINGLE CF</vt:lpstr>
      <vt:lpstr>ANNUITY </vt:lpstr>
      <vt:lpstr>MODEL FOR ANNUITY </vt:lpstr>
      <vt:lpstr>PMT TIMING</vt:lpstr>
      <vt:lpstr>NPV</vt:lpstr>
      <vt:lpstr>NPV-IRR</vt:lpstr>
      <vt:lpstr>XNPV-XIRR</vt:lpstr>
      <vt:lpstr>CUMULATIVE FACTOR </vt:lpstr>
      <vt:lpstr>LOAN SCHEDULE</vt:lpstr>
      <vt:lpstr>LOAN SENSITIVITY ANALYSIS</vt:lpstr>
      <vt:lpstr>LEASE vs BUY </vt:lpstr>
      <vt:lpstr>LEASE Vs BUY with help</vt:lpstr>
      <vt:lpstr>TV</vt:lpstr>
      <vt:lpstr>TV scenario</vt:lpstr>
      <vt:lpstr>NPV-WACC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CHIKH Sabrina</cp:lastModifiedBy>
  <dcterms:created xsi:type="dcterms:W3CDTF">2015-08-03T11:55:57Z</dcterms:created>
  <dcterms:modified xsi:type="dcterms:W3CDTF">2026-09-21T12:57:23Z</dcterms:modified>
</cp:coreProperties>
</file>