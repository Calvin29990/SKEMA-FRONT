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FFEB926-25D5-4D94-94A1-DCF0F530EE55}" xr6:coauthVersionLast="47" xr6:coauthVersionMax="47" xr10:uidLastSave="{00000000-0000-0000-0000-000000000000}"/>
  <bookViews>
    <workbookView xWindow="-110" yWindow="-110" windowWidth="19420" windowHeight="10420" xr2:uid="{1E672EE7-F66B-FC40-87B5-6DCEFEFE8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 s="1" a="1"/>
  <c r="E10" i="1" s="1"/>
  <c r="E11" i="1" s="1"/>
  <c r="D9" i="1"/>
  <c r="D10" i="1" s="1" a="1"/>
  <c r="D10" i="1" s="1"/>
  <c r="D11" i="1" s="1"/>
  <c r="C9" i="1"/>
  <c r="C10" i="1" s="1" a="1"/>
  <c r="C10" i="1" s="1"/>
  <c r="C11" i="1" s="1"/>
  <c r="C13" i="1" l="1" a="1"/>
  <c r="C13" i="1" s="1"/>
  <c r="C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<sst xmlns="http://schemas.openxmlformats.org/spreadsheetml/2006/main" count="16" uniqueCount="13">
  <si>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State</t>
  </si>
  <si>
    <t>Recession</t>
  </si>
  <si>
    <t>Normal</t>
  </si>
  <si>
    <t>Expansion</t>
  </si>
  <si>
    <t>Probability</t>
  </si>
  <si>
    <t>Asset A</t>
  </si>
  <si>
    <t>Asset B</t>
  </si>
  <si>
    <t>Asset C</t>
  </si>
  <si>
    <t>Weighted average</t>
  </si>
  <si>
    <t>Variance</t>
  </si>
  <si>
    <t>Standard Deviation</t>
  </si>
  <si>
    <t>Covariance A and B</t>
  </si>
  <si>
    <t>Correlation Coefficent A and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</si>
</sst>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1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A498-ED87-7247-969E-F2A4021DBE55}">
  <dimension ref="A1:I15"/>
  <sheetViews>
    <sheetView tabSelected="1" workbookViewId="0">
      <selection activeCell="G10" sqref="G10"/>
    </sheetView>
  </sheetViews>
  <sheetFormatPr baseColWidth="10" defaultRowHeight="16"/>
  <cols>
    <col min="1" max="1" width="17.5" customWidth="1"/>
    <col min="2" max="2" width="15.83203125" customWidth="1"/>
    <col min="3" max="3" width="15" customWidth="1"/>
    <col min="4" max="4" width="15.83203125" customWidth="1"/>
    <col min="5" max="5" width="21.33203125" customWidth="1"/>
  </cols>
  <sheetData>
    <row r="1" spans="1:9">
      <c r="A1" s="7" t="s">
        <v>0</v>
      </c>
      <c r="B1" s="3" t="s">
        <v>1</v>
      </c>
      <c r="C1" s="3" t="s">
        <v>2</v>
      </c>
      <c r="D1" s="3" t="s">
        <v>3</v>
      </c>
    </row>
    <row r="2" spans="1:9">
      <c r="A2" s="7" t="s">
        <v>4</v>
      </c>
      <c r="B2" s="8">
        <v>0.25</v>
      </c>
      <c r="C2" s="8">
        <v>0.5</v>
      </c>
      <c r="D2" s="8">
        <v>0.25</v>
      </c>
    </row>
    <row r="3" spans="1:9">
      <c r="A3" s="7" t="s">
        <v>5</v>
      </c>
      <c r="B3" s="8">
        <v>-0.08</v>
      </c>
      <c r="C3" s="8">
        <v>0.05</v>
      </c>
      <c r="D3" s="8">
        <v>0.18</v>
      </c>
    </row>
    <row r="4" spans="1:9">
      <c r="A4" s="7" t="s">
        <v>6</v>
      </c>
      <c r="B4" s="8">
        <v>0.2</v>
      </c>
      <c r="C4" s="8">
        <v>0.03</v>
      </c>
      <c r="D4" s="8">
        <v>-0.2</v>
      </c>
    </row>
    <row r="5" spans="1:9">
      <c r="A5" s="7" t="s">
        <v>7</v>
      </c>
      <c r="B5" s="8">
        <v>0.06</v>
      </c>
      <c r="C5" s="8">
        <v>0.04</v>
      </c>
      <c r="D5" s="8">
        <v>-0.01</v>
      </c>
    </row>
    <row r="7" spans="1:9" ht="16.5" thickBot="1"/>
    <row r="8" spans="1:9" ht="20" customHeight="1">
      <c r="A8" s="21"/>
      <c r="B8" s="22"/>
      <c r="C8" s="5" t="s">
        <v>5</v>
      </c>
      <c r="D8" s="5" t="s">
        <v>6</v>
      </c>
      <c r="E8" s="6" t="s">
        <v>7</v>
      </c>
    </row>
    <row r="9" spans="1:9" ht="20" customHeight="1">
      <c r="A9" s="17" t="s">
        <v>8</v>
      </c>
      <c r="B9" s="18"/>
      <c r="C9" s="1">
        <f>SUMPRODUCT($B$2:$D$2,B3:D3)</f>
        <v>0.05</v>
      </c>
      <c r="D9" s="1">
        <f>SUMPRODUCT($B$2:$D$2,B4:D4)</f>
        <v>1.4999999999999999E-2</v>
      </c>
      <c r="E9" s="2">
        <f>SUMPRODUCT($B$2:$D$2,B5:D5)</f>
        <v>3.2500000000000001E-2</v>
      </c>
    </row>
    <row r="10" spans="1:9" ht="20" customHeight="1">
      <c r="A10" s="17" t="s">
        <v>9</v>
      </c>
      <c r="B10" s="18"/>
      <c r="C10" s="3" cm="1">
        <f t="array" ref="C10">SUMPRODUCT($B$2:$D$2,(B3:D3-C9)^2)</f>
        <v>8.4500000000000009E-3</v>
      </c>
      <c r="D10" s="10" cm="1">
        <f t="array" ref="D10">SUMPRODUCT($B$2:$D$2,(B4:D4-D9)^2)</f>
        <v>2.0225E-2</v>
      </c>
      <c r="E10" s="4" cm="1">
        <f t="array" ref="E10">SUMPRODUCT($B$2:$D$2,(B5:D5-E9)^2)</f>
        <v>6.6875000000000007E-4</v>
      </c>
    </row>
    <row r="11" spans="1:9" ht="20" customHeight="1">
      <c r="A11" s="17" t="s">
        <v>10</v>
      </c>
      <c r="B11" s="18"/>
      <c r="C11" s="1">
        <f>SQRT(C10)</f>
        <v>9.1923881554251186E-2</v>
      </c>
      <c r="D11" s="1">
        <f t="shared" ref="D11:E11" si="0">SQRT(D10)</f>
        <v>0.1422146265332789</v>
      </c>
      <c r="E11" s="2">
        <f t="shared" si="0"/>
        <v>2.5860201081971502E-2</v>
      </c>
    </row>
    <row r="12" spans="1:9" ht="20" customHeight="1">
      <c r="A12" s="17" t="s">
        <v>12</v>
      </c>
      <c r="B12" s="18"/>
      <c r="C12" s="14">
        <f>C13/(C11*D11)</f>
        <v>-0.99442202032725679</v>
      </c>
      <c r="D12" s="15"/>
      <c r="E12" s="16"/>
    </row>
    <row r="13" spans="1:9" ht="20" customHeight="1" thickBot="1">
      <c r="A13" s="19" t="s">
        <v>11</v>
      </c>
      <c r="B13" s="20"/>
      <c r="C13" s="11" cm="1">
        <f t="array" ref="C13">SUMPRODUCT($B$2:$D$2,(B3:D3-C9),(B4:D4-D9))</f>
        <v>-1.3000000000000001E-2</v>
      </c>
      <c r="D13" s="12"/>
      <c r="E13" s="13"/>
    </row>
    <row r="15" spans="1:9">
      <c r="I15" s="9"/>
    </row>
  </sheetData>
  <mergeCells count="8">
    <mergeCell ref="A8:B8"/>
    <mergeCell ref="C13:E13"/>
    <mergeCell ref="C12:E12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MÉTAYER Jules</dc:creator>
  <cp:lastModifiedBy>MINANG Calvin</cp:lastModifiedBy>
  <dcterms:created xsi:type="dcterms:W3CDTF">2026-10-08T15:29:54Z</dcterms:created>
  <dcterms:modified xsi:type="dcterms:W3CDTF">2026-10-10T07:42:49Z</dcterms:modified>
</cp:coreProperties>
</file>