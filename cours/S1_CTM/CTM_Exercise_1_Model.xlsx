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M Exercise 1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5" fillId="4" borderId="1" pivotButton="0" quotePrefix="0" xfId="0"/>
    <xf numFmtId="165" fontId="4" fillId="4" borderId="1" pivotButton="0" quotePrefix="0" xfId="0"/>
    <xf numFmtId="2" fontId="4" fillId="4" borderId="1" pivotButton="0" quotePrefix="0" xfId="0"/>
    <xf numFmtId="2" fontId="5" fillId="4" borderId="1" pivotButton="0" quotePrefix="0" xfId="0"/>
    <xf numFmtId="166" fontId="5" fillId="4" borderId="1" pivotButton="0" quotePrefix="0" xfId="0"/>
    <xf numFmtId="0" fontId="5" fillId="5" borderId="1" applyAlignment="1" pivotButton="0" quotePrefix="0" xfId="0">
      <alignment horizontal="center"/>
    </xf>
    <xf numFmtId="1" fontId="5" fillId="0" borderId="1" pivotButton="0" quotePrefix="0" xfId="0"/>
    <xf numFmtId="4" fontId="4" fillId="4" borderId="1" pivotButton="0" quotePrefix="0" xfId="0"/>
    <xf numFmtId="4" fontId="5" fillId="5" borderId="1" pivotButton="0" quotePrefix="0" xfId="0"/>
    <xf numFmtId="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6" customWidth="1" min="7" max="7"/>
  </cols>
  <sheetData>
    <row r="1">
      <c r="A1" s="1" t="inlineStr">
        <is>
          <t>CORPORATE TREASURY MANAGEMENT — SESSION 1: FINANCIAL PROFILE MATCHING &amp; WCR / CASH RELEASE MODEL</t>
        </is>
      </c>
    </row>
    <row r="3">
      <c r="A3" s="2" t="inlineStr">
        <is>
          <t>Metric / Indicator (EUR m / Days / x)</t>
        </is>
      </c>
      <c r="B3" s="3" t="inlineStr">
        <is>
          <t>Profile A</t>
        </is>
      </c>
      <c r="C3" s="3" t="inlineStr">
        <is>
          <t>Profile B</t>
        </is>
      </c>
      <c r="D3" s="3" t="inlineStr">
        <is>
          <t>Profile C</t>
        </is>
      </c>
      <c r="E3" s="3" t="inlineStr">
        <is>
          <t>Profile D</t>
        </is>
      </c>
      <c r="F3" s="3" t="inlineStr">
        <is>
          <t>Profile E</t>
        </is>
      </c>
      <c r="G3" s="3" t="inlineStr">
        <is>
          <t>Formula / Convention (365-day year)</t>
        </is>
      </c>
    </row>
    <row r="4">
      <c r="A4" s="4" t="inlineStr">
        <is>
          <t>1. INPUT FINANCIAL DATA (EUR m)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Revenue (EUR m)</t>
        </is>
      </c>
      <c r="B5" s="7" t="n">
        <v>1000</v>
      </c>
      <c r="C5" s="7" t="n">
        <v>500</v>
      </c>
      <c r="D5" s="7" t="n">
        <v>300</v>
      </c>
      <c r="E5" s="7" t="n">
        <v>400</v>
      </c>
      <c r="F5" s="7" t="n">
        <v>400</v>
      </c>
      <c r="G5" s="6" t="inlineStr">
        <is>
          <t>Given</t>
        </is>
      </c>
    </row>
    <row r="6">
      <c r="A6" s="6" t="inlineStr">
        <is>
          <t>COGS (EUR m)</t>
        </is>
      </c>
      <c r="B6" s="7" t="n">
        <v>820</v>
      </c>
      <c r="C6" s="7" t="n">
        <v>400</v>
      </c>
      <c r="D6" s="7" t="n">
        <v>210</v>
      </c>
      <c r="E6" s="7" t="n">
        <v>120</v>
      </c>
      <c r="F6" s="7" t="n">
        <v>120</v>
      </c>
      <c r="G6" s="6" t="inlineStr">
        <is>
          <t>Given</t>
        </is>
      </c>
    </row>
    <row r="7">
      <c r="A7" s="6" t="inlineStr">
        <is>
          <t>EBITDA (EUR m)</t>
        </is>
      </c>
      <c r="B7" s="7" t="n">
        <v>55</v>
      </c>
      <c r="C7" s="7" t="n">
        <v>50</v>
      </c>
      <c r="D7" s="7" t="n">
        <v>50</v>
      </c>
      <c r="E7" s="7" t="n">
        <v>90</v>
      </c>
      <c r="F7" s="7" t="n">
        <v>100</v>
      </c>
      <c r="G7" s="6" t="inlineStr">
        <is>
          <t>Given</t>
        </is>
      </c>
    </row>
    <row r="8">
      <c r="A8" s="6" t="inlineStr">
        <is>
          <t>Accounts Receivable - AR (EUR m)</t>
        </is>
      </c>
      <c r="B8" s="7" t="n">
        <v>5</v>
      </c>
      <c r="C8" s="7" t="n">
        <v>100</v>
      </c>
      <c r="D8" s="7" t="n">
        <v>49.3</v>
      </c>
      <c r="E8" s="7" t="n">
        <v>60</v>
      </c>
      <c r="F8" s="7" t="n">
        <v>10</v>
      </c>
      <c r="G8" s="6" t="inlineStr">
        <is>
          <t>Given</t>
        </is>
      </c>
    </row>
    <row r="9">
      <c r="A9" s="6" t="inlineStr">
        <is>
          <t>Inventory - INV (EUR m)</t>
        </is>
      </c>
      <c r="B9" s="7" t="n">
        <v>71.09999999999999</v>
      </c>
      <c r="C9" s="7" t="n">
        <v>180</v>
      </c>
      <c r="D9" s="7" t="n">
        <v>34.5</v>
      </c>
      <c r="E9" s="7" t="n">
        <v>40</v>
      </c>
      <c r="F9" s="7" t="n">
        <v>80</v>
      </c>
      <c r="G9" s="6" t="inlineStr">
        <is>
          <t>Given</t>
        </is>
      </c>
    </row>
    <row r="10">
      <c r="A10" s="6" t="inlineStr">
        <is>
          <t>Accounts Payable - AP (EUR m)</t>
        </is>
      </c>
      <c r="B10" s="7" t="n">
        <v>120.3</v>
      </c>
      <c r="C10" s="7" t="n">
        <v>90</v>
      </c>
      <c r="D10" s="7" t="n">
        <v>40.3</v>
      </c>
      <c r="E10" s="7" t="n">
        <v>20</v>
      </c>
      <c r="F10" s="7" t="n">
        <v>25</v>
      </c>
      <c r="G10" s="6" t="inlineStr">
        <is>
          <t>Given</t>
        </is>
      </c>
    </row>
    <row r="11">
      <c r="A11" s="6" t="inlineStr">
        <is>
          <t>Cash &amp; Equivalents (EUR m)</t>
        </is>
      </c>
      <c r="B11" s="7" t="n">
        <v>40</v>
      </c>
      <c r="C11" s="7" t="n">
        <v>60</v>
      </c>
      <c r="D11" s="7" t="n">
        <v>20</v>
      </c>
      <c r="E11" s="7" t="n">
        <v>50</v>
      </c>
      <c r="F11" s="7" t="n">
        <v>70</v>
      </c>
      <c r="G11" s="6" t="inlineStr">
        <is>
          <t>Given</t>
        </is>
      </c>
    </row>
    <row r="12">
      <c r="A12" s="6" t="inlineStr">
        <is>
          <t>Total Gross Debt (EUR m)</t>
        </is>
      </c>
      <c r="B12" s="7" t="n">
        <v>120</v>
      </c>
      <c r="C12" s="7" t="n">
        <v>200</v>
      </c>
      <c r="D12" s="7" t="n">
        <v>100</v>
      </c>
      <c r="E12" s="7" t="n">
        <v>90</v>
      </c>
      <c r="F12" s="7" t="n">
        <v>40</v>
      </c>
      <c r="G12" s="6" t="inlineStr">
        <is>
          <t>Given</t>
        </is>
      </c>
    </row>
    <row r="13">
      <c r="A13" s="6" t="inlineStr">
        <is>
          <t>Interest Expense (EUR m)</t>
        </is>
      </c>
      <c r="B13" s="7" t="n">
        <v>5</v>
      </c>
      <c r="C13" s="7" t="n">
        <v>8</v>
      </c>
      <c r="D13" s="7" t="n">
        <v>4</v>
      </c>
      <c r="E13" s="7" t="n">
        <v>4</v>
      </c>
      <c r="F13" s="7" t="n">
        <v>2</v>
      </c>
      <c r="G13" s="6" t="inlineStr">
        <is>
          <t>Given</t>
        </is>
      </c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4" t="inlineStr">
        <is>
          <t>2. WORKING CAPITAL, CASH CONVERSION CYCLE &amp; LEVERAGE RATIOS</t>
        </is>
      </c>
      <c r="B15" s="5" t="n"/>
      <c r="C15" s="5" t="n"/>
      <c r="D15" s="5" t="n"/>
      <c r="E15" s="5" t="n"/>
      <c r="F15" s="5" t="n"/>
      <c r="G15" s="5" t="n"/>
    </row>
    <row r="16">
      <c r="A16" s="9" t="inlineStr">
        <is>
          <t>Working Capital Requirement - WCR (EUR m)</t>
        </is>
      </c>
      <c r="B16" s="10">
        <f>B8+B9-B10</f>
        <v/>
      </c>
      <c r="C16" s="10">
        <f>C8+C9-C10</f>
        <v/>
      </c>
      <c r="D16" s="10">
        <f>D8+D9-D10</f>
        <v/>
      </c>
      <c r="E16" s="10">
        <f>E8+E9-E10</f>
        <v/>
      </c>
      <c r="F16" s="10">
        <f>F8+F9-F10</f>
        <v/>
      </c>
      <c r="G16" s="6" t="inlineStr">
        <is>
          <t>AR + Inventory - AP</t>
        </is>
      </c>
    </row>
    <row r="17">
      <c r="A17" s="6" t="inlineStr">
        <is>
          <t>WCR / Revenue (%)</t>
        </is>
      </c>
      <c r="B17" s="11">
        <f>B16/B5</f>
        <v/>
      </c>
      <c r="C17" s="11">
        <f>C16/C5</f>
        <v/>
      </c>
      <c r="D17" s="11">
        <f>D16/D5</f>
        <v/>
      </c>
      <c r="E17" s="11">
        <f>E16/E5</f>
        <v/>
      </c>
      <c r="F17" s="11">
        <f>F16/F5</f>
        <v/>
      </c>
      <c r="G17" s="6" t="inlineStr">
        <is>
          <t>WCR / Revenue</t>
        </is>
      </c>
    </row>
    <row r="18">
      <c r="A18" s="6" t="inlineStr">
        <is>
          <t>DSO - Days Sales Outstanding (days)</t>
        </is>
      </c>
      <c r="B18" s="12">
        <f>(B8/B5)*365</f>
        <v/>
      </c>
      <c r="C18" s="12">
        <f>(C8/C5)*365</f>
        <v/>
      </c>
      <c r="D18" s="12">
        <f>(D8/D5)*365</f>
        <v/>
      </c>
      <c r="E18" s="12">
        <f>(E8/E5)*365</f>
        <v/>
      </c>
      <c r="F18" s="12">
        <f>(F8/F5)*365</f>
        <v/>
      </c>
      <c r="G18" s="6" t="inlineStr">
        <is>
          <t>(AR / Revenue) * 365</t>
        </is>
      </c>
    </row>
    <row r="19">
      <c r="A19" s="6" t="inlineStr">
        <is>
          <t>DIO - Days Inventory Outstanding (days)</t>
        </is>
      </c>
      <c r="B19" s="12">
        <f>(B9/B6)*365</f>
        <v/>
      </c>
      <c r="C19" s="12">
        <f>(C9/C6)*365</f>
        <v/>
      </c>
      <c r="D19" s="12">
        <f>(D9/D6)*365</f>
        <v/>
      </c>
      <c r="E19" s="12">
        <f>(E9/E6)*365</f>
        <v/>
      </c>
      <c r="F19" s="12">
        <f>(F9/F6)*365</f>
        <v/>
      </c>
      <c r="G19" s="6" t="inlineStr">
        <is>
          <t>(Inventory / COGS) * 365</t>
        </is>
      </c>
    </row>
    <row r="20">
      <c r="A20" s="6" t="inlineStr">
        <is>
          <t>DPO - Days Payable Outstanding (days)</t>
        </is>
      </c>
      <c r="B20" s="12">
        <f>(B10/B6)*365</f>
        <v/>
      </c>
      <c r="C20" s="12">
        <f>(C10/C6)*365</f>
        <v/>
      </c>
      <c r="D20" s="12">
        <f>(D10/D6)*365</f>
        <v/>
      </c>
      <c r="E20" s="12">
        <f>(E10/E6)*365</f>
        <v/>
      </c>
      <c r="F20" s="12">
        <f>(F10/F6)*365</f>
        <v/>
      </c>
      <c r="G20" s="6" t="inlineStr">
        <is>
          <t>(AP / COGS) * 365</t>
        </is>
      </c>
    </row>
    <row r="21">
      <c r="A21" s="9" t="inlineStr">
        <is>
          <t>CCC - Cash Conversion Cycle (days)</t>
        </is>
      </c>
      <c r="B21" s="13">
        <f>B18+B19-B20</f>
        <v/>
      </c>
      <c r="C21" s="13">
        <f>C18+C19-C20</f>
        <v/>
      </c>
      <c r="D21" s="13">
        <f>D18+D19-D20</f>
        <v/>
      </c>
      <c r="E21" s="13">
        <f>E18+E19-E20</f>
        <v/>
      </c>
      <c r="F21" s="13">
        <f>F18+F19-F20</f>
        <v/>
      </c>
      <c r="G21" s="6" t="inlineStr">
        <is>
          <t>DSO + DIO - DPO</t>
        </is>
      </c>
    </row>
    <row r="22">
      <c r="A22" s="9" t="inlineStr">
        <is>
          <t>Net Debt (EUR m)</t>
        </is>
      </c>
      <c r="B22" s="10">
        <f>B12-B11</f>
        <v/>
      </c>
      <c r="C22" s="10">
        <f>C12-C11</f>
        <v/>
      </c>
      <c r="D22" s="10">
        <f>D12-D11</f>
        <v/>
      </c>
      <c r="E22" s="10">
        <f>E12-E11</f>
        <v/>
      </c>
      <c r="F22" s="10">
        <f>F12-F11</f>
        <v/>
      </c>
      <c r="G22" s="6" t="inlineStr">
        <is>
          <t>Total Debt - Cash (negative = Net Cash)</t>
        </is>
      </c>
    </row>
    <row r="23">
      <c r="A23" s="9" t="inlineStr">
        <is>
          <t>Net Debt / EBITDA (x)</t>
        </is>
      </c>
      <c r="B23" s="14">
        <f>B22/B7</f>
        <v/>
      </c>
      <c r="C23" s="14">
        <f>C22/C7</f>
        <v/>
      </c>
      <c r="D23" s="14">
        <f>D22/D7</f>
        <v/>
      </c>
      <c r="E23" s="14">
        <f>E22/E7</f>
        <v/>
      </c>
      <c r="F23" s="14">
        <f>F22/F7</f>
        <v/>
      </c>
      <c r="G23" s="6" t="inlineStr">
        <is>
          <t>Net Debt / EBITDA</t>
        </is>
      </c>
    </row>
    <row r="24">
      <c r="A24" s="9" t="inlineStr">
        <is>
          <t>EBITDA Interest Coverage (x)</t>
        </is>
      </c>
      <c r="B24" s="14">
        <f>B7/B13</f>
        <v/>
      </c>
      <c r="C24" s="14">
        <f>C7/C13</f>
        <v/>
      </c>
      <c r="D24" s="14">
        <f>D7/D13</f>
        <v/>
      </c>
      <c r="E24" s="14">
        <f>E7/E13</f>
        <v/>
      </c>
      <c r="F24" s="14">
        <f>F7/F13</f>
        <v/>
      </c>
      <c r="G24" s="6" t="inlineStr">
        <is>
          <t>EBITDA / Interest Expense</t>
        </is>
      </c>
    </row>
    <row r="25">
      <c r="A25" s="6" t="inlineStr">
        <is>
          <t>EBITDA Margin (%)</t>
        </is>
      </c>
      <c r="B25" s="11">
        <f>B7/B5</f>
        <v/>
      </c>
      <c r="C25" s="11">
        <f>C7/C5</f>
        <v/>
      </c>
      <c r="D25" s="11">
        <f>D7/D5</f>
        <v/>
      </c>
      <c r="E25" s="11">
        <f>E7/E5</f>
        <v/>
      </c>
      <c r="F25" s="11">
        <f>F7/F5</f>
        <v/>
      </c>
      <c r="G25" s="6" t="inlineStr">
        <is>
          <t>EBITDA / Revenue</t>
        </is>
      </c>
    </row>
    <row r="26">
      <c r="A26" s="6" t="inlineStr">
        <is>
          <t>Gross Margin (%)</t>
        </is>
      </c>
      <c r="B26" s="11">
        <f>(B5-B6)/B5</f>
        <v/>
      </c>
      <c r="C26" s="11">
        <f>(C5-C6)/C5</f>
        <v/>
      </c>
      <c r="D26" s="11">
        <f>(D5-D6)/D5</f>
        <v/>
      </c>
      <c r="E26" s="11">
        <f>(E5-E6)/E5</f>
        <v/>
      </c>
      <c r="F26" s="11">
        <f>(F5-F6)/F5</f>
        <v/>
      </c>
      <c r="G26" s="6" t="inlineStr">
        <is>
          <t>(Revenue - COGS) / Revenue</t>
        </is>
      </c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4" t="inlineStr">
        <is>
          <t>3. SECTOR IDENTIFICATION &amp; MATCHING</t>
        </is>
      </c>
      <c r="B28" s="5" t="n"/>
      <c r="C28" s="5" t="n"/>
      <c r="D28" s="5" t="n"/>
      <c r="E28" s="5" t="n"/>
      <c r="F28" s="5" t="n"/>
      <c r="G28" s="5" t="n"/>
    </row>
    <row r="29">
      <c r="A29" s="9" t="inlineStr">
        <is>
          <t>Matched Industry Sector</t>
        </is>
      </c>
      <c r="B29" s="15" t="inlineStr">
        <is>
          <t>Supermarket Group</t>
        </is>
      </c>
      <c r="C29" s="15" t="inlineStr">
        <is>
          <t>Aircraft Manufacturer</t>
        </is>
      </c>
      <c r="D29" s="15" t="inlineStr">
        <is>
          <t>Industrial Exporter</t>
        </is>
      </c>
      <c r="E29" s="15" t="inlineStr">
        <is>
          <t>Pharmaceutical Company</t>
        </is>
      </c>
      <c r="F29" s="15" t="inlineStr">
        <is>
          <t>Luxury Company</t>
        </is>
      </c>
      <c r="G29" s="6" t="inlineStr">
        <is>
          <t>1-to-1 Economic &amp; Financial Match</t>
        </is>
      </c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4" t="inlineStr">
        <is>
          <t>4. CASH RELEASE SIMULATION: 5-DAY IMPROVEMENT IN DSO (-5d), DIO (-5d), AND DPO (+5d)</t>
        </is>
      </c>
      <c r="B31" s="5" t="n"/>
      <c r="C31" s="5" t="n"/>
      <c r="D31" s="5" t="n"/>
      <c r="E31" s="5" t="n"/>
      <c r="F31" s="5" t="n"/>
      <c r="G31" s="5" t="n"/>
    </row>
    <row r="32">
      <c r="A32" s="9" t="inlineStr">
        <is>
          <t>Improvement Target (Days)</t>
        </is>
      </c>
      <c r="B32" s="16" t="n">
        <v>5</v>
      </c>
      <c r="C32" s="8" t="n"/>
      <c r="D32" s="8" t="n"/>
      <c r="E32" s="8" t="n"/>
      <c r="F32" s="8" t="n"/>
      <c r="G32" s="6" t="inlineStr">
        <is>
          <t>Change cell B32 to test any number of days</t>
        </is>
      </c>
    </row>
    <row r="33">
      <c r="A33" s="6" t="inlineStr">
        <is>
          <t>Cash Release from -5d DSO (EUR m)</t>
        </is>
      </c>
      <c r="B33" s="17">
        <f>(2/365)*B5</f>
        <v/>
      </c>
      <c r="C33" s="17">
        <f>(2/365)*C5</f>
        <v/>
      </c>
      <c r="D33" s="17">
        <f>(2/365)*D5</f>
        <v/>
      </c>
      <c r="E33" s="17">
        <f>(2/365)*E5</f>
        <v/>
      </c>
      <c r="F33" s="17">
        <f>(2/365)*F5</f>
        <v/>
      </c>
      <c r="G33" s="6" t="inlineStr">
        <is>
          <t>(Days / 365) * Revenue</t>
        </is>
      </c>
    </row>
    <row r="34">
      <c r="A34" s="6" t="inlineStr">
        <is>
          <t>Cash Release from -5d DIO (EUR m)</t>
        </is>
      </c>
      <c r="B34" s="17">
        <f>(2/365)*B6</f>
        <v/>
      </c>
      <c r="C34" s="17">
        <f>(2/365)*C6</f>
        <v/>
      </c>
      <c r="D34" s="17">
        <f>(2/365)*D6</f>
        <v/>
      </c>
      <c r="E34" s="17">
        <f>(2/365)*E6</f>
        <v/>
      </c>
      <c r="F34" s="17">
        <f>(2/365)*F6</f>
        <v/>
      </c>
      <c r="G34" s="6" t="inlineStr">
        <is>
          <t>(Days / 365) * COGS</t>
        </is>
      </c>
    </row>
    <row r="35">
      <c r="A35" s="6" t="inlineStr">
        <is>
          <t>Cash Release from +5d DPO (EUR m)</t>
        </is>
      </c>
      <c r="B35" s="17">
        <f>(2/365)*B6</f>
        <v/>
      </c>
      <c r="C35" s="17">
        <f>(2/365)*C6</f>
        <v/>
      </c>
      <c r="D35" s="17">
        <f>(2/365)*D6</f>
        <v/>
      </c>
      <c r="E35" s="17">
        <f>(2/365)*E6</f>
        <v/>
      </c>
      <c r="F35" s="17">
        <f>(2/365)*F6</f>
        <v/>
      </c>
      <c r="G35" s="6" t="inlineStr">
        <is>
          <t>(Days / 365) * COGS</t>
        </is>
      </c>
    </row>
    <row r="36">
      <c r="A36" s="9" t="inlineStr">
        <is>
          <t>Total Combined Cash Release (-15d CCC) (EUR m)</t>
        </is>
      </c>
      <c r="B36" s="18">
        <f>B33+B34+B35</f>
        <v/>
      </c>
      <c r="C36" s="18">
        <f>C33+C34+C35</f>
        <v/>
      </c>
      <c r="D36" s="18">
        <f>D33+D34+D35</f>
        <v/>
      </c>
      <c r="E36" s="18">
        <f>E33+E34+E35</f>
        <v/>
      </c>
      <c r="F36" s="18">
        <f>F33+F34+F35</f>
        <v/>
      </c>
      <c r="G36" s="6" t="inlineStr">
        <is>
          <t>Sum of DSO + DIO + DPO cash releases</t>
        </is>
      </c>
    </row>
    <row r="37">
      <c r="A37" s="9" t="inlineStr">
        <is>
          <t>New WCR Post-Optimization (EUR m)</t>
        </is>
      </c>
      <c r="B37" s="19">
        <f>B16-B36</f>
        <v/>
      </c>
      <c r="C37" s="19">
        <f>C16-C36</f>
        <v/>
      </c>
      <c r="D37" s="19">
        <f>D16-D36</f>
        <v/>
      </c>
      <c r="E37" s="19">
        <f>E16-E36</f>
        <v/>
      </c>
      <c r="F37" s="19">
        <f>F16-F36</f>
        <v/>
      </c>
      <c r="G37" s="6" t="inlineStr">
        <is>
          <t>Initial WCR - Total Cash Release</t>
        </is>
      </c>
    </row>
    <row r="38">
      <c r="A38" s="9" t="inlineStr">
        <is>
          <t>New Net Debt Post-Optimization (EUR m)</t>
        </is>
      </c>
      <c r="B38" s="19">
        <f>B22-B36</f>
        <v/>
      </c>
      <c r="C38" s="19">
        <f>C22-C36</f>
        <v/>
      </c>
      <c r="D38" s="19">
        <f>D22-D36</f>
        <v/>
      </c>
      <c r="E38" s="19">
        <f>E22-E36</f>
        <v/>
      </c>
      <c r="F38" s="19">
        <f>F22-F36</f>
        <v/>
      </c>
      <c r="G38" s="6" t="inlineStr">
        <is>
          <t>Initial Net Debt - Total Cash Release</t>
        </is>
      </c>
    </row>
    <row r="39">
      <c r="A39" s="9" t="inlineStr">
        <is>
          <t>New Net Debt / EBITDA Post-Optimization (x)</t>
        </is>
      </c>
      <c r="B39" s="14">
        <f>B38/B7</f>
        <v/>
      </c>
      <c r="C39" s="14">
        <f>C38/C7</f>
        <v/>
      </c>
      <c r="D39" s="14">
        <f>D38/D7</f>
        <v/>
      </c>
      <c r="E39" s="14">
        <f>E38/E7</f>
        <v/>
      </c>
      <c r="F39" s="14">
        <f>F38/F7</f>
        <v/>
      </c>
      <c r="G39" s="6" t="inlineStr">
        <is>
          <t>New Net Debt / 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2026-10-18T15:56:44Z</dcterms:created>
  <dcterms:modified xsi:type="dcterms:W3CDTF">2026-10-18T15:56:44Z</dcterms:modified>
</cp:coreProperties>
</file>